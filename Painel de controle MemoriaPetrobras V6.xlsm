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omments6.xml" ContentType="application/vnd.openxmlformats-officedocument.spreadsheetml.comments+xml"/>
  <Override PartName="/xl/tables/table42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CC3D72F4-8A5C-47B9-920D-2D7E46940BC7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LOG_CRITICAS" sheetId="74" r:id="rId2"/>
    <sheet name="DASHBOARD" sheetId="73" r:id="rId3"/>
    <sheet name="Validações" sheetId="21" r:id="rId4"/>
    <sheet name="MC_IRON-LT1-ES" sheetId="67" r:id="rId5"/>
    <sheet name="ARM_IRON-LT1-ES" sheetId="58" r:id="rId6"/>
    <sheet name="DADOS_IRON-LT1-ES" sheetId="59" r:id="rId7"/>
    <sheet name="FRETE_IRON-LT1-ES" sheetId="60" r:id="rId8"/>
    <sheet name="MC_IRON-LT1-SP" sheetId="68" r:id="rId9"/>
    <sheet name="ARM_IRON-LT1-SP" sheetId="55" r:id="rId10"/>
    <sheet name="DADOS_IRON-LT1-SP" sheetId="56" r:id="rId11"/>
    <sheet name="FRETE_IRON-LT1-SP" sheetId="57" r:id="rId12"/>
    <sheet name="MC_IRON-LT1-RJ" sheetId="69" r:id="rId13"/>
    <sheet name="ARM_IRON-LT1-RJ" sheetId="47" r:id="rId14"/>
    <sheet name="DADOS_IRON-LT1-RJ" sheetId="54" r:id="rId15"/>
    <sheet name="FRETE_IRON-LT1-RJ" sheetId="61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MC_PA-LT2" sheetId="37" r:id="rId22"/>
    <sheet name="ARM_PA-LT2" sheetId="39" r:id="rId23"/>
    <sheet name="DADOS_PA-LT2" sheetId="40" r:id="rId24"/>
    <sheet name="FRETE_PA-LT2" sheetId="41" r:id="rId25"/>
    <sheet name="ARM" sheetId="27" r:id="rId26"/>
    <sheet name="DADOS" sheetId="29" r:id="rId27"/>
    <sheet name="Frete" sheetId="31" r:id="rId28"/>
    <sheet name="Planilha1" sheetId="70" r:id="rId29"/>
    <sheet name="tabelaA" sheetId="3" r:id="rId30"/>
    <sheet name="TabelaFDMPorContrato" sheetId="33" r:id="rId31"/>
  </sheets>
  <definedNames>
    <definedName name="_xlnm._FilterDatabase" localSheetId="1" hidden="1">LOG_CRITICAS!$A$4:$I$4</definedName>
    <definedName name="aa">tabelaA!$T$4:$T$25</definedName>
    <definedName name="ARMCXDOC" localSheetId="4">'MC_IRON-LT1-ES'!$D$12</definedName>
    <definedName name="ARMCXDOC" localSheetId="12">'MC_IRON-LT1-RJ'!$D$12</definedName>
    <definedName name="ARMCXDOC" localSheetId="8">'MC_IRON-LT1-SP'!$D$12</definedName>
    <definedName name="ARMCXDOC">'MC_IRON-LT1'!$D$12</definedName>
    <definedName name="ARMCXMID" localSheetId="4">'MC_IRON-LT1-ES'!$D$15</definedName>
    <definedName name="ARMCXMID" localSheetId="12">'MC_IRON-LT1-RJ'!$D$15</definedName>
    <definedName name="ARMCXMID" localSheetId="8">'MC_IRON-LT1-SP'!$D$15</definedName>
    <definedName name="ARMCXMID">'MC_IRON-LT1'!$D$15</definedName>
    <definedName name="ARMMA" localSheetId="4">'MC_IRON-LT1-ES'!$D$21</definedName>
    <definedName name="ARMMA" localSheetId="12">'MC_IRON-LT1-RJ'!$D$21</definedName>
    <definedName name="ARMMA" localSheetId="8">'MC_IRON-LT1-SP'!$D$21</definedName>
    <definedName name="ARMMA">'MC_IRON-LT1'!$D$21</definedName>
    <definedName name="ARMMIC" localSheetId="4">'MC_IRON-LT1-ES'!$D$24</definedName>
    <definedName name="ARMMIC" localSheetId="12">'MC_IRON-LT1-RJ'!$D$24</definedName>
    <definedName name="ARMMIC" localSheetId="8">'MC_IRON-LT1-SP'!$D$24</definedName>
    <definedName name="ARMMIC">'MC_IRON-LT1'!$D$24</definedName>
    <definedName name="ARMMID" localSheetId="4">'MC_IRON-LT1-ES'!$D$27</definedName>
    <definedName name="ARMMID" localSheetId="12">'MC_IRON-LT1-RJ'!$D$27</definedName>
    <definedName name="ARMMID" localSheetId="8">'MC_IRON-LT1-SP'!$D$27</definedName>
    <definedName name="ARMMID">'MC_IRON-LT1'!$D$27</definedName>
    <definedName name="ARMTB" localSheetId="4">'MC_IRON-LT1-ES'!$D$18</definedName>
    <definedName name="ARMTB" localSheetId="12">'MC_IRON-LT1-RJ'!$D$18</definedName>
    <definedName name="ARMTB" localSheetId="8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2" hidden="1">'ARM_PA-LT2'!$A$1:$J$15</definedName>
    <definedName name="DadosExternos_1" localSheetId="30" hidden="1">TabelaFDMPorContrato!$A$1:$L$3</definedName>
    <definedName name="DadosExternos_10" localSheetId="11" hidden="1">'FRETE_IRON-LT1-SP'!$A$1:$R$14</definedName>
    <definedName name="DadosExternos_11" localSheetId="5" hidden="1">'ARM_IRON-LT1-ES'!$A$1:$K$2</definedName>
    <definedName name="DadosExternos_12" localSheetId="6" hidden="1">'DADOS_IRON-LT1-ES'!$A$1:$AF$10</definedName>
    <definedName name="DadosExternos_13" localSheetId="7" hidden="1">'FRETE_IRON-LT1-ES'!$A$1:$R$6</definedName>
    <definedName name="DadosExternos_14" localSheetId="15" hidden="1">'FRETE_IRON-LT1-RJ'!$A$1:$R$123</definedName>
    <definedName name="DadosExternos_2" localSheetId="13" hidden="1">'ARM_IRON-LT1-RJ'!$A$1:$J$10</definedName>
    <definedName name="DadosExternos_2" localSheetId="18" hidden="1">'Dados_IRON-LT1'!$A$1:$AF$368</definedName>
    <definedName name="DadosExternos_2" localSheetId="23" hidden="1">'DADOS_PA-LT2'!$A$1:$AF$114</definedName>
    <definedName name="DadosExternos_3" localSheetId="19" hidden="1">'Frete_IRON-LT1'!$A$1:$R$141</definedName>
    <definedName name="DadosExternos_3" localSheetId="24" hidden="1">'FRETE_PA-LT2'!$A$1:$R$3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5" hidden="1">ARM!$A$1:$K$38</definedName>
    <definedName name="DadosExternos_7" localSheetId="26" hidden="1">DADOS!$A$2:$AF$482</definedName>
    <definedName name="DadosExternos_7" localSheetId="14" hidden="1">'DADOS_IRON-LT1-RJ'!$A$1:$AF$325</definedName>
    <definedName name="DadosExternos_8" localSheetId="9" hidden="1">'ARM_IRON-LT1-SP'!$A$1:$K$14</definedName>
    <definedName name="DadosExternos_8" localSheetId="27" hidden="1">Frete!$A$1:$R$143</definedName>
    <definedName name="DadosExternos_9" localSheetId="10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<sst xmlns="http://schemas.openxmlformats.org/spreadsheetml/2006/main" count="34066" uniqueCount="1255">
  <si>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</si>
  <si>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</si>
  <si>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</si>
  <si>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</si>
  <si>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</si>
  <si>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</si>
  <si>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</si>
  <si>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</si>
  <si>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</si>
  <si>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</si>
  <si>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</si>
  <si>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</si>
  <si>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</si>
  <si>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</si>
  <si>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</si>
  <si>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</si>
  <si>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</si>
  <si>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</si>
  <si>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</si>
  <si>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</si>
  <si>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</si>
  <si>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</si>
  <si>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</si>
  <si>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</si>
  <si>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</si>
  <si>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</si>
  <si>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</si>
  <si>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</si>
  <si>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</si>
  <si>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</si>
  <si>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</si>
  <si>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</si>
  <si>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</si>
  <si>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</si>
  <si>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</si>
  <si>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</si>
  <si>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</si>
  <si>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</si>
  <si>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</si>
  <si>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</si>
  <si>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</si>
  <si>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</si>
  <si>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</si>
  <si>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</si>
  <si>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</si>
  <si>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</si>
  <si>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</si>
  <si>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</si>
  <si>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</si>
  <si>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</si>
  <si>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</si>
  <si>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</si>
  <si>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</si>
  <si>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</si>
  <si>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</si>
  <si>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</si>
  <si>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</si>
  <si>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</si>
  <si>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</si>
  <si>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</si>
  <si>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</si>
  <si>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</si>
  <si>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</si>
  <si>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</si>
  <si>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</si>
  <si>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</si>
  <si>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</si>
  <si>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</si>
  <si>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</si>
  <si>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</si>
  <si>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</si>
  <si>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</si>
  <si>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</si>
  <si>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</si>
  <si>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</si>
  <si>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</si>
  <si>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</si>
  <si>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</si>
  <si>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</si>
  <si>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</si>
  <si>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</si>
  <si>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</si>
  <si>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</si>
  <si>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</si>
  <si>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</si>
  <si>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</si>
  <si>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</si>
  <si>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</si>
  <si>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</si>
  <si>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</si>
  <si>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</si>
  <si>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</si>
  <si>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</si>
  <si>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</si>
  <si>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</si>
  <si>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</si>
  <si>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</si>
  <si>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</si>
  <si>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</si>
  <si>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</si>
  <si>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</si>
  <si>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</si>
  <si>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</si>
  <si>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</si>
  <si>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</si>
  <si>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</si>
  <si>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</si>
  <si>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</si>
  <si>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</si>
  <si>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</si>
  <si>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</si>
  <si>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</si>
  <si>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</si>
  <si>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</si>
  <si>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</si>
  <si>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</si>
  <si>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</si>
  <si>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</si>
  <si>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</si>
  <si>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</si>
  <si>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</si>
  <si>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</si>
  <si>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</si>
  <si>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</si>
  <si>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</si>
  <si>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</si>
  <si>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</si>
  <si>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</si>
  <si>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</si>
  <si>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</si>
  <si>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</si>
  <si>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</si>
  <si>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</si>
  <si>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</si>
  <si>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</si>
  <si>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</si>
  <si>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</si>
  <si>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</si>
  <si>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</si>
  <si>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</si>
  <si>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</si>
  <si>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</si>
  <si>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</si>
  <si>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</si>
  <si>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</si>
  <si>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</si>
  <si>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</si>
  <si>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</si>
  <si>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</si>
  <si>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</si>
  <si>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</si>
  <si>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</si>
  <si>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</si>
  <si>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</si>
  <si>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</si>
  <si>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</si>
  <si>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</si>
  <si>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</si>
  <si>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</si>
  <si>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</si>
  <si>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</si>
  <si>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</si>
  <si>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</si>
  <si>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</si>
  <si>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</si>
  <si>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</si>
  <si>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</si>
  <si>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</si>
  <si>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</si>
  <si>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</si>
  <si>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</si>
  <si>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</si>
  <si>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</si>
  <si>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</si>
  <si>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</si>
  <si>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</si>
  <si>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</si>
  <si>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</si>
  <si>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</si>
  <si>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</si>
  <si>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</si>
  <si>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</si>
  <si>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</si>
  <si>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</si>
  <si>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</si>
  <si>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</si>
  <si>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</si>
  <si>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</si>
  <si>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</si>
  <si>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</si>
  <si>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</si>
  <si>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</si>
  <si>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</si>
  <si>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</si>
  <si>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</si>
  <si>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</si>
  <si>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</si>
  <si>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</si>
  <si>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</si>
  <si>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</si>
  <si>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</si>
  <si>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</si>
  <si>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</si>
  <si>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</si>
  <si>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</si>
  <si>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</si>
  <si>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</si>
  <si>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</si>
  <si>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</si>
  <si>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</si>
  <si>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</si>
  <si>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</si>
  <si>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</si>
  <si>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</si>
  <si>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</si>
  <si>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</si>
  <si>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</si>
  <si>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</si>
  <si>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</si>
  <si>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</si>
  <si>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</si>
  <si>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</si>
  <si>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</si>
  <si>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</si>
  <si>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</si>
  <si>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</si>
  <si>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</si>
  <si>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</si>
  <si>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</si>
  <si>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</si>
  <si>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</si>
  <si>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</si>
  <si>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</si>
  <si>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</si>
  <si>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</si>
  <si>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</si>
  <si>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</si>
  <si>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</si>
  <si>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</si>
  <si>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</si>
  <si>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</si>
  <si>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</si>
  <si>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</si>
  <si>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</si>
  <si>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</si>
  <si>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</si>
  <si>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</si>
  <si>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</si>
  <si>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</si>
  <si>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</si>
  <si>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</si>
  <si>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</si>
  <si>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</si>
  <si>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</si>
  <si>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</si>
  <si>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</si>
  <si>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</si>
  <si>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</si>
  <si>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</si>
  <si>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</si>
  <si>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</si>
  <si>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</si>
  <si>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</si>
  <si>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</si>
  <si>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</si>
  <si>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</si>
  <si>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</si>
  <si>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</si>
  <si>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</si>
  <si>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</si>
  <si>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</si>
  <si>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</si>
  <si>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</si>
  <si>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</si>
  <si>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</si>
  <si>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</si>
  <si>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</si>
  <si>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</si>
  <si>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</si>
  <si>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</si>
  <si>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</si>
  <si>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</si>
  <si>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</si>
  <si>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</si>
  <si>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</si>
  <si>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</si>
  <si>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</si>
  <si>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</si>
  <si>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</si>
  <si>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</si>
  <si>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</si>
  <si>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</si>
  <si>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</si>
  <si>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</si>
  <si>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</si>
  <si>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</si>
  <si>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</si>
  <si>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</si>
  <si>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</si>
  <si>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</si>
  <si>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</si>
  <si>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</si>
  <si>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</si>
  <si>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</si>
  <si>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</si>
  <si>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</si>
  <si>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</si>
  <si>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</si>
  <si>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</si>
  <si>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</si>
  <si>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</si>
  <si>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</si>
  <si>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</si>
  <si>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</si>
  <si>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</si>
  <si>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</si>
  <si>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</si>
  <si>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</si>
  <si>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</si>
  <si>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</si>
  <si>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</si>
  <si>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</si>
  <si>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</si>
  <si>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</si>
  <si>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</si>
  <si>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</si>
  <si>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</si>
  <si>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</si>
  <si>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</si>
  <si>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</si>
  <si>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</si>
  <si>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</si>
  <si>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</si>
  <si>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</si>
  <si>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</si>
  <si>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</si>
  <si>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</si>
  <si>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</si>
  <si>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</si>
  <si>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</si>
  <si>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</si>
  <si>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</si>
  <si>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</si>
  <si>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</si>
  <si>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</si>
  <si>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</si>
  <si>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</si>
  <si>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</si>
  <si>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</si>
  <si>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</si>
  <si>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</si>
  <si>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</si>
  <si>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</si>
  <si>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</si>
  <si>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</si>
  <si>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</si>
  <si>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</si>
  <si>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</si>
  <si>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</si>
  <si>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</si>
  <si>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</si>
  <si>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</si>
  <si>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</si>
  <si>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</si>
  <si>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</si>
  <si>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</si>
  <si>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</si>
  <si>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EDISP</t>
  </si>
  <si>
    <t>REPLAN</t>
  </si>
  <si>
    <t>REVAP</t>
  </si>
  <si>
    <t>RPBC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</si>
  <si>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</si>
  <si>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</si>
  <si>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</si>
  <si>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</si>
  <si>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</si>
  <si>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</si>
  <si>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</si>
  <si>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</si>
  <si>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</si>
  <si>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</si>
  <si>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</si>
  <si>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</si>
  <si>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Cubatão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</si>
  <si>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</si>
  <si>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</si>
  <si>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</si>
  <si>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</si>
  <si>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</si>
  <si>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</si>
  <si>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</si>
  <si>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</si>
  <si>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</si>
  <si>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</si>
  <si>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</si>
  <si>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</si>
  <si>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</si>
  <si>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</si>
  <si>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</si>
  <si>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</si>
  <si>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</si>
  <si>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</si>
  <si>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</si>
  <si>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</si>
  <si>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</si>
  <si>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</si>
  <si>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</si>
  <si>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</si>
  <si>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</si>
  <si>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</si>
  <si>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</si>
  <si>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</si>
  <si>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</si>
  <si>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</si>
  <si>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RPBC/ES/BS</t>
  </si>
  <si>
    <t>REDUC/IE</t>
  </si>
  <si>
    <t>G&amp;E/TERM/UTE-JF</t>
  </si>
  <si>
    <t>SMS/SA/SAO/DENGE-DPI-DLCM-DTEN</t>
  </si>
  <si>
    <t>REVAP/ES/PROJ</t>
  </si>
  <si>
    <t>CENPES/GIT/CT/GC</t>
  </si>
  <si>
    <t>G&amp;E/TERM/UTE-SRP-BF/MAN</t>
  </si>
  <si>
    <t>REDUC/SMS/SSO</t>
  </si>
  <si>
    <t>IRON-RJ</t>
  </si>
  <si>
    <t>IRON-SP</t>
  </si>
  <si>
    <t>EXP/GEOF/AG/SPAG</t>
  </si>
  <si>
    <t>REPLAN/ES/PROJ</t>
  </si>
  <si>
    <t>BC/SOP/GPS</t>
  </si>
  <si>
    <t>G&amp;E/TERM/UTE-TMA</t>
  </si>
  <si>
    <t>CMI/MA/PRC/DA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</si>
  <si>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</si>
  <si>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</si>
  <si>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</si>
  <si>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</si>
  <si>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</si>
  <si>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</si>
  <si>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RNEST/SMS/SSO</t>
  </si>
  <si>
    <t>SRGE/SI-III/LOG/OS</t>
  </si>
  <si>
    <t>CSC0831323</t>
  </si>
  <si>
    <t>CSC0840649</t>
  </si>
  <si>
    <t>POCOS/CAMAP-T-AB/PROJ/PROJ-I</t>
  </si>
  <si>
    <t>TAR/PC/REC</t>
  </si>
  <si>
    <t>CSC0839536</t>
  </si>
  <si>
    <t>CSC0842482</t>
  </si>
  <si>
    <t>CSC0843695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</si>
  <si>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</si>
  <si>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</si>
  <si>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</si>
  <si>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</si>
  <si>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</si>
  <si>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</si>
  <si>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</si>
  <si>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</si>
  <si>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</si>
  <si>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</si>
  <si>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</si>
  <si>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</si>
  <si>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</si>
  <si>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</si>
  <si>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</si>
  <si>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</si>
  <si>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</si>
  <si>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</si>
  <si>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</si>
  <si>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</si>
  <si>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</si>
  <si>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</si>
  <si>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</si>
  <si>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</si>
  <si>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</si>
  <si>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</si>
  <si>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</si>
  <si>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</si>
  <si>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</si>
  <si>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</si>
  <si>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</si>
  <si>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</si>
  <si>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</si>
  <si>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</si>
  <si>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</si>
  <si>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</si>
  <si>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</si>
  <si>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</si>
  <si>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</si>
  <si>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</si>
  <si>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</si>
  <si>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</si>
  <si>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</si>
  <si>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</si>
  <si>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</si>
  <si>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</si>
  <si>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</si>
  <si>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</si>
  <si>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</si>
  <si>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</si>
  <si>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</si>
  <si>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</si>
  <si>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</si>
  <si>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</si>
  <si>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</si>
  <si>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</si>
  <si>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</si>
  <si>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</si>
  <si>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</si>
  <si>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</si>
  <si>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</si>
  <si>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</si>
  <si>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</si>
  <si>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</si>
  <si>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</si>
  <si>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</si>
  <si>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</si>
  <si>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</si>
  <si>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</si>
  <si>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</si>
  <si>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</si>
  <si>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</si>
  <si>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</si>
  <si>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</si>
  <si>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</si>
  <si>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</si>
  <si>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</si>
  <si>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</si>
  <si>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</si>
  <si>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</si>
  <si>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</si>
  <si>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</si>
  <si>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</si>
  <si>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</si>
  <si>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</si>
  <si>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</si>
  <si>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</si>
  <si>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</si>
  <si>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</si>
  <si>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</si>
  <si>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</si>
  <si>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</si>
  <si>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</si>
  <si>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</si>
  <si>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</si>
  <si>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</si>
  <si>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</si>
  <si>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</si>
  <si>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</si>
  <si>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</si>
  <si>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</si>
  <si>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</si>
  <si>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</si>
  <si>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</si>
  <si>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</si>
  <si>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</si>
  <si>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</si>
  <si>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</si>
  <si>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</si>
  <si>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</si>
  <si>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</si>
  <si>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</si>
  <si>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</si>
  <si>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</si>
  <si>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</si>
  <si>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</si>
  <si>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</si>
  <si>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</si>
  <si>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</si>
  <si>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</si>
  <si>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</si>
  <si>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</si>
  <si>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</si>
  <si>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</si>
  <si>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</si>
  <si>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</si>
  <si>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</si>
  <si>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</si>
  <si>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</si>
  <si>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</si>
  <si>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</si>
  <si>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</si>
  <si>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</si>
  <si>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</si>
  <si>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</si>
  <si>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</si>
  <si>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</si>
  <si>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</si>
  <si>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</si>
  <si>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</si>
  <si>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</si>
  <si>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</si>
  <si>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</si>
  <si>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</si>
  <si>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</si>
  <si>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</si>
  <si>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</si>
  <si>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</si>
  <si>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</si>
  <si>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</si>
  <si>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</si>
  <si>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</si>
  <si>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</si>
  <si>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</si>
  <si>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</si>
  <si>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</si>
  <si>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</si>
  <si>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</si>
  <si>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</si>
  <si>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</si>
  <si>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</si>
  <si>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</si>
  <si>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</si>
  <si>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</si>
  <si>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</si>
  <si>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</si>
  <si>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</si>
  <si>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</si>
  <si>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</si>
  <si>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</si>
  <si>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</si>
  <si>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</si>
  <si>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</si>
  <si>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</si>
  <si>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</si>
  <si>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</si>
  <si>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</si>
  <si>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</si>
  <si>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</si>
  <si>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</si>
  <si>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</si>
  <si>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</si>
  <si>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</si>
  <si>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</si>
  <si>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</si>
  <si>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</si>
  <si>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</si>
  <si>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</si>
  <si>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</si>
  <si>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</si>
  <si>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</si>
  <si>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</si>
  <si>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</si>
  <si>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</si>
  <si>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</si>
  <si>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</si>
  <si>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</si>
  <si>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</si>
  <si>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</si>
  <si>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</si>
  <si>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</si>
  <si>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</si>
  <si>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</si>
  <si>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</si>
  <si>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</si>
  <si>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</si>
  <si>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</si>
  <si>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</si>
  <si>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</si>
  <si>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</si>
  <si>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</si>
  <si>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</si>
  <si>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</si>
  <si>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</si>
  <si>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</si>
  <si>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</si>
  <si>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</si>
  <si>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</si>
  <si>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</si>
  <si>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</si>
  <si>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</si>
  <si>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</si>
  <si>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</si>
  <si>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</si>
  <si>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</si>
  <si>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</si>
  <si>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</si>
  <si>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</si>
  <si>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</si>
  <si>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</si>
  <si>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</si>
  <si>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</si>
  <si>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</si>
  <si>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</si>
  <si>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</si>
  <si>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</si>
  <si>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</si>
  <si>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</si>
  <si>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</si>
  <si>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</si>
  <si>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</si>
  <si>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</si>
  <si>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</si>
  <si>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</si>
  <si>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</si>
  <si>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</si>
  <si>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</si>
  <si>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</si>
  <si>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</si>
  <si>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</si>
  <si>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</si>
  <si>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</si>
  <si>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</si>
  <si>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</si>
  <si>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</si>
  <si>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</si>
  <si>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</si>
  <si>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</si>
  <si>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</si>
  <si>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</si>
  <si>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</si>
  <si>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</si>
  <si>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</si>
  <si>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</si>
  <si>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</si>
  <si>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</si>
  <si>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</si>
  <si>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</si>
  <si>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</si>
  <si>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</si>
  <si>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</si>
  <si>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</si>
  <si>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</si>
  <si>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</si>
  <si>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</si>
  <si>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</si>
  <si>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</si>
  <si>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</si>
  <si>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</si>
  <si>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</si>
  <si>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</si>
  <si>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</si>
  <si>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</si>
  <si>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</si>
  <si>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</si>
  <si>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</si>
  <si>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</si>
  <si>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</si>
  <si>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</si>
  <si>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</si>
  <si>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</si>
  <si>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</si>
  <si>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</si>
  <si>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</si>
  <si>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</si>
  <si>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</si>
  <si>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</si>
  <si>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</si>
  <si>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</si>
  <si>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</si>
  <si>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</si>
  <si>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</si>
  <si>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</si>
  <si>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</si>
  <si>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</si>
  <si>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</si>
  <si>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</si>
  <si>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</si>
  <si>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</si>
  <si>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</si>
  <si>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</si>
  <si>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</si>
  <si>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</si>
  <si>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</si>
  <si>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</si>
  <si>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</si>
  <si>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</si>
  <si>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</si>
  <si>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</si>
  <si>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</si>
  <si>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</si>
  <si>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</si>
  <si>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</si>
  <si>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</si>
  <si>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</si>
  <si>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</si>
  <si>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CSC0865478</t>
  </si>
  <si>
    <t>REGAP/SMS/SSO</t>
  </si>
  <si>
    <t>0058-2026</t>
  </si>
  <si>
    <t>CSC0869998</t>
  </si>
  <si>
    <t>0073-2026</t>
  </si>
  <si>
    <t>CSC0869445</t>
  </si>
  <si>
    <t>0070-2026</t>
  </si>
  <si>
    <t>CSC0869428</t>
  </si>
  <si>
    <t>0068-2026</t>
  </si>
  <si>
    <t>CSC0870067</t>
  </si>
  <si>
    <t>0069-2026</t>
  </si>
  <si>
    <t>CSC0867291</t>
  </si>
  <si>
    <t>0063-2026</t>
  </si>
  <si>
    <t>CSC0867175</t>
  </si>
  <si>
    <t>0062-2026</t>
  </si>
  <si>
    <t>CSC0867179</t>
  </si>
  <si>
    <t>0061-2026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</si>
  <si>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</si>
  <si>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</si>
  <si>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</si>
  <si>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</si>
  <si>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</si>
  <si>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</si>
  <si>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</si>
  <si>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ARQ-00028-2026</t>
  </si>
  <si>
    <t>CSC0862127</t>
  </si>
  <si>
    <t>0053-2026</t>
  </si>
  <si>
    <t>CSC0854397</t>
  </si>
  <si>
    <t>0045-2026</t>
  </si>
  <si>
    <t>CSC0854882</t>
  </si>
  <si>
    <t>TRIBUTARIO/TPG/IAF/FISC-FM</t>
  </si>
  <si>
    <t>0048-2026</t>
  </si>
  <si>
    <t>CSC0853365</t>
  </si>
  <si>
    <t>0047-2026</t>
  </si>
  <si>
    <t>CSC0853026</t>
  </si>
  <si>
    <t>0046-2026</t>
  </si>
  <si>
    <t>CSC0853037</t>
  </si>
  <si>
    <t>0043-2026</t>
  </si>
  <si>
    <t>CSC0825054</t>
  </si>
  <si>
    <t>0035-2026</t>
  </si>
  <si>
    <t>CSC0847689</t>
  </si>
  <si>
    <t>000027/2026</t>
  </si>
  <si>
    <t>CSC0846393</t>
  </si>
  <si>
    <t>000026/2026</t>
  </si>
  <si>
    <t>CSC0867283</t>
  </si>
  <si>
    <t>0065-2026</t>
  </si>
  <si>
    <t>CSC0856319</t>
  </si>
  <si>
    <t>0050-2026</t>
  </si>
  <si>
    <t>CSC0856318</t>
  </si>
  <si>
    <t>0049-2026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</si>
  <si>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</si>
  <si>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</si>
  <si>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</si>
  <si>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</si>
  <si>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</si>
  <si>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</si>
  <si>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</si>
  <si>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</si>
  <si>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</si>
  <si>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</si>
  <si>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</si>
  <si>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</si>
  <si>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</si>
  <si>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</si>
  <si>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</si>
  <si>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</si>
  <si>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</si>
  <si>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</si>
  <si>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</si>
  <si>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</si>
  <si>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</si>
  <si>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</si>
  <si>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</si>
  <si>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</si>
  <si>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</si>
  <si>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</si>
  <si>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</si>
  <si>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</si>
  <si>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</si>
  <si>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</si>
  <si>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</si>
  <si>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</si>
  <si>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</si>
  <si>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</si>
  <si>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</si>
  <si>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</si>
  <si>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</si>
  <si>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</si>
  <si>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</si>
  <si>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</si>
  <si>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</si>
  <si>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</si>
  <si>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</si>
  <si>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</si>
  <si>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</si>
  <si>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</si>
  <si>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</si>
  <si>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</si>
  <si>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</si>
  <si>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</si>
  <si>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</si>
  <si>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</si>
  <si>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</si>
  <si>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</si>
  <si>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</si>
  <si>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</si>
  <si>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</si>
  <si>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</si>
  <si>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</si>
  <si>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</si>
  <si>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</si>
  <si>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</si>
  <si>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</si>
  <si>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</si>
  <si>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</si>
  <si>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</si>
  <si>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</si>
  <si>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</si>
  <si>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</si>
  <si>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</si>
  <si>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</si>
  <si>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</si>
  <si>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</si>
  <si>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</si>
  <si>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</si>
  <si>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</si>
  <si>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</si>
  <si>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</si>
  <si>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</si>
  <si>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</si>
  <si>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</si>
  <si>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</si>
  <si>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</si>
  <si>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</si>
  <si>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</si>
  <si>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</si>
  <si>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</si>
  <si>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</si>
  <si>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</si>
  <si>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</si>
  <si>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</si>
  <si>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</si>
  <si>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</si>
  <si>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</si>
  <si>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</si>
  <si>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</si>
  <si>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</si>
  <si>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</si>
  <si>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</si>
  <si>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</si>
  <si>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</si>
  <si>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</si>
  <si>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</si>
  <si>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</si>
  <si>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</si>
  <si>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</si>
  <si>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</si>
  <si>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</si>
  <si>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</si>
  <si>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</si>
  <si>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</si>
  <si>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</si>
  <si>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</si>
  <si>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</si>
  <si>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</si>
  <si>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</si>
  <si>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</si>
  <si>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</si>
  <si>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</si>
  <si>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</si>
  <si>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</si>
  <si>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</si>
  <si>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</si>
  <si>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</si>
  <si>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</si>
  <si>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</si>
  <si>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</si>
  <si>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</si>
  <si>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</si>
  <si>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</si>
  <si>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</si>
  <si>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</si>
  <si>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</si>
  <si>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</si>
  <si>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</si>
  <si>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</si>
  <si>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</si>
  <si>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</si>
  <si>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</si>
  <si>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</si>
  <si>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</si>
  <si>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</si>
  <si>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</si>
  <si>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</si>
  <si>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</si>
  <si>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</si>
  <si>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</si>
  <si>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</si>
  <si>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</si>
  <si>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</si>
  <si>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</si>
  <si>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</si>
  <si>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</si>
  <si>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</si>
  <si>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</si>
  <si>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</si>
  <si>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</si>
  <si>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</si>
  <si>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</si>
  <si>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</si>
  <si>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</si>
  <si>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</si>
  <si>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</si>
  <si>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</si>
  <si>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</si>
  <si>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</si>
  <si>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</si>
  <si>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</si>
  <si>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</si>
  <si>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</si>
  <si>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</si>
  <si>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</si>
  <si>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</si>
  <si>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</si>
  <si>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</si>
  <si>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</si>
  <si>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</si>
  <si>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</si>
  <si>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</si>
  <si>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</si>
  <si>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</si>
  <si>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</si>
  <si>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</si>
  <si>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</si>
  <si>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</si>
  <si>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</si>
  <si>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</si>
  <si>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</si>
  <si>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</si>
  <si>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</si>
  <si>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</si>
  <si>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</si>
  <si>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</si>
  <si>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</si>
  <si>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</si>
  <si>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</si>
  <si>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</si>
  <si>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</si>
  <si>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</si>
  <si>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</si>
  <si>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</si>
  <si>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</si>
  <si>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</si>
  <si>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</si>
  <si>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</si>
  <si>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</si>
  <si>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</si>
  <si>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</si>
  <si>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</si>
  <si>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</si>
  <si>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</si>
  <si>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</si>
  <si>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</si>
  <si>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</si>
  <si>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</si>
  <si>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</si>
  <si>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</si>
  <si>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</si>
  <si>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</si>
  <si>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</si>
  <si>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</si>
  <si>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</si>
  <si>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</si>
  <si>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</si>
  <si>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</si>
  <si>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</si>
  <si>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</si>
  <si>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</si>
  <si>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</si>
  <si>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</si>
  <si>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</si>
  <si>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</si>
  <si>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</si>
  <si>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</si>
  <si>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</si>
  <si>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</si>
  <si>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</si>
  <si>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</si>
  <si>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</si>
  <si>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</si>
  <si>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</si>
  <si>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</si>
  <si>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</si>
  <si>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</si>
  <si>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</si>
  <si>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</si>
  <si>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</si>
  <si>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</si>
  <si>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</si>
  <si>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</si>
  <si>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</si>
  <si>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</si>
  <si>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</si>
  <si>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</si>
  <si>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</si>
  <si>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</si>
  <si>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</si>
  <si>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</si>
  <si>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</si>
  <si>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</si>
  <si>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</si>
  <si>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</si>
  <si>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</si>
  <si>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</si>
  <si>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</si>
  <si>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</si>
  <si>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</si>
  <si>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</si>
  <si>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</si>
  <si>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</si>
  <si>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</si>
  <si>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</si>
  <si>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</si>
  <si>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</si>
  <si>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</si>
  <si>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</si>
  <si>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</si>
  <si>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</si>
  <si>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</si>
  <si>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</si>
  <si>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</si>
  <si>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</si>
  <si>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</si>
  <si>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</si>
  <si>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CSC0867395</t>
  </si>
  <si>
    <t>306581174</t>
  </si>
  <si>
    <t>EDIVIT</t>
  </si>
  <si>
    <t>Vitória</t>
  </si>
  <si>
    <t>306214285</t>
  </si>
  <si>
    <t>CSC0867366</t>
  </si>
  <si>
    <t>ES/SMS/SEG</t>
  </si>
  <si>
    <t>306570061</t>
  </si>
  <si>
    <t>CSC0867384</t>
  </si>
  <si>
    <t>306570940</t>
  </si>
  <si>
    <t>CSC0868350</t>
  </si>
  <si>
    <t>306603818</t>
  </si>
  <si>
    <t>CSC0851387</t>
  </si>
  <si>
    <t>305920445</t>
  </si>
  <si>
    <t>CSC0845266</t>
  </si>
  <si>
    <t>305732688</t>
  </si>
  <si>
    <t>CSC0861719</t>
  </si>
  <si>
    <t>306564185</t>
  </si>
  <si>
    <t>306533109</t>
  </si>
  <si>
    <t>306535255</t>
  </si>
  <si>
    <t>CSC0869487</t>
  </si>
  <si>
    <t>SRGE/SI-IV/REF/LSA</t>
  </si>
  <si>
    <t>306604758</t>
  </si>
  <si>
    <t>CSC0868711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</si>
  <si>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</si>
  <si>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</si>
  <si>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</si>
  <si>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</si>
  <si>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</si>
  <si>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</si>
  <si>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</si>
  <si>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</si>
  <si>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</si>
  <si>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</si>
  <si>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</si>
  <si>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</si>
  <si>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</si>
  <si>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</si>
  <si>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CSC0860561</t>
  </si>
  <si>
    <t>306488844</t>
  </si>
  <si>
    <t>CSC0855279</t>
  </si>
  <si>
    <t>COMPARTILHADO/GIO/SSE/AO-SP</t>
  </si>
  <si>
    <t>306019173</t>
  </si>
  <si>
    <t>CSC0855282</t>
  </si>
  <si>
    <t>306034649</t>
  </si>
  <si>
    <t>CSC0855885</t>
  </si>
  <si>
    <t>306046935</t>
  </si>
  <si>
    <t>CSC0845032</t>
  </si>
  <si>
    <t>305732535</t>
  </si>
  <si>
    <t>CSC0845034</t>
  </si>
  <si>
    <t>305732558</t>
  </si>
  <si>
    <t>CSC0793196</t>
  </si>
  <si>
    <t>305890959</t>
  </si>
  <si>
    <t>CSC0869374</t>
  </si>
  <si>
    <t>306603820</t>
  </si>
  <si>
    <t>CSC0869373</t>
  </si>
  <si>
    <t>CSC0869371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</si>
  <si>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</si>
  <si>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</si>
  <si>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</si>
  <si>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</si>
  <si>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</si>
  <si>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</si>
  <si>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</si>
  <si>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</si>
  <si>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</si>
  <si>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</si>
  <si>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</si>
  <si>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306044284</t>
  </si>
  <si>
    <t>CSC0858837</t>
  </si>
  <si>
    <t>306159283</t>
  </si>
  <si>
    <t>CSC0854205</t>
  </si>
  <si>
    <t>306015934</t>
  </si>
  <si>
    <t>CSC0851828</t>
  </si>
  <si>
    <t>305949156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</si>
  <si>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</si>
  <si>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</si>
  <si>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</si>
  <si>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</si>
  <si>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</si>
  <si>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</si>
  <si>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</si>
  <si>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</si>
  <si>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</si>
  <si>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</si>
  <si>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</si>
  <si>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</si>
  <si>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</si>
  <si>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</si>
  <si>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</si>
  <si>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</si>
  <si>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</si>
  <si>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</si>
  <si>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</si>
  <si>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</si>
  <si>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</si>
  <si>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</si>
  <si>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</si>
  <si>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</si>
  <si>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</si>
  <si>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</si>
  <si>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</si>
  <si>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</si>
  <si>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</si>
  <si>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</si>
  <si>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</si>
  <si>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</si>
  <si>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</si>
  <si>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</si>
  <si>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</si>
  <si>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</si>
  <si>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</si>
  <si>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</si>
  <si>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</si>
  <si>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</si>
  <si>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</si>
  <si>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</si>
  <si>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</si>
  <si>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</si>
  <si>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</si>
  <si>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</si>
  <si>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</si>
  <si>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</si>
  <si>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</si>
  <si>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Registros totais: 481_x000D_
Diferenca solicitado x atendido: 0,00_x000D_
Fora do prazo: 0_x000D_
Consulte a aba DADOS para auditoria detalhada.</t>
  </si>
  <si>
    <t>Linha Base</t>
  </si>
  <si>
    <t>Atividade</t>
  </si>
  <si>
    <t>Severidade</t>
  </si>
  <si>
    <t>Regra / Campo</t>
  </si>
  <si>
    <t>ALERTA</t>
  </si>
  <si>
    <t>Cronologia de Datas</t>
  </si>
  <si>
    <t>RELATORIO DE AUDITORIA E LOG DE CRITICAS - MEDICAO PETROBRAS</t>
  </si>
  <si>
    <t>Codigo OS</t>
  </si>
  <si>
    <t>Cod. Solicitacao</t>
  </si>
  <si>
    <t>Descricao Detalhada da Inconsistencia</t>
  </si>
  <si>
    <t>Divergencia de Qtd</t>
  </si>
  <si>
    <t>Qtd atendida (2) e superior a solicitada (1)</t>
  </si>
  <si>
    <t>CRITICO</t>
  </si>
  <si>
    <t>Data de fechamento (06/08/2026 09:20) e ANTERIOR a data de abertura (06/08/2026 10:20)</t>
  </si>
  <si>
    <t>Qtd atendida (26) e superior a solicitada (1)</t>
  </si>
  <si>
    <t>Qtd atendida (13) e superior a solicitada (1)</t>
  </si>
  <si>
    <t>Qtd atendida (736) e superior a solicitada (1)</t>
  </si>
  <si>
    <t>Qtd atendida (60) e superior a solicitada (1)</t>
  </si>
  <si>
    <t>[OK] Concluído em 29/09/2026 00:00:47 — 91 consulta(s) 100% atualizada(s).</t>
  </si>
  <si>
    <t>Base Auditada: DADOS | Data/Hora da Execucao: 29/09/2026 00:00:57</t>
  </si>
  <si>
    <t>[ALERTA] Auditoria: 1 Criticos / 7 Alertas (29/09 00:00)</t>
  </si>
  <si>
    <t>Periodo de medicao: Agosto/2026    |    Ultima atualizacao: 29/09/2026 00:01</t>
  </si>
  <si>
    <t>4600687006-PLA-MemoriaPetrobras-PA-LT2-BA_29092026_000213.xlsx</t>
  </si>
  <si>
    <t>4600686987-PLA-MemoriaPetrobras-IRON-LT1-RJ_29092026_000214.xlsx</t>
  </si>
  <si>
    <t>4600686987-PLA-MemoriaPetrobras-IRON-LT1-SP_29092026_000215.xlsx</t>
  </si>
  <si>
    <t>4600686987-PLA-MemoriaPetrobras-IRON-LT1-ES_29092026_000216.xlsx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</si>
</sst>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9"/>
      <color rgb="FF1B1B1B"/>
      <name val="Segoe UI"/>
      <family val="2"/>
    </font>
    <font>
      <b/>
      <sz val="9"/>
      <color rgb="FF12400E"/>
      <name val="Segoe UI"/>
      <family val="2"/>
    </font>
    <font>
      <b/>
      <sz val="11"/>
      <color rgb="FF1B1B1B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E1E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EFFC6"/>
        <bgColor indexed="64"/>
      </patternFill>
    </fill>
  </fills>
  <borders count="47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9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22" borderId="43" xfId="0" applyFont="1" applyFill="1" applyBorder="1" applyAlignment="1">
      <alignment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43" fillId="0" borderId="45" xfId="0" applyFont="1" applyFill="1" applyBorder="1" applyAlignment="1">
      <alignment vertical="center"/>
    </xf>
    <xf numFmtId="0" fontId="43" fillId="27" borderId="45" xfId="0" applyFont="1" applyFill="1" applyBorder="1" applyAlignment="1">
      <alignment vertical="center"/>
    </xf>
    <xf numFmtId="0" fontId="43" fillId="0" borderId="45" xfId="0" applyFont="1" applyFill="1" applyBorder="1" applyAlignment="1">
      <alignment horizontal="center" vertical="center"/>
    </xf>
    <xf numFmtId="0" fontId="43" fillId="27" borderId="45" xfId="0" applyFont="1" applyFill="1" applyBorder="1" applyAlignment="1">
      <alignment horizontal="center" vertical="center"/>
    </xf>
    <xf numFmtId="0" fontId="50" fillId="27" borderId="45" xfId="0" applyFont="1" applyFill="1" applyBorder="1" applyAlignment="1">
      <alignment horizontal="center" vertical="center"/>
    </xf>
    <xf numFmtId="0" fontId="50" fillId="28" borderId="45" xfId="0" applyFont="1" applyFill="1" applyBorder="1" applyAlignment="1">
      <alignment horizontal="center" vertical="center"/>
    </xf>
    <xf numFmtId="0" fontId="51" fillId="26" borderId="0" xfId="0" applyFont="1" applyFill="1"/>
    <xf numFmtId="0" fontId="0" fillId="0" borderId="0" xfId="0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46" fillId="24" borderId="0" xfId="0" applyFont="1" applyFill="1" applyAlignment="1">
      <alignment horizontal="center"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0" fontId="40" fillId="19" borderId="36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23" fillId="0" borderId="20" xfId="0" applyFont="1" applyBorder="1" applyAlignment="1">
      <alignment horizontal="center" vertical="center"/>
    </xf>
    <xf numFmtId="0" fontId="22" fillId="0" borderId="22" xfId="0" applyFont="1" applyBorder="1"/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 wrapText="1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23" fillId="13" borderId="21" xfId="0" applyFont="1" applyFill="1" applyBorder="1" applyAlignment="1">
      <alignment horizontal="left" vertical="center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49" fillId="27" borderId="45" xfId="0" applyFont="1" applyFill="1" applyBorder="1" applyAlignment="1">
      <alignment horizontal="center" vertical="center"/>
    </xf>
    <xf numFmtId="0" fontId="39" fillId="19" borderId="44" xfId="0" applyFont="1" applyFill="1" applyBorder="1" applyAlignment="1">
      <alignment vertical="center"/>
    </xf>
    <xf numFmtId="0" fontId="36" fillId="16" borderId="44" xfId="0" applyFont="1" applyFill="1" applyBorder="1" applyAlignment="1">
      <alignment vertical="center"/>
    </xf>
    <xf numFmtId="0" fontId="36" fillId="21" borderId="46" xfId="0" applyFont="1" applyFill="1" applyBorder="1" applyAlignment="1">
      <alignment vertical="top" wrapText="1"/>
    </xf>
    <xf numFmtId="0" fontId="43" fillId="16" borderId="44" xfId="0" applyFont="1" applyFill="1" applyBorder="1" applyAlignment="1">
      <alignment vertical="center"/>
    </xf>
    <xf numFmtId="0" fontId="44" fillId="16" borderId="44" xfId="0" applyFont="1" applyFill="1" applyBorder="1" applyAlignment="1">
      <alignment vertical="center"/>
    </xf>
  </cellXfs>
  <cellStyles count="2">
    <cellStyle name="Hiperlink" xfId="1" builtinId="8"/>
    <cellStyle name="Normal" xfId="0" builtinId="0"/>
  </cellStyles>
  <dxfs count="276">
    <dxf>
      <numFmt numFmtId="2" formatCode="0.00"/>
    </dxf>
    <dxf>
      <numFmt numFmtId="2" formatCode="0.00"/>
    </dxf>
    <dxf>
      <numFmt numFmtId="168" formatCode="&quot;R$&quot;\ #,##0.00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openxmlformats.org/officeDocument/2006/relationships/customXml" Target="../customXml/item2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11</xdr:row>
          <xdr:rowOff>419100</xdr:rowOff>
        </xdr:from>
        <xdr:to>
          <xdr:col>8</xdr:col>
          <xdr:colOff>411480</xdr:colOff>
          <xdr:row>13</xdr:row>
          <xdr:rowOff>7620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B769CF2-8739-760F-0F51-CA7909A09852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89B59E3-5AB4-213E-53A1-BD88D92D32DB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8B2FB75B-A090-B0C2-F0CE-26F3FA160167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7ED8070-24C0-B946-F3CE-B5A1FB010527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8A676D7-6CB5-8C8E-4419-8D945DA4B0B2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75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74"/>
    <tableColumn id="2" xr3:uid="{9ED98D35-AB4E-4664-AC17-4DD5DD4C3A84}" uniqueName="2" name="Descrição da atividade" queryTableFieldId="2" dataDxfId="273"/>
    <tableColumn id="3" xr3:uid="{0F89E23E-0A01-4C40-960A-32CD9A4C05EF}" uniqueName="3" name="Item" queryTableFieldId="3" dataDxfId="272"/>
    <tableColumn id="4" xr3:uid="{CF678208-1CF1-4CD2-B9AA-67EE8AA863CD}" uniqueName="4" name="Aplicação" queryTableFieldId="4" dataDxfId="271"/>
    <tableColumn id="5" xr3:uid="{A619AE41-82C5-413E-B5B2-7AC785B5F8C8}" uniqueName="5" name="Código da_x000a_solicitação" queryTableFieldId="5" dataDxfId="270"/>
    <tableColumn id="6" xr3:uid="{58A22C71-B55B-4C72-B05C-7A69051971C1}" uniqueName="6" name="Data solicitação" queryTableFieldId="6" dataDxfId="26"/>
    <tableColumn id="7" xr3:uid="{9F80AB7E-578E-48B8-8BB5-1B0155790768}" uniqueName="7" name="Gerência solicitante" queryTableFieldId="7" dataDxfId="26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68"/>
    <tableColumn id="10" xr3:uid="{C25451D7-0449-4423-A967-0F80296AAEFA}" uniqueName="10" name="D. abertura" queryTableFieldId="10" dataDxfId="25"/>
    <tableColumn id="11" xr3:uid="{C0623302-40DB-4E8D-B7EB-3ADC7F7219B0}" uniqueName="11" name="D. fechamento" queryTableFieldId="11" dataDxfId="24"/>
    <tableColumn id="12" xr3:uid="{60351070-BA5B-4CB0-AD91-56B9A0FB2ED3}" uniqueName="12" name="Prazo combinado" queryTableFieldId="12" dataDxfId="23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67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66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65"/>
    <tableColumn id="20" xr3:uid="{8E19ECB1-B7B9-4180-B8CE-AB5E328F31D3}" uniqueName="20" name="Município - Origem" queryTableFieldId="20" dataDxfId="264"/>
    <tableColumn id="21" xr3:uid="{C218183E-DA81-4B30-8E90-737193EEC001}" uniqueName="21" name="UF - Origem" queryTableFieldId="21" dataDxfId="263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62"/>
    <tableColumn id="24" xr3:uid="{BF7401DF-08FB-484D-BCBA-1106393E07BA}" uniqueName="24" name="UF - Destino" queryTableFieldId="24" dataDxfId="261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60"/>
    <tableColumn id="29" xr3:uid="{57A9229D-184F-4FF4-B395-ACE67240A87D}" uniqueName="29" name="Centro" queryTableFieldId="29" dataDxfId="259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58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57"/>
    <tableColumn id="2" xr3:uid="{50035D7A-B6A4-4D62-8331-4E58AC504EC1}" uniqueName="2" name="Descrição da atividade" queryTableFieldId="2" dataDxfId="256"/>
    <tableColumn id="3" xr3:uid="{34EDF417-41A2-4D4B-AB20-1A052583990C}" uniqueName="3" name="Item" queryTableFieldId="3" dataDxfId="255"/>
    <tableColumn id="4" xr3:uid="{32A89F30-6305-4386-98A2-39220DCEC91C}" uniqueName="4" name="Data solicitação" queryTableFieldId="4" dataDxfId="10"/>
    <tableColumn id="5" xr3:uid="{9E739AD6-EFDA-4731-B37A-7B082A26DDE5}" uniqueName="5" name="Gerência solicitante" queryTableFieldId="5" dataDxfId="254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9"/>
    <tableColumn id="8" xr3:uid="{1C721BB5-7194-417D-91D1-247CBA11E844}" uniqueName="8" name="Localidade - Origem" queryTableFieldId="8" dataDxfId="253"/>
    <tableColumn id="9" xr3:uid="{DE034203-3D12-411F-BDA8-48E557A5260A}" uniqueName="9" name="Município - Origem" queryTableFieldId="9" dataDxfId="252"/>
    <tableColumn id="10" xr3:uid="{8F5341EA-1FF8-4D65-9ADC-CB989728EA29}" uniqueName="10" name="UF - Origem" queryTableFieldId="10" dataDxfId="251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50"/>
    <tableColumn id="13" xr3:uid="{89B628C0-EBBB-40E7-BF2B-2B6597B99019}" uniqueName="13" name="UF - Destino" queryTableFieldId="13" dataDxfId="249"/>
    <tableColumn id="14" xr3:uid="{31BC5A65-D96E-4859-82EE-B23FD69DE33A}" uniqueName="14" name="KM Adicional" queryTableFieldId="14"/>
    <tableColumn id="15" xr3:uid="{43013EF5-6B3A-4664-9FC6-3638160B7A24}" uniqueName="15" name="Unidade" queryTableFieldId="15" dataDxfId="248"/>
    <tableColumn id="16" xr3:uid="{00265D60-A6AF-4BA7-B9D7-EA75C02C0830}" uniqueName="16" name="Centro" queryTableFieldId="16" dataDxfId="247"/>
    <tableColumn id="17" xr3:uid="{C8BE0627-B9F6-4614-B853-1663792024C9}" uniqueName="17" name="Linha de serviço PPU" queryTableFieldId="17" dataDxfId="246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45"/>
    <tableColumn id="2" xr3:uid="{3E009DFD-33E5-45B9-9661-D79C8EB089B5}" uniqueName="2" name="Descrição da atividade" queryTableFieldId="2" dataDxfId="244"/>
    <tableColumn id="3" xr3:uid="{3BD6C390-A98B-460B-A307-09CD771FFE3A}" uniqueName="3" name="Item" queryTableFieldId="3" dataDxfId="243"/>
    <tableColumn id="4" xr3:uid="{72777DED-0D34-422F-905A-E4588CB06B78}" uniqueName="4" name="Aplicação" queryTableFieldId="4" dataDxfId="242"/>
    <tableColumn id="5" xr3:uid="{1DEF1449-6457-43B8-9478-7E2344B050C4}" uniqueName="5" name="Código da_x000a_solicitação" queryTableFieldId="5" dataDxfId="241"/>
    <tableColumn id="6" xr3:uid="{500129E2-A195-42D5-A2D7-00D9765557BE}" uniqueName="6" name="Data solicitação" queryTableFieldId="6" dataDxfId="22"/>
    <tableColumn id="7" xr3:uid="{4EDBE863-F097-40E7-99E4-B4A582F45C35}" uniqueName="7" name="Gerência solicitante" queryTableFieldId="7" dataDxfId="240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39"/>
    <tableColumn id="10" xr3:uid="{9B428403-C625-43E7-9D73-08D6DFDAE49D}" uniqueName="10" name="D. abertura" queryTableFieldId="10" dataDxfId="21"/>
    <tableColumn id="11" xr3:uid="{A53E0B29-C723-46AE-A0C9-F3B1D4D22460}" uniqueName="11" name="D. fechamento" queryTableFieldId="11" dataDxfId="20"/>
    <tableColumn id="12" xr3:uid="{62BC6717-C187-4950-ACD1-1DD5620D59DB}" uniqueName="12" name="Prazo combinado" queryTableFieldId="12" dataDxfId="19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8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7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6"/>
    <tableColumn id="20" xr3:uid="{F2873A31-F980-4884-B329-0E133FF2AB43}" uniqueName="20" name="Município - Origem" queryTableFieldId="20" dataDxfId="235"/>
    <tableColumn id="21" xr3:uid="{6AD5F646-1F91-4157-80A8-1E913B3980B3}" uniqueName="21" name="UF - Origem" queryTableFieldId="21" dataDxfId="234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33"/>
    <tableColumn id="24" xr3:uid="{095C0FF8-6A69-4E41-8282-B6971B02FF24}" uniqueName="24" name="UF - Destino" queryTableFieldId="24" dataDxfId="232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31"/>
    <tableColumn id="29" xr3:uid="{D422E4D0-13EB-46A8-AE8C-04B383858787}" uniqueName="29" name="Centro" queryTableFieldId="29" dataDxfId="230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29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28"/>
    <tableColumn id="2" xr3:uid="{716B7614-A9FA-4AD8-B08C-672406AED26B}" uniqueName="2" name="Descrição da atividade" queryTableFieldId="2" dataDxfId="227"/>
    <tableColumn id="3" xr3:uid="{24E1E1C6-9AA1-438F-A420-C4B61FDE5D6D}" uniqueName="3" name="Item" queryTableFieldId="3" dataDxfId="226"/>
    <tableColumn id="4" xr3:uid="{A8A5683D-9D7B-4D25-A4D8-BAAB1D41954C}" uniqueName="4" name="Data solicitação" queryTableFieldId="4" dataDxfId="6"/>
    <tableColumn id="5" xr3:uid="{B3A8A532-DB05-4347-823A-FDE2E5385D23}" uniqueName="5" name="Gerência solicitante" queryTableFieldId="5" dataDxfId="22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5"/>
    <tableColumn id="8" xr3:uid="{49459F6E-907F-4482-8ED7-D36E1ECA23A6}" uniqueName="8" name="Localidade - Origem" queryTableFieldId="8" dataDxfId="224"/>
    <tableColumn id="9" xr3:uid="{C3D7B7ED-E923-4590-A282-A82C4E954211}" uniqueName="9" name="Município - Origem" queryTableFieldId="9" dataDxfId="223"/>
    <tableColumn id="10" xr3:uid="{928BA2E1-A386-44CC-A3E8-19973C8F4194}" uniqueName="10" name="UF - Origem" queryTableFieldId="10" dataDxfId="222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21"/>
    <tableColumn id="13" xr3:uid="{A7925021-C646-46A7-8BDE-ADF9F4D54718}" uniqueName="13" name="UF - Destino" queryTableFieldId="13" dataDxfId="220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9"/>
    <tableColumn id="16" xr3:uid="{9BCB7681-2F25-4B7C-B346-D807AA0B9A31}" uniqueName="16" name="Centro" queryTableFieldId="16" dataDxfId="218"/>
    <tableColumn id="17" xr3:uid="{A5549C99-98A8-4F57-BAAE-9072705F59BE}" uniqueName="17" name="Linha de serviço PPU" queryTableFieldId="17" dataDxfId="217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16"/>
    <tableColumn id="2" xr3:uid="{4CFC04DF-6F53-4C7F-B65E-47A108D381CF}" uniqueName="2" name="Descrição da atividade" queryTableFieldId="2" dataDxfId="215"/>
    <tableColumn id="3" xr3:uid="{7284E812-9C51-4659-8EA4-7251641EBFAA}" uniqueName="3" name="Item" queryTableFieldId="3" dataDxfId="214"/>
    <tableColumn id="4" xr3:uid="{44B270AF-9DFC-4E22-8255-94FD0A45FB6C}" uniqueName="4" name="Aplicação" queryTableFieldId="4" dataDxfId="213"/>
    <tableColumn id="5" xr3:uid="{1C1B285C-6F56-4DE2-9EA3-B4DD372458D8}" uniqueName="5" name="Código da_x000a_solicitação" queryTableFieldId="5" dataDxfId="212"/>
    <tableColumn id="6" xr3:uid="{4905A3C0-6597-4BCF-B408-901706008334}" uniqueName="6" name="Data solicitação" queryTableFieldId="6" dataDxfId="211"/>
    <tableColumn id="7" xr3:uid="{25BFE6D8-3179-4C14-9FC2-736554F082D8}" uniqueName="7" name="Gerência solicitante" queryTableFieldId="7" dataDxfId="210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09"/>
    <tableColumn id="10" xr3:uid="{B62B9545-E8C0-4BD0-A18A-4F4C8E1464E2}" uniqueName="10" name="D. abertura" queryTableFieldId="10" dataDxfId="208"/>
    <tableColumn id="11" xr3:uid="{1D2E7EDE-D3BD-40C1-9818-7780B63CA435}" uniqueName="11" name="D. fechamento" queryTableFieldId="11" dataDxfId="207"/>
    <tableColumn id="12" xr3:uid="{53062C59-C7ED-4AC0-80F0-05221C3225EE}" uniqueName="12" name="Prazo combinado" queryTableFieldId="12" dataDxfId="206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05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04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03"/>
    <tableColumn id="20" xr3:uid="{0D5868FE-4AAF-4249-ADC8-9AFF1BE84E85}" uniqueName="20" name="Município - Origem" queryTableFieldId="20" dataDxfId="202"/>
    <tableColumn id="21" xr3:uid="{4BBBC734-8690-45C8-B690-5EDDBA60BC5D}" uniqueName="21" name="UF - Origem" queryTableFieldId="21" dataDxfId="201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200"/>
    <tableColumn id="24" xr3:uid="{239AACF1-0119-474D-A119-26B0344FBDF2}" uniqueName="24" name="UF - Destino" queryTableFieldId="24" dataDxfId="199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198"/>
    <tableColumn id="29" xr3:uid="{D0F0169F-BB97-423A-98D7-112B5CF89CBB}" uniqueName="29" name="Centro" queryTableFieldId="29" dataDxfId="197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196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23" tableType="queryTable" totalsRowShown="0">
  <autoFilter ref="A1:R123" xr:uid="{BBCD7EDD-D105-4E01-AACA-B9B2C777C37F}"/>
  <tableColumns count="18">
    <tableColumn id="1" xr3:uid="{937F5B7E-6A3C-4A81-84EA-90D8021D72B7}" uniqueName="1" name="Contrato.1" queryTableFieldId="1" dataDxfId="195"/>
    <tableColumn id="2" xr3:uid="{7BF25C3E-C3D3-423B-B5C9-397872E0C155}" uniqueName="2" name="Descrição da atividade" queryTableFieldId="2" dataDxfId="194"/>
    <tableColumn id="3" xr3:uid="{16E8A09C-BAA3-40B7-8765-77C57178419A}" uniqueName="3" name="Item" queryTableFieldId="3" dataDxfId="193"/>
    <tableColumn id="4" xr3:uid="{3C0AE86A-E826-4F74-A0CE-509111BE1BAE}" uniqueName="4" name="Data solicitação" queryTableFieldId="4" dataDxfId="8"/>
    <tableColumn id="5" xr3:uid="{BEC5D81E-52A0-4483-873C-C7E688B701E3}" uniqueName="5" name="Gerência solicitante" queryTableFieldId="5" dataDxfId="192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7"/>
    <tableColumn id="8" xr3:uid="{5EE97F59-7BCC-41D1-A488-33888FDF4376}" uniqueName="8" name="Localidade - Origem" queryTableFieldId="8" dataDxfId="191"/>
    <tableColumn id="9" xr3:uid="{CCFB4ECF-FDA9-40F1-B718-FF061DC45923}" uniqueName="9" name="Município - Origem" queryTableFieldId="9" dataDxfId="190"/>
    <tableColumn id="10" xr3:uid="{45DCB524-079D-403B-8760-7169BA82B79D}" uniqueName="10" name="UF - Origem" queryTableFieldId="10" dataDxfId="189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188"/>
    <tableColumn id="13" xr3:uid="{2DEBF651-0E4C-4F7F-8B3F-461DE341B362}" uniqueName="13" name="UF - Destino" queryTableFieldId="13" dataDxfId="187"/>
    <tableColumn id="14" xr3:uid="{662FDAFF-CA93-4468-8C05-B5DBB4D7FE04}" uniqueName="14" name="KM Adicional" queryTableFieldId="14"/>
    <tableColumn id="15" xr3:uid="{3A9ED7AE-A81F-4465-8485-393D643BC8AF}" uniqueName="15" name="Unidade" queryTableFieldId="15" dataDxfId="186"/>
    <tableColumn id="16" xr3:uid="{3F9A8860-16F5-47A0-8544-5DDDB8A9CE55}" uniqueName="16" name="Centro" queryTableFieldId="16" dataDxfId="185"/>
    <tableColumn id="17" xr3:uid="{DAEE7B21-4375-400B-B880-6BDAE934A07C}" uniqueName="17" name="Linha de serviço PPU" queryTableFieldId="17" dataDxfId="184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3"/>
    <tableColumn id="2" xr3:uid="{2EA238EB-2746-4EA2-BDCA-D4F66D254FD6}" uniqueName="2" name="Item PPU" queryTableFieldId="2" dataDxfId="182"/>
    <tableColumn id="7" xr3:uid="{BD1883D3-B6E6-43E2-B864-8EC065564BFA}" uniqueName="7" name="Linha de Serviço" queryTableFieldId="7" dataDxfId="181"/>
    <tableColumn id="4" xr3:uid="{132DA34E-1E1F-4C65-9E0E-35B6924256ED}" uniqueName="4" name="Descrição da Linha de Serviço" queryTableFieldId="4" dataDxfId="180"/>
    <tableColumn id="8" xr3:uid="{A76B3EB1-39AD-4338-B344-44AE7E8740D0}" uniqueName="8" name="Unidade" queryTableFieldId="8" dataDxfId="179"/>
    <tableColumn id="6" xr3:uid="{B4D9889E-6582-42D2-BE86-6A8B7F20644C}" uniqueName="6" name="P. Unitário (R$)" queryTableFieldId="6" dataDxf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8"/>
    <tableColumn id="2" xr3:uid="{0E60CD56-3477-4279-9E1C-51195B9599EB}" uniqueName="2" name="Item PPU" queryTableFieldId="2" dataDxfId="177"/>
    <tableColumn id="7" xr3:uid="{58527E2B-4000-4DFF-AC35-E98841E70ECC}" uniqueName="7" name="Linha de Serviço" queryTableFieldId="7" dataDxfId="176"/>
    <tableColumn id="4" xr3:uid="{11406F56-A054-4C42-89B1-E3FC98F10EA1}" uniqueName="4" name="Descrição da Linha de Serviço" queryTableFieldId="4" dataDxfId="175"/>
    <tableColumn id="8" xr3:uid="{BD91CE1A-6C11-4627-AB4C-174377FB47B3}" uniqueName="8" name="Unidade" queryTableFieldId="8" dataDxfId="174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73"/>
    <tableColumn id="2" xr3:uid="{3BD39AE9-829F-47D7-BF5F-4201C9FA6F6F}" uniqueName="2" name="Descrição da atividade" queryTableFieldId="2" dataDxfId="172"/>
    <tableColumn id="3" xr3:uid="{817D6A2B-6DFC-4FA3-BACB-C04CDFD1E65B}" uniqueName="3" name="Item" queryTableFieldId="3" dataDxfId="171"/>
    <tableColumn id="4" xr3:uid="{9DDB6677-72C3-45E3-9B5A-24F9A7E391C6}" uniqueName="4" name="Aplicação" queryTableFieldId="4" dataDxfId="170"/>
    <tableColumn id="5" xr3:uid="{63A42217-3519-428D-99B4-0E5E6283EB32}" uniqueName="5" name="Código da_x000a_solicitação" queryTableFieldId="5" dataDxfId="169"/>
    <tableColumn id="6" xr3:uid="{A8B63922-8222-4906-B17B-A0374506844C}" uniqueName="6" name="Data solicitação" queryTableFieldId="6" dataDxfId="30"/>
    <tableColumn id="7" xr3:uid="{DBE6565D-407B-4790-A8ED-B577DFB02647}" uniqueName="7" name="Gerência solicitante" queryTableFieldId="7" dataDxfId="168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7"/>
    <tableColumn id="10" xr3:uid="{A1DA06CC-7A96-40E8-B831-C9C1A7188269}" uniqueName="10" name="D. abertura" queryTableFieldId="10" dataDxfId="29"/>
    <tableColumn id="11" xr3:uid="{F83F715E-D5C7-441E-8590-FBFA91089AA9}" uniqueName="11" name="D. fechamento" queryTableFieldId="11" dataDxfId="28"/>
    <tableColumn id="12" xr3:uid="{93359BD2-7F90-4CD0-8E2E-38DA5E4A4784}" uniqueName="12" name="Prazo combinado" queryTableFieldId="12" dataDxfId="27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66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65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64"/>
    <tableColumn id="20" xr3:uid="{DB46277B-D4BD-4DEF-BAC2-F37544442ACD}" uniqueName="20" name="Município - Origem" queryTableFieldId="20" dataDxfId="163"/>
    <tableColumn id="21" xr3:uid="{32E688B1-72C8-4C8C-A586-88AFFFE268EE}" uniqueName="21" name="UF - Origem" queryTableFieldId="21" dataDxfId="162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61"/>
    <tableColumn id="24" xr3:uid="{8E9017FE-BA88-4929-89CD-F1E8A8BEAED9}" uniqueName="24" name="UF - Destino" queryTableFieldId="24" dataDxfId="160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9"/>
    <tableColumn id="29" xr3:uid="{EA322212-8174-4371-89DE-004F93C90A22}" uniqueName="29" name="Centro" queryTableFieldId="29" dataDxfId="158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57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56"/>
    <tableColumn id="2" xr3:uid="{EE2D2B70-4FCF-43B8-AD06-8F82D7B74601}" uniqueName="2" name="Descrição da atividade" queryTableFieldId="2" dataDxfId="155"/>
    <tableColumn id="3" xr3:uid="{3F3C934B-456F-46AB-8EE6-170CECB4D9DD}" uniqueName="3" name="Item" queryTableFieldId="3" dataDxfId="154"/>
    <tableColumn id="4" xr3:uid="{C6F5F988-E032-4D6F-9577-6FACFBEDB389}" uniqueName="4" name="Data solicitação" queryTableFieldId="4" dataDxfId="12"/>
    <tableColumn id="5" xr3:uid="{ADCF0B1A-2158-472F-9393-F11B71B2427D}" uniqueName="5" name="Gerência solicitante" queryTableFieldId="5" dataDxfId="153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1"/>
    <tableColumn id="8" xr3:uid="{DF58B2AC-402A-4187-9F54-DEF1452DEA57}" uniqueName="8" name="Localidade - Origem" queryTableFieldId="8" dataDxfId="152"/>
    <tableColumn id="9" xr3:uid="{640311E3-2206-4037-A07C-5B3B5941A4F4}" uniqueName="9" name="Município - Origem" queryTableFieldId="9" dataDxfId="151"/>
    <tableColumn id="10" xr3:uid="{43923A3B-27D4-4A18-8195-18FA3FE3EC57}" uniqueName="10" name="UF - Origem" queryTableFieldId="10" dataDxfId="15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49"/>
    <tableColumn id="13" xr3:uid="{1AA4CEAE-6E75-439C-9786-5250BB362DA8}" uniqueName="13" name="UF - Destino" queryTableFieldId="13" dataDxfId="14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47"/>
    <tableColumn id="16" xr3:uid="{87EA8DF5-1E95-45E0-AFE5-B7B998A3AD4B}" uniqueName="16" name="Centro" queryTableFieldId="16" dataDxfId="146"/>
    <tableColumn id="17" xr3:uid="{AA8573A4-0892-4BF5-8E18-AA156FF29581}" uniqueName="17" name="Linha de serviço PPU" queryTableFieldId="17" dataDxfId="14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35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44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8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7"/>
    <tableColumn id="10" xr3:uid="{822574B2-12A4-4ECA-A1AE-3D1BA7439E6E}" uniqueName="10" name="D. fechamento" queryTableFieldId="10" dataDxfId="16"/>
    <tableColumn id="11" xr3:uid="{FD7D0ADF-E207-44BB-A536-FDA7226A8880}" uniqueName="11" name="Prazo combinado" queryTableFieldId="11" dataDxfId="15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43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42"/>
    <tableColumn id="17" xr3:uid="{430425C0-68E6-48A4-9EE0-83AC032191CD}" uniqueName="17" name="FA" queryTableFieldId="17" dataDxfId="141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40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39"/>
    <tableColumn id="12" xr3:uid="{9BA00D96-C1FF-4E22-B0CE-BA8DFA2F75A8}" uniqueName="12" name="QBm" queryTableFieldId="12" dataDxfId="138"/>
    <tableColumn id="13" xr3:uid="{080DA9BE-4AE9-4DB2-904D-DAA203786633}" uniqueName="13" name="QDm" queryTableFieldId="13" dataDxfId="137"/>
    <tableColumn id="14" xr3:uid="{792F0396-AF08-45CA-B83C-82BAA75651C0}" uniqueName="14" name="QNm" queryTableFieldId="14" dataDxfId="136"/>
    <tableColumn id="15" xr3:uid="{4B212C17-0282-41C6-9C51-0540E8DA4AA2}" uniqueName="15" name="QUAm" queryTableFieldId="15" dataDxfId="135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34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3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33"/>
    <tableColumn id="16" xr3:uid="{9E0A5EC9-DCBE-45CB-989A-CCCB5AD46E85}" uniqueName="16" name="D. fechamento" queryTableFieldId="16" dataDxfId="32"/>
    <tableColumn id="17" xr3:uid="{95F89749-580B-4E58-BE7C-9B94D04005A1}" uniqueName="17" name="Prazo combinado" queryTableFieldId="17" dataDxfId="3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33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32"/>
    <tableColumn id="26" xr3:uid="{251B22C6-A4ED-4224-8F0A-495C697E2AFC}" uniqueName="26" name="FA" queryTableFieldId="85" dataDxfId="131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130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4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3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129" dataDxfId="128">
  <autoFilter ref="H3:O37" xr:uid="{00000000-0009-0000-0100-000002000000}"/>
  <tableColumns count="8">
    <tableColumn id="1" xr3:uid="{00000000-0010-0000-0000-000001000000}" name="Serviço" dataDxfId="127"/>
    <tableColumn id="2" xr3:uid="{00000000-0010-0000-0000-000002000000}" name="Nº contrato" dataDxfId="126"/>
    <tableColumn id="3" xr3:uid="{00000000-0010-0000-0000-000003000000}" name="Descrição da atividade" dataDxfId="125"/>
    <tableColumn id="4" xr3:uid="{00000000-0010-0000-0000-000004000000}" name="Atividade do painel" dataDxfId="124"/>
    <tableColumn id="5" xr3:uid="{00000000-0010-0000-0000-000005000000}" name="Ref. FDM" dataDxfId="123"/>
    <tableColumn id="6" xr3:uid="{00000000-0010-0000-0000-000006000000}" name="Ref. QExec" dataDxfId="122"/>
    <tableColumn id="7" xr3:uid="{00000000-0010-0000-0000-000007000000}" name="Ref. prazo" dataDxfId="121"/>
    <tableColumn id="8" xr3:uid="{00000000-0010-0000-0000-000008000000}" name="Obs" dataDxfId="120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119" dataDxfId="118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117"/>
    <tableColumn id="2" xr3:uid="{00000000-0010-0000-0100-000002000000}" name="Atividade do painel" dataDxfId="116"/>
    <tableColumn id="3" xr3:uid="{00000000-0010-0000-0100-000003000000}" name="Item" dataDxfId="115"/>
    <tableColumn id="4" xr3:uid="{00000000-0010-0000-0100-000004000000}" name="Unidade" dataDxfId="114"/>
    <tableColumn id="5" xr3:uid="{00000000-0010-0000-0100-000005000000}" name="Linha de serviço PPU" dataDxfId="11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112" dataDxfId="110" headerRowBorderDxfId="111" tableBorderDxfId="109">
  <autoFilter ref="B3:B8" xr:uid="{00000000-0009-0000-0100-000001000000}"/>
  <tableColumns count="1">
    <tableColumn id="1" xr3:uid="{00000000-0010-0000-0200-000001000000}" name="Situação" dataDxfId="10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107" dataDxfId="105" headerRowBorderDxfId="106" tableBorderDxfId="104">
  <autoFilter ref="E3:E5" xr:uid="{00000000-0009-0000-0100-000004000000}"/>
  <tableColumns count="1">
    <tableColumn id="1" xr3:uid="{00000000-0010-0000-0300-000001000000}" name="Contrato GE" dataDxfId="10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102" dataDxfId="101">
  <autoFilter ref="Y3:AG24" xr:uid="{00000000-0009-0000-0100-000005000000}"/>
  <tableColumns count="9">
    <tableColumn id="9" xr3:uid="{00000000-0010-0000-0400-000009000000}" name="Atividade do painel" dataDxfId="100"/>
    <tableColumn id="1" xr3:uid="{00000000-0010-0000-0400-000001000000}" name="Tab. Contrato" dataDxfId="99"/>
    <tableColumn id="2" xr3:uid="{00000000-0010-0000-0400-000002000000}" name="Descrição da tabela" dataDxfId="98"/>
    <tableColumn id="3" xr3:uid="{00000000-0010-0000-0400-000003000000}" name="Item" dataDxfId="97"/>
    <tableColumn id="4" xr3:uid="{00000000-0010-0000-0400-000004000000}" name="Diâmetro" dataDxfId="96"/>
    <tableColumn id="5" xr3:uid="{00000000-0010-0000-0400-000005000000}" name="A" dataDxfId="95"/>
    <tableColumn id="6" xr3:uid="{00000000-0010-0000-0400-000006000000}" name="L" dataDxfId="94"/>
    <tableColumn id="7" xr3:uid="{00000000-0010-0000-0400-000007000000}" name="P" dataDxfId="93"/>
    <tableColumn id="8" xr3:uid="{00000000-0010-0000-0400-000008000000}" name="FC" dataDxfId="9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91" dataDxfId="90">
  <autoFilter ref="AJ3:AO14" xr:uid="{00000000-0009-0000-0100-000006000000}"/>
  <tableColumns count="6">
    <tableColumn id="1" xr3:uid="{00000000-0010-0000-0500-000001000000}" name="Atividade do painel" dataDxfId="89"/>
    <tableColumn id="2" xr3:uid="{00000000-0010-0000-0500-000002000000}" name="Tab. Contrato" dataDxfId="88"/>
    <tableColumn id="3" xr3:uid="{00000000-0010-0000-0500-000003000000}" name="Descrição da tabela" dataDxfId="87"/>
    <tableColumn id="4" xr3:uid="{00000000-0010-0000-0500-000004000000}" name="Item" dataDxfId="86"/>
    <tableColumn id="5" xr3:uid="{00000000-0010-0000-0500-000005000000}" name="Unidade" dataDxfId="85"/>
    <tableColumn id="6" xr3:uid="{00000000-0010-0000-0500-000006000000}" name="FC" dataDxfId="8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83" dataDxfId="82">
  <autoFilter ref="AR3:AW35" xr:uid="{00000000-0009-0000-0100-000007000000}"/>
  <tableColumns count="6">
    <tableColumn id="1" xr3:uid="{00000000-0010-0000-0600-000001000000}" name="Atividade do painel" dataDxfId="81"/>
    <tableColumn id="2" xr3:uid="{00000000-0010-0000-0600-000002000000}" name="Tab. Contrato" dataDxfId="80"/>
    <tableColumn id="3" xr3:uid="{00000000-0010-0000-0600-000003000000}" name="Descrição da tabela" dataDxfId="79"/>
    <tableColumn id="4" xr3:uid="{00000000-0010-0000-0600-000004000000}" name="Item" dataDxfId="78"/>
    <tableColumn id="5" xr3:uid="{00000000-0010-0000-0600-000005000000}" name="Unidade" dataDxfId="77"/>
    <tableColumn id="6" xr3:uid="{00000000-0010-0000-0600-000006000000}" name="FC" dataDxfId="76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75" dataDxfId="74">
  <autoFilter ref="AZ3:BE130" xr:uid="{00000000-0009-0000-0100-000008000000}"/>
  <tableColumns count="6">
    <tableColumn id="3" xr3:uid="{00000000-0010-0000-0700-000003000000}" name="Contrato" dataDxfId="73"/>
    <tableColumn id="1" xr3:uid="{00000000-0010-0000-0700-000001000000}" name="Atividade do painel" dataDxfId="72"/>
    <tableColumn id="2" xr3:uid="{00000000-0010-0000-0700-000002000000}" name="Tab. Contrato" dataDxfId="71"/>
    <tableColumn id="4" xr3:uid="{00000000-0010-0000-0700-000004000000}" name="Grupo de município" dataDxfId="70"/>
    <tableColumn id="5" xr3:uid="{00000000-0010-0000-0700-000005000000}" name="Classificação" dataDxfId="69"/>
    <tableColumn id="6" xr3:uid="{00000000-0010-0000-0700-000006000000}" name="Prazo" dataDxfId="68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67" dataDxfId="66">
  <autoFilter ref="BH3:BI16" xr:uid="{00000000-0009-0000-0100-000009000000}"/>
  <tableColumns count="2">
    <tableColumn id="1" xr3:uid="{00000000-0010-0000-0800-000001000000}" name="Lista agrupamento 1" dataDxfId="65"/>
    <tableColumn id="2" xr3:uid="{00000000-0010-0000-0800-000002000000}" name="Lista agrupamento 2" dataDxfId="6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63" dataDxfId="62">
  <autoFilter ref="E8:E9" xr:uid="{00000000-0009-0000-0100-00000B000000}"/>
  <tableColumns count="1">
    <tableColumn id="1" xr3:uid="{00000000-0010-0000-0900-000001000000}" name="Atendimento" dataDxfId="61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60" dataDxfId="59">
  <autoFilter ref="E13:E18" xr:uid="{00000000-0009-0000-0100-00000C000000}"/>
  <tableColumns count="1">
    <tableColumn id="1" xr3:uid="{00000000-0010-0000-0A00-000001000000}" name="Contrato Ind" dataDxfId="5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57" dataDxfId="56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55"/>
    <tableColumn id="2" xr3:uid="{00000000-0010-0000-0B00-000002000000}" name="Contrato" dataDxfId="5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53"/>
    <tableColumn id="2" xr3:uid="{00000000-0010-0000-0C00-000002000000}" name="Descrição" dataDxfId="52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51" dataDxfId="50">
  <autoFilter ref="B13:B20" xr:uid="{CFC1531E-7CFC-4F2A-ADAE-1B4E2F00C1D5}"/>
  <tableColumns count="1">
    <tableColumn id="1" xr3:uid="{B55DC0CE-CD4F-45DB-BBBC-94A3D600F228}" name="Validação Descrição da atividade para GALPAO" dataDxfId="49"/>
  </tableColumns>
  <tableStyleInfo name="TableStyleMedium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48"/>
    <tableColumn id="2" xr3:uid="{94A61BAC-C757-48E0-9FD6-286E6E324A3B}" name="Galpão" dataDxfId="47"/>
    <tableColumn id="3" xr3:uid="{F6D58C59-0894-40C6-B94B-79A1AECA0950}" name="Cidade" dataDxfId="46"/>
    <tableColumn id="4" xr3:uid="{A1EC4516-DC85-4011-8376-8DE49C8508A2}" name="UF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45" dataDxfId="44">
  <autoFilter ref="CI3:CI15" xr:uid="{FAAA01F6-597D-4DC8-9300-2C5B2610B85B}"/>
  <tableColumns count="1">
    <tableColumn id="1" xr3:uid="{5C5654CD-FC21-43C0-B0B6-10AEB91ED9D4}" name="Anos" dataDxfId="43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42" dataDxfId="41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40"/>
    <tableColumn id="2" xr3:uid="{3356F5BA-D4F0-464A-BE67-8B624F7C678E}" name="Dimenções" dataDxfId="39"/>
    <tableColumn id="3" xr3:uid="{58CE3792-E62D-4028-8432-3ADC4A812DF7}" name="Item" dataDxfId="38"/>
    <tableColumn id="5" xr3:uid="{D6EA8378-2F21-4B45-B89D-A3E2646038C8}" name="FC" dataDxfId="37"/>
    <tableColumn id="6" xr3:uid="{CADEF83E-6C31-4DF2-BD4E-14FF52B884B2}" name="Concatenado" dataDxfId="36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9092026_000215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9092026_000214.xlsx" TargetMode="External"/><Relationship Id="rId1" Type="http://schemas.openxmlformats.org/officeDocument/2006/relationships/hyperlink" Target="MEDI&#199;&#195;O/4600687006-PLA-MemoriaPetrobras-PA-LT2-BA_29092026_000213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9092026_000216.xlsx" TargetMode="Externa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18" Type="http://schemas.openxmlformats.org/officeDocument/2006/relationships/table" Target="../tables/table37.xml"/><Relationship Id="rId3" Type="http://schemas.openxmlformats.org/officeDocument/2006/relationships/table" Target="../tables/table22.xml"/><Relationship Id="rId21" Type="http://schemas.openxmlformats.org/officeDocument/2006/relationships/table" Target="../tables/table40.xml"/><Relationship Id="rId7" Type="http://schemas.openxmlformats.org/officeDocument/2006/relationships/table" Target="../tables/table26.xml"/><Relationship Id="rId12" Type="http://schemas.openxmlformats.org/officeDocument/2006/relationships/table" Target="../tables/table31.xml"/><Relationship Id="rId17" Type="http://schemas.openxmlformats.org/officeDocument/2006/relationships/table" Target="../tables/table36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5.xml"/><Relationship Id="rId20" Type="http://schemas.openxmlformats.org/officeDocument/2006/relationships/table" Target="../tables/table39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4.xml"/><Relationship Id="rId15" Type="http://schemas.openxmlformats.org/officeDocument/2006/relationships/table" Target="../tables/table34.xml"/><Relationship Id="rId23" Type="http://schemas.openxmlformats.org/officeDocument/2006/relationships/comments" Target="../comments6.xml"/><Relationship Id="rId10" Type="http://schemas.openxmlformats.org/officeDocument/2006/relationships/table" Target="../tables/table29.xml"/><Relationship Id="rId19" Type="http://schemas.openxmlformats.org/officeDocument/2006/relationships/table" Target="../tables/table38.xml"/><Relationship Id="rId4" Type="http://schemas.openxmlformats.org/officeDocument/2006/relationships/table" Target="../tables/table23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Relationship Id="rId22" Type="http://schemas.openxmlformats.org/officeDocument/2006/relationships/table" Target="../tables/table4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tabSelected="1" workbookViewId="0">
      <pane ySplit="1440"/>
      <selection activeCell="K2" sqref="K2"/>
      <selection pane="bottomLeft" activeCell="K2" sqref="K2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19" t="s">
        <v>241</v>
      </c>
      <c r="J2" s="219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510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199" t="s">
        <v>1251</v>
      </c>
      <c r="L7" s="45"/>
      <c r="M7" s="45"/>
      <c r="N7" s="45"/>
      <c r="O7" s="45"/>
    </row>
    <row r="8" spans="1:15" x14ac:dyDescent="0.3">
      <c r="A8" s="45"/>
      <c r="B8" s="45"/>
      <c r="C8" s="45"/>
      <c r="D8" s="45"/>
      <c r="E8" s="45"/>
      <c r="F8" s="45"/>
      <c r="G8" s="45"/>
      <c r="H8" s="45"/>
      <c r="I8" s="45"/>
      <c r="J8" s="45"/>
      <c r="K8" s="199" t="s">
        <v>1252</v>
      </c>
      <c r="L8" s="45"/>
      <c r="M8" s="45"/>
      <c r="N8" s="45"/>
      <c r="O8" s="45"/>
    </row>
    <row r="9" spans="1:15" x14ac:dyDescent="0.3">
      <c r="A9" s="45"/>
      <c r="B9" s="45"/>
      <c r="C9" s="45"/>
      <c r="D9" s="45"/>
      <c r="E9" s="45"/>
      <c r="F9" s="45"/>
      <c r="G9" s="45"/>
      <c r="H9" s="45"/>
      <c r="I9" s="45"/>
      <c r="J9" s="45"/>
      <c r="K9" s="199" t="s">
        <v>1253</v>
      </c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199" t="s">
        <v>1254</v>
      </c>
      <c r="L10" s="45"/>
      <c r="M10" s="45"/>
      <c r="N10" s="45"/>
      <c r="O10" s="45"/>
    </row>
    <row r="11" spans="1:15" x14ac:dyDescent="0.3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x14ac:dyDescent="0.3">
      <c r="A12" s="45"/>
      <c r="B12" s="216" t="s">
        <v>1247</v>
      </c>
      <c r="C12" s="217"/>
      <c r="D12" s="218"/>
      <c r="E12" s="45"/>
      <c r="F12" s="45"/>
      <c r="G12" s="201"/>
      <c r="H12" s="45"/>
      <c r="I12" s="45"/>
      <c r="J12" s="45"/>
      <c r="K12" s="45"/>
      <c r="L12" s="45"/>
      <c r="M12" s="45"/>
      <c r="N12" s="45"/>
      <c r="O12" s="45"/>
    </row>
    <row r="13" spans="1:15" x14ac:dyDescent="0.3">
      <c r="A13" s="45"/>
      <c r="B13" s="45"/>
      <c r="C13" s="45"/>
      <c r="D13" s="45"/>
      <c r="E13" s="45"/>
      <c r="F13" s="45"/>
      <c r="G13" s="201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214" t="s">
        <v>1249</v>
      </c>
      <c r="C14" s="45"/>
      <c r="D14" s="45"/>
      <c r="E14" s="45"/>
      <c r="F14" s="45"/>
      <c r="G14" s="201"/>
      <c r="H14" s="45"/>
      <c r="I14" s="45"/>
      <c r="J14" s="45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45"/>
      <c r="G15" s="201"/>
      <c r="H15" s="45"/>
      <c r="I15" s="45"/>
      <c r="J15" s="45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</row>
    <row r="17" spans="1:15" x14ac:dyDescent="0.3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2">
    <mergeCell ref="B12:D12"/>
    <mergeCell ref="I2:J2"/>
  </mergeCells>
  <hyperlinks>
    <hyperlink ref="K7" r:id="rId1" xr:uid="{8C09AC09-BD52-49DB-921E-FD19B1C2F273}"/>
    <hyperlink ref="K8" r:id="rId2" xr:uid="{A3A47C9E-20A4-488E-AA7C-BCEB77A7FC3F}"/>
    <hyperlink ref="K9" r:id="rId3" xr:uid="{56286498-B0EA-493B-AAF0-D33C205304B1}"/>
    <hyperlink ref="K10" r:id="rId4" xr:uid="{926A8768-5DD0-43C1-B12B-662A4436FC55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9" name="Button 5">
              <controlPr defaultSize="0" print="0" autoFill="0" autoPict="0" macro="[0]!AuditarDadosEGerarLog">
                <anchor moveWithCells="1" sizeWithCells="1">
                  <from>
                    <xdr:col>5</xdr:col>
                    <xdr:colOff>541020</xdr:colOff>
                    <xdr:row>11</xdr:row>
                    <xdr:rowOff>419100</xdr:rowOff>
                  </from>
                  <to>
                    <xdr:col>8</xdr:col>
                    <xdr:colOff>411480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1B1B1B"/>
  </sheetPr>
  <dimension ref="A1:I12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10.109375" bestFit="1" customWidth="1"/>
    <col min="3" max="3" width="10.5546875" bestFit="1" customWidth="1"/>
    <col min="4" max="4" width="15.33203125" bestFit="1" customWidth="1"/>
    <col min="5" max="5" width="29.33203125" bestFit="1" customWidth="1"/>
    <col min="6" max="6" width="23.21875" bestFit="1" customWidth="1"/>
    <col min="7" max="7" width="10.88671875" bestFit="1" customWidth="1"/>
    <col min="8" max="8" width="16.109375" bestFit="1" customWidth="1"/>
    <col min="9" max="9" width="69.77734375" bestFit="1" customWidth="1"/>
  </cols>
  <sheetData>
    <row r="1" spans="1:9" ht="34.950000000000003" customHeight="1" x14ac:dyDescent="0.3">
      <c r="A1" s="220" t="s">
        <v>1235</v>
      </c>
      <c r="B1" s="220"/>
      <c r="C1" s="220"/>
      <c r="D1" s="220"/>
      <c r="E1" s="220"/>
      <c r="F1" s="220"/>
      <c r="G1" s="220"/>
      <c r="H1" s="220"/>
      <c r="I1" s="220"/>
    </row>
    <row r="2" spans="1:9" ht="19.95" customHeight="1" x14ac:dyDescent="0.3">
      <c r="A2" s="206" t="s">
        <v>1248</v>
      </c>
      <c r="B2" s="206"/>
      <c r="C2" s="206"/>
      <c r="D2" s="206"/>
      <c r="E2" s="206"/>
      <c r="F2" s="206"/>
      <c r="G2" s="206"/>
      <c r="H2" s="206"/>
      <c r="I2" s="206"/>
    </row>
    <row r="4" spans="1:9" ht="25.05" customHeight="1" x14ac:dyDescent="0.3">
      <c r="A4" s="207" t="s">
        <v>1229</v>
      </c>
      <c r="B4" s="207" t="s">
        <v>282</v>
      </c>
      <c r="C4" s="207" t="s">
        <v>1236</v>
      </c>
      <c r="D4" s="207" t="s">
        <v>1237</v>
      </c>
      <c r="E4" s="207" t="s">
        <v>1230</v>
      </c>
      <c r="F4" s="207" t="s">
        <v>2</v>
      </c>
      <c r="G4" s="207" t="s">
        <v>1231</v>
      </c>
      <c r="H4" s="207" t="s">
        <v>1232</v>
      </c>
      <c r="I4" s="207" t="s">
        <v>1238</v>
      </c>
    </row>
    <row r="5" spans="1:9" x14ac:dyDescent="0.3">
      <c r="A5" s="210">
        <v>33</v>
      </c>
      <c r="B5" s="210" t="s">
        <v>351</v>
      </c>
      <c r="C5" s="210">
        <v>306488404</v>
      </c>
      <c r="D5" s="210" t="s">
        <v>962</v>
      </c>
      <c r="E5" s="208" t="s">
        <v>47</v>
      </c>
      <c r="F5" s="208" t="s">
        <v>68</v>
      </c>
      <c r="G5" s="213" t="s">
        <v>1233</v>
      </c>
      <c r="H5" s="208" t="s">
        <v>1239</v>
      </c>
      <c r="I5" s="208" t="s">
        <v>1240</v>
      </c>
    </row>
    <row r="6" spans="1:9" x14ac:dyDescent="0.3">
      <c r="A6" s="211">
        <v>37</v>
      </c>
      <c r="B6" s="211" t="s">
        <v>351</v>
      </c>
      <c r="C6" s="211">
        <v>306197197</v>
      </c>
      <c r="D6" s="211" t="s">
        <v>960</v>
      </c>
      <c r="E6" s="209" t="s">
        <v>45</v>
      </c>
      <c r="F6" s="209" t="s">
        <v>68</v>
      </c>
      <c r="G6" s="287" t="s">
        <v>1241</v>
      </c>
      <c r="H6" s="209" t="s">
        <v>1234</v>
      </c>
      <c r="I6" s="209" t="s">
        <v>1242</v>
      </c>
    </row>
    <row r="7" spans="1:9" x14ac:dyDescent="0.3">
      <c r="A7" s="210">
        <v>131</v>
      </c>
      <c r="B7" s="210" t="s">
        <v>351</v>
      </c>
      <c r="C7" s="210">
        <v>305365195</v>
      </c>
      <c r="D7" s="210" t="s">
        <v>437</v>
      </c>
      <c r="E7" s="208" t="s">
        <v>57</v>
      </c>
      <c r="F7" s="208" t="s">
        <v>117</v>
      </c>
      <c r="G7" s="213" t="s">
        <v>1233</v>
      </c>
      <c r="H7" s="208" t="s">
        <v>1239</v>
      </c>
      <c r="I7" s="208" t="s">
        <v>1243</v>
      </c>
    </row>
    <row r="8" spans="1:9" x14ac:dyDescent="0.3">
      <c r="A8" s="211">
        <v>132</v>
      </c>
      <c r="B8" s="211" t="s">
        <v>351</v>
      </c>
      <c r="C8" s="211">
        <v>305365195</v>
      </c>
      <c r="D8" s="211" t="s">
        <v>437</v>
      </c>
      <c r="E8" s="209" t="s">
        <v>57</v>
      </c>
      <c r="F8" s="209" t="s">
        <v>117</v>
      </c>
      <c r="G8" s="212" t="s">
        <v>1233</v>
      </c>
      <c r="H8" s="209" t="s">
        <v>1239</v>
      </c>
      <c r="I8" s="209" t="s">
        <v>1244</v>
      </c>
    </row>
    <row r="9" spans="1:9" x14ac:dyDescent="0.3">
      <c r="A9" s="210">
        <v>200</v>
      </c>
      <c r="B9" s="210" t="s">
        <v>351</v>
      </c>
      <c r="C9" s="210">
        <v>305365195</v>
      </c>
      <c r="D9" s="210" t="s">
        <v>437</v>
      </c>
      <c r="E9" s="208" t="s">
        <v>63</v>
      </c>
      <c r="F9" s="208" t="s">
        <v>95</v>
      </c>
      <c r="G9" s="213" t="s">
        <v>1233</v>
      </c>
      <c r="H9" s="208" t="s">
        <v>1239</v>
      </c>
      <c r="I9" s="208" t="s">
        <v>1243</v>
      </c>
    </row>
    <row r="10" spans="1:9" x14ac:dyDescent="0.3">
      <c r="A10" s="211">
        <v>201</v>
      </c>
      <c r="B10" s="211" t="s">
        <v>351</v>
      </c>
      <c r="C10" s="211">
        <v>305365195</v>
      </c>
      <c r="D10" s="211" t="s">
        <v>437</v>
      </c>
      <c r="E10" s="209" t="s">
        <v>63</v>
      </c>
      <c r="F10" s="209" t="s">
        <v>95</v>
      </c>
      <c r="G10" s="212" t="s">
        <v>1233</v>
      </c>
      <c r="H10" s="209" t="s">
        <v>1239</v>
      </c>
      <c r="I10" s="209" t="s">
        <v>1244</v>
      </c>
    </row>
    <row r="11" spans="1:9" x14ac:dyDescent="0.3">
      <c r="A11" s="210">
        <v>223</v>
      </c>
      <c r="B11" s="210" t="s">
        <v>351</v>
      </c>
      <c r="C11" s="210">
        <v>305365195</v>
      </c>
      <c r="D11" s="210" t="s">
        <v>437</v>
      </c>
      <c r="E11" s="208" t="s">
        <v>60</v>
      </c>
      <c r="F11" s="208" t="s">
        <v>92</v>
      </c>
      <c r="G11" s="213" t="s">
        <v>1233</v>
      </c>
      <c r="H11" s="208" t="s">
        <v>1239</v>
      </c>
      <c r="I11" s="208" t="s">
        <v>1245</v>
      </c>
    </row>
    <row r="12" spans="1:9" x14ac:dyDescent="0.3">
      <c r="A12" s="211">
        <v>224</v>
      </c>
      <c r="B12" s="211" t="s">
        <v>351</v>
      </c>
      <c r="C12" s="211">
        <v>305365195</v>
      </c>
      <c r="D12" s="211" t="s">
        <v>437</v>
      </c>
      <c r="E12" s="209" t="s">
        <v>60</v>
      </c>
      <c r="F12" s="209" t="s">
        <v>92</v>
      </c>
      <c r="G12" s="212" t="s">
        <v>1233</v>
      </c>
      <c r="H12" s="209" t="s">
        <v>1239</v>
      </c>
      <c r="I12" s="209" t="s">
        <v>1246</v>
      </c>
    </row>
  </sheetData>
  <autoFilter ref="A4:I4" xr:uid="{E1DA6520-585E-4FB5-9CED-FBD7A878B479}"/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topLeftCell="A10" workbookViewId="0">
      <selection activeCell="G21" sqref="G21"/>
    </sheetView>
  </sheetViews>
  <sheetFormatPr defaultRowHeight="15" x14ac:dyDescent="0.35"/>
  <cols>
    <col min="1" max="1" width="2.77734375" style="202" customWidth="1"/>
    <col min="2" max="2" width="18.77734375" style="202" customWidth="1"/>
    <col min="3" max="3" width="3.77734375" style="202" customWidth="1"/>
    <col min="4" max="4" width="18.77734375" style="202" customWidth="1"/>
    <col min="5" max="5" width="3.77734375" style="202" customWidth="1"/>
    <col min="6" max="6" width="18.77734375" style="202" customWidth="1"/>
    <col min="7" max="7" width="3.77734375" style="202" customWidth="1"/>
    <col min="8" max="8" width="18.77734375" style="202" customWidth="1"/>
    <col min="9" max="9" width="3.77734375" style="202" customWidth="1"/>
    <col min="10" max="10" width="18.77734375" style="202" customWidth="1"/>
    <col min="11" max="11" width="3.77734375" style="202" customWidth="1"/>
    <col min="12" max="12" width="18.77734375" style="202" customWidth="1"/>
    <col min="13" max="13" width="3.77734375" style="202" customWidth="1"/>
    <col min="14" max="14" width="20.77734375" style="202" customWidth="1"/>
    <col min="15" max="16384" width="8.88671875" style="202"/>
  </cols>
  <sheetData>
    <row r="1" spans="1:14" ht="24" customHeight="1" x14ac:dyDescent="0.35">
      <c r="A1" s="203"/>
      <c r="B1" s="221" t="s">
        <v>1202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</row>
    <row r="2" spans="1:14" ht="24" customHeight="1" x14ac:dyDescent="0.35">
      <c r="A2" s="203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</row>
    <row r="3" spans="1:14" ht="24" customHeight="1" x14ac:dyDescent="0.35">
      <c r="A3" s="203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</row>
    <row r="4" spans="1:14" ht="18" customHeight="1" x14ac:dyDescent="0.35">
      <c r="A4" s="203"/>
      <c r="B4" s="222" t="s">
        <v>1250</v>
      </c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</row>
    <row r="5" spans="1:14" ht="18" customHeight="1" x14ac:dyDescent="0.35">
      <c r="A5" s="203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</row>
    <row r="6" spans="1:14" ht="18" customHeight="1" x14ac:dyDescent="0.35">
      <c r="A6" s="203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</row>
    <row r="7" spans="1:14" ht="18" customHeight="1" x14ac:dyDescent="0.35">
      <c r="A7" s="203"/>
      <c r="B7" s="203"/>
      <c r="C7" s="203"/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</row>
    <row r="8" spans="1:14" ht="18" customHeight="1" x14ac:dyDescent="0.35">
      <c r="A8" s="203"/>
      <c r="B8" s="224" t="s">
        <v>1203</v>
      </c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</row>
    <row r="9" spans="1:14" ht="18" customHeight="1" x14ac:dyDescent="0.35">
      <c r="A9" s="203"/>
      <c r="B9" s="204" t="s">
        <v>1204</v>
      </c>
      <c r="C9" s="204"/>
      <c r="D9" s="204" t="s">
        <v>1205</v>
      </c>
      <c r="E9" s="204"/>
      <c r="F9" s="204" t="s">
        <v>1206</v>
      </c>
      <c r="G9" s="204"/>
      <c r="H9" s="204" t="s">
        <v>1207</v>
      </c>
      <c r="I9" s="204"/>
      <c r="J9" s="204" t="s">
        <v>1208</v>
      </c>
      <c r="K9" s="204"/>
      <c r="L9" s="204" t="s">
        <v>1209</v>
      </c>
      <c r="M9" s="204"/>
      <c r="N9" s="204"/>
    </row>
    <row r="10" spans="1:14" ht="18" customHeight="1" x14ac:dyDescent="0.35">
      <c r="A10" s="203"/>
      <c r="B10" s="225">
        <v>481</v>
      </c>
      <c r="C10" s="203"/>
      <c r="D10" s="228">
        <v>0</v>
      </c>
      <c r="E10" s="203"/>
      <c r="F10" s="228">
        <v>0</v>
      </c>
      <c r="G10" s="203"/>
      <c r="H10" s="228">
        <v>0</v>
      </c>
      <c r="I10" s="203"/>
      <c r="J10" s="229" t="s">
        <v>1225</v>
      </c>
      <c r="K10" s="203"/>
      <c r="L10" s="230">
        <v>0</v>
      </c>
      <c r="M10" s="203"/>
      <c r="N10" s="203"/>
    </row>
    <row r="11" spans="1:14" ht="18" customHeight="1" x14ac:dyDescent="0.35">
      <c r="A11" s="203"/>
      <c r="B11" s="226"/>
      <c r="C11" s="203"/>
      <c r="D11" s="226"/>
      <c r="E11" s="203"/>
      <c r="F11" s="226"/>
      <c r="G11" s="203"/>
      <c r="H11" s="226"/>
      <c r="I11" s="203"/>
      <c r="J11" s="226"/>
      <c r="K11" s="203"/>
      <c r="L11" s="231"/>
      <c r="M11" s="203"/>
      <c r="N11" s="203"/>
    </row>
    <row r="12" spans="1:14" ht="18" customHeight="1" x14ac:dyDescent="0.35">
      <c r="A12" s="203"/>
      <c r="B12" s="227"/>
      <c r="C12" s="203"/>
      <c r="D12" s="227"/>
      <c r="E12" s="203"/>
      <c r="F12" s="227"/>
      <c r="G12" s="203"/>
      <c r="H12" s="227"/>
      <c r="I12" s="203"/>
      <c r="J12" s="227"/>
      <c r="K12" s="203"/>
      <c r="L12" s="232"/>
      <c r="M12" s="203"/>
      <c r="N12" s="203"/>
    </row>
    <row r="13" spans="1:14" ht="18" customHeight="1" x14ac:dyDescent="0.35">
      <c r="A13" s="203"/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</row>
    <row r="14" spans="1:14" ht="18" customHeight="1" x14ac:dyDescent="0.35">
      <c r="A14" s="203"/>
      <c r="B14" s="224" t="s">
        <v>1210</v>
      </c>
      <c r="C14" s="224"/>
      <c r="D14" s="224"/>
      <c r="E14" s="224"/>
      <c r="F14" s="224"/>
      <c r="G14" s="224"/>
      <c r="H14" s="224"/>
      <c r="I14" s="224"/>
      <c r="J14" s="224"/>
      <c r="K14" s="203"/>
      <c r="L14" s="224" t="s">
        <v>1218</v>
      </c>
      <c r="M14" s="224"/>
      <c r="N14" s="224"/>
    </row>
    <row r="15" spans="1:14" ht="18" customHeight="1" x14ac:dyDescent="0.35">
      <c r="A15" s="203"/>
      <c r="B15" s="288" t="s">
        <v>282</v>
      </c>
      <c r="C15" s="288" t="s">
        <v>1211</v>
      </c>
      <c r="D15" s="288" t="s">
        <v>1212</v>
      </c>
      <c r="E15" s="288" t="s">
        <v>1213</v>
      </c>
      <c r="F15" s="288" t="s">
        <v>551</v>
      </c>
      <c r="G15" s="288" t="s">
        <v>1214</v>
      </c>
      <c r="H15" s="288" t="s">
        <v>1215</v>
      </c>
      <c r="I15" s="288" t="s">
        <v>1216</v>
      </c>
      <c r="J15" s="288"/>
      <c r="K15" s="203"/>
      <c r="L15" s="290" t="s">
        <v>1228</v>
      </c>
      <c r="M15" s="290"/>
      <c r="N15" s="290"/>
    </row>
    <row r="16" spans="1:14" ht="18" customHeight="1" x14ac:dyDescent="0.35">
      <c r="A16" s="203"/>
      <c r="B16" s="289" t="s">
        <v>349</v>
      </c>
      <c r="C16" s="289">
        <v>0</v>
      </c>
      <c r="D16" s="289"/>
      <c r="E16" s="289"/>
      <c r="F16" s="289"/>
      <c r="G16" s="289"/>
      <c r="H16" s="289"/>
      <c r="I16" s="289" t="s">
        <v>1226</v>
      </c>
      <c r="J16" s="289"/>
      <c r="K16" s="203"/>
      <c r="L16" s="290"/>
      <c r="M16" s="290"/>
      <c r="N16" s="290"/>
    </row>
    <row r="17" spans="1:14" ht="18" customHeight="1" x14ac:dyDescent="0.35">
      <c r="A17" s="203"/>
      <c r="B17" s="289" t="s">
        <v>351</v>
      </c>
      <c r="C17" s="289">
        <v>324</v>
      </c>
      <c r="D17" s="289"/>
      <c r="E17" s="289"/>
      <c r="F17" s="289"/>
      <c r="G17" s="289"/>
      <c r="H17" s="289"/>
      <c r="I17" s="289" t="s">
        <v>1227</v>
      </c>
      <c r="J17" s="289"/>
      <c r="K17" s="203"/>
      <c r="L17" s="290"/>
      <c r="M17" s="290"/>
      <c r="N17" s="290"/>
    </row>
    <row r="18" spans="1:14" ht="18" customHeight="1" x14ac:dyDescent="0.35">
      <c r="A18" s="203"/>
      <c r="B18" s="289" t="s">
        <v>350</v>
      </c>
      <c r="C18" s="289">
        <v>34</v>
      </c>
      <c r="D18" s="289"/>
      <c r="E18" s="289"/>
      <c r="F18" s="289"/>
      <c r="G18" s="289"/>
      <c r="H18" s="289"/>
      <c r="I18" s="289" t="s">
        <v>1227</v>
      </c>
      <c r="J18" s="289"/>
      <c r="K18" s="203"/>
      <c r="L18" s="290"/>
      <c r="M18" s="290"/>
      <c r="N18" s="290"/>
    </row>
    <row r="19" spans="1:14" ht="18" customHeight="1" x14ac:dyDescent="0.35">
      <c r="A19" s="203"/>
      <c r="B19" s="289" t="s">
        <v>352</v>
      </c>
      <c r="C19" s="289">
        <v>9</v>
      </c>
      <c r="D19" s="289"/>
      <c r="E19" s="289"/>
      <c r="F19" s="289"/>
      <c r="G19" s="289"/>
      <c r="H19" s="289"/>
      <c r="I19" s="289" t="s">
        <v>1227</v>
      </c>
      <c r="J19" s="289"/>
      <c r="K19" s="203"/>
      <c r="L19" s="290"/>
      <c r="M19" s="290"/>
      <c r="N19" s="290"/>
    </row>
    <row r="20" spans="1:14" ht="18" customHeight="1" thickBot="1" x14ac:dyDescent="0.4">
      <c r="A20" s="203"/>
      <c r="B20" s="205" t="s">
        <v>1217</v>
      </c>
      <c r="C20" s="205">
        <v>0</v>
      </c>
      <c r="D20" s="205">
        <v>0</v>
      </c>
      <c r="E20" s="205">
        <v>0</v>
      </c>
      <c r="F20" s="205">
        <v>0</v>
      </c>
      <c r="G20" s="205">
        <v>0</v>
      </c>
      <c r="H20" s="205">
        <v>0</v>
      </c>
      <c r="I20" s="205">
        <v>0</v>
      </c>
      <c r="J20" s="205"/>
      <c r="K20" s="203"/>
      <c r="L20" s="290"/>
      <c r="M20" s="290"/>
      <c r="N20" s="290"/>
    </row>
    <row r="21" spans="1:14" ht="18" customHeight="1" thickTop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</row>
    <row r="22" spans="1:14" ht="18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</row>
    <row r="23" spans="1:14" ht="18" customHeight="1" x14ac:dyDescent="0.35">
      <c r="A23" s="203"/>
      <c r="B23" s="224" t="s">
        <v>1219</v>
      </c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</row>
    <row r="24" spans="1:14" ht="18" customHeight="1" x14ac:dyDescent="0.35">
      <c r="A24" s="203"/>
      <c r="B24" s="288" t="s">
        <v>282</v>
      </c>
      <c r="C24" s="288" t="s">
        <v>1220</v>
      </c>
      <c r="D24" s="288" t="s">
        <v>1221</v>
      </c>
      <c r="E24" s="288" t="s">
        <v>1216</v>
      </c>
      <c r="F24" s="288" t="s">
        <v>1222</v>
      </c>
      <c r="G24" s="288"/>
      <c r="H24" s="288"/>
      <c r="I24" s="288"/>
      <c r="J24" s="288"/>
      <c r="K24" s="288"/>
      <c r="L24" s="288"/>
      <c r="M24" s="288"/>
      <c r="N24" s="288"/>
    </row>
    <row r="25" spans="1:14" ht="18" customHeight="1" x14ac:dyDescent="0.35">
      <c r="A25" s="203"/>
      <c r="B25" s="291" t="s">
        <v>349</v>
      </c>
      <c r="C25" s="292" t="str">
        <f>IFERROR(HYPERLINK(Painel!K7,Painel!K7),"Nao gerado")</f>
        <v>4600687006-PLA-MemoriaPetrobras-PA-LT2-BA_29092026_000213.xlsx</v>
      </c>
      <c r="D25" s="291"/>
      <c r="E25" s="291" t="s">
        <v>1223</v>
      </c>
      <c r="F25" s="291"/>
      <c r="G25" s="291"/>
      <c r="H25" s="291"/>
      <c r="I25" s="291"/>
      <c r="J25" s="291"/>
      <c r="K25" s="291"/>
      <c r="L25" s="291"/>
      <c r="M25" s="291"/>
      <c r="N25" s="291"/>
    </row>
    <row r="26" spans="1:14" ht="18" customHeight="1" x14ac:dyDescent="0.35">
      <c r="A26" s="203"/>
      <c r="B26" s="291" t="s">
        <v>351</v>
      </c>
      <c r="C26" s="292" t="str">
        <f>IFERROR(HYPERLINK(Painel!K8,Painel!K8),"Nao gerado")</f>
        <v>4600686987-PLA-MemoriaPetrobras-IRON-LT1-RJ_29092026_000214.xlsx</v>
      </c>
      <c r="D26" s="291"/>
      <c r="E26" s="291" t="s">
        <v>1223</v>
      </c>
      <c r="F26" s="291"/>
      <c r="G26" s="291"/>
      <c r="H26" s="291"/>
      <c r="I26" s="291"/>
      <c r="J26" s="291"/>
      <c r="K26" s="291"/>
      <c r="L26" s="291"/>
      <c r="M26" s="291"/>
      <c r="N26" s="291"/>
    </row>
    <row r="27" spans="1:14" ht="18" customHeight="1" x14ac:dyDescent="0.35">
      <c r="A27" s="203"/>
      <c r="B27" s="291" t="s">
        <v>350</v>
      </c>
      <c r="C27" s="292" t="str">
        <f>IFERROR(HYPERLINK(Painel!K9,Painel!K9),"Nao gerado")</f>
        <v>4600686987-PLA-MemoriaPetrobras-IRON-LT1-SP_29092026_000215.xlsx</v>
      </c>
      <c r="D27" s="291"/>
      <c r="E27" s="291" t="s">
        <v>1223</v>
      </c>
      <c r="F27" s="291"/>
      <c r="G27" s="291"/>
      <c r="H27" s="291"/>
      <c r="I27" s="291"/>
      <c r="J27" s="291"/>
      <c r="K27" s="291"/>
      <c r="L27" s="291"/>
      <c r="M27" s="291"/>
      <c r="N27" s="291"/>
    </row>
    <row r="28" spans="1:14" ht="18" customHeight="1" x14ac:dyDescent="0.35">
      <c r="A28" s="203"/>
      <c r="B28" s="291" t="s">
        <v>352</v>
      </c>
      <c r="C28" s="292" t="str">
        <f>IFERROR(HYPERLINK(Painel!K10,Painel!K10),"Nao gerado")</f>
        <v>4600686987-PLA-MemoriaPetrobras-IRON-LT1-ES_29092026_000216.xlsx</v>
      </c>
      <c r="D28" s="291"/>
      <c r="E28" s="291" t="s">
        <v>1223</v>
      </c>
      <c r="F28" s="291"/>
      <c r="G28" s="291"/>
      <c r="H28" s="291"/>
      <c r="I28" s="291"/>
      <c r="J28" s="291"/>
      <c r="K28" s="291"/>
      <c r="L28" s="291"/>
      <c r="M28" s="291"/>
      <c r="N28" s="291"/>
    </row>
    <row r="29" spans="1:14" ht="18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</row>
    <row r="30" spans="1:14" ht="18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</row>
    <row r="31" spans="1:14" ht="18" customHeight="1" x14ac:dyDescent="0.35">
      <c r="A31" s="203"/>
      <c r="B31" s="233" t="s">
        <v>1224</v>
      </c>
      <c r="C31" s="234"/>
      <c r="D31" s="234"/>
      <c r="E31" s="234"/>
      <c r="F31" s="234"/>
      <c r="G31" s="234"/>
      <c r="H31" s="234"/>
      <c r="I31" s="234"/>
      <c r="J31" s="234"/>
      <c r="K31" s="234"/>
      <c r="L31" s="234"/>
      <c r="M31" s="234"/>
      <c r="N31" s="234"/>
    </row>
    <row r="32" spans="1:14" ht="18" customHeight="1" x14ac:dyDescent="0.35">
      <c r="A32" s="203"/>
      <c r="B32" s="234"/>
      <c r="C32" s="234"/>
      <c r="D32" s="234"/>
      <c r="E32" s="234"/>
      <c r="F32" s="234"/>
      <c r="G32" s="234"/>
      <c r="H32" s="234"/>
      <c r="I32" s="234"/>
      <c r="J32" s="234"/>
      <c r="K32" s="234"/>
      <c r="L32" s="234"/>
      <c r="M32" s="234"/>
      <c r="N32" s="234"/>
    </row>
    <row r="33" spans="1:14" ht="18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</row>
    <row r="34" spans="1:14" ht="18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203"/>
      <c r="M34" s="203"/>
      <c r="N34" s="203"/>
    </row>
    <row r="35" spans="1:14" ht="18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</row>
    <row r="36" spans="1:14" ht="18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203"/>
      <c r="M36" s="203"/>
      <c r="N36" s="203"/>
    </row>
    <row r="37" spans="1:14" ht="18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</row>
    <row r="38" spans="1:14" ht="18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203"/>
      <c r="M38" s="203"/>
      <c r="N38" s="203"/>
    </row>
    <row r="39" spans="1:14" ht="18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  <c r="M39" s="203"/>
      <c r="N39" s="203"/>
    </row>
    <row r="40" spans="1:14" ht="18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</row>
  </sheetData>
  <mergeCells count="14">
    <mergeCell ref="B14:J14"/>
    <mergeCell ref="L14:N14"/>
    <mergeCell ref="L15:N20"/>
    <mergeCell ref="B23:N23"/>
    <mergeCell ref="B31:N32"/>
    <mergeCell ref="B1:N3"/>
    <mergeCell ref="B4:N4"/>
    <mergeCell ref="B8:N8"/>
    <mergeCell ref="B10:B12"/>
    <mergeCell ref="D10:D12"/>
    <mergeCell ref="F10:F12"/>
    <mergeCell ref="H10:H12"/>
    <mergeCell ref="J10:J12"/>
    <mergeCell ref="L10:L1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553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498</v>
      </c>
      <c r="C5" s="18" t="s">
        <v>496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35" t="s">
        <v>259</v>
      </c>
      <c r="C7" s="7" t="s">
        <v>314</v>
      </c>
      <c r="D7" s="24" t="s">
        <v>516</v>
      </c>
      <c r="E7" s="6"/>
    </row>
    <row r="8" spans="1:6" x14ac:dyDescent="0.3">
      <c r="A8" s="6"/>
      <c r="B8" s="235"/>
      <c r="C8" s="7" t="s">
        <v>313</v>
      </c>
      <c r="D8" s="26" t="s">
        <v>515</v>
      </c>
      <c r="E8" s="6"/>
    </row>
    <row r="9" spans="1:6" x14ac:dyDescent="0.3">
      <c r="A9" s="6"/>
      <c r="B9" s="235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540</v>
      </c>
      <c r="E10" s="6"/>
    </row>
    <row r="11" spans="1:6" x14ac:dyDescent="0.3">
      <c r="A11" s="6"/>
      <c r="B11" s="235" t="s">
        <v>519</v>
      </c>
      <c r="C11" s="7" t="s">
        <v>314</v>
      </c>
      <c r="D11" t="s">
        <v>549</v>
      </c>
      <c r="E11" s="6"/>
    </row>
    <row r="12" spans="1:6" x14ac:dyDescent="0.3">
      <c r="A12" s="6"/>
      <c r="B12" s="235"/>
      <c r="C12" s="7" t="s">
        <v>541</v>
      </c>
      <c r="D12" t="s">
        <v>545</v>
      </c>
      <c r="E12" s="6"/>
    </row>
    <row r="13" spans="1:6" x14ac:dyDescent="0.3">
      <c r="A13" s="6"/>
      <c r="B13" s="235"/>
      <c r="C13" s="7" t="s">
        <v>542</v>
      </c>
      <c r="D13" t="s">
        <v>546</v>
      </c>
      <c r="E13" s="6"/>
    </row>
    <row r="14" spans="1:6" x14ac:dyDescent="0.3">
      <c r="A14" s="6"/>
      <c r="B14" s="235"/>
      <c r="C14" s="7" t="s">
        <v>543</v>
      </c>
      <c r="D14" t="s">
        <v>547</v>
      </c>
      <c r="E14" s="6"/>
    </row>
    <row r="15" spans="1:6" x14ac:dyDescent="0.3">
      <c r="A15" s="6"/>
      <c r="B15" s="235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35" t="s">
        <v>520</v>
      </c>
      <c r="C17" s="7" t="s">
        <v>314</v>
      </c>
      <c r="D17" t="s">
        <v>550</v>
      </c>
      <c r="E17" s="6"/>
    </row>
    <row r="18" spans="1:5" x14ac:dyDescent="0.3">
      <c r="A18" s="6"/>
      <c r="B18" s="235"/>
      <c r="C18" s="7" t="s">
        <v>544</v>
      </c>
      <c r="D18" t="s">
        <v>548</v>
      </c>
      <c r="E18" s="6"/>
    </row>
    <row r="19" spans="1:5" x14ac:dyDescent="0.3">
      <c r="A19" s="6"/>
      <c r="B19" s="235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35" t="s">
        <v>521</v>
      </c>
      <c r="C21" s="7" t="s">
        <v>314</v>
      </c>
      <c r="D21" t="s">
        <v>517</v>
      </c>
      <c r="E21" s="6"/>
    </row>
    <row r="22" spans="1:5" x14ac:dyDescent="0.3">
      <c r="A22" s="6"/>
      <c r="B22" s="235"/>
      <c r="C22" s="7" t="s">
        <v>313</v>
      </c>
      <c r="D22" s="22" t="s">
        <v>301</v>
      </c>
      <c r="E22" s="6"/>
    </row>
    <row r="23" spans="1:5" x14ac:dyDescent="0.3">
      <c r="A23" s="6"/>
      <c r="B23" s="235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35" t="s">
        <v>300</v>
      </c>
      <c r="C26" s="7" t="s">
        <v>314</v>
      </c>
      <c r="D26" s="24" t="str">
        <f>"Painel Controle\" &amp; PeriodoAno &amp;"\"&amp; PeriodoMes &amp;  "\Dados PETROBRAS\"</f>
        <v>Painel Controle\2026\Agosto\Dados PETROBRAS\</v>
      </c>
      <c r="E26" s="6"/>
    </row>
    <row r="27" spans="1:5" x14ac:dyDescent="0.3">
      <c r="A27" s="6"/>
      <c r="B27" s="235"/>
      <c r="C27" s="7" t="s">
        <v>313</v>
      </c>
      <c r="D27" s="22" t="s">
        <v>301</v>
      </c>
      <c r="E27" s="6"/>
    </row>
    <row r="28" spans="1:5" x14ac:dyDescent="0.3">
      <c r="A28" s="6"/>
      <c r="B28" s="235"/>
      <c r="C28" s="10" t="s">
        <v>244</v>
      </c>
      <c r="D28" s="23" t="str">
        <f ca="1">DIretorioRaiz&amp;D26</f>
        <v>D:\PainelNovo\Painel Controle\2026\Agosto\Dados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35" t="s">
        <v>500</v>
      </c>
      <c r="C30" s="7" t="s">
        <v>314</v>
      </c>
      <c r="D30" s="24" t="s">
        <v>518</v>
      </c>
      <c r="E30" s="6"/>
    </row>
    <row r="31" spans="1:5" x14ac:dyDescent="0.3">
      <c r="A31" s="6"/>
      <c r="B31" s="235"/>
      <c r="C31" s="7" t="s">
        <v>313</v>
      </c>
      <c r="D31" s="25" t="s">
        <v>354</v>
      </c>
      <c r="E31" s="6"/>
    </row>
    <row r="32" spans="1:5" x14ac:dyDescent="0.3">
      <c r="A32" s="6"/>
      <c r="B32" s="235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35" t="s">
        <v>499</v>
      </c>
      <c r="C34" s="7" t="s">
        <v>314</v>
      </c>
      <c r="D34" s="24" t="s">
        <v>518</v>
      </c>
      <c r="E34" s="6"/>
    </row>
    <row r="35" spans="1:5" x14ac:dyDescent="0.3">
      <c r="A35" s="6"/>
      <c r="B35" s="235"/>
      <c r="C35" s="7" t="s">
        <v>313</v>
      </c>
      <c r="D35" s="26" t="s">
        <v>355</v>
      </c>
      <c r="E35" s="6"/>
    </row>
    <row r="36" spans="1:5" x14ac:dyDescent="0.3">
      <c r="A36" s="6"/>
      <c r="B36" s="235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35" t="s">
        <v>346</v>
      </c>
      <c r="C38" s="7" t="s">
        <v>314</v>
      </c>
      <c r="D38" s="24" t="s">
        <v>518</v>
      </c>
      <c r="E38" s="6"/>
    </row>
    <row r="39" spans="1:5" x14ac:dyDescent="0.3">
      <c r="A39" s="6"/>
      <c r="B39" s="235"/>
      <c r="C39" s="7" t="s">
        <v>313</v>
      </c>
      <c r="D39" s="26" t="s">
        <v>347</v>
      </c>
      <c r="E39" s="6"/>
    </row>
    <row r="40" spans="1:5" x14ac:dyDescent="0.3">
      <c r="A40" s="6"/>
      <c r="B40" s="235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8"/>
      <c r="K1" s="178"/>
      <c r="L1" s="50"/>
      <c r="M1" s="50"/>
      <c r="N1" s="51"/>
      <c r="Q1" s="52"/>
    </row>
    <row r="2" spans="1:26" ht="24" customHeight="1" thickTop="1" thickBot="1" x14ac:dyDescent="0.35">
      <c r="A2" s="49"/>
      <c r="B2" s="258" t="s">
        <v>665</v>
      </c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52"/>
    </row>
    <row r="3" spans="1:26" ht="14.25" customHeight="1" thickTop="1" thickBot="1" x14ac:dyDescent="0.35">
      <c r="B3" s="261" t="s">
        <v>666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60"/>
      <c r="Q3" s="53"/>
      <c r="R3" s="52"/>
    </row>
    <row r="4" spans="1:26" ht="14.25" customHeight="1" thickTop="1" x14ac:dyDescent="0.3">
      <c r="B4" s="262" t="s">
        <v>733</v>
      </c>
      <c r="C4" s="263"/>
      <c r="D4" s="54" t="s">
        <v>667</v>
      </c>
      <c r="E4" s="54"/>
      <c r="F4" s="51"/>
      <c r="G4" s="51"/>
      <c r="H4" s="50"/>
      <c r="I4" s="51" t="s">
        <v>734</v>
      </c>
      <c r="J4" s="179" t="s">
        <v>706</v>
      </c>
      <c r="K4" s="182"/>
      <c r="L4" s="264" t="s">
        <v>668</v>
      </c>
      <c r="M4" s="56" t="s">
        <v>669</v>
      </c>
      <c r="N4" s="174">
        <f>VLOOKUP("IRON-LT1", TabelaFDMPorContrato[[Contrato]:[IAPFARQ1]],4,0)</f>
        <v>51.515151515151516</v>
      </c>
      <c r="O4" s="57"/>
      <c r="Q4" s="53"/>
      <c r="R4" s="52"/>
    </row>
    <row r="5" spans="1:26" ht="14.25" customHeight="1" x14ac:dyDescent="0.3">
      <c r="B5" s="266" t="s">
        <v>735</v>
      </c>
      <c r="C5" s="265"/>
      <c r="D5" s="58">
        <v>4600686987</v>
      </c>
      <c r="E5" s="58"/>
      <c r="F5" s="51"/>
      <c r="G5" s="51"/>
      <c r="H5" s="50"/>
      <c r="I5" s="59" t="s">
        <v>670</v>
      </c>
      <c r="J5" s="180" t="s">
        <v>1190</v>
      </c>
      <c r="K5" s="191"/>
      <c r="L5" s="265"/>
      <c r="M5" s="61" t="s">
        <v>671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66" t="s">
        <v>736</v>
      </c>
      <c r="C6" s="265"/>
      <c r="D6" s="267" t="s">
        <v>710</v>
      </c>
      <c r="E6" s="265"/>
      <c r="F6" s="265"/>
      <c r="G6" s="265"/>
      <c r="H6" s="265"/>
      <c r="I6" s="59" t="s">
        <v>672</v>
      </c>
      <c r="J6" s="180" t="s">
        <v>711</v>
      </c>
      <c r="K6" s="180"/>
      <c r="L6" s="269" t="s">
        <v>673</v>
      </c>
      <c r="M6" s="61" t="s">
        <v>669</v>
      </c>
      <c r="N6" s="173">
        <f>VLOOKUP("IRON-LT1", TabelaFDMPorContrato[[Contrato]:[IAPFARQ2]],9,0)</f>
        <v>78.571428571428569</v>
      </c>
      <c r="O6" s="63"/>
      <c r="Q6" s="53"/>
      <c r="R6" s="52"/>
    </row>
    <row r="7" spans="1:26" ht="14.25" customHeight="1" thickBot="1" x14ac:dyDescent="0.35">
      <c r="B7" s="270"/>
      <c r="C7" s="268"/>
      <c r="D7" s="268"/>
      <c r="E7" s="268"/>
      <c r="F7" s="268"/>
      <c r="G7" s="268"/>
      <c r="H7" s="268"/>
      <c r="I7" s="64" t="s">
        <v>674</v>
      </c>
      <c r="J7" s="181" t="s">
        <v>1193</v>
      </c>
      <c r="K7" s="192"/>
      <c r="L7" s="268"/>
      <c r="M7" s="66" t="s">
        <v>671</v>
      </c>
      <c r="N7" s="67">
        <f>VLOOKUP("IRON-LT1", TabelaFDMPorContrato[[Contrato]:[FDM2]],11,0)</f>
        <v>0.96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2"/>
      <c r="K8" s="182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2"/>
      <c r="K9" s="182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36" t="s">
        <v>0</v>
      </c>
      <c r="E10" s="241"/>
      <c r="F10" s="241"/>
      <c r="G10" s="241"/>
      <c r="H10" s="237"/>
      <c r="I10" s="72" t="s">
        <v>40</v>
      </c>
      <c r="J10" s="183" t="s">
        <v>551</v>
      </c>
      <c r="K10" s="183" t="s">
        <v>675</v>
      </c>
      <c r="L10" s="73" t="s">
        <v>676</v>
      </c>
      <c r="M10" s="74" t="s">
        <v>677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678</v>
      </c>
      <c r="E11" s="78"/>
      <c r="F11" s="78"/>
      <c r="G11" s="78"/>
      <c r="H11" s="79"/>
      <c r="I11" s="80"/>
      <c r="J11" s="184"/>
      <c r="K11" s="184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2" t="s">
        <v>713</v>
      </c>
      <c r="F12" s="245"/>
      <c r="G12" s="245"/>
      <c r="H12" s="245"/>
      <c r="I12" s="85"/>
      <c r="J12" s="185"/>
      <c r="K12" s="193"/>
      <c r="L12" s="88"/>
      <c r="M12" s="89"/>
      <c r="N12" s="253"/>
      <c r="Q12" s="52"/>
    </row>
    <row r="13" spans="1:26" ht="14.25" customHeight="1" x14ac:dyDescent="0.3">
      <c r="A13" s="49"/>
      <c r="B13" s="49"/>
      <c r="C13" s="90" t="s">
        <v>66</v>
      </c>
      <c r="D13" s="91" t="s">
        <v>534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6">
        <f>SUMIF(ARM_IRON_LT1_ES[Linha de serviço PPU], D12, ARM_IRON_LT1_ES[QUA])</f>
        <v>15167</v>
      </c>
      <c r="K13" s="194">
        <f>J13*$N$5</f>
        <v>14408.65</v>
      </c>
      <c r="L13" s="96">
        <f>VLOOKUP(D12,PPU_IRON_LT1[[Linha de Serviço]:[P. Unitário (R$)]],4,0)</f>
        <v>0.6</v>
      </c>
      <c r="M13" s="97">
        <f>J13*L13</f>
        <v>9100.1999999999989</v>
      </c>
      <c r="N13" s="254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15142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25</v>
      </c>
      <c r="H14" s="102">
        <f>(D14-E14-F14)+G14</f>
        <v>15167</v>
      </c>
      <c r="I14" s="103"/>
      <c r="J14" s="187"/>
      <c r="K14" s="195"/>
      <c r="L14" s="106"/>
      <c r="M14" s="107"/>
      <c r="N14" s="255"/>
      <c r="Q14" s="52"/>
    </row>
    <row r="15" spans="1:26" ht="15" customHeight="1" x14ac:dyDescent="0.3">
      <c r="A15" s="49"/>
      <c r="B15" s="49"/>
      <c r="C15" s="83"/>
      <c r="D15" s="84" t="s">
        <v>212</v>
      </c>
      <c r="E15" s="252" t="s">
        <v>714</v>
      </c>
      <c r="F15" s="245"/>
      <c r="G15" s="245"/>
      <c r="H15" s="245"/>
      <c r="I15" s="108"/>
      <c r="J15" s="185"/>
      <c r="K15" s="193"/>
      <c r="L15" s="110"/>
      <c r="M15" s="111"/>
      <c r="N15" s="253"/>
      <c r="Q15" s="52"/>
    </row>
    <row r="16" spans="1:26" ht="14.25" customHeight="1" x14ac:dyDescent="0.3">
      <c r="A16" s="49"/>
      <c r="B16" s="49"/>
      <c r="C16" s="90" t="s">
        <v>72</v>
      </c>
      <c r="D16" s="91" t="s">
        <v>534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6">
        <f>SUMIF(ARM_IRON_LT1_ES[Linha de serviço PPU], D15, ARM_IRON_LT1_ES[QUA])</f>
        <v>0</v>
      </c>
      <c r="K16" s="194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54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7"/>
      <c r="K17" s="195"/>
      <c r="L17" s="106"/>
      <c r="M17" s="107"/>
      <c r="N17" s="255"/>
      <c r="Q17" s="52"/>
    </row>
    <row r="18" spans="1:17" ht="15" customHeight="1" x14ac:dyDescent="0.3">
      <c r="A18" s="49"/>
      <c r="B18" s="49"/>
      <c r="C18" s="83"/>
      <c r="D18" s="84" t="s">
        <v>213</v>
      </c>
      <c r="E18" s="252" t="s">
        <v>715</v>
      </c>
      <c r="F18" s="245"/>
      <c r="G18" s="245"/>
      <c r="H18" s="245"/>
      <c r="I18" s="108"/>
      <c r="J18" s="185"/>
      <c r="K18" s="193"/>
      <c r="M18" s="111"/>
      <c r="N18" s="253"/>
      <c r="Q18" s="52"/>
    </row>
    <row r="19" spans="1:17" ht="14.25" customHeight="1" x14ac:dyDescent="0.3">
      <c r="A19" s="49"/>
      <c r="B19" s="49"/>
      <c r="C19" s="90" t="s">
        <v>75</v>
      </c>
      <c r="D19" s="91" t="s">
        <v>534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6">
        <f>SUMIF(ARM_IRON_LT1_ES[Linha de serviço PPU], D18, ARM_IRON_LT1_ES[QUA])</f>
        <v>0</v>
      </c>
      <c r="K19" s="194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54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7"/>
      <c r="K20" s="195"/>
      <c r="L20" s="106"/>
      <c r="M20" s="107"/>
      <c r="N20" s="255"/>
      <c r="Q20" s="52"/>
    </row>
    <row r="21" spans="1:17" ht="15" customHeight="1" x14ac:dyDescent="0.3">
      <c r="A21" s="49"/>
      <c r="B21" s="49"/>
      <c r="C21" s="83"/>
      <c r="D21" s="84" t="s">
        <v>214</v>
      </c>
      <c r="E21" s="252" t="s">
        <v>716</v>
      </c>
      <c r="F21" s="245"/>
      <c r="G21" s="245"/>
      <c r="H21" s="245"/>
      <c r="I21" s="108"/>
      <c r="J21" s="185"/>
      <c r="K21" s="193"/>
      <c r="L21" s="110"/>
      <c r="M21" s="111"/>
      <c r="N21" s="253"/>
      <c r="Q21" s="52"/>
    </row>
    <row r="22" spans="1:17" ht="14.25" customHeight="1" x14ac:dyDescent="0.3">
      <c r="A22" s="49"/>
      <c r="B22" s="49"/>
      <c r="C22" s="90" t="s">
        <v>77</v>
      </c>
      <c r="D22" s="91" t="s">
        <v>534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6">
        <f>SUMIF(ARM_IRON_LT1_ES[Linha de serviço PPU], D21, ARM_IRON_LT1_ES[QUA])</f>
        <v>0</v>
      </c>
      <c r="K22" s="194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54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7"/>
      <c r="K23" s="195"/>
      <c r="L23" s="106"/>
      <c r="M23" s="107"/>
      <c r="N23" s="255"/>
      <c r="Q23" s="52"/>
    </row>
    <row r="24" spans="1:17" ht="15" customHeight="1" x14ac:dyDescent="0.3">
      <c r="A24" s="49"/>
      <c r="B24" s="49"/>
      <c r="C24" s="83"/>
      <c r="D24" s="84" t="s">
        <v>215</v>
      </c>
      <c r="E24" s="252" t="s">
        <v>717</v>
      </c>
      <c r="F24" s="245"/>
      <c r="G24" s="245"/>
      <c r="H24" s="245"/>
      <c r="I24" s="108"/>
      <c r="J24" s="185"/>
      <c r="K24" s="193"/>
      <c r="L24" s="110"/>
      <c r="M24" s="111"/>
      <c r="N24" s="253"/>
      <c r="Q24" s="52"/>
    </row>
    <row r="25" spans="1:17" ht="14.25" customHeight="1" x14ac:dyDescent="0.3">
      <c r="A25" s="49"/>
      <c r="B25" s="49"/>
      <c r="C25" s="90" t="s">
        <v>84</v>
      </c>
      <c r="D25" s="91" t="s">
        <v>534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6">
        <f>SUMIF(ARM_IRON_LT1_ES[Linha de serviço PPU], D24, ARM_IRON_LT1_ES[QUA])</f>
        <v>0</v>
      </c>
      <c r="K25" s="194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4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7"/>
      <c r="K26" s="195"/>
      <c r="L26" s="106"/>
      <c r="M26" s="107"/>
      <c r="N26" s="255"/>
      <c r="Q26" s="52"/>
    </row>
    <row r="27" spans="1:17" ht="15" customHeight="1" x14ac:dyDescent="0.3">
      <c r="A27" s="49"/>
      <c r="B27" s="49"/>
      <c r="C27" s="83"/>
      <c r="D27" s="84" t="s">
        <v>216</v>
      </c>
      <c r="E27" s="252" t="s">
        <v>718</v>
      </c>
      <c r="F27" s="245"/>
      <c r="G27" s="245"/>
      <c r="H27" s="245"/>
      <c r="I27" s="114"/>
      <c r="J27" s="186"/>
      <c r="K27" s="194"/>
      <c r="L27" s="96"/>
      <c r="M27" s="97"/>
      <c r="N27" s="253"/>
      <c r="Q27" s="52"/>
    </row>
    <row r="28" spans="1:17" ht="14.25" customHeight="1" x14ac:dyDescent="0.3">
      <c r="A28" s="49"/>
      <c r="B28" s="49"/>
      <c r="C28" s="90" t="s">
        <v>87</v>
      </c>
      <c r="D28" s="91" t="s">
        <v>534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6">
        <f>SUMIF(ARM_IRON_LT1_ES[Linha de serviço PPU], D27, ARM_IRON_LT1_ES[QUA])</f>
        <v>0</v>
      </c>
      <c r="K28" s="194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54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6"/>
      <c r="K29" s="195"/>
      <c r="L29" s="96"/>
      <c r="M29" s="107"/>
      <c r="N29" s="255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6" t="s">
        <v>719</v>
      </c>
      <c r="F30" s="256"/>
      <c r="G30" s="256"/>
      <c r="H30" s="257"/>
      <c r="I30" s="167" t="s">
        <v>90</v>
      </c>
      <c r="J30" s="188">
        <f>SUMIF( DADOS_IRON_LT1_ES[Linha de serviço PPU], D30, DADOS_IRON_LT1_ES[QExecAgrupado])</f>
        <v>2</v>
      </c>
      <c r="K30" s="187">
        <f>J30*N5</f>
        <v>1.9</v>
      </c>
      <c r="L30" s="165">
        <f>VLOOKUP(D30,PPU_IRON_LT1[[Linha de Serviço]:[P. Unitário (R$)]],4,0)</f>
        <v>125.89</v>
      </c>
      <c r="M30" s="163">
        <f t="shared" ref="M30:M36" si="0">L30*J30</f>
        <v>251.78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720</v>
      </c>
      <c r="F31" s="245"/>
      <c r="G31" s="245"/>
      <c r="H31" s="245"/>
      <c r="I31" s="168" t="s">
        <v>90</v>
      </c>
      <c r="J31" s="188">
        <f>SUMIF( DADOS_IRON_LT1_ES[Linha de serviço PPU], D31, DADOS_IRON_LT1_ES[QExecAgrupado])</f>
        <v>0</v>
      </c>
      <c r="K31" s="187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679</v>
      </c>
      <c r="D32" s="84" t="s">
        <v>721</v>
      </c>
      <c r="E32" s="245" t="s">
        <v>722</v>
      </c>
      <c r="F32" s="245"/>
      <c r="G32" s="245"/>
      <c r="H32" s="245"/>
      <c r="I32" s="168" t="s">
        <v>680</v>
      </c>
      <c r="J32" s="188">
        <f>SUM(DADOS_IRON_LT1_ES[KM Adicional])</f>
        <v>0</v>
      </c>
      <c r="K32" s="187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46" t="s">
        <v>13</v>
      </c>
      <c r="F33" s="247"/>
      <c r="G33" s="247"/>
      <c r="H33" s="248"/>
      <c r="I33" s="168" t="s">
        <v>681</v>
      </c>
      <c r="J33" s="188">
        <f>SUMIF( DADOS_IRON_LT1_ES[Linha de serviço PPU], D33, DADOS_IRON_LT1_ES[QExecAgrupado])</f>
        <v>0</v>
      </c>
      <c r="K33" s="187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46" t="s">
        <v>15</v>
      </c>
      <c r="F34" s="247"/>
      <c r="G34" s="247"/>
      <c r="H34" s="248"/>
      <c r="I34" s="168" t="s">
        <v>681</v>
      </c>
      <c r="J34" s="188">
        <f>SUMIF( DADOS_IRON_LT1_ES[Linha de serviço PPU], D34, DADOS_IRON_LT1_ES[QExecAgrupado])</f>
        <v>0</v>
      </c>
      <c r="K34" s="187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46" t="s">
        <v>723</v>
      </c>
      <c r="F35" s="247"/>
      <c r="G35" s="247"/>
      <c r="H35" s="248"/>
      <c r="I35" s="168" t="s">
        <v>108</v>
      </c>
      <c r="J35" s="188">
        <f>SUMIF( DADOS_IRON_LT1_ES[Linha de serviço PPU], D35, DADOS_IRON_LT1_ES[QExecAgrupado])</f>
        <v>0</v>
      </c>
      <c r="K35" s="187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46" t="s">
        <v>724</v>
      </c>
      <c r="F36" s="247"/>
      <c r="G36" s="247"/>
      <c r="H36" s="248"/>
      <c r="I36" s="168" t="s">
        <v>67</v>
      </c>
      <c r="J36" s="188">
        <f>SUMIF( DADOS_IRON_LT1_ES[Linha de serviço PPU], D36, DADOS_IRON_LT1_ES[QExecAgrupado])</f>
        <v>0</v>
      </c>
      <c r="K36" s="187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49" t="s">
        <v>682</v>
      </c>
      <c r="E37" s="250"/>
      <c r="F37" s="250"/>
      <c r="G37" s="250"/>
      <c r="H37" s="250"/>
      <c r="I37" s="123"/>
      <c r="J37" s="189"/>
      <c r="K37" s="189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725</v>
      </c>
      <c r="F38" s="245"/>
      <c r="G38" s="245"/>
      <c r="H38" s="245"/>
      <c r="I38" s="168" t="s">
        <v>726</v>
      </c>
      <c r="J38" s="188">
        <f>SUMIF( DADOS_IRON_LT1_ES[Linha de serviço PPU], D38, DADOS_IRON_LT1_ES[QExec])</f>
        <v>18</v>
      </c>
      <c r="K38" s="196">
        <f>J38*N7</f>
        <v>17.28</v>
      </c>
      <c r="L38" s="165">
        <f>VLOOKUP(D38,PPU_IRON_LT1[[Linha de Serviço]:[P. Unitário (R$)]],4,0)</f>
        <v>0.44</v>
      </c>
      <c r="M38" s="164">
        <f t="shared" ref="M38:M47" si="1">J38*L38</f>
        <v>7.92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1" t="s">
        <v>727</v>
      </c>
      <c r="F39" s="251"/>
      <c r="G39" s="251"/>
      <c r="H39" s="251"/>
      <c r="I39" s="168" t="s">
        <v>67</v>
      </c>
      <c r="J39" s="188">
        <f>SUMIF( DADOS_IRON_LT1_ES[Linha de serviço PPU], D39, DADOS_IRON_LT1_ES[QExec])</f>
        <v>0</v>
      </c>
      <c r="K39" s="196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728</v>
      </c>
      <c r="F40" s="245"/>
      <c r="G40" s="245"/>
      <c r="H40" s="245"/>
      <c r="I40" s="168" t="s">
        <v>122</v>
      </c>
      <c r="J40" s="188">
        <f>SUMIF( DADOS_IRON_LT1_ES[Linha de serviço PPU], D40, DADOS_IRON_LT1_ES[QExec])</f>
        <v>0</v>
      </c>
      <c r="K40" s="196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729</v>
      </c>
      <c r="F41" s="245"/>
      <c r="G41" s="245"/>
      <c r="H41" s="245"/>
      <c r="I41" s="168" t="s">
        <v>122</v>
      </c>
      <c r="J41" s="188">
        <f>SUMIF( DADOS_IRON_LT1_ES[Linha de serviço PPU], D41, DADOS_IRON_LT1_ES[QExec])</f>
        <v>0</v>
      </c>
      <c r="K41" s="196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88">
        <f>SUMIF( DADOS_IRON_LT1_ES[Linha de serviço PPU], D42, DADOS_IRON_LT1_ES[QExec])</f>
        <v>288</v>
      </c>
      <c r="K42" s="196">
        <f>J42*N7</f>
        <v>276.48</v>
      </c>
      <c r="L42" s="165">
        <f>VLOOKUP(D42,PPU_IRON_LT1[[Linha de Serviço]:[P. Unitário (R$)]],4,0)</f>
        <v>0.1</v>
      </c>
      <c r="M42" s="164">
        <f t="shared" si="1"/>
        <v>28.8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730</v>
      </c>
      <c r="F43" s="245"/>
      <c r="G43" s="245"/>
      <c r="H43" s="245"/>
      <c r="I43" s="168" t="s">
        <v>731</v>
      </c>
      <c r="J43" s="188">
        <f>SUMIF( DADOS_IRON_LT1_ES[Linha de serviço PPU], D43, DADOS_IRON_LT1_ES[QExec])</f>
        <v>1.8</v>
      </c>
      <c r="K43" s="196">
        <f>J43*N7</f>
        <v>1.728</v>
      </c>
      <c r="L43" s="165">
        <f>VLOOKUP(D43,PPU_IRON_LT1[[Linha de Serviço]:[P. Unitário (R$)]],4,0)</f>
        <v>0.23</v>
      </c>
      <c r="M43" s="164">
        <f t="shared" si="1"/>
        <v>0.41400000000000003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88">
        <f>SUMIF( DADOS_IRON_LT1_ES[Linha de serviço PPU], D44, DADOS_IRON_LT1_ES[QExec])</f>
        <v>0</v>
      </c>
      <c r="K44" s="196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88">
        <f>SUMIF( DADOS_IRON_LT1_ES[Linha de serviço PPU], D45, DADOS_IRON_LT1_ES[QExec])</f>
        <v>0</v>
      </c>
      <c r="K45" s="196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88">
        <f>SUMIF( DADOS_IRON_LT1_ES[Linha de serviço PPU], D46, DADOS_IRON_LT1_ES[QExec])</f>
        <v>0</v>
      </c>
      <c r="K46" s="196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88">
        <f>SUMIF( DADOS_IRON_LT1_ES[Linha de serviço PPU], D47, DADOS_IRON_LT1_ES[QExec])</f>
        <v>0</v>
      </c>
      <c r="K47" s="196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38" t="s">
        <v>683</v>
      </c>
      <c r="D48" s="239"/>
      <c r="E48" s="239"/>
      <c r="F48" s="239"/>
      <c r="G48" s="239"/>
      <c r="H48" s="239"/>
      <c r="I48" s="237"/>
      <c r="J48" s="190"/>
      <c r="K48" s="190"/>
      <c r="L48" s="128"/>
      <c r="M48" s="129">
        <f>SUM(M12:M47)</f>
        <v>9389.1139999999996</v>
      </c>
      <c r="N48" s="119"/>
      <c r="Q48" s="52"/>
    </row>
    <row r="49" spans="1:17" ht="14.25" customHeight="1" x14ac:dyDescent="0.3">
      <c r="A49" s="49"/>
      <c r="B49" s="49"/>
      <c r="C49" s="240" t="s">
        <v>684</v>
      </c>
      <c r="D49" s="241"/>
      <c r="E49" s="241"/>
      <c r="F49" s="241"/>
      <c r="G49" s="241"/>
      <c r="H49" s="241"/>
      <c r="I49" s="237"/>
      <c r="J49" s="242" t="s">
        <v>685</v>
      </c>
      <c r="K49" s="241"/>
      <c r="L49" s="241"/>
      <c r="M49" s="241"/>
      <c r="N49" s="237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2" t="s">
        <v>732</v>
      </c>
      <c r="K50" s="241"/>
      <c r="L50" s="241"/>
      <c r="M50" s="241"/>
      <c r="N50" s="237"/>
      <c r="Q50" s="52"/>
    </row>
    <row r="51" spans="1:17" ht="16.5" customHeight="1" x14ac:dyDescent="0.3">
      <c r="A51" s="49"/>
      <c r="B51" s="49"/>
      <c r="C51" s="243" t="s">
        <v>686</v>
      </c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37"/>
      <c r="Q51" s="52"/>
    </row>
    <row r="52" spans="1:17" ht="60" customHeight="1" x14ac:dyDescent="0.3">
      <c r="A52" s="49"/>
      <c r="B52" s="49"/>
      <c r="C52" s="244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37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8"/>
      <c r="K53" s="178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687</v>
      </c>
      <c r="E54" s="71" t="s">
        <v>688</v>
      </c>
      <c r="F54" s="71" t="s">
        <v>689</v>
      </c>
      <c r="G54" s="71" t="s">
        <v>690</v>
      </c>
      <c r="H54" s="71"/>
      <c r="I54" s="71" t="s">
        <v>691</v>
      </c>
      <c r="J54" s="236" t="s">
        <v>692</v>
      </c>
      <c r="K54" s="237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8"/>
      <c r="K55" s="178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8"/>
      <c r="K56" s="178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8"/>
      <c r="K57" s="178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8"/>
      <c r="K58" s="178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8"/>
      <c r="K59" s="178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8"/>
      <c r="K60" s="178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8"/>
      <c r="K61" s="178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8"/>
      <c r="K62" s="178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8"/>
      <c r="K63" s="178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8"/>
      <c r="K64" s="178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8"/>
      <c r="K65" s="178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8"/>
      <c r="K66" s="178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8"/>
      <c r="K67" s="178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8"/>
      <c r="K68" s="178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8"/>
      <c r="K69" s="178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8"/>
      <c r="K70" s="178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8"/>
      <c r="K71" s="178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8"/>
      <c r="K72" s="178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8"/>
      <c r="K73" s="178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8"/>
      <c r="K74" s="178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8"/>
      <c r="K75" s="178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8"/>
      <c r="K76" s="178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8"/>
      <c r="K77" s="178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8"/>
      <c r="K78" s="178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8"/>
      <c r="K79" s="178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8"/>
      <c r="K80" s="178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8"/>
      <c r="K81" s="178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8"/>
      <c r="K82" s="178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8"/>
      <c r="K83" s="178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8"/>
      <c r="K84" s="178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8"/>
      <c r="K85" s="178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8"/>
      <c r="K86" s="178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8"/>
      <c r="K87" s="178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8"/>
      <c r="K88" s="178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8"/>
      <c r="K89" s="178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8"/>
      <c r="K90" s="178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8"/>
      <c r="K91" s="178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8"/>
      <c r="K92" s="178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8"/>
      <c r="K93" s="178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8"/>
      <c r="K94" s="178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8"/>
      <c r="K95" s="178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8"/>
      <c r="K96" s="178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8"/>
      <c r="K97" s="178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8"/>
      <c r="K98" s="178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8"/>
      <c r="K99" s="178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8"/>
      <c r="K100" s="178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8"/>
      <c r="K101" s="178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8"/>
      <c r="K102" s="178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8"/>
      <c r="K103" s="178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8"/>
      <c r="K104" s="178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8"/>
      <c r="K105" s="178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8"/>
      <c r="K106" s="178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8"/>
      <c r="K107" s="178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8"/>
      <c r="K108" s="178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8"/>
      <c r="K109" s="178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8"/>
      <c r="K110" s="178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8"/>
      <c r="K111" s="178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8"/>
      <c r="K112" s="178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8"/>
      <c r="K113" s="178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8"/>
      <c r="K114" s="178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8"/>
      <c r="K115" s="178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8"/>
      <c r="K116" s="178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8"/>
      <c r="K117" s="178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8"/>
      <c r="K118" s="178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8"/>
      <c r="K119" s="178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8"/>
      <c r="K120" s="178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8"/>
      <c r="K121" s="178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8"/>
      <c r="K122" s="178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8"/>
      <c r="K123" s="178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8"/>
      <c r="K124" s="178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8"/>
      <c r="K125" s="178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8"/>
      <c r="K126" s="178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8"/>
      <c r="K127" s="178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8"/>
      <c r="K128" s="178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8"/>
      <c r="K129" s="178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8"/>
      <c r="K130" s="178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8"/>
      <c r="K131" s="178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8"/>
      <c r="K132" s="178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8"/>
      <c r="K133" s="178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8"/>
      <c r="K134" s="178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8"/>
      <c r="K135" s="178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8"/>
      <c r="K136" s="178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8"/>
      <c r="K137" s="178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8"/>
      <c r="K138" s="178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8"/>
      <c r="K139" s="178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8"/>
      <c r="K140" s="178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8"/>
      <c r="K141" s="178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8"/>
      <c r="K142" s="178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8"/>
      <c r="K143" s="178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8"/>
      <c r="K144" s="178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8"/>
      <c r="K145" s="178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8"/>
      <c r="K146" s="178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8"/>
      <c r="K147" s="178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8"/>
      <c r="K148" s="178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8"/>
      <c r="K149" s="178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8"/>
      <c r="K150" s="178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8"/>
      <c r="K151" s="178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8"/>
      <c r="K152" s="178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8"/>
      <c r="K153" s="178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8"/>
      <c r="K154" s="178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8"/>
      <c r="K155" s="178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8"/>
      <c r="K156" s="178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8"/>
      <c r="K157" s="178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8"/>
      <c r="K158" s="178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8"/>
      <c r="K159" s="178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8"/>
      <c r="K160" s="178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8"/>
      <c r="K161" s="178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8"/>
      <c r="K162" s="178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8"/>
      <c r="K163" s="178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8"/>
      <c r="K164" s="178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8"/>
      <c r="K165" s="178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8"/>
      <c r="K166" s="178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8"/>
      <c r="K167" s="178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8"/>
      <c r="K168" s="178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8"/>
      <c r="K169" s="178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8"/>
      <c r="K170" s="178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8"/>
      <c r="K171" s="178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8"/>
      <c r="K172" s="178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8"/>
      <c r="K173" s="178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8"/>
      <c r="K174" s="178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8"/>
      <c r="K175" s="178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8"/>
      <c r="K176" s="178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8"/>
      <c r="K177" s="178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8"/>
      <c r="K178" s="178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8"/>
      <c r="K179" s="178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8"/>
      <c r="K180" s="178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8"/>
      <c r="K181" s="178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8"/>
      <c r="K182" s="178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8"/>
      <c r="K183" s="178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8"/>
      <c r="K184" s="178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8"/>
      <c r="K185" s="178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8"/>
      <c r="K186" s="178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8"/>
      <c r="K187" s="178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8"/>
      <c r="K188" s="178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8"/>
      <c r="K189" s="178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8"/>
      <c r="K190" s="178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8"/>
      <c r="K191" s="178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8"/>
      <c r="K192" s="178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8"/>
      <c r="K193" s="178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8"/>
      <c r="K194" s="178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8"/>
      <c r="K195" s="178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8"/>
      <c r="K196" s="178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8"/>
      <c r="K197" s="178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8"/>
      <c r="K198" s="178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8"/>
      <c r="K199" s="178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8"/>
      <c r="K200" s="178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8"/>
      <c r="K201" s="178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8"/>
      <c r="K202" s="178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8"/>
      <c r="K203" s="178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8"/>
      <c r="K204" s="178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8"/>
      <c r="K205" s="178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8"/>
      <c r="K206" s="178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8"/>
      <c r="K207" s="178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8"/>
      <c r="K208" s="178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8"/>
      <c r="K209" s="178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8"/>
      <c r="K210" s="178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8"/>
      <c r="K211" s="178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8"/>
      <c r="K212" s="178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8"/>
      <c r="K213" s="178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8"/>
      <c r="K214" s="178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8"/>
      <c r="K215" s="178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8"/>
      <c r="K216" s="178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8"/>
      <c r="K217" s="178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8"/>
      <c r="K218" s="178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8"/>
      <c r="K219" s="178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8"/>
      <c r="K220" s="178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8"/>
      <c r="K221" s="178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8"/>
      <c r="K222" s="178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8"/>
      <c r="K223" s="178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8"/>
      <c r="K224" s="178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8"/>
      <c r="K225" s="178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8"/>
      <c r="K226" s="178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8"/>
      <c r="K227" s="178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8"/>
      <c r="K228" s="178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8"/>
      <c r="K229" s="178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8"/>
      <c r="K230" s="178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8"/>
      <c r="K231" s="178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8"/>
      <c r="K232" s="178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8"/>
      <c r="K233" s="178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8"/>
      <c r="K234" s="178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8"/>
      <c r="K235" s="178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8"/>
      <c r="K236" s="178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8"/>
      <c r="K237" s="178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8"/>
      <c r="K238" s="178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8"/>
      <c r="K239" s="178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8"/>
      <c r="K240" s="178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8"/>
      <c r="K241" s="178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8"/>
      <c r="K242" s="178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8"/>
      <c r="K243" s="178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8"/>
      <c r="K244" s="178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8"/>
      <c r="K245" s="178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8"/>
      <c r="K246" s="178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8"/>
      <c r="K247" s="178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8"/>
      <c r="K248" s="178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8"/>
      <c r="K249" s="178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8"/>
      <c r="K250" s="178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8"/>
      <c r="K251" s="178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8"/>
      <c r="K252" s="178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8"/>
      <c r="K253" s="178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8"/>
      <c r="K254" s="178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8"/>
      <c r="K255" s="178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8"/>
      <c r="K256" s="178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8"/>
      <c r="K257" s="178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8"/>
      <c r="K258" s="178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8"/>
      <c r="K259" s="178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8"/>
      <c r="K260" s="178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8"/>
      <c r="K261" s="178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8"/>
      <c r="K262" s="178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8"/>
      <c r="K263" s="178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8"/>
      <c r="K264" s="178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8"/>
      <c r="K265" s="178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8"/>
      <c r="K266" s="178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8"/>
      <c r="K267" s="178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8"/>
      <c r="K268" s="178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8"/>
      <c r="K269" s="178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8"/>
      <c r="K270" s="178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8"/>
      <c r="K271" s="178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8"/>
      <c r="K272" s="178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8"/>
      <c r="K273" s="178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8"/>
      <c r="K274" s="178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8"/>
      <c r="K275" s="178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8"/>
      <c r="K276" s="178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8"/>
      <c r="K277" s="178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8"/>
      <c r="K278" s="178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8"/>
      <c r="K279" s="178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8"/>
      <c r="K280" s="178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8"/>
      <c r="K281" s="178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8"/>
      <c r="K282" s="178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8"/>
      <c r="K283" s="178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8"/>
      <c r="K284" s="178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8"/>
      <c r="K285" s="178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8"/>
      <c r="K286" s="178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8"/>
      <c r="K287" s="178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8"/>
      <c r="K288" s="178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8"/>
      <c r="K289" s="178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8"/>
      <c r="K290" s="178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8"/>
      <c r="K291" s="178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8"/>
      <c r="K292" s="178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8"/>
      <c r="K293" s="178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8"/>
      <c r="K294" s="178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8"/>
      <c r="K295" s="178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8"/>
      <c r="K296" s="178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8"/>
      <c r="K297" s="178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8"/>
      <c r="K298" s="178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8"/>
      <c r="K299" s="178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8"/>
      <c r="K300" s="178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8"/>
      <c r="K301" s="178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8"/>
      <c r="K302" s="178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8"/>
      <c r="K303" s="178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8"/>
      <c r="K304" s="178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8"/>
      <c r="K305" s="178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8"/>
      <c r="K306" s="178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8"/>
      <c r="K307" s="178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8"/>
      <c r="K308" s="178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8"/>
      <c r="K309" s="178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8"/>
      <c r="K310" s="178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8"/>
      <c r="K311" s="178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8"/>
      <c r="K312" s="178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8"/>
      <c r="K313" s="178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8"/>
      <c r="K314" s="178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8"/>
      <c r="K315" s="178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8"/>
      <c r="K316" s="178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8"/>
      <c r="K317" s="178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8"/>
      <c r="K318" s="178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8"/>
      <c r="K319" s="178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8"/>
      <c r="K320" s="178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8"/>
      <c r="K321" s="178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8"/>
      <c r="K322" s="178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8"/>
      <c r="K323" s="178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8"/>
      <c r="K324" s="178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8"/>
      <c r="K325" s="178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8"/>
      <c r="K326" s="178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8"/>
      <c r="K327" s="178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8"/>
      <c r="K328" s="178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8"/>
      <c r="K329" s="178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8"/>
      <c r="K330" s="178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8"/>
      <c r="K331" s="178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8"/>
      <c r="K332" s="178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8"/>
      <c r="K333" s="178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8"/>
      <c r="K334" s="178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8"/>
      <c r="K335" s="178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8"/>
      <c r="K336" s="178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8"/>
      <c r="K337" s="178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8"/>
      <c r="K338" s="178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8"/>
      <c r="K339" s="178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8"/>
      <c r="K340" s="178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8"/>
      <c r="K341" s="178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8"/>
      <c r="K342" s="178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8"/>
      <c r="K343" s="178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8"/>
      <c r="K344" s="178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8"/>
      <c r="K345" s="178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8"/>
      <c r="K346" s="178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8"/>
      <c r="K347" s="178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8"/>
      <c r="K348" s="178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8"/>
      <c r="K349" s="178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8"/>
      <c r="K350" s="178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8"/>
      <c r="K351" s="178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8"/>
      <c r="K352" s="178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8"/>
      <c r="K353" s="178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8"/>
      <c r="K354" s="178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8"/>
      <c r="K355" s="178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8"/>
      <c r="K356" s="178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8"/>
      <c r="K357" s="178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8"/>
      <c r="K358" s="178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8"/>
      <c r="K359" s="178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8"/>
      <c r="K360" s="178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8"/>
      <c r="K361" s="178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8"/>
      <c r="K362" s="178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8"/>
      <c r="K363" s="178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8"/>
      <c r="K364" s="178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8"/>
      <c r="K365" s="178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8"/>
      <c r="K366" s="178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8"/>
      <c r="K367" s="178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8"/>
      <c r="K368" s="178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8"/>
      <c r="K369" s="178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8"/>
      <c r="K370" s="178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8"/>
      <c r="K371" s="178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8"/>
      <c r="K372" s="178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8"/>
      <c r="K373" s="178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8"/>
      <c r="K374" s="178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8"/>
      <c r="K375" s="178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8"/>
      <c r="K376" s="178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8"/>
      <c r="K377" s="178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8"/>
      <c r="K378" s="178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8"/>
      <c r="K379" s="178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8"/>
      <c r="K380" s="178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8"/>
      <c r="K381" s="178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8"/>
      <c r="K382" s="178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8"/>
      <c r="K383" s="178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8"/>
      <c r="K384" s="178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8"/>
      <c r="K385" s="178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8"/>
      <c r="K386" s="178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8"/>
      <c r="K387" s="178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8"/>
      <c r="K388" s="178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8"/>
      <c r="K389" s="178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8"/>
      <c r="K390" s="178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8"/>
      <c r="K391" s="178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8"/>
      <c r="K392" s="178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8"/>
      <c r="K393" s="178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8"/>
      <c r="K394" s="178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8"/>
      <c r="K395" s="178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8"/>
      <c r="K396" s="178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8"/>
      <c r="K397" s="178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8"/>
      <c r="K398" s="178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8"/>
      <c r="K399" s="178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8"/>
      <c r="K400" s="178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8"/>
      <c r="K401" s="178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8"/>
      <c r="K402" s="178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8"/>
      <c r="K403" s="178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8"/>
      <c r="K404" s="178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8"/>
      <c r="K405" s="178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8"/>
      <c r="K406" s="178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8"/>
      <c r="K407" s="178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8"/>
      <c r="K408" s="178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8"/>
      <c r="K409" s="178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8"/>
      <c r="K410" s="178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8"/>
      <c r="K411" s="178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8"/>
      <c r="K412" s="178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8"/>
      <c r="K413" s="178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8"/>
      <c r="K414" s="178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8"/>
      <c r="K415" s="178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8"/>
      <c r="K416" s="178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8"/>
      <c r="K417" s="178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8"/>
      <c r="K418" s="178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8"/>
      <c r="K419" s="178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8"/>
      <c r="K420" s="178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8"/>
      <c r="K421" s="178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8"/>
      <c r="K422" s="178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8"/>
      <c r="K423" s="178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8"/>
      <c r="K424" s="178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8"/>
      <c r="K425" s="178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8"/>
      <c r="K426" s="178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8"/>
      <c r="K427" s="178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8"/>
      <c r="K428" s="178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8"/>
      <c r="K429" s="178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8"/>
      <c r="K430" s="178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8"/>
      <c r="K431" s="178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8"/>
      <c r="K432" s="178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8"/>
      <c r="K433" s="178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8"/>
      <c r="K434" s="178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8"/>
      <c r="K435" s="178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8"/>
      <c r="K436" s="178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8"/>
      <c r="K437" s="178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8"/>
      <c r="K438" s="178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8"/>
      <c r="K439" s="178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8"/>
      <c r="K440" s="178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8"/>
      <c r="K441" s="178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8"/>
      <c r="K442" s="178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8"/>
      <c r="K443" s="178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8"/>
      <c r="K444" s="178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8"/>
      <c r="K445" s="178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8"/>
      <c r="K446" s="178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8"/>
      <c r="K447" s="178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8"/>
      <c r="K448" s="178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8"/>
      <c r="K449" s="178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8"/>
      <c r="K450" s="178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8"/>
      <c r="K451" s="178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8"/>
      <c r="K452" s="178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8"/>
      <c r="K453" s="178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8"/>
      <c r="K454" s="178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8"/>
      <c r="K455" s="178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8"/>
      <c r="K456" s="178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8"/>
      <c r="K457" s="178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8"/>
      <c r="K458" s="178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8"/>
      <c r="K459" s="178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8"/>
      <c r="K460" s="178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8"/>
      <c r="K461" s="178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8"/>
      <c r="K462" s="178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8"/>
      <c r="K463" s="178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8"/>
      <c r="K464" s="178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8"/>
      <c r="K465" s="178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8"/>
      <c r="K466" s="178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8"/>
      <c r="K467" s="178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8"/>
      <c r="K468" s="178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8"/>
      <c r="K469" s="178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8"/>
      <c r="K470" s="178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8"/>
      <c r="K471" s="178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8"/>
      <c r="K472" s="178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8"/>
      <c r="K473" s="178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8"/>
      <c r="K474" s="178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8"/>
      <c r="K475" s="178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8"/>
      <c r="K476" s="178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8"/>
      <c r="K477" s="178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8"/>
      <c r="K478" s="178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8"/>
      <c r="K479" s="178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8"/>
      <c r="K480" s="178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8"/>
      <c r="K481" s="178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8"/>
      <c r="K482" s="178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8"/>
      <c r="K483" s="178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8"/>
      <c r="K484" s="178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8"/>
      <c r="K485" s="178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8"/>
      <c r="K486" s="178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8"/>
      <c r="K487" s="178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8"/>
      <c r="K488" s="178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8"/>
      <c r="K489" s="178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8"/>
      <c r="K490" s="178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8"/>
      <c r="K491" s="178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8"/>
      <c r="K492" s="178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8"/>
      <c r="K493" s="178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8"/>
      <c r="K494" s="178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8"/>
      <c r="K495" s="178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8"/>
      <c r="K496" s="178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8"/>
      <c r="K497" s="178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8"/>
      <c r="K498" s="178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8"/>
      <c r="K499" s="178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8"/>
      <c r="K500" s="178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8"/>
      <c r="K501" s="178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8"/>
      <c r="K502" s="178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8"/>
      <c r="K503" s="178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8"/>
      <c r="K504" s="178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8"/>
      <c r="K505" s="178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8"/>
      <c r="K506" s="178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8"/>
      <c r="K507" s="178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8"/>
      <c r="K508" s="178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8"/>
      <c r="K509" s="178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8"/>
      <c r="K510" s="178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8"/>
      <c r="K511" s="178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8"/>
      <c r="K512" s="178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8"/>
      <c r="K513" s="178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8"/>
      <c r="K514" s="178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8"/>
      <c r="K515" s="178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8"/>
      <c r="K516" s="178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8"/>
      <c r="K517" s="178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8"/>
      <c r="K518" s="178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8"/>
      <c r="K519" s="178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8"/>
      <c r="K520" s="178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8"/>
      <c r="K521" s="178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8"/>
      <c r="K522" s="178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8"/>
      <c r="K523" s="178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8"/>
      <c r="K524" s="178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8"/>
      <c r="K525" s="178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8"/>
      <c r="K526" s="178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8"/>
      <c r="K527" s="178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8"/>
      <c r="K528" s="178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8"/>
      <c r="K529" s="178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8"/>
      <c r="K530" s="178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8"/>
      <c r="K531" s="178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8"/>
      <c r="K532" s="178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8"/>
      <c r="K533" s="178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8"/>
      <c r="K534" s="178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8"/>
      <c r="K535" s="178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8"/>
      <c r="K536" s="178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8"/>
      <c r="K537" s="178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8"/>
      <c r="K538" s="178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8"/>
      <c r="K539" s="178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8"/>
      <c r="K540" s="178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8"/>
      <c r="K541" s="178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8"/>
      <c r="K542" s="178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8"/>
      <c r="K543" s="178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8"/>
      <c r="K544" s="178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8"/>
      <c r="K545" s="178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8"/>
      <c r="K546" s="178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8"/>
      <c r="K547" s="178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8"/>
      <c r="K548" s="178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8"/>
      <c r="K549" s="178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8"/>
      <c r="K550" s="178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8"/>
      <c r="K551" s="178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8"/>
      <c r="K552" s="178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8"/>
      <c r="K553" s="178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8"/>
      <c r="K554" s="178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8"/>
      <c r="K555" s="178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8"/>
      <c r="K556" s="178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8"/>
      <c r="K557" s="178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8"/>
      <c r="K558" s="178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8"/>
      <c r="K559" s="178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8"/>
      <c r="K560" s="178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8"/>
      <c r="K561" s="178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8"/>
      <c r="K562" s="178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8"/>
      <c r="K563" s="178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8"/>
      <c r="K564" s="178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8"/>
      <c r="K565" s="178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8"/>
      <c r="K566" s="178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8"/>
      <c r="K567" s="178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8"/>
      <c r="K568" s="178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8"/>
      <c r="K569" s="178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8"/>
      <c r="K570" s="178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8"/>
      <c r="K571" s="178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8"/>
      <c r="K572" s="178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8"/>
      <c r="K573" s="178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8"/>
      <c r="K574" s="178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8"/>
      <c r="K575" s="178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8"/>
      <c r="K576" s="178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8"/>
      <c r="K577" s="178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8"/>
      <c r="K578" s="178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8"/>
      <c r="K579" s="178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8"/>
      <c r="K580" s="178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8"/>
      <c r="K581" s="178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8"/>
      <c r="K582" s="178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8"/>
      <c r="K583" s="178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8"/>
      <c r="K584" s="178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8"/>
      <c r="K585" s="178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8"/>
      <c r="K586" s="178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8"/>
      <c r="K587" s="178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8"/>
      <c r="K588" s="178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8"/>
      <c r="K589" s="178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8"/>
      <c r="K590" s="178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8"/>
      <c r="K591" s="178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8"/>
      <c r="K592" s="178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8"/>
      <c r="K593" s="178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8"/>
      <c r="K594" s="178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8"/>
      <c r="K595" s="178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8"/>
      <c r="K596" s="178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8"/>
      <c r="K597" s="178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8"/>
      <c r="K598" s="178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8"/>
      <c r="K599" s="178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8"/>
      <c r="K600" s="178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8"/>
      <c r="K601" s="178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8"/>
      <c r="K602" s="178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8"/>
      <c r="K603" s="178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8"/>
      <c r="K604" s="178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8"/>
      <c r="K605" s="178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8"/>
      <c r="K606" s="178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8"/>
      <c r="K607" s="178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8"/>
      <c r="K608" s="178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8"/>
      <c r="K609" s="178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8"/>
      <c r="K610" s="178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8"/>
      <c r="K611" s="178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8"/>
      <c r="K612" s="178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8"/>
      <c r="K613" s="178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8"/>
      <c r="K614" s="178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8"/>
      <c r="K615" s="178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8"/>
      <c r="K616" s="178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8"/>
      <c r="K617" s="178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8"/>
      <c r="K618" s="178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8"/>
      <c r="K619" s="178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8"/>
      <c r="K620" s="178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8"/>
      <c r="K621" s="178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8"/>
      <c r="K622" s="178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8"/>
      <c r="K623" s="178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8"/>
      <c r="K624" s="178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8"/>
      <c r="K625" s="178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8"/>
      <c r="K626" s="178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8"/>
      <c r="K627" s="178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8"/>
      <c r="K628" s="178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8"/>
      <c r="K629" s="178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8"/>
      <c r="K630" s="178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8"/>
      <c r="K631" s="178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8"/>
      <c r="K632" s="178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8"/>
      <c r="K633" s="178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8"/>
      <c r="K634" s="178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8"/>
      <c r="K635" s="178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8"/>
      <c r="K636" s="178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8"/>
      <c r="K637" s="178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8"/>
      <c r="K638" s="178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8"/>
      <c r="K639" s="178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8"/>
      <c r="K640" s="178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8"/>
      <c r="K641" s="178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8"/>
      <c r="K642" s="178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8"/>
      <c r="K643" s="178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8"/>
      <c r="K644" s="178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8"/>
      <c r="K645" s="178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8"/>
      <c r="K646" s="178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8"/>
      <c r="K647" s="178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8"/>
      <c r="K648" s="178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8"/>
      <c r="K649" s="178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8"/>
      <c r="K650" s="178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8"/>
      <c r="K651" s="178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8"/>
      <c r="K652" s="178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8"/>
      <c r="K653" s="178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8"/>
      <c r="K654" s="178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8"/>
      <c r="K655" s="178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8"/>
      <c r="K656" s="178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8"/>
      <c r="K657" s="178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8"/>
      <c r="K658" s="178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8"/>
      <c r="K659" s="178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8"/>
      <c r="K660" s="178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8"/>
      <c r="K661" s="178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8"/>
      <c r="K662" s="178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8"/>
      <c r="K663" s="178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8"/>
      <c r="K664" s="178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8"/>
      <c r="K665" s="178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8"/>
      <c r="K666" s="178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8"/>
      <c r="K667" s="178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8"/>
      <c r="K668" s="178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8"/>
      <c r="K669" s="178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8"/>
      <c r="K670" s="178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8"/>
      <c r="K671" s="178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8"/>
      <c r="K672" s="178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8"/>
      <c r="K673" s="178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8"/>
      <c r="K674" s="178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8"/>
      <c r="K675" s="178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8"/>
      <c r="K676" s="178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8"/>
      <c r="K677" s="178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8"/>
      <c r="K678" s="178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8"/>
      <c r="K679" s="178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8"/>
      <c r="K680" s="178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8"/>
      <c r="K681" s="178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8"/>
      <c r="K682" s="178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8"/>
      <c r="K683" s="178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8"/>
      <c r="K684" s="178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8"/>
      <c r="K685" s="178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8"/>
      <c r="K686" s="178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8"/>
      <c r="K687" s="178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8"/>
      <c r="K688" s="178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8"/>
      <c r="K689" s="178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8"/>
      <c r="K690" s="178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8"/>
      <c r="K691" s="178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8"/>
      <c r="K692" s="178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8"/>
      <c r="K693" s="178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8"/>
      <c r="K694" s="178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8"/>
      <c r="K695" s="178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8"/>
      <c r="K696" s="178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8"/>
      <c r="K697" s="178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8"/>
      <c r="K698" s="178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8"/>
      <c r="K699" s="178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8"/>
      <c r="K700" s="178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8"/>
      <c r="K701" s="178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8"/>
      <c r="K702" s="178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8"/>
      <c r="K703" s="178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8"/>
      <c r="K704" s="178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8"/>
      <c r="K705" s="178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8"/>
      <c r="K706" s="178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8"/>
      <c r="K707" s="178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8"/>
      <c r="K708" s="178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8"/>
      <c r="K709" s="178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8"/>
      <c r="K710" s="178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8"/>
      <c r="K711" s="178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8"/>
      <c r="K712" s="178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8"/>
      <c r="K713" s="178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8"/>
      <c r="K714" s="178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8"/>
      <c r="K715" s="178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8"/>
      <c r="K716" s="178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8"/>
      <c r="K717" s="178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8"/>
      <c r="K718" s="178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8"/>
      <c r="K719" s="178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8"/>
      <c r="K720" s="178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8"/>
      <c r="K721" s="178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8"/>
      <c r="K722" s="178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8"/>
      <c r="K723" s="178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8"/>
      <c r="K724" s="178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8"/>
      <c r="K725" s="178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8"/>
      <c r="K726" s="178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8"/>
      <c r="K727" s="178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8"/>
      <c r="K728" s="178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8"/>
      <c r="K729" s="178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8"/>
      <c r="K730" s="178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8"/>
      <c r="K731" s="178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8"/>
      <c r="K732" s="178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8"/>
      <c r="K733" s="178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8"/>
      <c r="K734" s="178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8"/>
      <c r="K735" s="178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8"/>
      <c r="K736" s="178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8"/>
      <c r="K737" s="178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8"/>
      <c r="K738" s="178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8"/>
      <c r="K739" s="178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8"/>
      <c r="K740" s="178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8"/>
      <c r="K741" s="178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8"/>
      <c r="K742" s="178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8"/>
      <c r="K743" s="178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8"/>
      <c r="K744" s="178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8"/>
      <c r="K745" s="178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8"/>
      <c r="K746" s="178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8"/>
      <c r="K747" s="178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8"/>
      <c r="K748" s="178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8"/>
      <c r="K749" s="178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8"/>
      <c r="K750" s="178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8"/>
      <c r="K751" s="178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8"/>
      <c r="K752" s="178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8"/>
      <c r="K753" s="178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8"/>
      <c r="K754" s="178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8"/>
      <c r="K755" s="178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8"/>
      <c r="K756" s="178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8"/>
      <c r="K757" s="178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8"/>
      <c r="K758" s="178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8"/>
      <c r="K759" s="178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8"/>
      <c r="K760" s="178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8"/>
      <c r="K761" s="178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8"/>
      <c r="K762" s="178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8"/>
      <c r="K763" s="178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8"/>
      <c r="K764" s="178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8"/>
      <c r="K765" s="178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8"/>
      <c r="K766" s="178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8"/>
      <c r="K767" s="178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8"/>
      <c r="K768" s="178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8"/>
      <c r="K769" s="178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8"/>
      <c r="K770" s="178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8"/>
      <c r="K771" s="178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8"/>
      <c r="K772" s="178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8"/>
      <c r="K773" s="178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8"/>
      <c r="K774" s="178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8"/>
      <c r="K775" s="178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8"/>
      <c r="K776" s="178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8"/>
      <c r="K777" s="178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8"/>
      <c r="K778" s="178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8"/>
      <c r="K779" s="178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8"/>
      <c r="K780" s="178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8"/>
      <c r="K781" s="178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8"/>
      <c r="K782" s="178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8"/>
      <c r="K783" s="178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8"/>
      <c r="K784" s="178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8"/>
      <c r="K785" s="178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8"/>
      <c r="K786" s="178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8"/>
      <c r="K787" s="178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8"/>
      <c r="K788" s="178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8"/>
      <c r="K789" s="178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8"/>
      <c r="K790" s="178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8"/>
      <c r="K791" s="178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8"/>
      <c r="K792" s="178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8"/>
      <c r="K793" s="178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8"/>
      <c r="K794" s="178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8"/>
      <c r="K795" s="178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8"/>
      <c r="K796" s="178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8"/>
      <c r="K797" s="178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8"/>
      <c r="K798" s="178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8"/>
      <c r="K799" s="178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8"/>
      <c r="K800" s="178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8"/>
      <c r="K801" s="178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8"/>
      <c r="K802" s="178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8"/>
      <c r="K803" s="178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8"/>
      <c r="K804" s="178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8"/>
      <c r="K805" s="178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8"/>
      <c r="K806" s="178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8"/>
      <c r="K807" s="178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8"/>
      <c r="K808" s="178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8"/>
      <c r="K809" s="178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8"/>
      <c r="K810" s="178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8"/>
      <c r="K811" s="178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8"/>
      <c r="K812" s="178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8"/>
      <c r="K813" s="178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8"/>
      <c r="K814" s="178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8"/>
      <c r="K815" s="178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8"/>
      <c r="K816" s="178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8"/>
      <c r="K817" s="178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8"/>
      <c r="K818" s="178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8"/>
      <c r="K819" s="178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8"/>
      <c r="K820" s="178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8"/>
      <c r="K821" s="178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8"/>
      <c r="K822" s="178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8"/>
      <c r="K823" s="178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8"/>
      <c r="K824" s="178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8"/>
      <c r="K825" s="178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8"/>
      <c r="K826" s="178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8"/>
      <c r="K827" s="178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8"/>
      <c r="K828" s="178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8"/>
      <c r="K829" s="178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8"/>
      <c r="K830" s="178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8"/>
      <c r="K831" s="178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8"/>
      <c r="K832" s="178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8"/>
      <c r="K833" s="178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8"/>
      <c r="K834" s="178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8"/>
      <c r="K835" s="178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8"/>
      <c r="K836" s="178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8"/>
      <c r="K837" s="178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8"/>
      <c r="K838" s="178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8"/>
      <c r="K839" s="178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8"/>
      <c r="K840" s="178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8"/>
      <c r="K841" s="178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8"/>
      <c r="K842" s="178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8"/>
      <c r="K843" s="178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8"/>
      <c r="K844" s="178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8"/>
      <c r="K845" s="178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8"/>
      <c r="K846" s="178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8"/>
      <c r="K847" s="178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8"/>
      <c r="K848" s="178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8"/>
      <c r="K849" s="178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8"/>
      <c r="K850" s="178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8"/>
      <c r="K851" s="178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8"/>
      <c r="K852" s="178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8"/>
      <c r="K853" s="178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8"/>
      <c r="K854" s="178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8"/>
      <c r="K855" s="178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8"/>
      <c r="K856" s="178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8"/>
      <c r="K857" s="178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8"/>
      <c r="K858" s="178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8"/>
      <c r="K859" s="178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8"/>
      <c r="K860" s="178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8"/>
      <c r="K861" s="178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8"/>
      <c r="K862" s="178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8"/>
      <c r="K863" s="178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8"/>
      <c r="K864" s="178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8"/>
      <c r="K865" s="178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8"/>
      <c r="K866" s="178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8"/>
      <c r="K867" s="178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8"/>
      <c r="K868" s="178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8"/>
      <c r="K869" s="178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8"/>
      <c r="K870" s="178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8"/>
      <c r="K871" s="178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8"/>
      <c r="K872" s="178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8"/>
      <c r="K873" s="178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8"/>
      <c r="K874" s="178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8"/>
      <c r="K875" s="178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8"/>
      <c r="K876" s="178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8"/>
      <c r="K877" s="178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8"/>
      <c r="K878" s="178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8"/>
      <c r="K879" s="178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8"/>
      <c r="K880" s="178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8"/>
      <c r="K881" s="178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8"/>
      <c r="K882" s="178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8"/>
      <c r="K883" s="178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8"/>
      <c r="K884" s="178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8"/>
      <c r="K885" s="178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8"/>
      <c r="K886" s="178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8"/>
      <c r="K887" s="178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8"/>
      <c r="K888" s="178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8"/>
      <c r="K889" s="178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8"/>
      <c r="K890" s="178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8"/>
      <c r="K891" s="178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8"/>
      <c r="K892" s="178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8"/>
      <c r="K893" s="178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8"/>
      <c r="K894" s="178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8"/>
      <c r="K895" s="178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8"/>
      <c r="K896" s="178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8"/>
      <c r="K897" s="178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8"/>
      <c r="K898" s="178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8"/>
      <c r="K899" s="178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8"/>
      <c r="K900" s="178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8"/>
      <c r="K901" s="178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8"/>
      <c r="K902" s="178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8"/>
      <c r="K903" s="178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8"/>
      <c r="K904" s="178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8"/>
      <c r="K905" s="178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8"/>
      <c r="K906" s="178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8"/>
      <c r="K907" s="178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8"/>
      <c r="K908" s="178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8"/>
      <c r="K909" s="178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8"/>
      <c r="K910" s="178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8"/>
      <c r="K911" s="178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8"/>
      <c r="K912" s="178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8"/>
      <c r="K913" s="178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8"/>
      <c r="K914" s="178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8"/>
      <c r="K915" s="178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8"/>
      <c r="K916" s="178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8"/>
      <c r="K917" s="178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8"/>
      <c r="K918" s="178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8"/>
      <c r="K919" s="178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8"/>
      <c r="K920" s="178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8"/>
      <c r="K921" s="178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8"/>
      <c r="K922" s="178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8"/>
      <c r="K923" s="178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8"/>
      <c r="K924" s="178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8"/>
      <c r="K925" s="178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8"/>
      <c r="K926" s="178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8"/>
      <c r="K927" s="178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8"/>
      <c r="K928" s="178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8"/>
      <c r="K929" s="178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8"/>
      <c r="K930" s="178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8"/>
      <c r="K931" s="178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8"/>
      <c r="K932" s="178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8"/>
      <c r="K933" s="178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8"/>
      <c r="K934" s="178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8"/>
      <c r="K935" s="178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8"/>
      <c r="K936" s="178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8"/>
      <c r="K937" s="178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8"/>
      <c r="K938" s="178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8"/>
      <c r="K939" s="178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8"/>
      <c r="K940" s="178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8"/>
      <c r="K941" s="178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8"/>
      <c r="K942" s="178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8"/>
      <c r="K943" s="178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8"/>
      <c r="K944" s="178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8"/>
      <c r="K945" s="178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8"/>
      <c r="K946" s="178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8"/>
      <c r="K947" s="178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8"/>
      <c r="K948" s="178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8"/>
      <c r="K949" s="178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8"/>
      <c r="K950" s="178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8"/>
      <c r="K951" s="178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8"/>
      <c r="K952" s="178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8"/>
      <c r="K953" s="178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8"/>
      <c r="K954" s="178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8"/>
      <c r="K955" s="178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8"/>
      <c r="K956" s="178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8"/>
      <c r="K957" s="178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8"/>
      <c r="K958" s="178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8"/>
      <c r="K959" s="178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8"/>
      <c r="K960" s="178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8"/>
      <c r="K961" s="178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8"/>
      <c r="K962" s="178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8"/>
      <c r="K963" s="178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8"/>
      <c r="K964" s="178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8"/>
      <c r="K965" s="178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8"/>
      <c r="K966" s="178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8"/>
      <c r="K967" s="178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8"/>
      <c r="K968" s="178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8"/>
      <c r="K969" s="178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8"/>
      <c r="K970" s="178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8"/>
      <c r="K971" s="178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8"/>
      <c r="K972" s="178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8"/>
      <c r="K973" s="178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8"/>
      <c r="K974" s="178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8"/>
      <c r="K975" s="178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8"/>
      <c r="K976" s="178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8"/>
      <c r="K977" s="178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8"/>
      <c r="K978" s="178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8"/>
      <c r="K979" s="178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8"/>
      <c r="K980" s="178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8"/>
      <c r="K981" s="178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8"/>
      <c r="K982" s="178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8"/>
      <c r="K983" s="178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8"/>
      <c r="K984" s="178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8"/>
      <c r="K985" s="178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8"/>
      <c r="K986" s="178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8"/>
      <c r="K987" s="178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8"/>
      <c r="K988" s="178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8"/>
      <c r="K989" s="178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8"/>
      <c r="K990" s="178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8"/>
      <c r="K991" s="178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8"/>
      <c r="K992" s="178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8"/>
      <c r="K993" s="178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8"/>
      <c r="K994" s="178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8"/>
      <c r="K995" s="178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8"/>
      <c r="K996" s="178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8"/>
      <c r="K997" s="178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8"/>
      <c r="K998" s="178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8"/>
      <c r="K999" s="178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8"/>
      <c r="K1000" s="178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533</v>
      </c>
      <c r="C1" t="s">
        <v>2</v>
      </c>
      <c r="D1" t="s">
        <v>534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656</v>
      </c>
      <c r="K1" t="s">
        <v>210</v>
      </c>
    </row>
    <row r="2" spans="1:11" x14ac:dyDescent="0.3">
      <c r="A2" t="s">
        <v>352</v>
      </c>
      <c r="B2" t="s">
        <v>456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488</v>
      </c>
      <c r="B1" t="s">
        <v>0</v>
      </c>
      <c r="C1" t="s">
        <v>2</v>
      </c>
      <c r="D1" t="s">
        <v>138</v>
      </c>
      <c r="E1" t="s">
        <v>471</v>
      </c>
      <c r="F1" t="s">
        <v>474</v>
      </c>
      <c r="G1" t="s">
        <v>246</v>
      </c>
      <c r="H1" t="s">
        <v>472</v>
      </c>
      <c r="I1" t="s">
        <v>299</v>
      </c>
      <c r="J1" t="s">
        <v>139</v>
      </c>
      <c r="K1" t="s">
        <v>245</v>
      </c>
      <c r="L1" t="s">
        <v>247</v>
      </c>
      <c r="M1" t="s">
        <v>473</v>
      </c>
      <c r="N1" t="s">
        <v>140</v>
      </c>
      <c r="O1" t="s">
        <v>274</v>
      </c>
      <c r="P1" t="s">
        <v>145</v>
      </c>
      <c r="Q1" t="s">
        <v>664</v>
      </c>
      <c r="R1" t="s">
        <v>141</v>
      </c>
      <c r="S1" t="s">
        <v>658</v>
      </c>
      <c r="T1" t="s">
        <v>659</v>
      </c>
      <c r="U1" t="s">
        <v>660</v>
      </c>
      <c r="V1" t="s">
        <v>661</v>
      </c>
      <c r="W1" t="s">
        <v>662</v>
      </c>
      <c r="X1" t="s">
        <v>663</v>
      </c>
      <c r="Y1" t="s">
        <v>554</v>
      </c>
      <c r="Z1" t="s">
        <v>160</v>
      </c>
      <c r="AA1" t="s">
        <v>40</v>
      </c>
      <c r="AB1" t="s">
        <v>375</v>
      </c>
      <c r="AC1" t="s">
        <v>552</v>
      </c>
      <c r="AD1" t="s">
        <v>210</v>
      </c>
      <c r="AE1" t="s">
        <v>551</v>
      </c>
      <c r="AF1" t="s">
        <v>555</v>
      </c>
    </row>
    <row r="2" spans="1:32" x14ac:dyDescent="0.3">
      <c r="A2" t="s">
        <v>352</v>
      </c>
      <c r="B2" t="s">
        <v>43</v>
      </c>
      <c r="C2" t="s">
        <v>105</v>
      </c>
      <c r="D2" t="s">
        <v>310</v>
      </c>
      <c r="E2" t="s">
        <v>1104</v>
      </c>
      <c r="F2" s="15">
        <v>46251.397696759261</v>
      </c>
      <c r="G2" t="s">
        <v>412</v>
      </c>
      <c r="H2">
        <v>1</v>
      </c>
      <c r="I2" t="s">
        <v>1105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201</v>
      </c>
      <c r="P2" t="s">
        <v>531</v>
      </c>
      <c r="S2" t="s">
        <v>1106</v>
      </c>
      <c r="T2" t="s">
        <v>1107</v>
      </c>
      <c r="U2" t="s">
        <v>261</v>
      </c>
      <c r="V2" t="s">
        <v>352</v>
      </c>
      <c r="W2" t="s">
        <v>403</v>
      </c>
      <c r="X2" t="s">
        <v>261</v>
      </c>
      <c r="Y2">
        <v>0</v>
      </c>
      <c r="AA2" t="s">
        <v>67</v>
      </c>
      <c r="AB2" t="s">
        <v>1106</v>
      </c>
      <c r="AC2">
        <v>2300</v>
      </c>
      <c r="AD2" t="s">
        <v>217</v>
      </c>
      <c r="AE2">
        <v>1</v>
      </c>
      <c r="AF2">
        <v>1</v>
      </c>
    </row>
    <row r="3" spans="1:32" x14ac:dyDescent="0.3">
      <c r="A3" t="s">
        <v>352</v>
      </c>
      <c r="B3" t="s">
        <v>63</v>
      </c>
      <c r="C3" t="s">
        <v>95</v>
      </c>
      <c r="D3" t="s">
        <v>310</v>
      </c>
      <c r="E3" t="s">
        <v>828</v>
      </c>
      <c r="F3" s="15">
        <v>46239.427071759259</v>
      </c>
      <c r="G3" t="s">
        <v>412</v>
      </c>
      <c r="H3">
        <v>18</v>
      </c>
      <c r="I3" t="s">
        <v>1108</v>
      </c>
      <c r="J3" s="15">
        <v>46240.370833333334</v>
      </c>
      <c r="K3" s="15">
        <v>46253.495833333334</v>
      </c>
      <c r="L3" s="15"/>
      <c r="M3">
        <v>18</v>
      </c>
      <c r="O3" t="s">
        <v>201</v>
      </c>
      <c r="P3" t="s">
        <v>532</v>
      </c>
      <c r="S3" t="s">
        <v>1106</v>
      </c>
      <c r="T3" t="s">
        <v>1107</v>
      </c>
      <c r="U3" t="s">
        <v>261</v>
      </c>
      <c r="V3" t="s">
        <v>7</v>
      </c>
      <c r="W3" t="s">
        <v>7</v>
      </c>
      <c r="X3" t="s">
        <v>7</v>
      </c>
      <c r="AA3" t="s">
        <v>96</v>
      </c>
      <c r="AB3" t="s">
        <v>1106</v>
      </c>
      <c r="AC3">
        <v>2300</v>
      </c>
      <c r="AD3" t="s">
        <v>225</v>
      </c>
      <c r="AE3">
        <v>18</v>
      </c>
      <c r="AF3">
        <v>30.78</v>
      </c>
    </row>
    <row r="4" spans="1:32" x14ac:dyDescent="0.3">
      <c r="A4" t="s">
        <v>352</v>
      </c>
      <c r="B4" t="s">
        <v>57</v>
      </c>
      <c r="C4" t="s">
        <v>117</v>
      </c>
      <c r="D4" t="s">
        <v>310</v>
      </c>
      <c r="E4" t="s">
        <v>828</v>
      </c>
      <c r="F4" s="15">
        <v>46239.427071759259</v>
      </c>
      <c r="G4" t="s">
        <v>412</v>
      </c>
      <c r="H4">
        <v>18</v>
      </c>
      <c r="I4" t="s">
        <v>1108</v>
      </c>
      <c r="J4" s="15">
        <v>46240.370833333334</v>
      </c>
      <c r="K4" s="15">
        <v>46253.495833333334</v>
      </c>
      <c r="L4" s="15"/>
      <c r="M4">
        <v>18</v>
      </c>
      <c r="O4" t="s">
        <v>201</v>
      </c>
      <c r="P4" t="s">
        <v>532</v>
      </c>
      <c r="S4" t="s">
        <v>1106</v>
      </c>
      <c r="T4" t="s">
        <v>1107</v>
      </c>
      <c r="U4" t="s">
        <v>261</v>
      </c>
      <c r="V4" t="s">
        <v>7</v>
      </c>
      <c r="W4" t="s">
        <v>7</v>
      </c>
      <c r="X4" t="s">
        <v>7</v>
      </c>
      <c r="AA4" t="s">
        <v>127</v>
      </c>
      <c r="AB4" t="s">
        <v>1106</v>
      </c>
      <c r="AC4">
        <v>2300</v>
      </c>
      <c r="AD4" t="s">
        <v>233</v>
      </c>
      <c r="AE4">
        <v>1.8</v>
      </c>
    </row>
    <row r="5" spans="1:32" x14ac:dyDescent="0.3">
      <c r="A5" t="s">
        <v>352</v>
      </c>
      <c r="B5" t="s">
        <v>279</v>
      </c>
      <c r="C5" t="s">
        <v>197</v>
      </c>
      <c r="D5" t="s">
        <v>310</v>
      </c>
      <c r="E5" t="s">
        <v>828</v>
      </c>
      <c r="F5" s="15">
        <v>46239.427071759259</v>
      </c>
      <c r="G5" t="s">
        <v>412</v>
      </c>
      <c r="H5">
        <v>18</v>
      </c>
      <c r="I5" t="s">
        <v>1108</v>
      </c>
      <c r="J5" s="15">
        <v>46240.370833333334</v>
      </c>
      <c r="K5" s="15">
        <v>46253.495833333334</v>
      </c>
      <c r="L5" s="15"/>
      <c r="M5">
        <v>18</v>
      </c>
      <c r="O5" t="s">
        <v>201</v>
      </c>
      <c r="P5" t="s">
        <v>531</v>
      </c>
      <c r="S5" t="s">
        <v>1106</v>
      </c>
      <c r="T5" t="s">
        <v>1107</v>
      </c>
      <c r="U5" t="s">
        <v>261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1106</v>
      </c>
      <c r="AC5">
        <v>2300</v>
      </c>
      <c r="AD5" t="s">
        <v>232</v>
      </c>
      <c r="AE5">
        <v>288</v>
      </c>
    </row>
    <row r="6" spans="1:32" x14ac:dyDescent="0.3">
      <c r="A6" t="s">
        <v>352</v>
      </c>
      <c r="B6" t="s">
        <v>45</v>
      </c>
      <c r="C6" t="s">
        <v>68</v>
      </c>
      <c r="D6" t="s">
        <v>310</v>
      </c>
      <c r="E6" t="s">
        <v>1109</v>
      </c>
      <c r="F6" s="15">
        <v>46251.388148148151</v>
      </c>
      <c r="G6" t="s">
        <v>1110</v>
      </c>
      <c r="H6">
        <v>10</v>
      </c>
      <c r="I6" t="s">
        <v>1111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201</v>
      </c>
      <c r="P6" t="s">
        <v>531</v>
      </c>
      <c r="S6" t="s">
        <v>1106</v>
      </c>
      <c r="T6" t="s">
        <v>1107</v>
      </c>
      <c r="U6" t="s">
        <v>261</v>
      </c>
      <c r="V6" t="s">
        <v>352</v>
      </c>
      <c r="W6" t="s">
        <v>403</v>
      </c>
      <c r="X6" t="s">
        <v>261</v>
      </c>
      <c r="Y6">
        <v>0</v>
      </c>
      <c r="AA6" t="s">
        <v>67</v>
      </c>
      <c r="AB6" t="s">
        <v>1106</v>
      </c>
      <c r="AC6">
        <v>2300</v>
      </c>
      <c r="AD6" t="s">
        <v>217</v>
      </c>
      <c r="AE6">
        <v>1</v>
      </c>
    </row>
    <row r="7" spans="1:32" x14ac:dyDescent="0.3">
      <c r="A7" t="s">
        <v>352</v>
      </c>
      <c r="B7" t="s">
        <v>51</v>
      </c>
      <c r="C7" t="s">
        <v>258</v>
      </c>
      <c r="D7" t="s">
        <v>310</v>
      </c>
      <c r="E7" t="s">
        <v>1114</v>
      </c>
      <c r="F7" s="15">
        <v>46252.367824074077</v>
      </c>
      <c r="G7" t="s">
        <v>1110</v>
      </c>
      <c r="H7">
        <v>150</v>
      </c>
      <c r="I7" t="s">
        <v>1115</v>
      </c>
      <c r="J7" s="15">
        <v>46253.532638888886</v>
      </c>
      <c r="K7" s="15">
        <v>46255.618055555555</v>
      </c>
      <c r="L7" s="15"/>
      <c r="M7">
        <v>150</v>
      </c>
      <c r="O7" t="s">
        <v>201</v>
      </c>
      <c r="P7" t="s">
        <v>531</v>
      </c>
      <c r="S7" t="s">
        <v>1106</v>
      </c>
      <c r="T7" t="s">
        <v>1107</v>
      </c>
      <c r="U7" t="s">
        <v>261</v>
      </c>
      <c r="V7" t="s">
        <v>7</v>
      </c>
      <c r="W7" t="s">
        <v>7</v>
      </c>
      <c r="X7" t="s">
        <v>7</v>
      </c>
      <c r="AA7" t="s">
        <v>238</v>
      </c>
      <c r="AB7" t="s">
        <v>1106</v>
      </c>
      <c r="AC7">
        <v>2300</v>
      </c>
      <c r="AD7" t="s">
        <v>7</v>
      </c>
      <c r="AF7">
        <v>0</v>
      </c>
    </row>
    <row r="8" spans="1:32" x14ac:dyDescent="0.3">
      <c r="A8" t="s">
        <v>352</v>
      </c>
      <c r="B8" t="s">
        <v>45</v>
      </c>
      <c r="C8" t="s">
        <v>68</v>
      </c>
      <c r="D8" t="s">
        <v>310</v>
      </c>
      <c r="E8" t="s">
        <v>1112</v>
      </c>
      <c r="F8" s="15">
        <v>46251.394097222219</v>
      </c>
      <c r="G8" t="s">
        <v>1110</v>
      </c>
      <c r="H8">
        <v>5</v>
      </c>
      <c r="I8" t="s">
        <v>1113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201</v>
      </c>
      <c r="P8" t="s">
        <v>531</v>
      </c>
      <c r="S8" t="s">
        <v>1106</v>
      </c>
      <c r="T8" t="s">
        <v>1107</v>
      </c>
      <c r="U8" t="s">
        <v>261</v>
      </c>
      <c r="V8" t="s">
        <v>352</v>
      </c>
      <c r="W8" t="s">
        <v>403</v>
      </c>
      <c r="X8" t="s">
        <v>261</v>
      </c>
      <c r="AA8" t="s">
        <v>67</v>
      </c>
      <c r="AB8" t="s">
        <v>1106</v>
      </c>
      <c r="AC8">
        <v>2300</v>
      </c>
      <c r="AD8" t="s">
        <v>217</v>
      </c>
      <c r="AE8">
        <v>1</v>
      </c>
    </row>
    <row r="9" spans="1:32" x14ac:dyDescent="0.3">
      <c r="A9" t="s">
        <v>352</v>
      </c>
      <c r="B9" t="s">
        <v>48</v>
      </c>
      <c r="C9" t="s">
        <v>68</v>
      </c>
      <c r="D9" t="s">
        <v>310</v>
      </c>
      <c r="E9" t="s">
        <v>1116</v>
      </c>
      <c r="F9" s="15">
        <v>46226.72587962963</v>
      </c>
      <c r="G9" t="s">
        <v>412</v>
      </c>
      <c r="H9">
        <v>1</v>
      </c>
      <c r="I9" t="s">
        <v>1117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201</v>
      </c>
      <c r="P9" t="s">
        <v>531</v>
      </c>
      <c r="S9" t="s">
        <v>1106</v>
      </c>
      <c r="T9" t="s">
        <v>1107</v>
      </c>
      <c r="U9" t="s">
        <v>261</v>
      </c>
      <c r="V9" t="s">
        <v>352</v>
      </c>
      <c r="W9" t="s">
        <v>403</v>
      </c>
      <c r="X9" t="s">
        <v>261</v>
      </c>
      <c r="Y9">
        <v>0</v>
      </c>
      <c r="AA9" t="s">
        <v>90</v>
      </c>
      <c r="AB9" t="s">
        <v>1106</v>
      </c>
      <c r="AC9">
        <v>2300</v>
      </c>
      <c r="AD9" t="s">
        <v>217</v>
      </c>
      <c r="AE9">
        <v>1</v>
      </c>
      <c r="AF9">
        <v>1</v>
      </c>
    </row>
    <row r="10" spans="1:32" x14ac:dyDescent="0.3">
      <c r="A10" t="s">
        <v>352</v>
      </c>
      <c r="B10" t="s">
        <v>45</v>
      </c>
      <c r="C10" t="s">
        <v>68</v>
      </c>
      <c r="D10" t="s">
        <v>310</v>
      </c>
      <c r="E10" t="s">
        <v>1118</v>
      </c>
      <c r="F10" s="15">
        <v>46219.31449074074</v>
      </c>
      <c r="G10" t="s">
        <v>1110</v>
      </c>
      <c r="H10">
        <v>9</v>
      </c>
      <c r="I10" t="s">
        <v>1119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201</v>
      </c>
      <c r="P10" t="s">
        <v>531</v>
      </c>
      <c r="S10" t="s">
        <v>1106</v>
      </c>
      <c r="T10" t="s">
        <v>1107</v>
      </c>
      <c r="U10" t="s">
        <v>261</v>
      </c>
      <c r="V10" t="s">
        <v>352</v>
      </c>
      <c r="W10" t="s">
        <v>403</v>
      </c>
      <c r="X10" t="s">
        <v>261</v>
      </c>
      <c r="Y10">
        <v>0</v>
      </c>
      <c r="AA10" t="s">
        <v>67</v>
      </c>
      <c r="AB10" t="s">
        <v>1106</v>
      </c>
      <c r="AC10">
        <v>2300</v>
      </c>
      <c r="AD10" t="s">
        <v>217</v>
      </c>
      <c r="AE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352</v>
      </c>
      <c r="B2" t="s">
        <v>43</v>
      </c>
      <c r="C2" t="s">
        <v>105</v>
      </c>
      <c r="D2" s="15">
        <v>46251.397696759261</v>
      </c>
      <c r="E2" t="s">
        <v>412</v>
      </c>
      <c r="F2">
        <v>1</v>
      </c>
      <c r="G2" s="15">
        <v>46255.615277777775</v>
      </c>
      <c r="H2" t="s">
        <v>1106</v>
      </c>
      <c r="I2" t="s">
        <v>1107</v>
      </c>
      <c r="J2" t="s">
        <v>261</v>
      </c>
      <c r="K2" t="s">
        <v>352</v>
      </c>
      <c r="L2" t="s">
        <v>403</v>
      </c>
      <c r="M2" t="s">
        <v>261</v>
      </c>
      <c r="N2">
        <v>0</v>
      </c>
      <c r="O2" t="s">
        <v>67</v>
      </c>
      <c r="P2" t="s">
        <v>1106</v>
      </c>
      <c r="Q2" t="s">
        <v>217</v>
      </c>
      <c r="R2">
        <v>1</v>
      </c>
    </row>
    <row r="3" spans="1:18" x14ac:dyDescent="0.3">
      <c r="A3" t="s">
        <v>352</v>
      </c>
      <c r="B3" t="s">
        <v>45</v>
      </c>
      <c r="C3" t="s">
        <v>68</v>
      </c>
      <c r="D3" s="15">
        <v>46251.388148148151</v>
      </c>
      <c r="E3" t="s">
        <v>1110</v>
      </c>
      <c r="F3">
        <v>10</v>
      </c>
      <c r="G3" s="15">
        <v>46255.618055555555</v>
      </c>
      <c r="H3" t="s">
        <v>1106</v>
      </c>
      <c r="I3" t="s">
        <v>1107</v>
      </c>
      <c r="J3" t="s">
        <v>261</v>
      </c>
      <c r="K3" t="s">
        <v>352</v>
      </c>
      <c r="L3" t="s">
        <v>403</v>
      </c>
      <c r="M3" t="s">
        <v>261</v>
      </c>
      <c r="N3">
        <v>0</v>
      </c>
      <c r="O3" t="s">
        <v>67</v>
      </c>
      <c r="P3" t="s">
        <v>1106</v>
      </c>
      <c r="Q3" t="s">
        <v>217</v>
      </c>
    </row>
    <row r="4" spans="1:18" x14ac:dyDescent="0.3">
      <c r="A4" t="s">
        <v>352</v>
      </c>
      <c r="B4" t="s">
        <v>45</v>
      </c>
      <c r="C4" t="s">
        <v>68</v>
      </c>
      <c r="D4" s="15">
        <v>46251.394097222219</v>
      </c>
      <c r="E4" t="s">
        <v>1110</v>
      </c>
      <c r="F4">
        <v>5</v>
      </c>
      <c r="G4" s="15">
        <v>46255.615277777775</v>
      </c>
      <c r="H4" t="s">
        <v>1106</v>
      </c>
      <c r="I4" t="s">
        <v>1107</v>
      </c>
      <c r="J4" t="s">
        <v>261</v>
      </c>
      <c r="K4" t="s">
        <v>352</v>
      </c>
      <c r="L4" t="s">
        <v>403</v>
      </c>
      <c r="M4" t="s">
        <v>261</v>
      </c>
      <c r="O4" t="s">
        <v>67</v>
      </c>
      <c r="P4" t="s">
        <v>1106</v>
      </c>
      <c r="Q4" t="s">
        <v>217</v>
      </c>
    </row>
    <row r="5" spans="1:18" x14ac:dyDescent="0.3">
      <c r="A5" t="s">
        <v>352</v>
      </c>
      <c r="B5" t="s">
        <v>48</v>
      </c>
      <c r="C5" t="s">
        <v>68</v>
      </c>
      <c r="D5" s="15">
        <v>46226.72587962963</v>
      </c>
      <c r="E5" t="s">
        <v>412</v>
      </c>
      <c r="F5">
        <v>1</v>
      </c>
      <c r="G5" s="15">
        <v>46232.441666666666</v>
      </c>
      <c r="H5" t="s">
        <v>1106</v>
      </c>
      <c r="I5" t="s">
        <v>1107</v>
      </c>
      <c r="J5" t="s">
        <v>261</v>
      </c>
      <c r="K5" t="s">
        <v>352</v>
      </c>
      <c r="L5" t="s">
        <v>403</v>
      </c>
      <c r="M5" t="s">
        <v>261</v>
      </c>
      <c r="N5">
        <v>0</v>
      </c>
      <c r="O5" t="s">
        <v>90</v>
      </c>
      <c r="P5" t="s">
        <v>1106</v>
      </c>
      <c r="Q5" t="s">
        <v>217</v>
      </c>
      <c r="R5">
        <v>1</v>
      </c>
    </row>
    <row r="6" spans="1:18" x14ac:dyDescent="0.3">
      <c r="A6" t="s">
        <v>352</v>
      </c>
      <c r="B6" t="s">
        <v>45</v>
      </c>
      <c r="C6" t="s">
        <v>68</v>
      </c>
      <c r="D6" s="15">
        <v>46219.31449074074</v>
      </c>
      <c r="E6" t="s">
        <v>1110</v>
      </c>
      <c r="F6">
        <v>9</v>
      </c>
      <c r="G6" s="15">
        <v>46232.447916666664</v>
      </c>
      <c r="H6" t="s">
        <v>1106</v>
      </c>
      <c r="I6" t="s">
        <v>1107</v>
      </c>
      <c r="J6" t="s">
        <v>261</v>
      </c>
      <c r="K6" t="s">
        <v>352</v>
      </c>
      <c r="L6" t="s">
        <v>403</v>
      </c>
      <c r="M6" t="s">
        <v>261</v>
      </c>
      <c r="N6">
        <v>0</v>
      </c>
      <c r="O6" t="s">
        <v>67</v>
      </c>
      <c r="P6" t="s">
        <v>1106</v>
      </c>
      <c r="Q6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58" t="s">
        <v>665</v>
      </c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52"/>
    </row>
    <row r="3" spans="1:26" ht="14.25" customHeight="1" thickTop="1" thickBot="1" x14ac:dyDescent="0.35">
      <c r="B3" s="261" t="s">
        <v>666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60"/>
      <c r="Q3" s="53"/>
      <c r="R3" s="52"/>
    </row>
    <row r="4" spans="1:26" ht="14.25" customHeight="1" thickTop="1" x14ac:dyDescent="0.3">
      <c r="B4" s="262" t="s">
        <v>733</v>
      </c>
      <c r="C4" s="263"/>
      <c r="D4" s="54" t="s">
        <v>667</v>
      </c>
      <c r="E4" s="54"/>
      <c r="F4" s="51"/>
      <c r="G4" s="51"/>
      <c r="H4" s="50"/>
      <c r="I4" s="51" t="s">
        <v>734</v>
      </c>
      <c r="J4" s="55" t="s">
        <v>706</v>
      </c>
      <c r="K4" s="54"/>
      <c r="L4" s="264" t="s">
        <v>668</v>
      </c>
      <c r="M4" s="56" t="s">
        <v>669</v>
      </c>
      <c r="N4" s="174">
        <f>VLOOKUP("IRON-LT1", TabelaFDMPorContrato[[Contrato]:[IAPFARQ1]],4,0)</f>
        <v>51.515151515151516</v>
      </c>
      <c r="O4" s="57"/>
      <c r="Q4" s="53"/>
      <c r="R4" s="52"/>
    </row>
    <row r="5" spans="1:26" ht="14.25" customHeight="1" x14ac:dyDescent="0.3">
      <c r="B5" s="266" t="s">
        <v>735</v>
      </c>
      <c r="C5" s="265"/>
      <c r="D5" s="58">
        <v>4600686987</v>
      </c>
      <c r="E5" s="58"/>
      <c r="F5" s="51"/>
      <c r="G5" s="51"/>
      <c r="H5" s="50"/>
      <c r="I5" s="59" t="s">
        <v>670</v>
      </c>
      <c r="J5" s="58" t="s">
        <v>708</v>
      </c>
      <c r="K5" s="60"/>
      <c r="L5" s="265"/>
      <c r="M5" s="61" t="s">
        <v>671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66" t="s">
        <v>736</v>
      </c>
      <c r="C6" s="265"/>
      <c r="D6" s="267" t="s">
        <v>710</v>
      </c>
      <c r="E6" s="265"/>
      <c r="F6" s="265"/>
      <c r="G6" s="265"/>
      <c r="H6" s="265"/>
      <c r="I6" s="59" t="s">
        <v>672</v>
      </c>
      <c r="J6" s="58" t="s">
        <v>711</v>
      </c>
      <c r="K6" s="58"/>
      <c r="L6" s="269" t="s">
        <v>673</v>
      </c>
      <c r="M6" s="61" t="s">
        <v>669</v>
      </c>
      <c r="N6" s="173">
        <f>VLOOKUP("IRON-LT1", TabelaFDMPorContrato[[Contrato]:[IAPFARQ2]],9,0)</f>
        <v>78.571428571428569</v>
      </c>
      <c r="O6" s="63"/>
      <c r="Q6" s="53"/>
      <c r="R6" s="52"/>
    </row>
    <row r="7" spans="1:26" ht="14.25" customHeight="1" thickBot="1" x14ac:dyDescent="0.35">
      <c r="B7" s="270"/>
      <c r="C7" s="268"/>
      <c r="D7" s="268"/>
      <c r="E7" s="268"/>
      <c r="F7" s="268"/>
      <c r="G7" s="268"/>
      <c r="H7" s="268"/>
      <c r="I7" s="64" t="s">
        <v>674</v>
      </c>
      <c r="J7" s="175" t="s">
        <v>1193</v>
      </c>
      <c r="K7" s="65"/>
      <c r="L7" s="268"/>
      <c r="M7" s="66" t="s">
        <v>671</v>
      </c>
      <c r="N7" s="67">
        <f>VLOOKUP("IRON-LT1", TabelaFDMPorContrato[[Contrato]:[FDM2]],11,0)</f>
        <v>0.96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36" t="s">
        <v>0</v>
      </c>
      <c r="E10" s="241"/>
      <c r="F10" s="241"/>
      <c r="G10" s="241"/>
      <c r="H10" s="237"/>
      <c r="I10" s="72" t="s">
        <v>40</v>
      </c>
      <c r="J10" s="73" t="s">
        <v>551</v>
      </c>
      <c r="K10" s="73" t="s">
        <v>675</v>
      </c>
      <c r="L10" s="73" t="s">
        <v>676</v>
      </c>
      <c r="M10" s="74" t="s">
        <v>677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678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2" t="s">
        <v>713</v>
      </c>
      <c r="F12" s="245"/>
      <c r="G12" s="245"/>
      <c r="H12" s="245"/>
      <c r="I12" s="85"/>
      <c r="J12" s="86"/>
      <c r="K12" s="87"/>
      <c r="L12" s="88"/>
      <c r="M12" s="89"/>
      <c r="N12" s="253"/>
      <c r="Q12" s="52"/>
    </row>
    <row r="13" spans="1:26" ht="14.25" customHeight="1" x14ac:dyDescent="0.3">
      <c r="A13" s="49"/>
      <c r="B13" s="49"/>
      <c r="C13" s="90" t="s">
        <v>66</v>
      </c>
      <c r="D13" s="91" t="s">
        <v>534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64495</v>
      </c>
      <c r="K13" s="95">
        <f>J13*$N$5</f>
        <v>61270.25</v>
      </c>
      <c r="L13" s="96">
        <f>VLOOKUP(D12,PPU_IRON_LT1[[Linha de Serviço]:[P. Unitário (R$)]],4,0)</f>
        <v>0.6</v>
      </c>
      <c r="M13" s="97">
        <f>J13*L13</f>
        <v>38697</v>
      </c>
      <c r="N13" s="254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64179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316</v>
      </c>
      <c r="H14" s="102">
        <f>(D14-E14-F14)+G14</f>
        <v>64495</v>
      </c>
      <c r="I14" s="103"/>
      <c r="J14" s="104"/>
      <c r="K14" s="105"/>
      <c r="L14" s="106"/>
      <c r="M14" s="107"/>
      <c r="N14" s="255"/>
      <c r="Q14" s="52"/>
    </row>
    <row r="15" spans="1:26" ht="15" customHeight="1" x14ac:dyDescent="0.3">
      <c r="A15" s="49"/>
      <c r="B15" s="49"/>
      <c r="C15" s="83"/>
      <c r="D15" s="84" t="s">
        <v>212</v>
      </c>
      <c r="E15" s="252" t="s">
        <v>714</v>
      </c>
      <c r="F15" s="245"/>
      <c r="G15" s="245"/>
      <c r="H15" s="245"/>
      <c r="I15" s="108"/>
      <c r="J15" s="109"/>
      <c r="K15" s="87"/>
      <c r="L15" s="110"/>
      <c r="M15" s="111"/>
      <c r="N15" s="253"/>
      <c r="Q15" s="52"/>
    </row>
    <row r="16" spans="1:26" ht="14.25" customHeight="1" x14ac:dyDescent="0.3">
      <c r="A16" s="49"/>
      <c r="B16" s="49"/>
      <c r="C16" s="90" t="s">
        <v>72</v>
      </c>
      <c r="D16" s="91" t="s">
        <v>534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1776.5</v>
      </c>
      <c r="L16" s="96">
        <f>VLOOKUP(D15,PPU_IRON_LT1[[Linha de Serviço]:[P. Unitário (R$)]],4,0)</f>
        <v>3.55</v>
      </c>
      <c r="M16" s="97">
        <f>J16*L16</f>
        <v>6638.5</v>
      </c>
      <c r="N16" s="254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55"/>
      <c r="Q17" s="52"/>
    </row>
    <row r="18" spans="1:17" ht="15" customHeight="1" x14ac:dyDescent="0.3">
      <c r="A18" s="49"/>
      <c r="B18" s="49"/>
      <c r="C18" s="83"/>
      <c r="D18" s="84" t="s">
        <v>213</v>
      </c>
      <c r="E18" s="252" t="s">
        <v>715</v>
      </c>
      <c r="F18" s="245"/>
      <c r="G18" s="245"/>
      <c r="H18" s="245"/>
      <c r="I18" s="108"/>
      <c r="J18" s="109"/>
      <c r="K18" s="87"/>
      <c r="M18" s="111"/>
      <c r="N18" s="253"/>
      <c r="Q18" s="52"/>
    </row>
    <row r="19" spans="1:17" ht="14.25" customHeight="1" x14ac:dyDescent="0.3">
      <c r="A19" s="49"/>
      <c r="B19" s="49"/>
      <c r="C19" s="90" t="s">
        <v>75</v>
      </c>
      <c r="D19" s="91" t="s">
        <v>534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4703.45</v>
      </c>
      <c r="L19" s="96">
        <f>VLOOKUP(D18,PPU_IRON_LT1[[Linha de Serviço]:[P. Unitário (R$)]],4,0)</f>
        <v>0.74</v>
      </c>
      <c r="M19" s="97">
        <f>J19*L19</f>
        <v>3663.74</v>
      </c>
      <c r="N19" s="254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4822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129</v>
      </c>
      <c r="H20" s="102">
        <f>(D20-E20-F20)+G20</f>
        <v>4951</v>
      </c>
      <c r="I20" s="103"/>
      <c r="J20" s="104"/>
      <c r="K20" s="105"/>
      <c r="L20" s="106"/>
      <c r="M20" s="107"/>
      <c r="N20" s="255"/>
      <c r="Q20" s="52"/>
    </row>
    <row r="21" spans="1:17" ht="15" customHeight="1" x14ac:dyDescent="0.3">
      <c r="A21" s="49"/>
      <c r="B21" s="49"/>
      <c r="C21" s="83"/>
      <c r="D21" s="84" t="s">
        <v>214</v>
      </c>
      <c r="E21" s="252" t="s">
        <v>716</v>
      </c>
      <c r="F21" s="245"/>
      <c r="G21" s="245"/>
      <c r="H21" s="245"/>
      <c r="I21" s="108"/>
      <c r="J21" s="109"/>
      <c r="K21" s="87"/>
      <c r="L21" s="110"/>
      <c r="M21" s="111"/>
      <c r="N21" s="253"/>
      <c r="Q21" s="52"/>
    </row>
    <row r="22" spans="1:17" ht="14.25" customHeight="1" x14ac:dyDescent="0.3">
      <c r="A22" s="49"/>
      <c r="B22" s="49"/>
      <c r="C22" s="90" t="s">
        <v>77</v>
      </c>
      <c r="D22" s="91" t="s">
        <v>534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54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55"/>
      <c r="Q23" s="52"/>
    </row>
    <row r="24" spans="1:17" ht="15" customHeight="1" x14ac:dyDescent="0.3">
      <c r="A24" s="49"/>
      <c r="B24" s="49"/>
      <c r="C24" s="83"/>
      <c r="D24" s="84" t="s">
        <v>215</v>
      </c>
      <c r="E24" s="252" t="s">
        <v>717</v>
      </c>
      <c r="F24" s="245"/>
      <c r="G24" s="245"/>
      <c r="H24" s="245"/>
      <c r="I24" s="108"/>
      <c r="J24" s="109"/>
      <c r="K24" s="87"/>
      <c r="L24" s="110"/>
      <c r="M24" s="111"/>
      <c r="N24" s="253"/>
      <c r="Q24" s="52"/>
    </row>
    <row r="25" spans="1:17" ht="14.25" customHeight="1" x14ac:dyDescent="0.3">
      <c r="A25" s="49"/>
      <c r="B25" s="49"/>
      <c r="C25" s="90" t="s">
        <v>84</v>
      </c>
      <c r="D25" s="91" t="s">
        <v>534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4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55"/>
      <c r="Q26" s="52"/>
    </row>
    <row r="27" spans="1:17" ht="15" customHeight="1" x14ac:dyDescent="0.3">
      <c r="A27" s="49"/>
      <c r="B27" s="49"/>
      <c r="C27" s="83"/>
      <c r="D27" s="84" t="s">
        <v>216</v>
      </c>
      <c r="E27" s="252" t="s">
        <v>718</v>
      </c>
      <c r="F27" s="245"/>
      <c r="G27" s="245"/>
      <c r="H27" s="245"/>
      <c r="I27" s="114"/>
      <c r="J27" s="115"/>
      <c r="K27" s="95"/>
      <c r="L27" s="96"/>
      <c r="M27" s="97"/>
      <c r="N27" s="253"/>
      <c r="Q27" s="52"/>
    </row>
    <row r="28" spans="1:17" ht="14.25" customHeight="1" x14ac:dyDescent="0.3">
      <c r="A28" s="49"/>
      <c r="B28" s="49"/>
      <c r="C28" s="90" t="s">
        <v>87</v>
      </c>
      <c r="D28" s="91" t="s">
        <v>534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54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55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6" t="s">
        <v>719</v>
      </c>
      <c r="F30" s="256"/>
      <c r="G30" s="256"/>
      <c r="H30" s="257"/>
      <c r="I30" s="167" t="s">
        <v>90</v>
      </c>
      <c r="J30" s="171">
        <f>SUMIF( DADOS_IRON_LT1_SP[Linha de serviço PPU], D30, DADOS_IRON_LT1_SP[QExecAgrupado])</f>
        <v>11</v>
      </c>
      <c r="K30" s="169">
        <f>J30*N5</f>
        <v>10.45</v>
      </c>
      <c r="L30" s="165">
        <f>VLOOKUP(D30,PPU_IRON_LT1[[Linha de Serviço]:[P. Unitário (R$)]],4,0)</f>
        <v>125.89</v>
      </c>
      <c r="M30" s="163">
        <f t="shared" ref="M30:M36" si="0">L30*J30</f>
        <v>1384.79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720</v>
      </c>
      <c r="F31" s="245"/>
      <c r="G31" s="245"/>
      <c r="H31" s="245"/>
      <c r="I31" s="168" t="s">
        <v>90</v>
      </c>
      <c r="J31" s="171">
        <f>SUMIF( DADOS_IRON_LT1_SP[Linha de serviço PPU], D31, DADOS_IRON_LT1_SP[QExecAgrupado])</f>
        <v>1</v>
      </c>
      <c r="K31" s="169">
        <f>J31*N5</f>
        <v>0.95</v>
      </c>
      <c r="L31" s="165">
        <f>VLOOKUP(D31,PPU_IRON_LT1[[Linha de Serviço]:[P. Unitário (R$)]],4,0)</f>
        <v>200</v>
      </c>
      <c r="M31" s="163">
        <f t="shared" si="0"/>
        <v>200</v>
      </c>
      <c r="N31" s="119"/>
      <c r="Q31" s="52"/>
    </row>
    <row r="32" spans="1:17" ht="15" customHeight="1" x14ac:dyDescent="0.3">
      <c r="A32" s="49"/>
      <c r="B32" s="49"/>
      <c r="C32" s="120" t="s">
        <v>679</v>
      </c>
      <c r="D32" s="84" t="s">
        <v>721</v>
      </c>
      <c r="E32" s="245" t="s">
        <v>722</v>
      </c>
      <c r="F32" s="245"/>
      <c r="G32" s="245"/>
      <c r="H32" s="245"/>
      <c r="I32" s="168" t="s">
        <v>680</v>
      </c>
      <c r="J32" s="171">
        <f>SUM(DADOS_IRON_LT1_SP[KM Adicional])</f>
        <v>301</v>
      </c>
      <c r="K32" s="169">
        <f>J32*N5</f>
        <v>285.95</v>
      </c>
      <c r="L32" s="165">
        <f>VLOOKUP(D32,PPU_IRON_LT1[[Linha de Serviço]:[P. Unitário (R$)]],4,0)</f>
        <v>0.5</v>
      </c>
      <c r="M32" s="163">
        <f t="shared" si="0"/>
        <v>150.5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46" t="s">
        <v>13</v>
      </c>
      <c r="F33" s="247"/>
      <c r="G33" s="247"/>
      <c r="H33" s="248"/>
      <c r="I33" s="168" t="s">
        <v>681</v>
      </c>
      <c r="J33" s="171">
        <f>SUMIF( DADOS_IRON_LT1_SP[Linha de serviço PPU], D33, DADOS_IRON_LT1_SP[QExecAgrupado])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46" t="s">
        <v>15</v>
      </c>
      <c r="F34" s="247"/>
      <c r="G34" s="247"/>
      <c r="H34" s="248"/>
      <c r="I34" s="168" t="s">
        <v>681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46" t="s">
        <v>723</v>
      </c>
      <c r="F35" s="247"/>
      <c r="G35" s="247"/>
      <c r="H35" s="248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46" t="s">
        <v>724</v>
      </c>
      <c r="F36" s="247"/>
      <c r="G36" s="247"/>
      <c r="H36" s="248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49" t="s">
        <v>682</v>
      </c>
      <c r="E37" s="250"/>
      <c r="F37" s="250"/>
      <c r="G37" s="250"/>
      <c r="H37" s="250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725</v>
      </c>
      <c r="F38" s="245"/>
      <c r="G38" s="245"/>
      <c r="H38" s="245"/>
      <c r="I38" s="168" t="s">
        <v>726</v>
      </c>
      <c r="J38" s="171">
        <f>SUMIF( DADOS_IRON_LT1_SP[Linha de serviço PPU], D38, DADOS_IRON_LT1_SP[QExec])</f>
        <v>28</v>
      </c>
      <c r="K38" s="170">
        <f>J38*N7</f>
        <v>26.88</v>
      </c>
      <c r="L38" s="165">
        <f>VLOOKUP(D38,PPU_IRON_LT1[[Linha de Serviço]:[P. Unitário (R$)]],4,0)</f>
        <v>0.44</v>
      </c>
      <c r="M38" s="164">
        <f t="shared" ref="M38:M47" si="1">J38*L38</f>
        <v>12.32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1" t="s">
        <v>727</v>
      </c>
      <c r="F39" s="251"/>
      <c r="G39" s="251"/>
      <c r="H39" s="251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728</v>
      </c>
      <c r="F40" s="245"/>
      <c r="G40" s="245"/>
      <c r="H40" s="245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729</v>
      </c>
      <c r="F41" s="245"/>
      <c r="G41" s="245"/>
      <c r="H41" s="245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 DADOS_IRON_LT1_SP[Linha de serviço PPU], D42, DADOS_IRON_LT1_SP[QExec])</f>
        <v>526</v>
      </c>
      <c r="K42" s="170">
        <f>J42*N7</f>
        <v>504.96</v>
      </c>
      <c r="L42" s="165">
        <f>VLOOKUP(D42,PPU_IRON_LT1[[Linha de Serviço]:[P. Unitário (R$)]],4,0)</f>
        <v>0.1</v>
      </c>
      <c r="M42" s="164">
        <f t="shared" si="1"/>
        <v>52.6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730</v>
      </c>
      <c r="F43" s="245"/>
      <c r="G43" s="245"/>
      <c r="H43" s="245"/>
      <c r="I43" s="168" t="s">
        <v>731</v>
      </c>
      <c r="J43" s="171">
        <f>SUMIF( DADOS_IRON_LT1_SP[Linha de serviço PPU], D43, DADOS_IRON_LT1_SP[QExec])</f>
        <v>4.5999999999999996</v>
      </c>
      <c r="K43" s="170">
        <f>J43*N7</f>
        <v>4.4159999999999995</v>
      </c>
      <c r="L43" s="165">
        <f>VLOOKUP(D43,PPU_IRON_LT1[[Linha de Serviço]:[P. Unitário (R$)]],4,0)</f>
        <v>0.23</v>
      </c>
      <c r="M43" s="164">
        <f t="shared" si="1"/>
        <v>1.0580000000000001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38" t="s">
        <v>683</v>
      </c>
      <c r="D48" s="239"/>
      <c r="E48" s="239"/>
      <c r="F48" s="239"/>
      <c r="G48" s="239"/>
      <c r="H48" s="239"/>
      <c r="I48" s="237"/>
      <c r="J48" s="128"/>
      <c r="K48" s="128"/>
      <c r="L48" s="128"/>
      <c r="M48" s="129">
        <f>SUM(M12:M47)</f>
        <v>50800.507999999994</v>
      </c>
      <c r="N48" s="119"/>
      <c r="Q48" s="52"/>
    </row>
    <row r="49" spans="1:17" ht="14.25" customHeight="1" x14ac:dyDescent="0.3">
      <c r="A49" s="49"/>
      <c r="B49" s="49"/>
      <c r="C49" s="240" t="s">
        <v>684</v>
      </c>
      <c r="D49" s="241"/>
      <c r="E49" s="241"/>
      <c r="F49" s="241"/>
      <c r="G49" s="241"/>
      <c r="H49" s="241"/>
      <c r="I49" s="237"/>
      <c r="J49" s="242" t="s">
        <v>685</v>
      </c>
      <c r="K49" s="241"/>
      <c r="L49" s="241"/>
      <c r="M49" s="241"/>
      <c r="N49" s="237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2" t="s">
        <v>732</v>
      </c>
      <c r="K50" s="241"/>
      <c r="L50" s="241"/>
      <c r="M50" s="241"/>
      <c r="N50" s="237"/>
      <c r="Q50" s="52"/>
    </row>
    <row r="51" spans="1:17" ht="16.5" customHeight="1" x14ac:dyDescent="0.3">
      <c r="A51" s="49"/>
      <c r="B51" s="49"/>
      <c r="C51" s="243" t="s">
        <v>686</v>
      </c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37"/>
      <c r="Q51" s="52"/>
    </row>
    <row r="52" spans="1:17" ht="60" customHeight="1" x14ac:dyDescent="0.3">
      <c r="A52" s="49"/>
      <c r="B52" s="49"/>
      <c r="C52" s="244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37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687</v>
      </c>
      <c r="E54" s="71" t="s">
        <v>688</v>
      </c>
      <c r="F54" s="71" t="s">
        <v>689</v>
      </c>
      <c r="G54" s="71" t="s">
        <v>690</v>
      </c>
      <c r="H54" s="71"/>
      <c r="I54" s="71" t="s">
        <v>691</v>
      </c>
      <c r="J54" s="236" t="s">
        <v>692</v>
      </c>
      <c r="K54" s="237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533</v>
      </c>
      <c r="C1" t="s">
        <v>2</v>
      </c>
      <c r="D1" t="s">
        <v>534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656</v>
      </c>
      <c r="K1" t="s">
        <v>210</v>
      </c>
    </row>
    <row r="2" spans="1:11" x14ac:dyDescent="0.3">
      <c r="A2" t="s">
        <v>350</v>
      </c>
      <c r="B2" t="s">
        <v>453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537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211</v>
      </c>
    </row>
    <row r="4" spans="1:11" x14ac:dyDescent="0.3">
      <c r="A4" t="s">
        <v>350</v>
      </c>
      <c r="B4" t="s">
        <v>447</v>
      </c>
      <c r="C4" t="s">
        <v>154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211</v>
      </c>
    </row>
    <row r="5" spans="1:11" x14ac:dyDescent="0.3">
      <c r="A5" t="s">
        <v>350</v>
      </c>
      <c r="B5" t="s">
        <v>454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211</v>
      </c>
    </row>
    <row r="6" spans="1:11" x14ac:dyDescent="0.3">
      <c r="A6" t="s">
        <v>350</v>
      </c>
      <c r="B6" t="s">
        <v>455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454</v>
      </c>
      <c r="C7" t="s">
        <v>538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448</v>
      </c>
      <c r="C8" t="s">
        <v>1191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445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450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539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451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450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539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9.332031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488</v>
      </c>
      <c r="B1" t="s">
        <v>0</v>
      </c>
      <c r="C1" t="s">
        <v>2</v>
      </c>
      <c r="D1" t="s">
        <v>138</v>
      </c>
      <c r="E1" t="s">
        <v>471</v>
      </c>
      <c r="F1" t="s">
        <v>474</v>
      </c>
      <c r="G1" t="s">
        <v>246</v>
      </c>
      <c r="H1" t="s">
        <v>472</v>
      </c>
      <c r="I1" t="s">
        <v>299</v>
      </c>
      <c r="J1" t="s">
        <v>139</v>
      </c>
      <c r="K1" t="s">
        <v>245</v>
      </c>
      <c r="L1" t="s">
        <v>247</v>
      </c>
      <c r="M1" t="s">
        <v>473</v>
      </c>
      <c r="N1" t="s">
        <v>140</v>
      </c>
      <c r="O1" t="s">
        <v>274</v>
      </c>
      <c r="P1" t="s">
        <v>145</v>
      </c>
      <c r="Q1" t="s">
        <v>664</v>
      </c>
      <c r="R1" t="s">
        <v>141</v>
      </c>
      <c r="S1" t="s">
        <v>658</v>
      </c>
      <c r="T1" t="s">
        <v>659</v>
      </c>
      <c r="U1" t="s">
        <v>660</v>
      </c>
      <c r="V1" t="s">
        <v>661</v>
      </c>
      <c r="W1" t="s">
        <v>662</v>
      </c>
      <c r="X1" t="s">
        <v>663</v>
      </c>
      <c r="Y1" t="s">
        <v>554</v>
      </c>
      <c r="Z1" t="s">
        <v>160</v>
      </c>
      <c r="AA1" t="s">
        <v>40</v>
      </c>
      <c r="AB1" t="s">
        <v>375</v>
      </c>
      <c r="AC1" t="s">
        <v>552</v>
      </c>
      <c r="AD1" t="s">
        <v>210</v>
      </c>
      <c r="AE1" t="s">
        <v>551</v>
      </c>
      <c r="AF1" t="s">
        <v>555</v>
      </c>
    </row>
    <row r="2" spans="1:32" x14ac:dyDescent="0.3">
      <c r="A2" t="s">
        <v>350</v>
      </c>
      <c r="B2" t="s">
        <v>43</v>
      </c>
      <c r="C2" t="s">
        <v>105</v>
      </c>
      <c r="D2" t="s">
        <v>310</v>
      </c>
      <c r="E2" t="s">
        <v>1142</v>
      </c>
      <c r="F2" s="15">
        <v>46240.387291666666</v>
      </c>
      <c r="G2" t="s">
        <v>412</v>
      </c>
      <c r="H2">
        <v>2</v>
      </c>
      <c r="I2" t="s">
        <v>1143</v>
      </c>
      <c r="J2" s="15">
        <v>46240.632638888892</v>
      </c>
      <c r="K2" s="15">
        <v>46241.395138888889</v>
      </c>
      <c r="L2" s="15"/>
      <c r="M2">
        <v>2</v>
      </c>
      <c r="O2" t="s">
        <v>201</v>
      </c>
      <c r="P2" t="s">
        <v>532</v>
      </c>
      <c r="S2" t="s">
        <v>366</v>
      </c>
      <c r="T2" t="s">
        <v>380</v>
      </c>
      <c r="U2" t="s">
        <v>240</v>
      </c>
      <c r="V2" t="s">
        <v>350</v>
      </c>
      <c r="W2" t="s">
        <v>356</v>
      </c>
      <c r="X2" t="s">
        <v>240</v>
      </c>
      <c r="Y2">
        <v>13</v>
      </c>
      <c r="AA2" t="s">
        <v>67</v>
      </c>
      <c r="AB2" t="s">
        <v>366</v>
      </c>
      <c r="AC2">
        <v>2480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47</v>
      </c>
      <c r="C3" t="s">
        <v>68</v>
      </c>
      <c r="D3" t="s">
        <v>310</v>
      </c>
      <c r="E3" t="s">
        <v>1149</v>
      </c>
      <c r="F3" s="15">
        <v>46233.496469907404</v>
      </c>
      <c r="G3" t="s">
        <v>411</v>
      </c>
      <c r="H3">
        <v>2</v>
      </c>
      <c r="I3" t="s">
        <v>1150</v>
      </c>
      <c r="J3" s="15">
        <v>46233.658877314818</v>
      </c>
      <c r="K3" s="15">
        <v>46234.427083333336</v>
      </c>
      <c r="L3" s="15"/>
      <c r="M3">
        <v>2</v>
      </c>
      <c r="O3" t="s">
        <v>146</v>
      </c>
      <c r="P3" t="s">
        <v>532</v>
      </c>
      <c r="S3" t="s">
        <v>366</v>
      </c>
      <c r="T3" t="s">
        <v>380</v>
      </c>
      <c r="U3" t="s">
        <v>240</v>
      </c>
      <c r="V3" t="s">
        <v>350</v>
      </c>
      <c r="W3" t="s">
        <v>356</v>
      </c>
      <c r="X3" t="s">
        <v>240</v>
      </c>
      <c r="Y3">
        <v>13</v>
      </c>
      <c r="AA3" t="s">
        <v>90</v>
      </c>
      <c r="AB3" t="s">
        <v>366</v>
      </c>
      <c r="AC3">
        <v>2480</v>
      </c>
      <c r="AD3" t="s">
        <v>218</v>
      </c>
      <c r="AE3">
        <v>1</v>
      </c>
      <c r="AF3">
        <v>1</v>
      </c>
    </row>
    <row r="4" spans="1:32" x14ac:dyDescent="0.3">
      <c r="A4" t="s">
        <v>350</v>
      </c>
      <c r="B4" t="s">
        <v>45</v>
      </c>
      <c r="C4" t="s">
        <v>68</v>
      </c>
      <c r="D4" t="s">
        <v>310</v>
      </c>
      <c r="E4" t="s">
        <v>1151</v>
      </c>
      <c r="F4" s="15">
        <v>46218.662442129629</v>
      </c>
      <c r="G4" t="s">
        <v>428</v>
      </c>
      <c r="H4">
        <v>50</v>
      </c>
      <c r="I4" t="s">
        <v>1152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201</v>
      </c>
      <c r="P4" t="s">
        <v>531</v>
      </c>
      <c r="S4" t="s">
        <v>366</v>
      </c>
      <c r="T4" t="s">
        <v>380</v>
      </c>
      <c r="U4" t="s">
        <v>240</v>
      </c>
      <c r="V4" t="s">
        <v>350</v>
      </c>
      <c r="W4" t="s">
        <v>356</v>
      </c>
      <c r="X4" t="s">
        <v>240</v>
      </c>
      <c r="Y4">
        <v>13</v>
      </c>
      <c r="AA4" t="s">
        <v>67</v>
      </c>
      <c r="AB4" t="s">
        <v>366</v>
      </c>
      <c r="AC4">
        <v>2480</v>
      </c>
      <c r="AD4" t="s">
        <v>217</v>
      </c>
      <c r="AE4">
        <v>5</v>
      </c>
      <c r="AF4">
        <v>1</v>
      </c>
    </row>
    <row r="5" spans="1:32" x14ac:dyDescent="0.3">
      <c r="A5" t="s">
        <v>350</v>
      </c>
      <c r="B5" t="s">
        <v>45</v>
      </c>
      <c r="C5" t="s">
        <v>68</v>
      </c>
      <c r="D5" t="s">
        <v>310</v>
      </c>
      <c r="E5" t="s">
        <v>1153</v>
      </c>
      <c r="F5" s="15">
        <v>46218.662719907406</v>
      </c>
      <c r="G5" t="s">
        <v>428</v>
      </c>
      <c r="H5">
        <v>50</v>
      </c>
      <c r="I5" t="s">
        <v>1154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201</v>
      </c>
      <c r="P5" t="s">
        <v>531</v>
      </c>
      <c r="S5" t="s">
        <v>366</v>
      </c>
      <c r="T5" t="s">
        <v>380</v>
      </c>
      <c r="U5" t="s">
        <v>240</v>
      </c>
      <c r="V5" t="s">
        <v>350</v>
      </c>
      <c r="W5" t="s">
        <v>356</v>
      </c>
      <c r="X5" t="s">
        <v>240</v>
      </c>
      <c r="AA5" t="s">
        <v>67</v>
      </c>
      <c r="AB5" t="s">
        <v>366</v>
      </c>
      <c r="AC5">
        <v>2480</v>
      </c>
      <c r="AD5" t="s">
        <v>217</v>
      </c>
      <c r="AE5">
        <v>5</v>
      </c>
    </row>
    <row r="6" spans="1:32" x14ac:dyDescent="0.3">
      <c r="A6" t="s">
        <v>350</v>
      </c>
      <c r="B6" t="s">
        <v>48</v>
      </c>
      <c r="C6" t="s">
        <v>68</v>
      </c>
      <c r="D6" t="s">
        <v>310</v>
      </c>
      <c r="E6" t="s">
        <v>1155</v>
      </c>
      <c r="F6" s="15">
        <v>46156.383645833332</v>
      </c>
      <c r="G6" t="s">
        <v>412</v>
      </c>
      <c r="H6">
        <v>1</v>
      </c>
      <c r="I6" t="s">
        <v>1156</v>
      </c>
      <c r="J6" s="15">
        <v>46226.400000000001</v>
      </c>
      <c r="K6" s="15">
        <v>46230.438194444447</v>
      </c>
      <c r="L6" s="15"/>
      <c r="M6">
        <v>1</v>
      </c>
      <c r="O6" t="s">
        <v>201</v>
      </c>
      <c r="P6" t="s">
        <v>531</v>
      </c>
      <c r="S6" t="s">
        <v>366</v>
      </c>
      <c r="T6" t="s">
        <v>380</v>
      </c>
      <c r="U6" t="s">
        <v>240</v>
      </c>
      <c r="V6" t="s">
        <v>350</v>
      </c>
      <c r="W6" t="s">
        <v>356</v>
      </c>
      <c r="X6" t="s">
        <v>240</v>
      </c>
      <c r="Y6">
        <v>13</v>
      </c>
      <c r="AA6" t="s">
        <v>90</v>
      </c>
      <c r="AB6" t="s">
        <v>366</v>
      </c>
      <c r="AC6">
        <v>2480</v>
      </c>
      <c r="AD6" t="s">
        <v>217</v>
      </c>
      <c r="AE6">
        <v>1</v>
      </c>
      <c r="AF6">
        <v>1</v>
      </c>
    </row>
    <row r="7" spans="1:32" x14ac:dyDescent="0.3">
      <c r="A7" t="s">
        <v>350</v>
      </c>
      <c r="B7" t="s">
        <v>51</v>
      </c>
      <c r="C7" t="s">
        <v>258</v>
      </c>
      <c r="D7" t="s">
        <v>310</v>
      </c>
      <c r="E7" t="s">
        <v>1147</v>
      </c>
      <c r="F7" s="15">
        <v>46232.64707175926</v>
      </c>
      <c r="G7" t="s">
        <v>1145</v>
      </c>
      <c r="H7">
        <v>150</v>
      </c>
      <c r="I7" t="s">
        <v>1148</v>
      </c>
      <c r="J7" s="15">
        <v>46233.367361111108</v>
      </c>
      <c r="K7" s="15">
        <v>46234.420138888891</v>
      </c>
      <c r="L7" s="15"/>
      <c r="M7">
        <v>150</v>
      </c>
      <c r="O7" t="s">
        <v>201</v>
      </c>
      <c r="P7" t="s">
        <v>532</v>
      </c>
      <c r="S7" t="s">
        <v>366</v>
      </c>
      <c r="T7" t="s">
        <v>380</v>
      </c>
      <c r="U7" t="s">
        <v>240</v>
      </c>
      <c r="V7" t="s">
        <v>7</v>
      </c>
      <c r="W7" t="s">
        <v>7</v>
      </c>
      <c r="X7" t="s">
        <v>7</v>
      </c>
      <c r="AA7" t="s">
        <v>238</v>
      </c>
      <c r="AB7" t="s">
        <v>366</v>
      </c>
      <c r="AC7">
        <v>2480</v>
      </c>
      <c r="AD7" t="s">
        <v>7</v>
      </c>
      <c r="AF7">
        <v>0</v>
      </c>
    </row>
    <row r="8" spans="1:32" x14ac:dyDescent="0.3">
      <c r="A8" t="s">
        <v>350</v>
      </c>
      <c r="B8" t="s">
        <v>51</v>
      </c>
      <c r="C8" t="s">
        <v>258</v>
      </c>
      <c r="D8" t="s">
        <v>310</v>
      </c>
      <c r="E8" t="s">
        <v>1144</v>
      </c>
      <c r="F8" s="15">
        <v>46232.645833333336</v>
      </c>
      <c r="G8" t="s">
        <v>1145</v>
      </c>
      <c r="H8">
        <v>150</v>
      </c>
      <c r="I8" t="s">
        <v>1146</v>
      </c>
      <c r="J8" s="15">
        <v>46232.686111111114</v>
      </c>
      <c r="K8" s="15">
        <v>46234.420138888891</v>
      </c>
      <c r="L8" s="15"/>
      <c r="M8">
        <v>150</v>
      </c>
      <c r="O8" t="s">
        <v>201</v>
      </c>
      <c r="P8" t="s">
        <v>532</v>
      </c>
      <c r="S8" t="s">
        <v>366</v>
      </c>
      <c r="T8" t="s">
        <v>380</v>
      </c>
      <c r="U8" t="s">
        <v>240</v>
      </c>
      <c r="V8" t="s">
        <v>7</v>
      </c>
      <c r="W8" t="s">
        <v>7</v>
      </c>
      <c r="X8" t="s">
        <v>7</v>
      </c>
      <c r="AA8" t="s">
        <v>238</v>
      </c>
      <c r="AB8" t="s">
        <v>366</v>
      </c>
      <c r="AC8">
        <v>2480</v>
      </c>
      <c r="AD8" t="s">
        <v>7</v>
      </c>
    </row>
    <row r="9" spans="1:32" x14ac:dyDescent="0.3">
      <c r="A9" t="s">
        <v>350</v>
      </c>
      <c r="B9" t="s">
        <v>51</v>
      </c>
      <c r="C9" t="s">
        <v>258</v>
      </c>
      <c r="D9" t="s">
        <v>310</v>
      </c>
      <c r="E9" t="s">
        <v>1124</v>
      </c>
      <c r="F9" s="15">
        <v>46253.364374999997</v>
      </c>
      <c r="G9" t="s">
        <v>1125</v>
      </c>
      <c r="H9">
        <v>105</v>
      </c>
      <c r="I9" t="s">
        <v>1126</v>
      </c>
      <c r="J9" s="15">
        <v>46253.631249999999</v>
      </c>
      <c r="K9" s="15">
        <v>46254.472222222219</v>
      </c>
      <c r="L9" s="15"/>
      <c r="M9">
        <v>105</v>
      </c>
      <c r="O9" t="s">
        <v>201</v>
      </c>
      <c r="P9" t="s">
        <v>532</v>
      </c>
      <c r="S9" t="s">
        <v>370</v>
      </c>
      <c r="T9" t="s">
        <v>383</v>
      </c>
      <c r="U9" t="s">
        <v>240</v>
      </c>
      <c r="V9" t="s">
        <v>7</v>
      </c>
      <c r="W9" t="s">
        <v>7</v>
      </c>
      <c r="X9" t="s">
        <v>7</v>
      </c>
      <c r="AA9" t="s">
        <v>238</v>
      </c>
      <c r="AB9" t="s">
        <v>370</v>
      </c>
      <c r="AD9" t="s">
        <v>7</v>
      </c>
      <c r="AF9">
        <v>0</v>
      </c>
    </row>
    <row r="10" spans="1:32" x14ac:dyDescent="0.3">
      <c r="A10" t="s">
        <v>350</v>
      </c>
      <c r="B10" t="s">
        <v>51</v>
      </c>
      <c r="C10" t="s">
        <v>258</v>
      </c>
      <c r="D10" t="s">
        <v>310</v>
      </c>
      <c r="E10" t="s">
        <v>1127</v>
      </c>
      <c r="F10" s="15">
        <v>46252.495659722219</v>
      </c>
      <c r="G10" t="s">
        <v>414</v>
      </c>
      <c r="H10">
        <v>220</v>
      </c>
      <c r="I10" t="s">
        <v>1128</v>
      </c>
      <c r="J10" s="15">
        <v>46253.654861111114</v>
      </c>
      <c r="K10" s="15">
        <v>46255.357638888891</v>
      </c>
      <c r="L10" s="15"/>
      <c r="M10">
        <v>220</v>
      </c>
      <c r="O10" t="s">
        <v>201</v>
      </c>
      <c r="P10" t="s">
        <v>532</v>
      </c>
      <c r="S10" t="s">
        <v>370</v>
      </c>
      <c r="T10" t="s">
        <v>383</v>
      </c>
      <c r="U10" t="s">
        <v>240</v>
      </c>
      <c r="V10" t="s">
        <v>7</v>
      </c>
      <c r="W10" t="s">
        <v>7</v>
      </c>
      <c r="X10" t="s">
        <v>7</v>
      </c>
      <c r="AA10" t="s">
        <v>238</v>
      </c>
      <c r="AB10" t="s">
        <v>370</v>
      </c>
      <c r="AD10" t="s">
        <v>7</v>
      </c>
      <c r="AF10">
        <v>0</v>
      </c>
    </row>
    <row r="11" spans="1:32" x14ac:dyDescent="0.3">
      <c r="A11" t="s">
        <v>350</v>
      </c>
      <c r="B11" t="s">
        <v>45</v>
      </c>
      <c r="C11" t="s">
        <v>68</v>
      </c>
      <c r="D11" t="s">
        <v>310</v>
      </c>
      <c r="E11" t="s">
        <v>1129</v>
      </c>
      <c r="F11" s="15">
        <v>46244.678773148145</v>
      </c>
      <c r="G11" t="s">
        <v>414</v>
      </c>
      <c r="H11">
        <v>25</v>
      </c>
      <c r="I11" t="s">
        <v>1130</v>
      </c>
      <c r="J11" s="15">
        <v>46245.410416666666</v>
      </c>
      <c r="K11" s="15">
        <v>46246.395833333336</v>
      </c>
      <c r="L11" s="15"/>
      <c r="M11">
        <v>25</v>
      </c>
      <c r="O11" t="s">
        <v>201</v>
      </c>
      <c r="P11" t="s">
        <v>532</v>
      </c>
      <c r="S11" t="s">
        <v>370</v>
      </c>
      <c r="T11" t="s">
        <v>383</v>
      </c>
      <c r="U11" t="s">
        <v>240</v>
      </c>
      <c r="V11" t="s">
        <v>350</v>
      </c>
      <c r="W11" t="s">
        <v>356</v>
      </c>
      <c r="X11" t="s">
        <v>240</v>
      </c>
      <c r="Y11">
        <v>3</v>
      </c>
      <c r="AA11" t="s">
        <v>67</v>
      </c>
      <c r="AB11" t="s">
        <v>370</v>
      </c>
      <c r="AD11" t="s">
        <v>217</v>
      </c>
      <c r="AE11">
        <v>2.5</v>
      </c>
      <c r="AF11">
        <v>1</v>
      </c>
    </row>
    <row r="12" spans="1:32" x14ac:dyDescent="0.3">
      <c r="A12" t="s">
        <v>350</v>
      </c>
      <c r="B12" t="s">
        <v>45</v>
      </c>
      <c r="C12" t="s">
        <v>68</v>
      </c>
      <c r="D12" t="s">
        <v>310</v>
      </c>
      <c r="E12" t="s">
        <v>1131</v>
      </c>
      <c r="F12" s="15">
        <v>46252.494293981479</v>
      </c>
      <c r="G12" t="s">
        <v>414</v>
      </c>
      <c r="H12">
        <v>25</v>
      </c>
      <c r="I12" t="s">
        <v>1132</v>
      </c>
      <c r="J12" s="15">
        <v>46252.644444444442</v>
      </c>
      <c r="K12" s="15">
        <v>46253.423611111109</v>
      </c>
      <c r="L12" s="15"/>
      <c r="M12">
        <v>25</v>
      </c>
      <c r="O12" t="s">
        <v>201</v>
      </c>
      <c r="P12" t="s">
        <v>532</v>
      </c>
      <c r="S12" t="s">
        <v>370</v>
      </c>
      <c r="T12" t="s">
        <v>383</v>
      </c>
      <c r="U12" t="s">
        <v>240</v>
      </c>
      <c r="V12" t="s">
        <v>350</v>
      </c>
      <c r="W12" t="s">
        <v>356</v>
      </c>
      <c r="X12" t="s">
        <v>240</v>
      </c>
      <c r="Y12">
        <v>3</v>
      </c>
      <c r="AA12" t="s">
        <v>67</v>
      </c>
      <c r="AB12" t="s">
        <v>370</v>
      </c>
      <c r="AD12" t="s">
        <v>217</v>
      </c>
      <c r="AE12">
        <v>2.5</v>
      </c>
      <c r="AF12">
        <v>1</v>
      </c>
    </row>
    <row r="13" spans="1:32" x14ac:dyDescent="0.3">
      <c r="A13" t="s">
        <v>350</v>
      </c>
      <c r="B13" t="s">
        <v>45</v>
      </c>
      <c r="C13" t="s">
        <v>68</v>
      </c>
      <c r="D13" t="s">
        <v>310</v>
      </c>
      <c r="E13" t="s">
        <v>1133</v>
      </c>
      <c r="F13" s="15">
        <v>46237.299120370371</v>
      </c>
      <c r="G13" t="s">
        <v>414</v>
      </c>
      <c r="H13">
        <v>20</v>
      </c>
      <c r="I13" t="s">
        <v>1134</v>
      </c>
      <c r="J13" s="15">
        <v>46237.356944444444</v>
      </c>
      <c r="K13" s="15">
        <v>46239.371527777781</v>
      </c>
      <c r="L13" s="15"/>
      <c r="M13">
        <v>20</v>
      </c>
      <c r="O13" t="s">
        <v>201</v>
      </c>
      <c r="P13" t="s">
        <v>531</v>
      </c>
      <c r="S13" t="s">
        <v>370</v>
      </c>
      <c r="T13" t="s">
        <v>383</v>
      </c>
      <c r="U13" t="s">
        <v>240</v>
      </c>
      <c r="V13" t="s">
        <v>350</v>
      </c>
      <c r="W13" t="s">
        <v>356</v>
      </c>
      <c r="X13" t="s">
        <v>240</v>
      </c>
      <c r="Y13">
        <v>3</v>
      </c>
      <c r="AA13" t="s">
        <v>67</v>
      </c>
      <c r="AB13" t="s">
        <v>370</v>
      </c>
      <c r="AD13" t="s">
        <v>217</v>
      </c>
      <c r="AE13">
        <v>2</v>
      </c>
      <c r="AF13">
        <v>1</v>
      </c>
    </row>
    <row r="14" spans="1:32" x14ac:dyDescent="0.3">
      <c r="A14" t="s">
        <v>350</v>
      </c>
      <c r="B14" t="s">
        <v>51</v>
      </c>
      <c r="C14" t="s">
        <v>258</v>
      </c>
      <c r="D14" t="s">
        <v>310</v>
      </c>
      <c r="E14" t="s">
        <v>1135</v>
      </c>
      <c r="F14" s="15">
        <v>46218.456944444442</v>
      </c>
      <c r="G14" t="s">
        <v>1136</v>
      </c>
      <c r="H14">
        <v>6</v>
      </c>
      <c r="I14" t="s">
        <v>1137</v>
      </c>
      <c r="J14" s="15">
        <v>46218.598611111112</v>
      </c>
      <c r="K14" s="15">
        <v>46220.557638888888</v>
      </c>
      <c r="L14" s="15"/>
      <c r="M14">
        <v>6</v>
      </c>
      <c r="O14" t="s">
        <v>201</v>
      </c>
      <c r="P14" t="s">
        <v>532</v>
      </c>
      <c r="S14" t="s">
        <v>368</v>
      </c>
      <c r="T14" t="s">
        <v>381</v>
      </c>
      <c r="U14" t="s">
        <v>240</v>
      </c>
      <c r="V14" t="s">
        <v>7</v>
      </c>
      <c r="W14" t="s">
        <v>7</v>
      </c>
      <c r="X14" t="s">
        <v>7</v>
      </c>
      <c r="AA14" t="s">
        <v>238</v>
      </c>
      <c r="AB14" t="s">
        <v>368</v>
      </c>
      <c r="AC14">
        <v>1100</v>
      </c>
      <c r="AD14" t="s">
        <v>7</v>
      </c>
      <c r="AF14">
        <v>0</v>
      </c>
    </row>
    <row r="15" spans="1:32" x14ac:dyDescent="0.3">
      <c r="A15" t="s">
        <v>350</v>
      </c>
      <c r="B15" t="s">
        <v>51</v>
      </c>
      <c r="C15" t="s">
        <v>258</v>
      </c>
      <c r="D15" t="s">
        <v>310</v>
      </c>
      <c r="E15" t="s">
        <v>1138</v>
      </c>
      <c r="F15" s="15">
        <v>46230.652881944443</v>
      </c>
      <c r="G15" t="s">
        <v>1136</v>
      </c>
      <c r="H15">
        <v>20</v>
      </c>
      <c r="I15" t="s">
        <v>1139</v>
      </c>
      <c r="J15" s="15">
        <v>46230.70208333333</v>
      </c>
      <c r="K15" s="15">
        <v>46232.451388888891</v>
      </c>
      <c r="L15" s="15"/>
      <c r="M15">
        <v>20</v>
      </c>
      <c r="O15" t="s">
        <v>201</v>
      </c>
      <c r="P15" t="s">
        <v>532</v>
      </c>
      <c r="S15" t="s">
        <v>368</v>
      </c>
      <c r="T15" t="s">
        <v>381</v>
      </c>
      <c r="U15" t="s">
        <v>240</v>
      </c>
      <c r="V15" t="s">
        <v>7</v>
      </c>
      <c r="W15" t="s">
        <v>7</v>
      </c>
      <c r="X15" t="s">
        <v>7</v>
      </c>
      <c r="AA15" t="s">
        <v>238</v>
      </c>
      <c r="AB15" t="s">
        <v>368</v>
      </c>
      <c r="AC15">
        <v>1100</v>
      </c>
      <c r="AD15" t="s">
        <v>7</v>
      </c>
      <c r="AF15">
        <v>0</v>
      </c>
    </row>
    <row r="16" spans="1:32" x14ac:dyDescent="0.3">
      <c r="A16" t="s">
        <v>350</v>
      </c>
      <c r="B16" t="s">
        <v>63</v>
      </c>
      <c r="C16" t="s">
        <v>95</v>
      </c>
      <c r="D16" t="s">
        <v>310</v>
      </c>
      <c r="E16" t="s">
        <v>1140</v>
      </c>
      <c r="F16" s="15">
        <v>46248.469560185185</v>
      </c>
      <c r="G16" t="s">
        <v>425</v>
      </c>
      <c r="H16">
        <v>26</v>
      </c>
      <c r="I16" t="s">
        <v>1141</v>
      </c>
      <c r="J16" s="15">
        <v>46251.56527777778</v>
      </c>
      <c r="K16" s="15">
        <v>46254.506944444445</v>
      </c>
      <c r="L16" s="15"/>
      <c r="M16">
        <v>26</v>
      </c>
      <c r="O16" t="s">
        <v>201</v>
      </c>
      <c r="P16" t="s">
        <v>532</v>
      </c>
      <c r="S16" t="s">
        <v>368</v>
      </c>
      <c r="T16" t="s">
        <v>381</v>
      </c>
      <c r="U16" t="s">
        <v>240</v>
      </c>
      <c r="V16" t="s">
        <v>7</v>
      </c>
      <c r="W16" t="s">
        <v>7</v>
      </c>
      <c r="X16" t="s">
        <v>7</v>
      </c>
      <c r="AA16" t="s">
        <v>96</v>
      </c>
      <c r="AB16" t="s">
        <v>368</v>
      </c>
      <c r="AC16">
        <v>1100</v>
      </c>
      <c r="AD16" t="s">
        <v>225</v>
      </c>
      <c r="AE16">
        <v>26</v>
      </c>
      <c r="AF16">
        <v>44.46</v>
      </c>
    </row>
    <row r="17" spans="1:32" x14ac:dyDescent="0.3">
      <c r="A17" t="s">
        <v>350</v>
      </c>
      <c r="B17" t="s">
        <v>279</v>
      </c>
      <c r="C17" t="s">
        <v>197</v>
      </c>
      <c r="D17" t="s">
        <v>310</v>
      </c>
      <c r="E17" t="s">
        <v>1140</v>
      </c>
      <c r="F17" s="15">
        <v>46248.469560185185</v>
      </c>
      <c r="G17" t="s">
        <v>425</v>
      </c>
      <c r="H17">
        <v>26</v>
      </c>
      <c r="I17" t="s">
        <v>1141</v>
      </c>
      <c r="J17" s="15">
        <v>46251.56527777778</v>
      </c>
      <c r="K17" s="15">
        <v>46254.506944444445</v>
      </c>
      <c r="L17" s="15"/>
      <c r="M17">
        <v>26</v>
      </c>
      <c r="O17" t="s">
        <v>201</v>
      </c>
      <c r="P17" t="s">
        <v>532</v>
      </c>
      <c r="S17" t="s">
        <v>368</v>
      </c>
      <c r="T17" t="s">
        <v>381</v>
      </c>
      <c r="U17" t="s">
        <v>240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368</v>
      </c>
      <c r="AC17">
        <v>1100</v>
      </c>
      <c r="AD17" t="s">
        <v>232</v>
      </c>
      <c r="AE17">
        <v>416</v>
      </c>
    </row>
    <row r="18" spans="1:32" x14ac:dyDescent="0.3">
      <c r="A18" t="s">
        <v>350</v>
      </c>
      <c r="B18" t="s">
        <v>57</v>
      </c>
      <c r="C18" t="s">
        <v>117</v>
      </c>
      <c r="D18" t="s">
        <v>310</v>
      </c>
      <c r="E18" t="s">
        <v>1140</v>
      </c>
      <c r="F18" s="15">
        <v>46248.469560185185</v>
      </c>
      <c r="G18" t="s">
        <v>425</v>
      </c>
      <c r="H18">
        <v>26</v>
      </c>
      <c r="I18" t="s">
        <v>1141</v>
      </c>
      <c r="J18" s="15">
        <v>46251.56527777778</v>
      </c>
      <c r="K18" s="15">
        <v>46254.506944444445</v>
      </c>
      <c r="L18" s="15"/>
      <c r="M18">
        <v>26</v>
      </c>
      <c r="O18" t="s">
        <v>201</v>
      </c>
      <c r="P18" t="s">
        <v>532</v>
      </c>
      <c r="S18" t="s">
        <v>368</v>
      </c>
      <c r="T18" t="s">
        <v>381</v>
      </c>
      <c r="U18" t="s">
        <v>240</v>
      </c>
      <c r="V18" t="s">
        <v>7</v>
      </c>
      <c r="W18" t="s">
        <v>7</v>
      </c>
      <c r="X18" t="s">
        <v>7</v>
      </c>
      <c r="AA18" t="s">
        <v>127</v>
      </c>
      <c r="AB18" t="s">
        <v>368</v>
      </c>
      <c r="AC18">
        <v>1100</v>
      </c>
      <c r="AD18" t="s">
        <v>233</v>
      </c>
      <c r="AE18">
        <v>2.6</v>
      </c>
    </row>
    <row r="19" spans="1:32" x14ac:dyDescent="0.3">
      <c r="A19" t="s">
        <v>350</v>
      </c>
      <c r="B19" t="s">
        <v>51</v>
      </c>
      <c r="C19" t="s">
        <v>258</v>
      </c>
      <c r="D19" t="s">
        <v>310</v>
      </c>
      <c r="E19" t="s">
        <v>1159</v>
      </c>
      <c r="F19" s="15">
        <v>46253.319224537037</v>
      </c>
      <c r="G19" t="s">
        <v>410</v>
      </c>
      <c r="H19">
        <v>32</v>
      </c>
      <c r="I19" t="s">
        <v>1158</v>
      </c>
      <c r="J19" s="15">
        <v>46253.518750000003</v>
      </c>
      <c r="K19" s="15">
        <v>46254.46875</v>
      </c>
      <c r="L19" s="15"/>
      <c r="M19">
        <v>32</v>
      </c>
      <c r="O19" t="s">
        <v>201</v>
      </c>
      <c r="P19" t="s">
        <v>532</v>
      </c>
      <c r="S19" t="s">
        <v>369</v>
      </c>
      <c r="T19" t="s">
        <v>382</v>
      </c>
      <c r="U19" t="s">
        <v>240</v>
      </c>
      <c r="V19" t="s">
        <v>7</v>
      </c>
      <c r="W19" t="s">
        <v>7</v>
      </c>
      <c r="X19" t="s">
        <v>7</v>
      </c>
      <c r="AA19" t="s">
        <v>238</v>
      </c>
      <c r="AB19" t="s">
        <v>369</v>
      </c>
      <c r="AD19" t="s">
        <v>7</v>
      </c>
      <c r="AF19">
        <v>0</v>
      </c>
    </row>
    <row r="20" spans="1:32" x14ac:dyDescent="0.3">
      <c r="A20" t="s">
        <v>350</v>
      </c>
      <c r="B20" t="s">
        <v>51</v>
      </c>
      <c r="C20" t="s">
        <v>258</v>
      </c>
      <c r="D20" t="s">
        <v>310</v>
      </c>
      <c r="E20" t="s">
        <v>1160</v>
      </c>
      <c r="F20" s="15">
        <v>46253.318599537037</v>
      </c>
      <c r="G20" t="s">
        <v>410</v>
      </c>
      <c r="H20">
        <v>32</v>
      </c>
      <c r="I20" t="s">
        <v>1158</v>
      </c>
      <c r="J20" s="15">
        <v>46253.518750000003</v>
      </c>
      <c r="K20" s="15">
        <v>46254.46875</v>
      </c>
      <c r="L20" s="15"/>
      <c r="M20">
        <v>32</v>
      </c>
      <c r="O20" t="s">
        <v>201</v>
      </c>
      <c r="P20" t="s">
        <v>532</v>
      </c>
      <c r="S20" t="s">
        <v>369</v>
      </c>
      <c r="T20" t="s">
        <v>382</v>
      </c>
      <c r="U20" t="s">
        <v>240</v>
      </c>
      <c r="V20" t="s">
        <v>7</v>
      </c>
      <c r="W20" t="s">
        <v>7</v>
      </c>
      <c r="X20" t="s">
        <v>7</v>
      </c>
      <c r="AA20" t="s">
        <v>238</v>
      </c>
      <c r="AB20" t="s">
        <v>369</v>
      </c>
      <c r="AD20" t="s">
        <v>7</v>
      </c>
    </row>
    <row r="21" spans="1:32" x14ac:dyDescent="0.3">
      <c r="A21" t="s">
        <v>350</v>
      </c>
      <c r="B21" t="s">
        <v>51</v>
      </c>
      <c r="C21" t="s">
        <v>258</v>
      </c>
      <c r="D21" t="s">
        <v>310</v>
      </c>
      <c r="E21" t="s">
        <v>1157</v>
      </c>
      <c r="F21" s="15">
        <v>46253.319699074076</v>
      </c>
      <c r="G21" t="s">
        <v>410</v>
      </c>
      <c r="H21">
        <v>32</v>
      </c>
      <c r="I21" t="s">
        <v>1158</v>
      </c>
      <c r="J21" s="15">
        <v>46253.518750000003</v>
      </c>
      <c r="K21" s="15">
        <v>46254.46875</v>
      </c>
      <c r="L21" s="15"/>
      <c r="M21">
        <v>32</v>
      </c>
      <c r="O21" t="s">
        <v>201</v>
      </c>
      <c r="P21" t="s">
        <v>532</v>
      </c>
      <c r="S21" t="s">
        <v>369</v>
      </c>
      <c r="T21" t="s">
        <v>382</v>
      </c>
      <c r="U21" t="s">
        <v>240</v>
      </c>
      <c r="V21" t="s">
        <v>7</v>
      </c>
      <c r="W21" t="s">
        <v>7</v>
      </c>
      <c r="X21" t="s">
        <v>7</v>
      </c>
      <c r="AA21" t="s">
        <v>238</v>
      </c>
      <c r="AB21" t="s">
        <v>369</v>
      </c>
      <c r="AD21" t="s">
        <v>7</v>
      </c>
    </row>
    <row r="22" spans="1:32" x14ac:dyDescent="0.3">
      <c r="A22" t="s">
        <v>350</v>
      </c>
      <c r="B22" t="s">
        <v>43</v>
      </c>
      <c r="C22" t="s">
        <v>105</v>
      </c>
      <c r="D22" t="s">
        <v>310</v>
      </c>
      <c r="E22" t="s">
        <v>1161</v>
      </c>
      <c r="F22" s="15">
        <v>46244.665532407409</v>
      </c>
      <c r="G22" t="s">
        <v>410</v>
      </c>
      <c r="H22">
        <v>3</v>
      </c>
      <c r="I22" t="s">
        <v>1162</v>
      </c>
      <c r="J22" s="15">
        <v>46246.388194444444</v>
      </c>
      <c r="K22" s="15">
        <v>46247.479166666664</v>
      </c>
      <c r="L22" s="15"/>
      <c r="M22">
        <v>3</v>
      </c>
      <c r="O22" t="s">
        <v>201</v>
      </c>
      <c r="P22" t="s">
        <v>532</v>
      </c>
      <c r="S22" t="s">
        <v>369</v>
      </c>
      <c r="T22" t="s">
        <v>382</v>
      </c>
      <c r="U22" t="s">
        <v>240</v>
      </c>
      <c r="V22" t="s">
        <v>350</v>
      </c>
      <c r="W22" t="s">
        <v>356</v>
      </c>
      <c r="X22" t="s">
        <v>240</v>
      </c>
      <c r="Y22">
        <v>48</v>
      </c>
      <c r="AA22" t="s">
        <v>67</v>
      </c>
      <c r="AB22" t="s">
        <v>369</v>
      </c>
      <c r="AD22" t="s">
        <v>217</v>
      </c>
      <c r="AE22">
        <v>1</v>
      </c>
      <c r="AF22">
        <v>1</v>
      </c>
    </row>
    <row r="23" spans="1:32" x14ac:dyDescent="0.3">
      <c r="A23" t="s">
        <v>350</v>
      </c>
      <c r="B23" t="s">
        <v>45</v>
      </c>
      <c r="C23" t="s">
        <v>68</v>
      </c>
      <c r="D23" t="s">
        <v>310</v>
      </c>
      <c r="E23" t="s">
        <v>1163</v>
      </c>
      <c r="F23" s="15">
        <v>46244.660208333335</v>
      </c>
      <c r="G23" t="s">
        <v>410</v>
      </c>
      <c r="H23">
        <v>25</v>
      </c>
      <c r="I23" t="s">
        <v>1164</v>
      </c>
      <c r="J23" s="15">
        <v>46245.366666666669</v>
      </c>
      <c r="K23" s="15">
        <v>46246.611111111109</v>
      </c>
      <c r="L23" s="15"/>
      <c r="M23">
        <v>25</v>
      </c>
      <c r="O23" t="s">
        <v>201</v>
      </c>
      <c r="P23" t="s">
        <v>532</v>
      </c>
      <c r="S23" t="s">
        <v>369</v>
      </c>
      <c r="T23" t="s">
        <v>382</v>
      </c>
      <c r="U23" t="s">
        <v>240</v>
      </c>
      <c r="V23" t="s">
        <v>350</v>
      </c>
      <c r="W23" t="s">
        <v>356</v>
      </c>
      <c r="X23" t="s">
        <v>240</v>
      </c>
      <c r="Y23">
        <v>48</v>
      </c>
      <c r="AA23" t="s">
        <v>67</v>
      </c>
      <c r="AB23" t="s">
        <v>369</v>
      </c>
      <c r="AD23" t="s">
        <v>217</v>
      </c>
      <c r="AE23">
        <v>2.5</v>
      </c>
      <c r="AF23">
        <v>1</v>
      </c>
    </row>
    <row r="24" spans="1:32" x14ac:dyDescent="0.3">
      <c r="A24" t="s">
        <v>350</v>
      </c>
      <c r="B24" t="s">
        <v>51</v>
      </c>
      <c r="C24" t="s">
        <v>258</v>
      </c>
      <c r="D24" t="s">
        <v>310</v>
      </c>
      <c r="E24" t="s">
        <v>1165</v>
      </c>
      <c r="F24" s="15">
        <v>46244.662893518522</v>
      </c>
      <c r="G24" t="s">
        <v>410</v>
      </c>
      <c r="H24">
        <v>25</v>
      </c>
      <c r="I24" t="s">
        <v>1166</v>
      </c>
      <c r="J24" s="15">
        <v>46245.432638888888</v>
      </c>
      <c r="K24" s="15">
        <v>46246.611111111109</v>
      </c>
      <c r="L24" s="15"/>
      <c r="M24">
        <v>25</v>
      </c>
      <c r="O24" t="s">
        <v>201</v>
      </c>
      <c r="P24" t="s">
        <v>532</v>
      </c>
      <c r="S24" t="s">
        <v>369</v>
      </c>
      <c r="T24" t="s">
        <v>382</v>
      </c>
      <c r="U24" t="s">
        <v>240</v>
      </c>
      <c r="V24" t="s">
        <v>7</v>
      </c>
      <c r="W24" t="s">
        <v>7</v>
      </c>
      <c r="X24" t="s">
        <v>7</v>
      </c>
      <c r="AA24" t="s">
        <v>238</v>
      </c>
      <c r="AB24" t="s">
        <v>369</v>
      </c>
      <c r="AD24" t="s">
        <v>7</v>
      </c>
      <c r="AF24">
        <v>0</v>
      </c>
    </row>
    <row r="25" spans="1:32" x14ac:dyDescent="0.3">
      <c r="A25" t="s">
        <v>350</v>
      </c>
      <c r="B25" t="s">
        <v>51</v>
      </c>
      <c r="C25" t="s">
        <v>258</v>
      </c>
      <c r="D25" t="s">
        <v>310</v>
      </c>
      <c r="E25" t="s">
        <v>1167</v>
      </c>
      <c r="F25" s="15">
        <v>46244.662442129629</v>
      </c>
      <c r="G25" t="s">
        <v>410</v>
      </c>
      <c r="H25">
        <v>25</v>
      </c>
      <c r="I25" t="s">
        <v>1166</v>
      </c>
      <c r="J25" s="15">
        <v>46245.432638888888</v>
      </c>
      <c r="K25" s="15">
        <v>46246.611111111109</v>
      </c>
      <c r="L25" s="15"/>
      <c r="M25">
        <v>25</v>
      </c>
      <c r="O25" t="s">
        <v>201</v>
      </c>
      <c r="P25" t="s">
        <v>532</v>
      </c>
      <c r="S25" t="s">
        <v>369</v>
      </c>
      <c r="T25" t="s">
        <v>382</v>
      </c>
      <c r="U25" t="s">
        <v>240</v>
      </c>
      <c r="V25" t="s">
        <v>7</v>
      </c>
      <c r="W25" t="s">
        <v>7</v>
      </c>
      <c r="X25" t="s">
        <v>7</v>
      </c>
      <c r="AA25" t="s">
        <v>238</v>
      </c>
      <c r="AB25" t="s">
        <v>369</v>
      </c>
      <c r="AD25" t="s">
        <v>7</v>
      </c>
    </row>
    <row r="26" spans="1:32" x14ac:dyDescent="0.3">
      <c r="A26" t="s">
        <v>350</v>
      </c>
      <c r="B26" t="s">
        <v>51</v>
      </c>
      <c r="C26" t="s">
        <v>258</v>
      </c>
      <c r="D26" t="s">
        <v>310</v>
      </c>
      <c r="E26" t="s">
        <v>1168</v>
      </c>
      <c r="F26" s="15">
        <v>46244.661898148152</v>
      </c>
      <c r="G26" t="s">
        <v>410</v>
      </c>
      <c r="H26">
        <v>25</v>
      </c>
      <c r="I26" t="s">
        <v>1166</v>
      </c>
      <c r="J26" s="15">
        <v>46245.432638888888</v>
      </c>
      <c r="K26" s="15">
        <v>46246.611111111109</v>
      </c>
      <c r="L26" s="15"/>
      <c r="M26">
        <v>25</v>
      </c>
      <c r="O26" t="s">
        <v>201</v>
      </c>
      <c r="P26" t="s">
        <v>532</v>
      </c>
      <c r="S26" t="s">
        <v>369</v>
      </c>
      <c r="T26" t="s">
        <v>382</v>
      </c>
      <c r="U26" t="s">
        <v>240</v>
      </c>
      <c r="V26" t="s">
        <v>7</v>
      </c>
      <c r="W26" t="s">
        <v>7</v>
      </c>
      <c r="X26" t="s">
        <v>7</v>
      </c>
      <c r="AA26" t="s">
        <v>238</v>
      </c>
      <c r="AB26" t="s">
        <v>369</v>
      </c>
      <c r="AD26" t="s">
        <v>7</v>
      </c>
    </row>
    <row r="27" spans="1:32" x14ac:dyDescent="0.3">
      <c r="A27" t="s">
        <v>350</v>
      </c>
      <c r="B27" t="s">
        <v>45</v>
      </c>
      <c r="C27" t="s">
        <v>68</v>
      </c>
      <c r="D27" t="s">
        <v>310</v>
      </c>
      <c r="E27" t="s">
        <v>1169</v>
      </c>
      <c r="F27" s="15">
        <v>46253.320972222224</v>
      </c>
      <c r="G27" t="s">
        <v>410</v>
      </c>
      <c r="H27">
        <v>25</v>
      </c>
      <c r="I27" t="s">
        <v>1170</v>
      </c>
      <c r="J27" s="15">
        <v>46253.515277777777</v>
      </c>
      <c r="K27" s="15">
        <v>46255.638888888891</v>
      </c>
      <c r="L27" s="15"/>
      <c r="M27">
        <v>25</v>
      </c>
      <c r="O27" t="s">
        <v>201</v>
      </c>
      <c r="P27" t="s">
        <v>531</v>
      </c>
      <c r="S27" t="s">
        <v>369</v>
      </c>
      <c r="T27" t="s">
        <v>382</v>
      </c>
      <c r="U27" t="s">
        <v>240</v>
      </c>
      <c r="V27" t="s">
        <v>350</v>
      </c>
      <c r="W27" t="s">
        <v>356</v>
      </c>
      <c r="X27" t="s">
        <v>240</v>
      </c>
      <c r="Y27">
        <v>48</v>
      </c>
      <c r="AA27" t="s">
        <v>67</v>
      </c>
      <c r="AB27" t="s">
        <v>369</v>
      </c>
      <c r="AD27" t="s">
        <v>217</v>
      </c>
      <c r="AE27">
        <v>2.5</v>
      </c>
      <c r="AF27">
        <v>1</v>
      </c>
    </row>
    <row r="28" spans="1:32" x14ac:dyDescent="0.3">
      <c r="A28" t="s">
        <v>350</v>
      </c>
      <c r="B28" t="s">
        <v>45</v>
      </c>
      <c r="C28" t="s">
        <v>68</v>
      </c>
      <c r="D28" t="s">
        <v>310</v>
      </c>
      <c r="E28" t="s">
        <v>1171</v>
      </c>
      <c r="F28" s="15">
        <v>46233.603067129632</v>
      </c>
      <c r="G28" t="s">
        <v>418</v>
      </c>
      <c r="H28">
        <v>50</v>
      </c>
      <c r="I28" t="s">
        <v>1172</v>
      </c>
      <c r="J28" s="15">
        <v>46233.630254629628</v>
      </c>
      <c r="K28" s="15">
        <v>46237.586805555555</v>
      </c>
      <c r="L28" s="15"/>
      <c r="M28">
        <v>50</v>
      </c>
      <c r="O28" t="s">
        <v>201</v>
      </c>
      <c r="P28" t="s">
        <v>532</v>
      </c>
      <c r="S28" t="s">
        <v>369</v>
      </c>
      <c r="T28" t="s">
        <v>382</v>
      </c>
      <c r="U28" t="s">
        <v>240</v>
      </c>
      <c r="V28" t="s">
        <v>350</v>
      </c>
      <c r="W28" t="s">
        <v>356</v>
      </c>
      <c r="X28" t="s">
        <v>240</v>
      </c>
      <c r="Y28">
        <v>48</v>
      </c>
      <c r="AA28" t="s">
        <v>67</v>
      </c>
      <c r="AB28" t="s">
        <v>369</v>
      </c>
      <c r="AD28" t="s">
        <v>217</v>
      </c>
      <c r="AE28">
        <v>5</v>
      </c>
      <c r="AF28">
        <v>1</v>
      </c>
    </row>
    <row r="29" spans="1:32" x14ac:dyDescent="0.3">
      <c r="A29" t="s">
        <v>350</v>
      </c>
      <c r="B29" t="s">
        <v>48</v>
      </c>
      <c r="C29" t="s">
        <v>68</v>
      </c>
      <c r="D29" t="s">
        <v>310</v>
      </c>
      <c r="E29" t="s">
        <v>1173</v>
      </c>
      <c r="F29" s="15">
        <v>46238.544641203705</v>
      </c>
      <c r="G29" t="s">
        <v>410</v>
      </c>
      <c r="H29">
        <v>3</v>
      </c>
      <c r="I29" t="s">
        <v>1174</v>
      </c>
      <c r="J29" s="15">
        <v>46238.632962962962</v>
      </c>
      <c r="K29" s="15">
        <v>46240.518055555556</v>
      </c>
      <c r="L29" s="15"/>
      <c r="M29">
        <v>3</v>
      </c>
      <c r="O29" t="s">
        <v>201</v>
      </c>
      <c r="P29" t="s">
        <v>532</v>
      </c>
      <c r="S29" t="s">
        <v>369</v>
      </c>
      <c r="T29" t="s">
        <v>382</v>
      </c>
      <c r="U29" t="s">
        <v>240</v>
      </c>
      <c r="V29" t="s">
        <v>350</v>
      </c>
      <c r="W29" t="s">
        <v>356</v>
      </c>
      <c r="X29" t="s">
        <v>240</v>
      </c>
      <c r="Y29">
        <v>48</v>
      </c>
      <c r="AA29" t="s">
        <v>90</v>
      </c>
      <c r="AB29" t="s">
        <v>369</v>
      </c>
      <c r="AD29" t="s">
        <v>217</v>
      </c>
      <c r="AE29">
        <v>1</v>
      </c>
      <c r="AF29">
        <v>1</v>
      </c>
    </row>
    <row r="30" spans="1:32" x14ac:dyDescent="0.3">
      <c r="A30" t="s">
        <v>350</v>
      </c>
      <c r="B30" t="s">
        <v>63</v>
      </c>
      <c r="C30" t="s">
        <v>95</v>
      </c>
      <c r="D30" t="s">
        <v>310</v>
      </c>
      <c r="E30" t="s">
        <v>1175</v>
      </c>
      <c r="F30" s="15">
        <v>46231.685798611114</v>
      </c>
      <c r="G30" t="s">
        <v>409</v>
      </c>
      <c r="H30">
        <v>1</v>
      </c>
      <c r="I30" t="s">
        <v>1176</v>
      </c>
      <c r="J30" s="15">
        <v>46232.496759259258</v>
      </c>
      <c r="K30" s="15">
        <v>46237.791666666664</v>
      </c>
      <c r="L30" s="15"/>
      <c r="M30">
        <v>1</v>
      </c>
      <c r="O30" t="s">
        <v>201</v>
      </c>
      <c r="P30" t="s">
        <v>532</v>
      </c>
      <c r="S30" t="s">
        <v>367</v>
      </c>
      <c r="T30" t="s">
        <v>356</v>
      </c>
      <c r="U30" t="s">
        <v>240</v>
      </c>
      <c r="V30" t="s">
        <v>7</v>
      </c>
      <c r="W30" t="s">
        <v>7</v>
      </c>
      <c r="X30" t="s">
        <v>7</v>
      </c>
      <c r="AA30" t="s">
        <v>96</v>
      </c>
      <c r="AB30" t="s">
        <v>367</v>
      </c>
      <c r="AC30">
        <v>200</v>
      </c>
      <c r="AD30" t="s">
        <v>225</v>
      </c>
      <c r="AE30">
        <v>1</v>
      </c>
      <c r="AF30">
        <v>11.1</v>
      </c>
    </row>
    <row r="31" spans="1:32" x14ac:dyDescent="0.3">
      <c r="A31" t="s">
        <v>350</v>
      </c>
      <c r="B31" t="s">
        <v>57</v>
      </c>
      <c r="C31" t="s">
        <v>117</v>
      </c>
      <c r="D31" t="s">
        <v>310</v>
      </c>
      <c r="E31" t="s">
        <v>1175</v>
      </c>
      <c r="F31" s="15">
        <v>46231.685798611114</v>
      </c>
      <c r="G31" t="s">
        <v>409</v>
      </c>
      <c r="H31">
        <v>1</v>
      </c>
      <c r="I31" t="s">
        <v>1176</v>
      </c>
      <c r="J31" s="15">
        <v>46232.496759259258</v>
      </c>
      <c r="K31" s="15">
        <v>46237.791666666664</v>
      </c>
      <c r="L31" s="15"/>
      <c r="M31">
        <v>1</v>
      </c>
      <c r="O31" t="s">
        <v>201</v>
      </c>
      <c r="P31" t="s">
        <v>532</v>
      </c>
      <c r="S31" t="s">
        <v>367</v>
      </c>
      <c r="T31" t="s">
        <v>356</v>
      </c>
      <c r="U31" t="s">
        <v>240</v>
      </c>
      <c r="V31" t="s">
        <v>7</v>
      </c>
      <c r="W31" t="s">
        <v>7</v>
      </c>
      <c r="X31" t="s">
        <v>7</v>
      </c>
      <c r="AA31" t="s">
        <v>127</v>
      </c>
      <c r="AB31" t="s">
        <v>367</v>
      </c>
      <c r="AC31">
        <v>200</v>
      </c>
      <c r="AD31" t="s">
        <v>233</v>
      </c>
      <c r="AE31">
        <v>1</v>
      </c>
    </row>
    <row r="32" spans="1:32" x14ac:dyDescent="0.3">
      <c r="A32" t="s">
        <v>350</v>
      </c>
      <c r="B32" t="s">
        <v>279</v>
      </c>
      <c r="C32" t="s">
        <v>192</v>
      </c>
      <c r="D32" t="s">
        <v>310</v>
      </c>
      <c r="E32" t="s">
        <v>1175</v>
      </c>
      <c r="F32" s="15">
        <v>46231.685798611114</v>
      </c>
      <c r="G32" t="s">
        <v>409</v>
      </c>
      <c r="H32">
        <v>109</v>
      </c>
      <c r="I32" t="s">
        <v>1176</v>
      </c>
      <c r="J32" s="15">
        <v>46232.496759259258</v>
      </c>
      <c r="K32" s="15">
        <v>46237.791666666664</v>
      </c>
      <c r="L32" s="15"/>
      <c r="M32">
        <v>109</v>
      </c>
      <c r="O32" t="s">
        <v>201</v>
      </c>
      <c r="P32" t="s">
        <v>531</v>
      </c>
      <c r="S32" t="s">
        <v>367</v>
      </c>
      <c r="T32" t="s">
        <v>356</v>
      </c>
      <c r="U32" t="s">
        <v>240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367</v>
      </c>
      <c r="AC32">
        <v>200</v>
      </c>
      <c r="AD32" t="s">
        <v>232</v>
      </c>
      <c r="AE32">
        <v>109</v>
      </c>
    </row>
    <row r="33" spans="1:32" x14ac:dyDescent="0.3">
      <c r="A33" t="s">
        <v>350</v>
      </c>
      <c r="B33" t="s">
        <v>57</v>
      </c>
      <c r="C33" t="s">
        <v>117</v>
      </c>
      <c r="D33" t="s">
        <v>310</v>
      </c>
      <c r="E33" t="s">
        <v>1177</v>
      </c>
      <c r="F33" s="15">
        <v>46227.492546296293</v>
      </c>
      <c r="G33" t="s">
        <v>411</v>
      </c>
      <c r="H33">
        <v>1</v>
      </c>
      <c r="I33" t="s">
        <v>1178</v>
      </c>
      <c r="J33" s="15">
        <v>46227.612233796295</v>
      </c>
      <c r="K33" s="15">
        <v>46233.329861111109</v>
      </c>
      <c r="L33" s="15"/>
      <c r="M33">
        <v>1</v>
      </c>
      <c r="O33" t="s">
        <v>201</v>
      </c>
      <c r="P33" t="s">
        <v>532</v>
      </c>
      <c r="S33" t="s">
        <v>367</v>
      </c>
      <c r="T33" t="s">
        <v>356</v>
      </c>
      <c r="U33" t="s">
        <v>240</v>
      </c>
      <c r="V33" t="s">
        <v>7</v>
      </c>
      <c r="W33" t="s">
        <v>7</v>
      </c>
      <c r="X33" t="s">
        <v>7</v>
      </c>
      <c r="AA33" t="s">
        <v>127</v>
      </c>
      <c r="AB33" t="s">
        <v>367</v>
      </c>
      <c r="AC33">
        <v>200</v>
      </c>
      <c r="AD33" t="s">
        <v>233</v>
      </c>
      <c r="AE33">
        <v>1</v>
      </c>
      <c r="AF33">
        <v>1</v>
      </c>
    </row>
    <row r="34" spans="1:32" x14ac:dyDescent="0.3">
      <c r="A34" t="s">
        <v>350</v>
      </c>
      <c r="B34" t="s">
        <v>279</v>
      </c>
      <c r="C34" t="s">
        <v>192</v>
      </c>
      <c r="D34" t="s">
        <v>310</v>
      </c>
      <c r="E34" t="s">
        <v>1177</v>
      </c>
      <c r="F34" s="15">
        <v>46227.492546296293</v>
      </c>
      <c r="G34" t="s">
        <v>411</v>
      </c>
      <c r="H34">
        <v>1</v>
      </c>
      <c r="I34" t="s">
        <v>1178</v>
      </c>
      <c r="J34" s="15">
        <v>46227.612233796295</v>
      </c>
      <c r="K34" s="15">
        <v>46233.329861111109</v>
      </c>
      <c r="L34" s="15"/>
      <c r="M34">
        <v>1</v>
      </c>
      <c r="O34" t="s">
        <v>201</v>
      </c>
      <c r="P34" t="s">
        <v>531</v>
      </c>
      <c r="S34" t="s">
        <v>367</v>
      </c>
      <c r="T34" t="s">
        <v>356</v>
      </c>
      <c r="U34" t="s">
        <v>240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367</v>
      </c>
      <c r="AC34">
        <v>200</v>
      </c>
      <c r="AD34" t="s">
        <v>232</v>
      </c>
      <c r="AE34">
        <v>1</v>
      </c>
    </row>
    <row r="35" spans="1:32" x14ac:dyDescent="0.3">
      <c r="A35" t="s">
        <v>350</v>
      </c>
      <c r="B35" t="s">
        <v>63</v>
      </c>
      <c r="C35" t="s">
        <v>95</v>
      </c>
      <c r="D35" t="s">
        <v>310</v>
      </c>
      <c r="E35" t="s">
        <v>1177</v>
      </c>
      <c r="F35" s="15">
        <v>46227.492546296293</v>
      </c>
      <c r="G35" t="s">
        <v>411</v>
      </c>
      <c r="H35">
        <v>1</v>
      </c>
      <c r="I35" t="s">
        <v>1178</v>
      </c>
      <c r="J35" s="15">
        <v>46227.612233796295</v>
      </c>
      <c r="K35" s="15">
        <v>46233.329861111109</v>
      </c>
      <c r="L35" s="15"/>
      <c r="M35">
        <v>1</v>
      </c>
      <c r="O35" t="s">
        <v>201</v>
      </c>
      <c r="P35" t="s">
        <v>532</v>
      </c>
      <c r="S35" t="s">
        <v>367</v>
      </c>
      <c r="T35" t="s">
        <v>356</v>
      </c>
      <c r="U35" t="s">
        <v>240</v>
      </c>
      <c r="V35" t="s">
        <v>7</v>
      </c>
      <c r="W35" t="s">
        <v>7</v>
      </c>
      <c r="X35" t="s">
        <v>7</v>
      </c>
      <c r="AA35" t="s">
        <v>96</v>
      </c>
      <c r="AB35" t="s">
        <v>367</v>
      </c>
      <c r="AC35">
        <v>200</v>
      </c>
      <c r="AD35" t="s">
        <v>225</v>
      </c>
      <c r="AE3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350</v>
      </c>
      <c r="B2" t="s">
        <v>43</v>
      </c>
      <c r="C2" t="s">
        <v>105</v>
      </c>
      <c r="D2" s="15">
        <v>46240.387291666666</v>
      </c>
      <c r="E2" t="s">
        <v>412</v>
      </c>
      <c r="F2">
        <v>2</v>
      </c>
      <c r="G2" s="15">
        <v>46241.395138888889</v>
      </c>
      <c r="H2" t="s">
        <v>366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13</v>
      </c>
      <c r="O2" t="s">
        <v>67</v>
      </c>
      <c r="P2" t="s">
        <v>366</v>
      </c>
      <c r="Q2" t="s">
        <v>217</v>
      </c>
      <c r="R2">
        <v>1</v>
      </c>
    </row>
    <row r="3" spans="1:18" x14ac:dyDescent="0.3">
      <c r="A3" t="s">
        <v>350</v>
      </c>
      <c r="B3" t="s">
        <v>47</v>
      </c>
      <c r="C3" t="s">
        <v>68</v>
      </c>
      <c r="D3" s="15">
        <v>46233.496469907404</v>
      </c>
      <c r="E3" t="s">
        <v>411</v>
      </c>
      <c r="F3">
        <v>2</v>
      </c>
      <c r="G3" s="15">
        <v>46234.427083333336</v>
      </c>
      <c r="H3" t="s">
        <v>366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13</v>
      </c>
      <c r="O3" t="s">
        <v>90</v>
      </c>
      <c r="P3" t="s">
        <v>366</v>
      </c>
      <c r="Q3" t="s">
        <v>218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46218.662442129629</v>
      </c>
      <c r="E4" t="s">
        <v>428</v>
      </c>
      <c r="F4">
        <v>50</v>
      </c>
      <c r="G4" s="15">
        <v>46224.486111111109</v>
      </c>
      <c r="H4" t="s">
        <v>366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13</v>
      </c>
      <c r="O4" t="s">
        <v>67</v>
      </c>
      <c r="P4" t="s">
        <v>366</v>
      </c>
      <c r="Q4" t="s">
        <v>217</v>
      </c>
      <c r="R4">
        <v>1</v>
      </c>
    </row>
    <row r="5" spans="1:18" x14ac:dyDescent="0.3">
      <c r="A5" t="s">
        <v>350</v>
      </c>
      <c r="B5" t="s">
        <v>45</v>
      </c>
      <c r="C5" t="s">
        <v>68</v>
      </c>
      <c r="D5" s="15">
        <v>46218.662719907406</v>
      </c>
      <c r="E5" t="s">
        <v>428</v>
      </c>
      <c r="F5">
        <v>50</v>
      </c>
      <c r="G5" s="15">
        <v>46224.486111111109</v>
      </c>
      <c r="H5" t="s">
        <v>366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O5" t="s">
        <v>67</v>
      </c>
      <c r="P5" t="s">
        <v>366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46156.383645833332</v>
      </c>
      <c r="E6" t="s">
        <v>412</v>
      </c>
      <c r="F6">
        <v>1</v>
      </c>
      <c r="G6" s="15">
        <v>46230.438194444447</v>
      </c>
      <c r="H6" t="s">
        <v>366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13</v>
      </c>
      <c r="O6" t="s">
        <v>90</v>
      </c>
      <c r="P6" t="s">
        <v>366</v>
      </c>
      <c r="Q6" t="s">
        <v>217</v>
      </c>
      <c r="R6">
        <v>1</v>
      </c>
    </row>
    <row r="7" spans="1:18" x14ac:dyDescent="0.3">
      <c r="A7" t="s">
        <v>350</v>
      </c>
      <c r="B7" t="s">
        <v>45</v>
      </c>
      <c r="C7" t="s">
        <v>68</v>
      </c>
      <c r="D7" s="15">
        <v>46244.678773148145</v>
      </c>
      <c r="E7" t="s">
        <v>414</v>
      </c>
      <c r="F7">
        <v>25</v>
      </c>
      <c r="G7" s="15">
        <v>46246.395833333336</v>
      </c>
      <c r="H7" t="s">
        <v>370</v>
      </c>
      <c r="I7" t="s">
        <v>383</v>
      </c>
      <c r="J7" t="s">
        <v>240</v>
      </c>
      <c r="K7" t="s">
        <v>350</v>
      </c>
      <c r="L7" t="s">
        <v>356</v>
      </c>
      <c r="M7" t="s">
        <v>240</v>
      </c>
      <c r="N7">
        <v>3</v>
      </c>
      <c r="O7" t="s">
        <v>67</v>
      </c>
      <c r="P7" t="s">
        <v>370</v>
      </c>
      <c r="Q7" t="s">
        <v>217</v>
      </c>
      <c r="R7">
        <v>1</v>
      </c>
    </row>
    <row r="8" spans="1:18" x14ac:dyDescent="0.3">
      <c r="A8" t="s">
        <v>350</v>
      </c>
      <c r="B8" t="s">
        <v>45</v>
      </c>
      <c r="C8" t="s">
        <v>68</v>
      </c>
      <c r="D8" s="15">
        <v>46252.494293981479</v>
      </c>
      <c r="E8" t="s">
        <v>414</v>
      </c>
      <c r="F8">
        <v>25</v>
      </c>
      <c r="G8" s="15">
        <v>46253.423611111109</v>
      </c>
      <c r="H8" t="s">
        <v>370</v>
      </c>
      <c r="I8" t="s">
        <v>383</v>
      </c>
      <c r="J8" t="s">
        <v>240</v>
      </c>
      <c r="K8" t="s">
        <v>350</v>
      </c>
      <c r="L8" t="s">
        <v>356</v>
      </c>
      <c r="M8" t="s">
        <v>240</v>
      </c>
      <c r="N8">
        <v>3</v>
      </c>
      <c r="O8" t="s">
        <v>67</v>
      </c>
      <c r="P8" t="s">
        <v>370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46237.299120370371</v>
      </c>
      <c r="E9" t="s">
        <v>414</v>
      </c>
      <c r="F9">
        <v>20</v>
      </c>
      <c r="G9" s="15">
        <v>46239.371527777781</v>
      </c>
      <c r="H9" t="s">
        <v>370</v>
      </c>
      <c r="I9" t="s">
        <v>383</v>
      </c>
      <c r="J9" t="s">
        <v>240</v>
      </c>
      <c r="K9" t="s">
        <v>350</v>
      </c>
      <c r="L9" t="s">
        <v>356</v>
      </c>
      <c r="M9" t="s">
        <v>240</v>
      </c>
      <c r="N9">
        <v>3</v>
      </c>
      <c r="O9" t="s">
        <v>67</v>
      </c>
      <c r="P9" t="s">
        <v>370</v>
      </c>
      <c r="Q9" t="s">
        <v>217</v>
      </c>
      <c r="R9">
        <v>1</v>
      </c>
    </row>
    <row r="10" spans="1:18" x14ac:dyDescent="0.3">
      <c r="A10" t="s">
        <v>350</v>
      </c>
      <c r="B10" t="s">
        <v>43</v>
      </c>
      <c r="C10" t="s">
        <v>105</v>
      </c>
      <c r="D10" s="15">
        <v>46244.665532407409</v>
      </c>
      <c r="E10" t="s">
        <v>410</v>
      </c>
      <c r="F10">
        <v>3</v>
      </c>
      <c r="G10" s="15">
        <v>46247.479166666664</v>
      </c>
      <c r="H10" t="s">
        <v>369</v>
      </c>
      <c r="I10" t="s">
        <v>382</v>
      </c>
      <c r="J10" t="s">
        <v>240</v>
      </c>
      <c r="K10" t="s">
        <v>350</v>
      </c>
      <c r="L10" t="s">
        <v>356</v>
      </c>
      <c r="M10" t="s">
        <v>240</v>
      </c>
      <c r="N10">
        <v>48</v>
      </c>
      <c r="O10" t="s">
        <v>67</v>
      </c>
      <c r="P10" t="s">
        <v>369</v>
      </c>
      <c r="Q10" t="s">
        <v>217</v>
      </c>
      <c r="R10">
        <v>1</v>
      </c>
    </row>
    <row r="11" spans="1:18" x14ac:dyDescent="0.3">
      <c r="A11" t="s">
        <v>350</v>
      </c>
      <c r="B11" t="s">
        <v>45</v>
      </c>
      <c r="C11" t="s">
        <v>68</v>
      </c>
      <c r="D11" s="15">
        <v>46244.660208333335</v>
      </c>
      <c r="E11" t="s">
        <v>410</v>
      </c>
      <c r="F11">
        <v>25</v>
      </c>
      <c r="G11" s="15">
        <v>46246.611111111109</v>
      </c>
      <c r="H11" t="s">
        <v>369</v>
      </c>
      <c r="I11" t="s">
        <v>382</v>
      </c>
      <c r="J11" t="s">
        <v>240</v>
      </c>
      <c r="K11" t="s">
        <v>350</v>
      </c>
      <c r="L11" t="s">
        <v>356</v>
      </c>
      <c r="M11" t="s">
        <v>240</v>
      </c>
      <c r="N11">
        <v>48</v>
      </c>
      <c r="O11" t="s">
        <v>67</v>
      </c>
      <c r="P11" t="s">
        <v>369</v>
      </c>
      <c r="Q11" t="s">
        <v>217</v>
      </c>
      <c r="R11">
        <v>1</v>
      </c>
    </row>
    <row r="12" spans="1:18" x14ac:dyDescent="0.3">
      <c r="A12" t="s">
        <v>350</v>
      </c>
      <c r="B12" t="s">
        <v>45</v>
      </c>
      <c r="C12" t="s">
        <v>68</v>
      </c>
      <c r="D12" s="15">
        <v>46253.320972222224</v>
      </c>
      <c r="E12" t="s">
        <v>410</v>
      </c>
      <c r="F12">
        <v>25</v>
      </c>
      <c r="G12" s="15">
        <v>46255.638888888891</v>
      </c>
      <c r="H12" t="s">
        <v>369</v>
      </c>
      <c r="I12" t="s">
        <v>382</v>
      </c>
      <c r="J12" t="s">
        <v>240</v>
      </c>
      <c r="K12" t="s">
        <v>350</v>
      </c>
      <c r="L12" t="s">
        <v>356</v>
      </c>
      <c r="M12" t="s">
        <v>240</v>
      </c>
      <c r="N12">
        <v>48</v>
      </c>
      <c r="O12" t="s">
        <v>67</v>
      </c>
      <c r="P12" t="s">
        <v>369</v>
      </c>
      <c r="Q12" t="s">
        <v>217</v>
      </c>
      <c r="R12">
        <v>1</v>
      </c>
    </row>
    <row r="13" spans="1:18" x14ac:dyDescent="0.3">
      <c r="A13" t="s">
        <v>350</v>
      </c>
      <c r="B13" t="s">
        <v>45</v>
      </c>
      <c r="C13" t="s">
        <v>68</v>
      </c>
      <c r="D13" s="15">
        <v>46233.603067129632</v>
      </c>
      <c r="E13" t="s">
        <v>418</v>
      </c>
      <c r="F13">
        <v>50</v>
      </c>
      <c r="G13" s="15">
        <v>46237.586805555555</v>
      </c>
      <c r="H13" t="s">
        <v>369</v>
      </c>
      <c r="I13" t="s">
        <v>382</v>
      </c>
      <c r="J13" t="s">
        <v>240</v>
      </c>
      <c r="K13" t="s">
        <v>350</v>
      </c>
      <c r="L13" t="s">
        <v>356</v>
      </c>
      <c r="M13" t="s">
        <v>240</v>
      </c>
      <c r="N13">
        <v>48</v>
      </c>
      <c r="O13" t="s">
        <v>67</v>
      </c>
      <c r="P13" t="s">
        <v>369</v>
      </c>
      <c r="Q13" t="s">
        <v>217</v>
      </c>
      <c r="R13">
        <v>1</v>
      </c>
    </row>
    <row r="14" spans="1:18" x14ac:dyDescent="0.3">
      <c r="A14" t="s">
        <v>350</v>
      </c>
      <c r="B14" t="s">
        <v>48</v>
      </c>
      <c r="C14" t="s">
        <v>68</v>
      </c>
      <c r="D14" s="15">
        <v>46238.544641203705</v>
      </c>
      <c r="E14" t="s">
        <v>410</v>
      </c>
      <c r="F14">
        <v>3</v>
      </c>
      <c r="G14" s="15">
        <v>46240.518055555556</v>
      </c>
      <c r="H14" t="s">
        <v>369</v>
      </c>
      <c r="I14" t="s">
        <v>382</v>
      </c>
      <c r="J14" t="s">
        <v>240</v>
      </c>
      <c r="K14" t="s">
        <v>350</v>
      </c>
      <c r="L14" t="s">
        <v>356</v>
      </c>
      <c r="M14" t="s">
        <v>240</v>
      </c>
      <c r="N14">
        <v>48</v>
      </c>
      <c r="O14" t="s">
        <v>90</v>
      </c>
      <c r="P14" t="s">
        <v>369</v>
      </c>
      <c r="Q14" t="s">
        <v>217</v>
      </c>
      <c r="R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58" t="s">
        <v>665</v>
      </c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52"/>
    </row>
    <row r="3" spans="1:26" ht="14.25" customHeight="1" thickTop="1" thickBot="1" x14ac:dyDescent="0.35">
      <c r="B3" s="261" t="s">
        <v>666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60"/>
      <c r="Q3" s="53"/>
      <c r="R3" s="52"/>
    </row>
    <row r="4" spans="1:26" ht="14.25" customHeight="1" thickTop="1" x14ac:dyDescent="0.3">
      <c r="B4" s="262" t="s">
        <v>733</v>
      </c>
      <c r="C4" s="263"/>
      <c r="D4" s="54" t="s">
        <v>667</v>
      </c>
      <c r="E4" s="54"/>
      <c r="F4" s="51"/>
      <c r="G4" s="51"/>
      <c r="H4" s="50"/>
      <c r="I4" s="51" t="s">
        <v>734</v>
      </c>
      <c r="J4" s="55" t="s">
        <v>706</v>
      </c>
      <c r="K4" s="54"/>
      <c r="L4" s="264" t="s">
        <v>668</v>
      </c>
      <c r="M4" s="56" t="s">
        <v>669</v>
      </c>
      <c r="N4" s="174">
        <f>VLOOKUP("IRON-LT1", TabelaFDMPorContrato[[Contrato]:[IAPFARQ1]],4,0)</f>
        <v>51.515151515151516</v>
      </c>
      <c r="O4" s="57"/>
      <c r="Q4" s="53"/>
      <c r="R4" s="52"/>
    </row>
    <row r="5" spans="1:26" ht="14.25" customHeight="1" x14ac:dyDescent="0.3">
      <c r="B5" s="266" t="s">
        <v>735</v>
      </c>
      <c r="C5" s="265"/>
      <c r="D5" s="58">
        <v>4600686987</v>
      </c>
      <c r="E5" s="58"/>
      <c r="F5" s="51"/>
      <c r="G5" s="51"/>
      <c r="H5" s="50"/>
      <c r="I5" s="59" t="s">
        <v>670</v>
      </c>
      <c r="J5" s="58" t="s">
        <v>708</v>
      </c>
      <c r="K5" s="60"/>
      <c r="L5" s="265"/>
      <c r="M5" s="61" t="s">
        <v>671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66" t="s">
        <v>736</v>
      </c>
      <c r="C6" s="265"/>
      <c r="D6" s="267" t="s">
        <v>710</v>
      </c>
      <c r="E6" s="265"/>
      <c r="F6" s="265"/>
      <c r="G6" s="265"/>
      <c r="H6" s="265"/>
      <c r="I6" s="59" t="s">
        <v>672</v>
      </c>
      <c r="J6" s="58" t="s">
        <v>711</v>
      </c>
      <c r="K6" s="58"/>
      <c r="L6" s="269" t="s">
        <v>673</v>
      </c>
      <c r="M6" s="61" t="s">
        <v>669</v>
      </c>
      <c r="N6" s="173">
        <f>VLOOKUP("IRON-LT1", TabelaFDMPorContrato[[Contrato]:[IAPFARQ2]],9,0)</f>
        <v>78.571428571428569</v>
      </c>
      <c r="O6" s="63"/>
      <c r="Q6" s="53"/>
      <c r="R6" s="52"/>
    </row>
    <row r="7" spans="1:26" ht="14.25" customHeight="1" thickBot="1" x14ac:dyDescent="0.35">
      <c r="B7" s="270"/>
      <c r="C7" s="268"/>
      <c r="D7" s="268"/>
      <c r="E7" s="268"/>
      <c r="F7" s="268"/>
      <c r="G7" s="268"/>
      <c r="H7" s="268"/>
      <c r="I7" s="64" t="s">
        <v>674</v>
      </c>
      <c r="J7" s="175" t="s">
        <v>1193</v>
      </c>
      <c r="K7" s="65"/>
      <c r="L7" s="268"/>
      <c r="M7" s="66" t="s">
        <v>671</v>
      </c>
      <c r="N7" s="67">
        <f>VLOOKUP("IRON-LT1", TabelaFDMPorContrato[[Contrato]:[FDM2]],11,0)</f>
        <v>0.96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36" t="s">
        <v>0</v>
      </c>
      <c r="E10" s="241"/>
      <c r="F10" s="241"/>
      <c r="G10" s="241"/>
      <c r="H10" s="237"/>
      <c r="I10" s="72" t="s">
        <v>40</v>
      </c>
      <c r="J10" s="73" t="s">
        <v>551</v>
      </c>
      <c r="K10" s="73" t="s">
        <v>675</v>
      </c>
      <c r="L10" s="73" t="s">
        <v>676</v>
      </c>
      <c r="M10" s="74" t="s">
        <v>677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678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2" t="s">
        <v>713</v>
      </c>
      <c r="F12" s="245"/>
      <c r="G12" s="245"/>
      <c r="H12" s="245"/>
      <c r="I12" s="85"/>
      <c r="J12" s="86"/>
      <c r="K12" s="87"/>
      <c r="L12" s="88"/>
      <c r="M12" s="89"/>
      <c r="N12" s="253"/>
      <c r="Q12" s="52"/>
    </row>
    <row r="13" spans="1:26" ht="14.25" customHeight="1" x14ac:dyDescent="0.3">
      <c r="A13" s="49"/>
      <c r="B13" s="49"/>
      <c r="C13" s="90" t="s">
        <v>66</v>
      </c>
      <c r="D13" s="91" t="s">
        <v>534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183924</v>
      </c>
      <c r="K13" s="95">
        <f>J13*$N$5</f>
        <v>174727.8</v>
      </c>
      <c r="L13" s="96">
        <f>VLOOKUP(D12,PPU_IRON_LT1[[Linha de Serviço]:[P. Unitário (R$)]],4,0)</f>
        <v>0.6</v>
      </c>
      <c r="M13" s="97">
        <f>J13*L13</f>
        <v>110354.4</v>
      </c>
      <c r="N13" s="254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142523</v>
      </c>
      <c r="E14" s="100">
        <f>SUMIF(  ARM_IRON_LT1_RJ[Linha de serviço PPU], D12, ARM_IRON_LT1_RJ[QBm])</f>
        <v>0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41401</v>
      </c>
      <c r="H14" s="102">
        <f>(D14-E14-F14)+G14</f>
        <v>183924</v>
      </c>
      <c r="I14" s="103"/>
      <c r="J14" s="104"/>
      <c r="K14" s="105"/>
      <c r="L14" s="106"/>
      <c r="M14" s="107"/>
      <c r="N14" s="255"/>
      <c r="Q14" s="52"/>
    </row>
    <row r="15" spans="1:26" ht="15" customHeight="1" x14ac:dyDescent="0.3">
      <c r="A15" s="49"/>
      <c r="B15" s="49"/>
      <c r="C15" s="83"/>
      <c r="D15" s="84" t="s">
        <v>212</v>
      </c>
      <c r="E15" s="252" t="s">
        <v>714</v>
      </c>
      <c r="F15" s="245"/>
      <c r="G15" s="245"/>
      <c r="H15" s="245"/>
      <c r="I15" s="108"/>
      <c r="J15" s="109"/>
      <c r="K15" s="87"/>
      <c r="L15" s="110"/>
      <c r="M15" s="111"/>
      <c r="N15" s="253"/>
      <c r="Q15" s="52"/>
    </row>
    <row r="16" spans="1:26" ht="14.25" customHeight="1" x14ac:dyDescent="0.3">
      <c r="A16" s="49"/>
      <c r="B16" s="49"/>
      <c r="C16" s="90" t="s">
        <v>72</v>
      </c>
      <c r="D16" s="91" t="s">
        <v>534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110</v>
      </c>
      <c r="K16" s="95">
        <f>J16*N5</f>
        <v>104.5</v>
      </c>
      <c r="L16" s="96">
        <f>VLOOKUP(D15,PPU_IRON_LT1[[Linha de Serviço]:[P. Unitário (R$)]],4,0)</f>
        <v>3.55</v>
      </c>
      <c r="M16" s="97">
        <f>J16*L16</f>
        <v>390.5</v>
      </c>
      <c r="N16" s="254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9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101</v>
      </c>
      <c r="H17" s="102">
        <f>(D17-E17-F17)+G17</f>
        <v>110</v>
      </c>
      <c r="I17" s="103"/>
      <c r="J17" s="104"/>
      <c r="K17" s="105"/>
      <c r="L17" s="106"/>
      <c r="M17" s="107"/>
      <c r="N17" s="255"/>
      <c r="Q17" s="52"/>
    </row>
    <row r="18" spans="1:17" ht="15" customHeight="1" x14ac:dyDescent="0.3">
      <c r="A18" s="49"/>
      <c r="B18" s="49"/>
      <c r="C18" s="83"/>
      <c r="D18" s="84" t="s">
        <v>213</v>
      </c>
      <c r="E18" s="252" t="s">
        <v>715</v>
      </c>
      <c r="F18" s="245"/>
      <c r="G18" s="245"/>
      <c r="H18" s="245"/>
      <c r="I18" s="108"/>
      <c r="J18" s="109"/>
      <c r="K18" s="87"/>
      <c r="M18" s="111"/>
      <c r="N18" s="253"/>
      <c r="Q18" s="52"/>
    </row>
    <row r="19" spans="1:17" ht="14.25" customHeight="1" x14ac:dyDescent="0.3">
      <c r="A19" s="49"/>
      <c r="B19" s="49"/>
      <c r="C19" s="90" t="s">
        <v>75</v>
      </c>
      <c r="D19" s="91" t="s">
        <v>534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13914.65</v>
      </c>
      <c r="L19" s="96">
        <f>VLOOKUP(D18,PPU_IRON_LT1[[Linha de Serviço]:[P. Unitário (R$)]],4,0)</f>
        <v>0.74</v>
      </c>
      <c r="M19" s="97">
        <f>J19*L19</f>
        <v>10838.78</v>
      </c>
      <c r="N19" s="254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55"/>
      <c r="Q20" s="52"/>
    </row>
    <row r="21" spans="1:17" ht="15" customHeight="1" x14ac:dyDescent="0.3">
      <c r="A21" s="49"/>
      <c r="B21" s="49"/>
      <c r="C21" s="83"/>
      <c r="D21" s="84" t="s">
        <v>214</v>
      </c>
      <c r="E21" s="252" t="s">
        <v>716</v>
      </c>
      <c r="F21" s="245"/>
      <c r="G21" s="245"/>
      <c r="H21" s="245"/>
      <c r="I21" s="108"/>
      <c r="J21" s="109"/>
      <c r="K21" s="87"/>
      <c r="L21" s="110"/>
      <c r="M21" s="111"/>
      <c r="N21" s="253"/>
      <c r="Q21" s="52"/>
    </row>
    <row r="22" spans="1:17" ht="14.25" customHeight="1" x14ac:dyDescent="0.3">
      <c r="A22" s="49"/>
      <c r="B22" s="49"/>
      <c r="C22" s="90" t="s">
        <v>77</v>
      </c>
      <c r="D22" s="91" t="s">
        <v>534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16.149999999999999</v>
      </c>
      <c r="L22" s="96">
        <f>VLOOKUP(D21,PPU_IRON_LT1[[Linha de Serviço]:[P. Unitário (R$)]],4,0)</f>
        <v>56.11</v>
      </c>
      <c r="M22" s="97">
        <f>J22*L22</f>
        <v>953.87</v>
      </c>
      <c r="N22" s="254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55"/>
      <c r="Q23" s="52"/>
    </row>
    <row r="24" spans="1:17" ht="15" customHeight="1" x14ac:dyDescent="0.3">
      <c r="A24" s="49"/>
      <c r="B24" s="49"/>
      <c r="C24" s="83"/>
      <c r="D24" s="84" t="s">
        <v>215</v>
      </c>
      <c r="E24" s="252" t="s">
        <v>717</v>
      </c>
      <c r="F24" s="245"/>
      <c r="G24" s="245"/>
      <c r="H24" s="245"/>
      <c r="I24" s="108"/>
      <c r="J24" s="109"/>
      <c r="K24" s="87"/>
      <c r="L24" s="110"/>
      <c r="M24" s="111"/>
      <c r="N24" s="253"/>
      <c r="Q24" s="52"/>
    </row>
    <row r="25" spans="1:17" ht="14.25" customHeight="1" x14ac:dyDescent="0.3">
      <c r="A25" s="49"/>
      <c r="B25" s="49"/>
      <c r="C25" s="90" t="s">
        <v>84</v>
      </c>
      <c r="D25" s="91" t="s">
        <v>534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4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55"/>
      <c r="Q26" s="52"/>
    </row>
    <row r="27" spans="1:17" ht="15" customHeight="1" x14ac:dyDescent="0.3">
      <c r="A27" s="49"/>
      <c r="B27" s="49"/>
      <c r="C27" s="83"/>
      <c r="D27" s="84" t="s">
        <v>216</v>
      </c>
      <c r="E27" s="252" t="s">
        <v>718</v>
      </c>
      <c r="F27" s="245"/>
      <c r="G27" s="245"/>
      <c r="H27" s="245"/>
      <c r="I27" s="114"/>
      <c r="J27" s="115"/>
      <c r="K27" s="95"/>
      <c r="L27" s="96"/>
      <c r="M27" s="97"/>
      <c r="N27" s="253"/>
      <c r="Q27" s="52"/>
    </row>
    <row r="28" spans="1:17" ht="14.25" customHeight="1" x14ac:dyDescent="0.3">
      <c r="A28" s="49"/>
      <c r="B28" s="49"/>
      <c r="C28" s="90" t="s">
        <v>87</v>
      </c>
      <c r="D28" s="91" t="s">
        <v>534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4933.3499999999995</v>
      </c>
      <c r="L28" s="96">
        <f>VLOOKUP(D27,PPU_IRON_LT1[[Linha de Serviço]:[P. Unitário (R$)]],4,0)</f>
        <v>0.08</v>
      </c>
      <c r="M28" s="97">
        <f>J28*L28</f>
        <v>415.44</v>
      </c>
      <c r="N28" s="254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55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6" t="s">
        <v>719</v>
      </c>
      <c r="F30" s="256"/>
      <c r="G30" s="256"/>
      <c r="H30" s="257"/>
      <c r="I30" s="167" t="s">
        <v>90</v>
      </c>
      <c r="J30" s="171">
        <f>SUMIF(DADOS_IRON_LT1_RJ[Linha de serviço PPU], D30, DADOS_IRON_LT1_RJ[QExecAgrupado])</f>
        <v>53.23</v>
      </c>
      <c r="K30" s="169">
        <f>J30*N5</f>
        <v>50.568499999999993</v>
      </c>
      <c r="L30" s="165">
        <f>VLOOKUP(D30,PPU_IRON_LT1[[Linha de Serviço]:[P. Unitário (R$)]],4,0)</f>
        <v>125.89</v>
      </c>
      <c r="M30" s="163">
        <f t="shared" ref="M30:M36" si="0">L30*J30</f>
        <v>6701.1246999999994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720</v>
      </c>
      <c r="F31" s="245"/>
      <c r="G31" s="245"/>
      <c r="H31" s="245"/>
      <c r="I31" s="168" t="s">
        <v>90</v>
      </c>
      <c r="J31" s="171">
        <f>SUMIF(DADOS_IRON_LT1_RJ[Linha de serviço PPU], D31, DADOS_IRON_LT1_RJ[QExecAgrupado])</f>
        <v>4</v>
      </c>
      <c r="K31" s="169">
        <f>J31*N5</f>
        <v>3.8</v>
      </c>
      <c r="L31" s="165">
        <f>VLOOKUP(D31,PPU_IRON_LT1[[Linha de Serviço]:[P. Unitário (R$)]],4,0)</f>
        <v>200</v>
      </c>
      <c r="M31" s="163">
        <f t="shared" si="0"/>
        <v>800</v>
      </c>
      <c r="N31" s="119"/>
      <c r="Q31" s="52"/>
    </row>
    <row r="32" spans="1:17" ht="15" customHeight="1" x14ac:dyDescent="0.3">
      <c r="A32" s="49"/>
      <c r="B32" s="49"/>
      <c r="C32" s="120" t="s">
        <v>679</v>
      </c>
      <c r="D32" s="84" t="s">
        <v>721</v>
      </c>
      <c r="E32" s="245" t="s">
        <v>722</v>
      </c>
      <c r="F32" s="245"/>
      <c r="G32" s="245"/>
      <c r="H32" s="245"/>
      <c r="I32" s="168" t="s">
        <v>680</v>
      </c>
      <c r="J32" s="171">
        <f>SUM(DADOS_IRON_LT1_RJ[KM Adicional])</f>
        <v>1405</v>
      </c>
      <c r="K32" s="169">
        <f>J32*N5</f>
        <v>1334.75</v>
      </c>
      <c r="L32" s="165">
        <f>VLOOKUP(D32,PPU_IRON_LT1[[Linha de Serviço]:[P. Unitário (R$)]],4,0)</f>
        <v>0.5</v>
      </c>
      <c r="M32" s="163">
        <f t="shared" si="0"/>
        <v>702.5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46" t="s">
        <v>13</v>
      </c>
      <c r="F33" s="247"/>
      <c r="G33" s="247"/>
      <c r="H33" s="248"/>
      <c r="I33" s="168" t="s">
        <v>681</v>
      </c>
      <c r="J33" s="171">
        <f>SUMIF(DADOS_IRON_LT1_RJ[Linha de serviço PPU], D33, DADOS_IRON_LT1_RJ[QExecAgrupado])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46" t="s">
        <v>15</v>
      </c>
      <c r="F34" s="247"/>
      <c r="G34" s="247"/>
      <c r="H34" s="248"/>
      <c r="I34" s="168" t="s">
        <v>681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46" t="s">
        <v>723</v>
      </c>
      <c r="F35" s="247"/>
      <c r="G35" s="247"/>
      <c r="H35" s="248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46" t="s">
        <v>724</v>
      </c>
      <c r="F36" s="247"/>
      <c r="G36" s="247"/>
      <c r="H36" s="248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49" t="s">
        <v>682</v>
      </c>
      <c r="E37" s="250"/>
      <c r="F37" s="250"/>
      <c r="G37" s="250"/>
      <c r="H37" s="250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725</v>
      </c>
      <c r="F38" s="245"/>
      <c r="G38" s="245"/>
      <c r="H38" s="245"/>
      <c r="I38" s="168" t="s">
        <v>726</v>
      </c>
      <c r="J38" s="171">
        <f>SUMIF(DADOS_IRON_LT1_RJ[Linha de serviço PPU], D38, DADOS_IRON_LT1_RJ[QExec])</f>
        <v>369</v>
      </c>
      <c r="K38" s="170">
        <f>J38*N7</f>
        <v>354.24</v>
      </c>
      <c r="L38" s="165">
        <f>VLOOKUP(D38,PPU_IRON_LT1[[Linha de Serviço]:[P. Unitário (R$)]],4,0)</f>
        <v>0.44</v>
      </c>
      <c r="M38" s="164">
        <f t="shared" ref="M38:M47" si="1">J38*L38</f>
        <v>162.36000000000001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1" t="s">
        <v>727</v>
      </c>
      <c r="F39" s="251"/>
      <c r="G39" s="251"/>
      <c r="H39" s="251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728</v>
      </c>
      <c r="F40" s="245"/>
      <c r="G40" s="245"/>
      <c r="H40" s="245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729</v>
      </c>
      <c r="F41" s="245"/>
      <c r="G41" s="245"/>
      <c r="H41" s="245"/>
      <c r="I41" s="168" t="s">
        <v>122</v>
      </c>
      <c r="J41" s="171">
        <f>SUMIF(DADOS_IRON_LT1_RJ[Linha de serviço PPU], D41, DADOS_IRON_LT1_RJ[QExec])</f>
        <v>28</v>
      </c>
      <c r="K41" s="170">
        <f>J41*N7</f>
        <v>26.88</v>
      </c>
      <c r="L41" s="165">
        <f>VLOOKUP(D41,PPU_IRON_LT1[[Linha de Serviço]:[P. Unitário (R$)]],4,0)</f>
        <v>0.06</v>
      </c>
      <c r="M41" s="164">
        <f t="shared" si="1"/>
        <v>1.68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SUMIF(DADOS_IRON_LT1_RJ[Linha de serviço PPU], D42, DADOS_IRON_LT1_RJ[QExec])</f>
        <v>51643</v>
      </c>
      <c r="K42" s="170">
        <f>J42*N7</f>
        <v>49577.279999999999</v>
      </c>
      <c r="L42" s="165">
        <f>VLOOKUP(D42,PPU_IRON_LT1[[Linha de Serviço]:[P. Unitário (R$)]],4,0)</f>
        <v>0.1</v>
      </c>
      <c r="M42" s="164">
        <f t="shared" si="1"/>
        <v>5164.3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730</v>
      </c>
      <c r="F43" s="245"/>
      <c r="G43" s="245"/>
      <c r="H43" s="245"/>
      <c r="I43" s="168" t="s">
        <v>731</v>
      </c>
      <c r="J43" s="171">
        <f>SUMIF(DADOS_IRON_LT1_RJ[Linha de serviço PPU], D43, DADOS_IRON_LT1_RJ[QExec])</f>
        <v>78.7</v>
      </c>
      <c r="K43" s="170">
        <f>J43*N7</f>
        <v>75.552000000000007</v>
      </c>
      <c r="L43" s="165">
        <f>VLOOKUP(D43,PPU_IRON_LT1[[Linha de Serviço]:[P. Unitário (R$)]],4,0)</f>
        <v>0.23</v>
      </c>
      <c r="M43" s="164">
        <f t="shared" si="1"/>
        <v>18.101000000000003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SUMIF(DADOS_IRON_LT1_RJ[Linha de serviço PPU], D46, DADOS_IRON_LT1_RJ[QExec])</f>
        <v>796</v>
      </c>
      <c r="K46" s="170">
        <f>J46*N7</f>
        <v>764.16</v>
      </c>
      <c r="L46" s="165">
        <f>VLOOKUP(D46,PPU_IRON_LT1[[Linha de Serviço]:[P. Unitário (R$)]],4,0)</f>
        <v>11.72</v>
      </c>
      <c r="M46" s="164">
        <f t="shared" si="1"/>
        <v>9329.1200000000008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SUMIF(DADOS_IRON_LT1_RJ[Linha de serviço PPU], D47, DADOS_IRON_LT1_RJ[QExec])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38" t="s">
        <v>683</v>
      </c>
      <c r="D48" s="239"/>
      <c r="E48" s="239"/>
      <c r="F48" s="239"/>
      <c r="G48" s="239"/>
      <c r="H48" s="239"/>
      <c r="I48" s="237"/>
      <c r="J48" s="128"/>
      <c r="K48" s="128"/>
      <c r="L48" s="128"/>
      <c r="M48" s="129">
        <f>SUM(M12:M47)</f>
        <v>145832.17569999993</v>
      </c>
      <c r="N48" s="119"/>
      <c r="Q48" s="52"/>
    </row>
    <row r="49" spans="1:17" ht="14.25" customHeight="1" x14ac:dyDescent="0.3">
      <c r="A49" s="49"/>
      <c r="B49" s="49"/>
      <c r="C49" s="240" t="s">
        <v>684</v>
      </c>
      <c r="D49" s="241"/>
      <c r="E49" s="241"/>
      <c r="F49" s="241"/>
      <c r="G49" s="241"/>
      <c r="H49" s="241"/>
      <c r="I49" s="237"/>
      <c r="J49" s="242" t="s">
        <v>685</v>
      </c>
      <c r="K49" s="241"/>
      <c r="L49" s="241"/>
      <c r="M49" s="241"/>
      <c r="N49" s="237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2" t="s">
        <v>732</v>
      </c>
      <c r="K50" s="241"/>
      <c r="L50" s="241"/>
      <c r="M50" s="241"/>
      <c r="N50" s="237"/>
      <c r="Q50" s="52"/>
    </row>
    <row r="51" spans="1:17" ht="16.5" customHeight="1" x14ac:dyDescent="0.3">
      <c r="A51" s="49"/>
      <c r="B51" s="49"/>
      <c r="C51" s="243" t="s">
        <v>686</v>
      </c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37"/>
      <c r="Q51" s="52"/>
    </row>
    <row r="52" spans="1:17" ht="60" customHeight="1" x14ac:dyDescent="0.3">
      <c r="A52" s="49"/>
      <c r="B52" s="49"/>
      <c r="C52" s="244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37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687</v>
      </c>
      <c r="E54" s="71" t="s">
        <v>688</v>
      </c>
      <c r="F54" s="71" t="s">
        <v>689</v>
      </c>
      <c r="G54" s="71" t="s">
        <v>690</v>
      </c>
      <c r="H54" s="71"/>
      <c r="I54" s="71" t="s">
        <v>691</v>
      </c>
      <c r="J54" s="236" t="s">
        <v>692</v>
      </c>
      <c r="K54" s="237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533</v>
      </c>
      <c r="B1" t="s">
        <v>2</v>
      </c>
      <c r="C1" t="s">
        <v>534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656</v>
      </c>
      <c r="J1" t="s">
        <v>210</v>
      </c>
    </row>
    <row r="2" spans="1:10" x14ac:dyDescent="0.3">
      <c r="A2" t="s">
        <v>456</v>
      </c>
      <c r="B2" t="s">
        <v>68</v>
      </c>
      <c r="C2">
        <v>141509</v>
      </c>
      <c r="D2">
        <v>0</v>
      </c>
      <c r="E2">
        <v>0</v>
      </c>
      <c r="F2">
        <v>41401</v>
      </c>
      <c r="G2">
        <v>182910</v>
      </c>
      <c r="H2">
        <v>1</v>
      </c>
      <c r="I2">
        <v>182910</v>
      </c>
      <c r="J2" t="s">
        <v>211</v>
      </c>
    </row>
    <row r="3" spans="1:10" x14ac:dyDescent="0.3">
      <c r="A3" t="s">
        <v>445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212</v>
      </c>
    </row>
    <row r="4" spans="1:10" x14ac:dyDescent="0.3">
      <c r="A4" t="s">
        <v>446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447</v>
      </c>
      <c r="B5" t="s">
        <v>154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211</v>
      </c>
    </row>
    <row r="6" spans="1:10" x14ac:dyDescent="0.3">
      <c r="A6" t="s">
        <v>448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449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450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451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1192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488</v>
      </c>
      <c r="B1" t="s">
        <v>0</v>
      </c>
      <c r="C1" t="s">
        <v>2</v>
      </c>
      <c r="D1" t="s">
        <v>138</v>
      </c>
      <c r="E1" t="s">
        <v>471</v>
      </c>
      <c r="F1" t="s">
        <v>474</v>
      </c>
      <c r="G1" t="s">
        <v>246</v>
      </c>
      <c r="H1" t="s">
        <v>472</v>
      </c>
      <c r="I1" t="s">
        <v>299</v>
      </c>
      <c r="J1" t="s">
        <v>139</v>
      </c>
      <c r="K1" t="s">
        <v>245</v>
      </c>
      <c r="L1" t="s">
        <v>247</v>
      </c>
      <c r="M1" t="s">
        <v>473</v>
      </c>
      <c r="N1" t="s">
        <v>140</v>
      </c>
      <c r="O1" t="s">
        <v>274</v>
      </c>
      <c r="P1" t="s">
        <v>145</v>
      </c>
      <c r="Q1" t="s">
        <v>664</v>
      </c>
      <c r="R1" t="s">
        <v>141</v>
      </c>
      <c r="S1" t="s">
        <v>658</v>
      </c>
      <c r="T1" t="s">
        <v>659</v>
      </c>
      <c r="U1" t="s">
        <v>660</v>
      </c>
      <c r="V1" t="s">
        <v>661</v>
      </c>
      <c r="W1" t="s">
        <v>662</v>
      </c>
      <c r="X1" t="s">
        <v>663</v>
      </c>
      <c r="Y1" t="s">
        <v>554</v>
      </c>
      <c r="Z1" t="s">
        <v>160</v>
      </c>
      <c r="AA1" t="s">
        <v>40</v>
      </c>
      <c r="AB1" t="s">
        <v>375</v>
      </c>
      <c r="AC1" t="s">
        <v>552</v>
      </c>
      <c r="AD1" t="s">
        <v>210</v>
      </c>
      <c r="AE1" t="s">
        <v>551</v>
      </c>
      <c r="AF1" t="s">
        <v>555</v>
      </c>
    </row>
    <row r="2" spans="1:32" x14ac:dyDescent="0.3">
      <c r="A2" t="s">
        <v>351</v>
      </c>
      <c r="B2" t="s">
        <v>43</v>
      </c>
      <c r="C2" t="s">
        <v>105</v>
      </c>
      <c r="D2" t="s">
        <v>310</v>
      </c>
      <c r="E2" t="s">
        <v>1015</v>
      </c>
      <c r="F2" s="15">
        <v>46246.307928240742</v>
      </c>
      <c r="G2" t="s">
        <v>411</v>
      </c>
      <c r="H2">
        <v>1</v>
      </c>
      <c r="I2" t="s">
        <v>1016</v>
      </c>
      <c r="J2" s="15">
        <v>46246.375</v>
      </c>
      <c r="K2" s="15">
        <v>46247.461805555555</v>
      </c>
      <c r="L2" s="15"/>
      <c r="M2">
        <v>1</v>
      </c>
      <c r="O2" t="s">
        <v>201</v>
      </c>
      <c r="P2" t="s">
        <v>532</v>
      </c>
      <c r="S2" t="s">
        <v>363</v>
      </c>
      <c r="T2" t="s">
        <v>378</v>
      </c>
      <c r="U2" t="s">
        <v>239</v>
      </c>
      <c r="V2" t="s">
        <v>351</v>
      </c>
      <c r="W2" t="s">
        <v>378</v>
      </c>
      <c r="X2" t="s">
        <v>239</v>
      </c>
      <c r="Y2">
        <v>0</v>
      </c>
      <c r="AA2" t="s">
        <v>67</v>
      </c>
      <c r="AB2" t="s">
        <v>363</v>
      </c>
      <c r="AC2">
        <v>101</v>
      </c>
      <c r="AD2" t="s">
        <v>217</v>
      </c>
      <c r="AE2">
        <v>1</v>
      </c>
      <c r="AF2">
        <v>1</v>
      </c>
    </row>
    <row r="3" spans="1:32" x14ac:dyDescent="0.3">
      <c r="A3" t="s">
        <v>351</v>
      </c>
      <c r="B3" t="s">
        <v>43</v>
      </c>
      <c r="C3" t="s">
        <v>105</v>
      </c>
      <c r="D3" t="s">
        <v>310</v>
      </c>
      <c r="E3" t="s">
        <v>1017</v>
      </c>
      <c r="F3" s="15">
        <v>46244.651597222219</v>
      </c>
      <c r="G3" t="s">
        <v>411</v>
      </c>
      <c r="H3">
        <v>2</v>
      </c>
      <c r="I3" t="s">
        <v>1018</v>
      </c>
      <c r="J3" s="15">
        <v>46245.385416666664</v>
      </c>
      <c r="K3" s="15">
        <v>46246.481944444444</v>
      </c>
      <c r="L3" s="15"/>
      <c r="M3">
        <v>2</v>
      </c>
      <c r="O3" t="s">
        <v>201</v>
      </c>
      <c r="P3" t="s">
        <v>532</v>
      </c>
      <c r="S3" t="s">
        <v>363</v>
      </c>
      <c r="T3" t="s">
        <v>378</v>
      </c>
      <c r="U3" t="s">
        <v>239</v>
      </c>
      <c r="V3" t="s">
        <v>351</v>
      </c>
      <c r="W3" t="s">
        <v>378</v>
      </c>
      <c r="X3" t="s">
        <v>239</v>
      </c>
      <c r="Y3">
        <v>0</v>
      </c>
      <c r="AA3" t="s">
        <v>67</v>
      </c>
      <c r="AB3" t="s">
        <v>363</v>
      </c>
      <c r="AC3">
        <v>101</v>
      </c>
      <c r="AD3" t="s">
        <v>217</v>
      </c>
      <c r="AE3">
        <v>1</v>
      </c>
      <c r="AF3">
        <v>1</v>
      </c>
    </row>
    <row r="4" spans="1:32" x14ac:dyDescent="0.3">
      <c r="A4" t="s">
        <v>351</v>
      </c>
      <c r="B4" t="s">
        <v>43</v>
      </c>
      <c r="C4" t="s">
        <v>105</v>
      </c>
      <c r="D4" t="s">
        <v>310</v>
      </c>
      <c r="E4" t="s">
        <v>1019</v>
      </c>
      <c r="F4" s="15">
        <v>46241.373356481483</v>
      </c>
      <c r="G4" t="s">
        <v>411</v>
      </c>
      <c r="H4">
        <v>2</v>
      </c>
      <c r="I4" t="s">
        <v>1020</v>
      </c>
      <c r="J4" s="15">
        <v>46241.399305555555</v>
      </c>
      <c r="K4" s="15">
        <v>46244.479166666664</v>
      </c>
      <c r="L4" s="15"/>
      <c r="M4">
        <v>2</v>
      </c>
      <c r="O4" t="s">
        <v>201</v>
      </c>
      <c r="P4" t="s">
        <v>532</v>
      </c>
      <c r="S4" t="s">
        <v>363</v>
      </c>
      <c r="T4" t="s">
        <v>378</v>
      </c>
      <c r="U4" t="s">
        <v>239</v>
      </c>
      <c r="V4" t="s">
        <v>351</v>
      </c>
      <c r="W4" t="s">
        <v>378</v>
      </c>
      <c r="X4" t="s">
        <v>239</v>
      </c>
      <c r="Y4">
        <v>0</v>
      </c>
      <c r="AA4" t="s">
        <v>67</v>
      </c>
      <c r="AB4" t="s">
        <v>363</v>
      </c>
      <c r="AC4">
        <v>101</v>
      </c>
      <c r="AD4" t="s">
        <v>217</v>
      </c>
      <c r="AE4">
        <v>1</v>
      </c>
      <c r="AF4">
        <v>1</v>
      </c>
    </row>
    <row r="5" spans="1:32" x14ac:dyDescent="0.3">
      <c r="A5" t="s">
        <v>351</v>
      </c>
      <c r="B5" t="s">
        <v>43</v>
      </c>
      <c r="C5" t="s">
        <v>105</v>
      </c>
      <c r="D5" t="s">
        <v>310</v>
      </c>
      <c r="E5" t="s">
        <v>1021</v>
      </c>
      <c r="F5" s="15">
        <v>46239.511006944442</v>
      </c>
      <c r="G5" t="s">
        <v>411</v>
      </c>
      <c r="H5">
        <v>3</v>
      </c>
      <c r="I5" t="s">
        <v>1022</v>
      </c>
      <c r="J5" s="15">
        <v>46239.690972222219</v>
      </c>
      <c r="K5" s="15">
        <v>46240.486805555556</v>
      </c>
      <c r="L5" s="15"/>
      <c r="M5">
        <v>3</v>
      </c>
      <c r="O5" t="s">
        <v>201</v>
      </c>
      <c r="P5" t="s">
        <v>532</v>
      </c>
      <c r="S5" t="s">
        <v>363</v>
      </c>
      <c r="T5" t="s">
        <v>378</v>
      </c>
      <c r="U5" t="s">
        <v>239</v>
      </c>
      <c r="V5" t="s">
        <v>351</v>
      </c>
      <c r="W5" t="s">
        <v>378</v>
      </c>
      <c r="X5" t="s">
        <v>239</v>
      </c>
      <c r="Y5">
        <v>0</v>
      </c>
      <c r="AA5" t="s">
        <v>67</v>
      </c>
      <c r="AB5" t="s">
        <v>363</v>
      </c>
      <c r="AC5">
        <v>101</v>
      </c>
      <c r="AD5" t="s">
        <v>217</v>
      </c>
      <c r="AE5">
        <v>1</v>
      </c>
      <c r="AF5">
        <v>1</v>
      </c>
    </row>
    <row r="6" spans="1:32" x14ac:dyDescent="0.3">
      <c r="A6" t="s">
        <v>351</v>
      </c>
      <c r="B6" t="s">
        <v>45</v>
      </c>
      <c r="C6" t="s">
        <v>68</v>
      </c>
      <c r="D6" t="s">
        <v>310</v>
      </c>
      <c r="E6" t="s">
        <v>912</v>
      </c>
      <c r="F6" s="15">
        <v>46238.581493055557</v>
      </c>
      <c r="G6" t="s">
        <v>411</v>
      </c>
      <c r="H6">
        <v>9</v>
      </c>
      <c r="I6" t="s">
        <v>913</v>
      </c>
      <c r="J6" s="15">
        <v>46239.600694444445</v>
      </c>
      <c r="K6" s="15">
        <v>46240.479166666664</v>
      </c>
      <c r="L6" s="15"/>
      <c r="M6">
        <v>9</v>
      </c>
      <c r="O6" t="s">
        <v>201</v>
      </c>
      <c r="P6" t="s">
        <v>532</v>
      </c>
      <c r="S6" t="s">
        <v>363</v>
      </c>
      <c r="T6" t="s">
        <v>378</v>
      </c>
      <c r="U6" t="s">
        <v>239</v>
      </c>
      <c r="V6" t="s">
        <v>351</v>
      </c>
      <c r="W6" t="s">
        <v>378</v>
      </c>
      <c r="X6" t="s">
        <v>239</v>
      </c>
      <c r="AA6" t="s">
        <v>67</v>
      </c>
      <c r="AB6" t="s">
        <v>363</v>
      </c>
      <c r="AC6">
        <v>101</v>
      </c>
      <c r="AD6" t="s">
        <v>217</v>
      </c>
      <c r="AE6">
        <v>1</v>
      </c>
    </row>
    <row r="7" spans="1:32" x14ac:dyDescent="0.3">
      <c r="A7" t="s">
        <v>351</v>
      </c>
      <c r="B7" t="s">
        <v>47</v>
      </c>
      <c r="C7" t="s">
        <v>68</v>
      </c>
      <c r="D7" t="s">
        <v>310</v>
      </c>
      <c r="E7" t="s">
        <v>914</v>
      </c>
      <c r="F7" s="15">
        <v>46239.471967592595</v>
      </c>
      <c r="G7" t="s">
        <v>411</v>
      </c>
      <c r="H7">
        <v>1</v>
      </c>
      <c r="I7" t="s">
        <v>915</v>
      </c>
      <c r="J7" s="15">
        <v>46239.673611111109</v>
      </c>
      <c r="K7" s="15">
        <v>46240.488194444442</v>
      </c>
      <c r="L7" s="15"/>
      <c r="M7">
        <v>1</v>
      </c>
      <c r="O7" t="s">
        <v>146</v>
      </c>
      <c r="P7" t="s">
        <v>532</v>
      </c>
      <c r="S7" t="s">
        <v>363</v>
      </c>
      <c r="T7" t="s">
        <v>378</v>
      </c>
      <c r="U7" t="s">
        <v>239</v>
      </c>
      <c r="V7" t="s">
        <v>351</v>
      </c>
      <c r="W7" t="s">
        <v>378</v>
      </c>
      <c r="X7" t="s">
        <v>239</v>
      </c>
      <c r="Y7">
        <v>0</v>
      </c>
      <c r="AA7" t="s">
        <v>90</v>
      </c>
      <c r="AB7" t="s">
        <v>363</v>
      </c>
      <c r="AC7">
        <v>101</v>
      </c>
      <c r="AD7" t="s">
        <v>218</v>
      </c>
      <c r="AE7">
        <v>1</v>
      </c>
    </row>
    <row r="8" spans="1:32" x14ac:dyDescent="0.3">
      <c r="A8" t="s">
        <v>351</v>
      </c>
      <c r="B8" t="s">
        <v>47</v>
      </c>
      <c r="C8" t="s">
        <v>68</v>
      </c>
      <c r="D8" t="s">
        <v>310</v>
      </c>
      <c r="E8" t="s">
        <v>1185</v>
      </c>
      <c r="F8" s="15">
        <v>46239.466099537036</v>
      </c>
      <c r="G8" t="s">
        <v>411</v>
      </c>
      <c r="H8">
        <v>1</v>
      </c>
      <c r="I8" t="s">
        <v>1186</v>
      </c>
      <c r="J8" s="15">
        <v>46239.635162037041</v>
      </c>
      <c r="K8" s="15">
        <v>46240.467361111114</v>
      </c>
      <c r="L8" s="15"/>
      <c r="M8">
        <v>1</v>
      </c>
      <c r="O8" t="s">
        <v>146</v>
      </c>
      <c r="P8" t="s">
        <v>532</v>
      </c>
      <c r="S8" t="s">
        <v>363</v>
      </c>
      <c r="T8" t="s">
        <v>378</v>
      </c>
      <c r="U8" t="s">
        <v>239</v>
      </c>
      <c r="V8" t="s">
        <v>351</v>
      </c>
      <c r="W8" t="s">
        <v>378</v>
      </c>
      <c r="X8" t="s">
        <v>239</v>
      </c>
      <c r="AA8" t="s">
        <v>90</v>
      </c>
      <c r="AB8" t="s">
        <v>363</v>
      </c>
      <c r="AC8">
        <v>101</v>
      </c>
      <c r="AD8" t="s">
        <v>218</v>
      </c>
      <c r="AE8">
        <v>1</v>
      </c>
    </row>
    <row r="9" spans="1:32" x14ac:dyDescent="0.3">
      <c r="A9" t="s">
        <v>351</v>
      </c>
      <c r="B9" t="s">
        <v>43</v>
      </c>
      <c r="C9" t="s">
        <v>105</v>
      </c>
      <c r="D9" t="s">
        <v>310</v>
      </c>
      <c r="E9" t="s">
        <v>1031</v>
      </c>
      <c r="F9" s="15">
        <v>46232.641296296293</v>
      </c>
      <c r="G9" t="s">
        <v>411</v>
      </c>
      <c r="H9">
        <v>3</v>
      </c>
      <c r="I9" t="s">
        <v>1032</v>
      </c>
      <c r="J9" s="15">
        <v>46232.691562499997</v>
      </c>
      <c r="K9" s="15">
        <v>46233.513888888891</v>
      </c>
      <c r="L9" s="15"/>
      <c r="M9">
        <v>3</v>
      </c>
      <c r="O9" t="s">
        <v>201</v>
      </c>
      <c r="P9" t="s">
        <v>532</v>
      </c>
      <c r="S9" t="s">
        <v>363</v>
      </c>
      <c r="T9" t="s">
        <v>378</v>
      </c>
      <c r="U9" t="s">
        <v>239</v>
      </c>
      <c r="V9" t="s">
        <v>351</v>
      </c>
      <c r="W9" t="s">
        <v>378</v>
      </c>
      <c r="X9" t="s">
        <v>239</v>
      </c>
      <c r="Y9">
        <v>0</v>
      </c>
      <c r="AA9" t="s">
        <v>67</v>
      </c>
      <c r="AB9" t="s">
        <v>363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351</v>
      </c>
      <c r="B10" t="s">
        <v>43</v>
      </c>
      <c r="C10" t="s">
        <v>105</v>
      </c>
      <c r="D10" t="s">
        <v>310</v>
      </c>
      <c r="E10" t="s">
        <v>1067</v>
      </c>
      <c r="F10" s="15">
        <v>46220.487835648149</v>
      </c>
      <c r="G10" t="s">
        <v>411</v>
      </c>
      <c r="H10">
        <v>3</v>
      </c>
      <c r="I10" t="s">
        <v>1068</v>
      </c>
      <c r="J10" s="15">
        <v>46220.6875</v>
      </c>
      <c r="K10" s="15">
        <v>46224.423611111109</v>
      </c>
      <c r="L10" s="15"/>
      <c r="M10">
        <v>3</v>
      </c>
      <c r="O10" t="s">
        <v>201</v>
      </c>
      <c r="P10" t="s">
        <v>532</v>
      </c>
      <c r="S10" t="s">
        <v>363</v>
      </c>
      <c r="T10" t="s">
        <v>378</v>
      </c>
      <c r="U10" t="s">
        <v>239</v>
      </c>
      <c r="V10" t="s">
        <v>351</v>
      </c>
      <c r="W10" t="s">
        <v>378</v>
      </c>
      <c r="X10" t="s">
        <v>239</v>
      </c>
      <c r="Y10">
        <v>0</v>
      </c>
      <c r="AA10" t="s">
        <v>67</v>
      </c>
      <c r="AB10" t="s">
        <v>363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351</v>
      </c>
      <c r="B11" t="s">
        <v>47</v>
      </c>
      <c r="C11" t="s">
        <v>68</v>
      </c>
      <c r="D11" t="s">
        <v>310</v>
      </c>
      <c r="E11" t="s">
        <v>1012</v>
      </c>
      <c r="F11" s="15">
        <v>46233.500243055554</v>
      </c>
      <c r="G11" t="s">
        <v>411</v>
      </c>
      <c r="H11">
        <v>2</v>
      </c>
      <c r="I11" t="s">
        <v>1013</v>
      </c>
      <c r="J11" s="15">
        <v>46233.712500000001</v>
      </c>
      <c r="K11" s="15">
        <v>46234.449305555558</v>
      </c>
      <c r="L11" s="15"/>
      <c r="M11">
        <v>2</v>
      </c>
      <c r="O11" t="s">
        <v>146</v>
      </c>
      <c r="P11" t="s">
        <v>532</v>
      </c>
      <c r="S11" t="s">
        <v>363</v>
      </c>
      <c r="T11" t="s">
        <v>378</v>
      </c>
      <c r="U11" t="s">
        <v>239</v>
      </c>
      <c r="V11" t="s">
        <v>351</v>
      </c>
      <c r="W11" t="s">
        <v>378</v>
      </c>
      <c r="X11" t="s">
        <v>239</v>
      </c>
      <c r="Y11">
        <v>0</v>
      </c>
      <c r="AA11" t="s">
        <v>90</v>
      </c>
      <c r="AB11" t="s">
        <v>363</v>
      </c>
      <c r="AC11">
        <v>101</v>
      </c>
      <c r="AD11" t="s">
        <v>218</v>
      </c>
      <c r="AE11">
        <v>1</v>
      </c>
      <c r="AF11">
        <v>1</v>
      </c>
    </row>
    <row r="12" spans="1:32" x14ac:dyDescent="0.3">
      <c r="A12" t="s">
        <v>351</v>
      </c>
      <c r="B12" t="s">
        <v>48</v>
      </c>
      <c r="C12" t="s">
        <v>68</v>
      </c>
      <c r="D12" t="s">
        <v>310</v>
      </c>
      <c r="E12" t="s">
        <v>1053</v>
      </c>
      <c r="F12" s="15">
        <v>46224.393900462965</v>
      </c>
      <c r="G12" t="s">
        <v>411</v>
      </c>
      <c r="H12">
        <v>1</v>
      </c>
      <c r="I12" t="s">
        <v>1054</v>
      </c>
      <c r="J12" s="15">
        <v>46233.604861111111</v>
      </c>
      <c r="K12" s="15">
        <v>46234.497916666667</v>
      </c>
      <c r="L12" s="15"/>
      <c r="M12">
        <v>1</v>
      </c>
      <c r="O12" t="s">
        <v>201</v>
      </c>
      <c r="P12" t="s">
        <v>532</v>
      </c>
      <c r="S12" t="s">
        <v>363</v>
      </c>
      <c r="T12" t="s">
        <v>378</v>
      </c>
      <c r="U12" t="s">
        <v>239</v>
      </c>
      <c r="V12" t="s">
        <v>351</v>
      </c>
      <c r="W12" t="s">
        <v>378</v>
      </c>
      <c r="X12" t="s">
        <v>239</v>
      </c>
      <c r="Y12">
        <v>0</v>
      </c>
      <c r="AA12" t="s">
        <v>90</v>
      </c>
      <c r="AB12" t="s">
        <v>363</v>
      </c>
      <c r="AC12">
        <v>101</v>
      </c>
      <c r="AD12" t="s">
        <v>217</v>
      </c>
      <c r="AE12">
        <v>1</v>
      </c>
    </row>
    <row r="13" spans="1:32" x14ac:dyDescent="0.3">
      <c r="A13" t="s">
        <v>351</v>
      </c>
      <c r="B13" t="s">
        <v>47</v>
      </c>
      <c r="C13" t="s">
        <v>68</v>
      </c>
      <c r="D13" t="s">
        <v>310</v>
      </c>
      <c r="E13" t="s">
        <v>1014</v>
      </c>
      <c r="F13" s="15">
        <v>46240.53496527778</v>
      </c>
      <c r="G13" t="s">
        <v>411</v>
      </c>
      <c r="H13">
        <v>1</v>
      </c>
      <c r="I13" t="s">
        <v>963</v>
      </c>
      <c r="J13" s="15">
        <v>46240.617361111108</v>
      </c>
      <c r="K13" s="15">
        <v>46241.430555555555</v>
      </c>
      <c r="L13" s="15"/>
      <c r="M13">
        <v>1</v>
      </c>
      <c r="O13" t="s">
        <v>146</v>
      </c>
      <c r="P13" t="s">
        <v>532</v>
      </c>
      <c r="S13" t="s">
        <v>363</v>
      </c>
      <c r="T13" t="s">
        <v>378</v>
      </c>
      <c r="U13" t="s">
        <v>239</v>
      </c>
      <c r="V13" t="s">
        <v>351</v>
      </c>
      <c r="W13" t="s">
        <v>378</v>
      </c>
      <c r="X13" t="s">
        <v>239</v>
      </c>
      <c r="Y13">
        <v>0</v>
      </c>
      <c r="AA13" t="s">
        <v>90</v>
      </c>
      <c r="AB13" t="s">
        <v>363</v>
      </c>
      <c r="AC13">
        <v>101</v>
      </c>
      <c r="AD13" t="s">
        <v>218</v>
      </c>
      <c r="AE13">
        <v>1</v>
      </c>
      <c r="AF13">
        <v>1</v>
      </c>
    </row>
    <row r="14" spans="1:32" x14ac:dyDescent="0.3">
      <c r="A14" t="s">
        <v>351</v>
      </c>
      <c r="B14" t="s">
        <v>48</v>
      </c>
      <c r="C14" t="s">
        <v>68</v>
      </c>
      <c r="D14" t="s">
        <v>310</v>
      </c>
      <c r="E14" t="s">
        <v>978</v>
      </c>
      <c r="F14" s="15">
        <v>46246.518310185187</v>
      </c>
      <c r="G14" t="s">
        <v>411</v>
      </c>
      <c r="H14">
        <v>1</v>
      </c>
      <c r="I14" t="s">
        <v>979</v>
      </c>
      <c r="J14" s="15">
        <v>46252.508333333331</v>
      </c>
      <c r="K14" s="15">
        <v>46254.573611111111</v>
      </c>
      <c r="L14" s="15"/>
      <c r="M14">
        <v>1</v>
      </c>
      <c r="O14" t="s">
        <v>201</v>
      </c>
      <c r="P14" t="s">
        <v>531</v>
      </c>
      <c r="S14" t="s">
        <v>363</v>
      </c>
      <c r="T14" t="s">
        <v>378</v>
      </c>
      <c r="U14" t="s">
        <v>239</v>
      </c>
      <c r="V14" t="s">
        <v>351</v>
      </c>
      <c r="W14" t="s">
        <v>378</v>
      </c>
      <c r="X14" t="s">
        <v>239</v>
      </c>
      <c r="Y14">
        <v>0</v>
      </c>
      <c r="AA14" t="s">
        <v>90</v>
      </c>
      <c r="AB14" t="s">
        <v>363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351</v>
      </c>
      <c r="B15" t="s">
        <v>48</v>
      </c>
      <c r="C15" t="s">
        <v>68</v>
      </c>
      <c r="D15" t="s">
        <v>310</v>
      </c>
      <c r="E15" t="s">
        <v>980</v>
      </c>
      <c r="F15" s="15">
        <v>46251.526550925926</v>
      </c>
      <c r="G15" t="s">
        <v>411</v>
      </c>
      <c r="H15">
        <v>1</v>
      </c>
      <c r="I15" t="s">
        <v>981</v>
      </c>
      <c r="J15" s="15">
        <v>46252.671527777777</v>
      </c>
      <c r="K15" s="15">
        <v>46254.573611111111</v>
      </c>
      <c r="L15" s="15"/>
      <c r="M15">
        <v>1</v>
      </c>
      <c r="O15" t="s">
        <v>201</v>
      </c>
      <c r="P15" t="s">
        <v>531</v>
      </c>
      <c r="S15" t="s">
        <v>363</v>
      </c>
      <c r="T15" t="s">
        <v>378</v>
      </c>
      <c r="U15" t="s">
        <v>239</v>
      </c>
      <c r="V15" t="s">
        <v>351</v>
      </c>
      <c r="W15" t="s">
        <v>378</v>
      </c>
      <c r="X15" t="s">
        <v>239</v>
      </c>
      <c r="AA15" t="s">
        <v>90</v>
      </c>
      <c r="AB15" t="s">
        <v>363</v>
      </c>
      <c r="AC15">
        <v>101</v>
      </c>
      <c r="AD15" t="s">
        <v>217</v>
      </c>
      <c r="AE15">
        <v>1</v>
      </c>
    </row>
    <row r="16" spans="1:32" x14ac:dyDescent="0.3">
      <c r="A16" t="s">
        <v>351</v>
      </c>
      <c r="B16" t="s">
        <v>48</v>
      </c>
      <c r="C16" t="s">
        <v>68</v>
      </c>
      <c r="D16" t="s">
        <v>310</v>
      </c>
      <c r="E16" t="s">
        <v>980</v>
      </c>
      <c r="F16" s="15">
        <v>46251.620995370373</v>
      </c>
      <c r="G16" t="s">
        <v>411</v>
      </c>
      <c r="H16">
        <v>2</v>
      </c>
      <c r="I16" t="s">
        <v>982</v>
      </c>
      <c r="J16" s="15">
        <v>46252.650694444441</v>
      </c>
      <c r="K16" s="15">
        <v>46254.573611111111</v>
      </c>
      <c r="L16" s="15"/>
      <c r="M16">
        <v>2</v>
      </c>
      <c r="O16" t="s">
        <v>201</v>
      </c>
      <c r="P16" t="s">
        <v>531</v>
      </c>
      <c r="S16" t="s">
        <v>363</v>
      </c>
      <c r="T16" t="s">
        <v>378</v>
      </c>
      <c r="U16" t="s">
        <v>239</v>
      </c>
      <c r="V16" t="s">
        <v>351</v>
      </c>
      <c r="W16" t="s">
        <v>378</v>
      </c>
      <c r="X16" t="s">
        <v>239</v>
      </c>
      <c r="AA16" t="s">
        <v>90</v>
      </c>
      <c r="AB16" t="s">
        <v>363</v>
      </c>
      <c r="AC16">
        <v>101</v>
      </c>
      <c r="AD16" t="s">
        <v>217</v>
      </c>
      <c r="AE16">
        <v>1</v>
      </c>
    </row>
    <row r="17" spans="1:32" x14ac:dyDescent="0.3">
      <c r="A17" t="s">
        <v>351</v>
      </c>
      <c r="B17" t="s">
        <v>48</v>
      </c>
      <c r="C17" t="s">
        <v>68</v>
      </c>
      <c r="D17" t="s">
        <v>310</v>
      </c>
      <c r="E17" t="s">
        <v>983</v>
      </c>
      <c r="F17" s="15">
        <v>46254.383645833332</v>
      </c>
      <c r="G17" t="s">
        <v>411</v>
      </c>
      <c r="H17">
        <v>1</v>
      </c>
      <c r="I17" t="s">
        <v>984</v>
      </c>
      <c r="J17" s="15">
        <v>46255.375694444447</v>
      </c>
      <c r="K17" s="15">
        <v>46258.484027777777</v>
      </c>
      <c r="L17" s="15"/>
      <c r="M17">
        <v>1</v>
      </c>
      <c r="O17" t="s">
        <v>201</v>
      </c>
      <c r="P17" t="s">
        <v>531</v>
      </c>
      <c r="S17" t="s">
        <v>363</v>
      </c>
      <c r="T17" t="s">
        <v>378</v>
      </c>
      <c r="U17" t="s">
        <v>239</v>
      </c>
      <c r="V17" t="s">
        <v>351</v>
      </c>
      <c r="W17" t="s">
        <v>378</v>
      </c>
      <c r="X17" t="s">
        <v>239</v>
      </c>
      <c r="Y17">
        <v>0</v>
      </c>
      <c r="AA17" t="s">
        <v>90</v>
      </c>
      <c r="AB17" t="s">
        <v>363</v>
      </c>
      <c r="AC17">
        <v>101</v>
      </c>
      <c r="AD17" t="s">
        <v>217</v>
      </c>
      <c r="AE17">
        <v>1</v>
      </c>
      <c r="AF17">
        <v>1</v>
      </c>
    </row>
    <row r="18" spans="1:32" x14ac:dyDescent="0.3">
      <c r="A18" t="s">
        <v>351</v>
      </c>
      <c r="B18" t="s">
        <v>48</v>
      </c>
      <c r="C18" t="s">
        <v>68</v>
      </c>
      <c r="D18" t="s">
        <v>310</v>
      </c>
      <c r="E18" t="s">
        <v>985</v>
      </c>
      <c r="F18" s="15">
        <v>46246.459398148145</v>
      </c>
      <c r="G18" t="s">
        <v>411</v>
      </c>
      <c r="H18">
        <v>1</v>
      </c>
      <c r="I18" t="s">
        <v>986</v>
      </c>
      <c r="J18" s="15">
        <v>46255.427777777775</v>
      </c>
      <c r="K18" s="15">
        <v>46258.484027777777</v>
      </c>
      <c r="L18" s="15"/>
      <c r="M18">
        <v>1</v>
      </c>
      <c r="O18" t="s">
        <v>201</v>
      </c>
      <c r="P18" t="s">
        <v>531</v>
      </c>
      <c r="S18" t="s">
        <v>363</v>
      </c>
      <c r="T18" t="s">
        <v>378</v>
      </c>
      <c r="U18" t="s">
        <v>239</v>
      </c>
      <c r="V18" t="s">
        <v>351</v>
      </c>
      <c r="W18" t="s">
        <v>378</v>
      </c>
      <c r="X18" t="s">
        <v>239</v>
      </c>
      <c r="AA18" t="s">
        <v>90</v>
      </c>
      <c r="AB18" t="s">
        <v>363</v>
      </c>
      <c r="AC18">
        <v>101</v>
      </c>
      <c r="AD18" t="s">
        <v>217</v>
      </c>
      <c r="AE18">
        <v>1</v>
      </c>
    </row>
    <row r="19" spans="1:32" x14ac:dyDescent="0.3">
      <c r="A19" t="s">
        <v>351</v>
      </c>
      <c r="B19" t="s">
        <v>48</v>
      </c>
      <c r="C19" t="s">
        <v>68</v>
      </c>
      <c r="D19" t="s">
        <v>310</v>
      </c>
      <c r="E19" t="s">
        <v>987</v>
      </c>
      <c r="F19" s="15">
        <v>46245.580497685187</v>
      </c>
      <c r="G19" t="s">
        <v>411</v>
      </c>
      <c r="H19">
        <v>1</v>
      </c>
      <c r="I19" t="s">
        <v>986</v>
      </c>
      <c r="J19" s="15">
        <v>46255.427777777775</v>
      </c>
      <c r="K19" s="15">
        <v>46258.484027777777</v>
      </c>
      <c r="L19" s="15"/>
      <c r="M19">
        <v>1</v>
      </c>
      <c r="O19" t="s">
        <v>201</v>
      </c>
      <c r="P19" t="s">
        <v>531</v>
      </c>
      <c r="S19" t="s">
        <v>363</v>
      </c>
      <c r="T19" t="s">
        <v>378</v>
      </c>
      <c r="U19" t="s">
        <v>239</v>
      </c>
      <c r="V19" t="s">
        <v>351</v>
      </c>
      <c r="W19" t="s">
        <v>378</v>
      </c>
      <c r="X19" t="s">
        <v>239</v>
      </c>
      <c r="AA19" t="s">
        <v>90</v>
      </c>
      <c r="AB19" t="s">
        <v>363</v>
      </c>
      <c r="AC19">
        <v>101</v>
      </c>
      <c r="AD19" t="s">
        <v>217</v>
      </c>
      <c r="AE19">
        <v>1</v>
      </c>
    </row>
    <row r="20" spans="1:32" x14ac:dyDescent="0.3">
      <c r="A20" t="s">
        <v>351</v>
      </c>
      <c r="B20" t="s">
        <v>48</v>
      </c>
      <c r="C20" t="s">
        <v>68</v>
      </c>
      <c r="D20" t="s">
        <v>310</v>
      </c>
      <c r="E20" t="s">
        <v>988</v>
      </c>
      <c r="F20" s="15">
        <v>46253.381192129629</v>
      </c>
      <c r="G20" t="s">
        <v>411</v>
      </c>
      <c r="H20">
        <v>1</v>
      </c>
      <c r="I20" t="s">
        <v>989</v>
      </c>
      <c r="J20" s="15">
        <v>46254.517361111109</v>
      </c>
      <c r="K20" s="15">
        <v>46255.386805555558</v>
      </c>
      <c r="L20" s="15"/>
      <c r="M20">
        <v>1</v>
      </c>
      <c r="O20" t="s">
        <v>201</v>
      </c>
      <c r="P20" t="s">
        <v>532</v>
      </c>
      <c r="S20" t="s">
        <v>363</v>
      </c>
      <c r="T20" t="s">
        <v>378</v>
      </c>
      <c r="U20" t="s">
        <v>239</v>
      </c>
      <c r="V20" t="s">
        <v>351</v>
      </c>
      <c r="W20" t="s">
        <v>378</v>
      </c>
      <c r="X20" t="s">
        <v>239</v>
      </c>
      <c r="Y20">
        <v>0</v>
      </c>
      <c r="AA20" t="s">
        <v>90</v>
      </c>
      <c r="AB20" t="s">
        <v>363</v>
      </c>
      <c r="AC20">
        <v>101</v>
      </c>
      <c r="AD20" t="s">
        <v>217</v>
      </c>
      <c r="AE20">
        <v>1</v>
      </c>
      <c r="AF20">
        <v>1</v>
      </c>
    </row>
    <row r="21" spans="1:32" x14ac:dyDescent="0.3">
      <c r="A21" t="s">
        <v>351</v>
      </c>
      <c r="B21" t="s">
        <v>48</v>
      </c>
      <c r="C21" t="s">
        <v>68</v>
      </c>
      <c r="D21" t="s">
        <v>310</v>
      </c>
      <c r="E21" t="s">
        <v>990</v>
      </c>
      <c r="F21" s="15">
        <v>46237.501354166663</v>
      </c>
      <c r="G21" t="s">
        <v>411</v>
      </c>
      <c r="H21">
        <v>1</v>
      </c>
      <c r="I21" t="s">
        <v>991</v>
      </c>
      <c r="J21" s="15">
        <v>46237.692361111112</v>
      </c>
      <c r="K21" s="15">
        <v>46239.477777777778</v>
      </c>
      <c r="L21" s="15"/>
      <c r="M21">
        <v>1</v>
      </c>
      <c r="O21" t="s">
        <v>201</v>
      </c>
      <c r="P21" t="s">
        <v>531</v>
      </c>
      <c r="S21" t="s">
        <v>363</v>
      </c>
      <c r="T21" t="s">
        <v>378</v>
      </c>
      <c r="U21" t="s">
        <v>239</v>
      </c>
      <c r="V21" t="s">
        <v>351</v>
      </c>
      <c r="W21" t="s">
        <v>378</v>
      </c>
      <c r="X21" t="s">
        <v>239</v>
      </c>
      <c r="Y21">
        <v>0</v>
      </c>
      <c r="AA21" t="s">
        <v>90</v>
      </c>
      <c r="AB21" t="s">
        <v>363</v>
      </c>
      <c r="AC21">
        <v>101</v>
      </c>
      <c r="AD21" t="s">
        <v>217</v>
      </c>
      <c r="AE21">
        <v>1</v>
      </c>
      <c r="AF21">
        <v>1</v>
      </c>
    </row>
    <row r="22" spans="1:32" x14ac:dyDescent="0.3">
      <c r="A22" t="s">
        <v>351</v>
      </c>
      <c r="B22" t="s">
        <v>48</v>
      </c>
      <c r="C22" t="s">
        <v>68</v>
      </c>
      <c r="D22" t="s">
        <v>310</v>
      </c>
      <c r="E22" t="s">
        <v>1097</v>
      </c>
      <c r="F22" s="15">
        <v>46237.522916666669</v>
      </c>
      <c r="G22" t="s">
        <v>411</v>
      </c>
      <c r="H22">
        <v>2</v>
      </c>
      <c r="I22" t="s">
        <v>1098</v>
      </c>
      <c r="J22" s="15">
        <v>46237.661747685182</v>
      </c>
      <c r="K22" s="15">
        <v>46239.477777777778</v>
      </c>
      <c r="L22" s="15"/>
      <c r="M22">
        <v>2</v>
      </c>
      <c r="O22" t="s">
        <v>201</v>
      </c>
      <c r="P22" t="s">
        <v>531</v>
      </c>
      <c r="S22" t="s">
        <v>363</v>
      </c>
      <c r="T22" t="s">
        <v>378</v>
      </c>
      <c r="U22" t="s">
        <v>239</v>
      </c>
      <c r="V22" t="s">
        <v>351</v>
      </c>
      <c r="W22" t="s">
        <v>378</v>
      </c>
      <c r="X22" t="s">
        <v>239</v>
      </c>
      <c r="AA22" t="s">
        <v>90</v>
      </c>
      <c r="AB22" t="s">
        <v>363</v>
      </c>
      <c r="AC22">
        <v>101</v>
      </c>
      <c r="AD22" t="s">
        <v>217</v>
      </c>
      <c r="AE22">
        <v>1</v>
      </c>
    </row>
    <row r="23" spans="1:32" x14ac:dyDescent="0.3">
      <c r="A23" t="s">
        <v>351</v>
      </c>
      <c r="B23" t="s">
        <v>48</v>
      </c>
      <c r="C23" t="s">
        <v>68</v>
      </c>
      <c r="D23" t="s">
        <v>310</v>
      </c>
      <c r="E23" t="s">
        <v>1047</v>
      </c>
      <c r="F23" s="15">
        <v>46226.405069444445</v>
      </c>
      <c r="G23" t="s">
        <v>411</v>
      </c>
      <c r="H23">
        <v>2</v>
      </c>
      <c r="I23" t="s">
        <v>1048</v>
      </c>
      <c r="J23" s="15">
        <v>46226.479988425926</v>
      </c>
      <c r="K23" s="15">
        <v>46230.652777777781</v>
      </c>
      <c r="L23" s="15"/>
      <c r="M23">
        <v>2</v>
      </c>
      <c r="O23" t="s">
        <v>201</v>
      </c>
      <c r="P23" t="s">
        <v>531</v>
      </c>
      <c r="S23" t="s">
        <v>363</v>
      </c>
      <c r="T23" t="s">
        <v>378</v>
      </c>
      <c r="U23" t="s">
        <v>239</v>
      </c>
      <c r="V23" t="s">
        <v>351</v>
      </c>
      <c r="W23" t="s">
        <v>378</v>
      </c>
      <c r="X23" t="s">
        <v>239</v>
      </c>
      <c r="Y23">
        <v>0</v>
      </c>
      <c r="AA23" t="s">
        <v>90</v>
      </c>
      <c r="AB23" t="s">
        <v>363</v>
      </c>
      <c r="AC23">
        <v>101</v>
      </c>
      <c r="AD23" t="s">
        <v>217</v>
      </c>
      <c r="AE23">
        <v>1</v>
      </c>
      <c r="AF23">
        <v>1</v>
      </c>
    </row>
    <row r="24" spans="1:32" x14ac:dyDescent="0.3">
      <c r="A24" t="s">
        <v>351</v>
      </c>
      <c r="B24" t="s">
        <v>43</v>
      </c>
      <c r="C24" t="s">
        <v>105</v>
      </c>
      <c r="D24" t="s">
        <v>310</v>
      </c>
      <c r="E24" t="s">
        <v>1025</v>
      </c>
      <c r="F24" s="15">
        <v>46244.369768518518</v>
      </c>
      <c r="G24" t="s">
        <v>412</v>
      </c>
      <c r="H24">
        <v>4</v>
      </c>
      <c r="I24" t="s">
        <v>1026</v>
      </c>
      <c r="J24" s="15">
        <v>46244.668749999997</v>
      </c>
      <c r="K24" s="15">
        <v>46246.443055555559</v>
      </c>
      <c r="L24" s="15"/>
      <c r="M24">
        <v>4</v>
      </c>
      <c r="O24" t="s">
        <v>201</v>
      </c>
      <c r="P24" t="s">
        <v>532</v>
      </c>
      <c r="S24" t="s">
        <v>360</v>
      </c>
      <c r="T24" t="s">
        <v>378</v>
      </c>
      <c r="U24" t="s">
        <v>239</v>
      </c>
      <c r="V24" t="s">
        <v>351</v>
      </c>
      <c r="W24" t="s">
        <v>378</v>
      </c>
      <c r="X24" t="s">
        <v>239</v>
      </c>
      <c r="Y24">
        <v>0</v>
      </c>
      <c r="AA24" t="s">
        <v>67</v>
      </c>
      <c r="AB24" t="s">
        <v>360</v>
      </c>
      <c r="AC24">
        <v>50</v>
      </c>
      <c r="AD24" t="s">
        <v>217</v>
      </c>
      <c r="AE24">
        <v>1</v>
      </c>
      <c r="AF24">
        <v>1</v>
      </c>
    </row>
    <row r="25" spans="1:32" x14ac:dyDescent="0.3">
      <c r="A25" t="s">
        <v>351</v>
      </c>
      <c r="B25" t="s">
        <v>48</v>
      </c>
      <c r="C25" t="s">
        <v>68</v>
      </c>
      <c r="D25" t="s">
        <v>310</v>
      </c>
      <c r="E25" t="s">
        <v>1181</v>
      </c>
      <c r="F25" s="15">
        <v>46244.381539351853</v>
      </c>
      <c r="G25" t="s">
        <v>412</v>
      </c>
      <c r="H25">
        <v>1</v>
      </c>
      <c r="I25" t="s">
        <v>1182</v>
      </c>
      <c r="J25" s="15">
        <v>46244.708368055559</v>
      </c>
      <c r="K25" s="15">
        <v>46246.443055555559</v>
      </c>
      <c r="L25" s="15"/>
      <c r="M25">
        <v>1</v>
      </c>
      <c r="O25" t="s">
        <v>201</v>
      </c>
      <c r="P25" t="s">
        <v>531</v>
      </c>
      <c r="S25" t="s">
        <v>360</v>
      </c>
      <c r="T25" t="s">
        <v>378</v>
      </c>
      <c r="U25" t="s">
        <v>239</v>
      </c>
      <c r="V25" t="s">
        <v>351</v>
      </c>
      <c r="W25" t="s">
        <v>378</v>
      </c>
      <c r="X25" t="s">
        <v>239</v>
      </c>
      <c r="AA25" t="s">
        <v>90</v>
      </c>
      <c r="AB25" t="s">
        <v>360</v>
      </c>
      <c r="AC25">
        <v>50</v>
      </c>
      <c r="AD25" t="s">
        <v>217</v>
      </c>
      <c r="AE25">
        <v>1</v>
      </c>
    </row>
    <row r="26" spans="1:32" x14ac:dyDescent="0.3">
      <c r="A26" t="s">
        <v>351</v>
      </c>
      <c r="B26" t="s">
        <v>43</v>
      </c>
      <c r="C26" t="s">
        <v>105</v>
      </c>
      <c r="D26" t="s">
        <v>310</v>
      </c>
      <c r="E26" t="s">
        <v>1037</v>
      </c>
      <c r="F26" s="15">
        <v>46227.579050925924</v>
      </c>
      <c r="G26" t="s">
        <v>412</v>
      </c>
      <c r="H26">
        <v>2</v>
      </c>
      <c r="I26" t="s">
        <v>1038</v>
      </c>
      <c r="J26" s="15">
        <v>46227.624965277777</v>
      </c>
      <c r="K26" s="15">
        <v>46231.416666666664</v>
      </c>
      <c r="L26" s="15"/>
      <c r="M26">
        <v>2</v>
      </c>
      <c r="O26" t="s">
        <v>201</v>
      </c>
      <c r="P26" t="s">
        <v>532</v>
      </c>
      <c r="S26" t="s">
        <v>360</v>
      </c>
      <c r="T26" t="s">
        <v>378</v>
      </c>
      <c r="U26" t="s">
        <v>239</v>
      </c>
      <c r="V26" t="s">
        <v>351</v>
      </c>
      <c r="W26" t="s">
        <v>378</v>
      </c>
      <c r="X26" t="s">
        <v>239</v>
      </c>
      <c r="Y26">
        <v>0</v>
      </c>
      <c r="AA26" t="s">
        <v>67</v>
      </c>
      <c r="AB26" t="s">
        <v>360</v>
      </c>
      <c r="AC26">
        <v>50</v>
      </c>
      <c r="AD26" t="s">
        <v>217</v>
      </c>
      <c r="AE26">
        <v>1</v>
      </c>
      <c r="AF26">
        <v>1</v>
      </c>
    </row>
    <row r="27" spans="1:32" x14ac:dyDescent="0.3">
      <c r="A27" t="s">
        <v>351</v>
      </c>
      <c r="B27" t="s">
        <v>47</v>
      </c>
      <c r="C27" t="s">
        <v>68</v>
      </c>
      <c r="D27" t="s">
        <v>310</v>
      </c>
      <c r="E27" t="s">
        <v>962</v>
      </c>
      <c r="F27" s="15">
        <v>46240.53496527778</v>
      </c>
      <c r="G27" t="s">
        <v>411</v>
      </c>
      <c r="H27">
        <v>1</v>
      </c>
      <c r="I27" t="s">
        <v>963</v>
      </c>
      <c r="J27" s="15">
        <v>46240.617361111108</v>
      </c>
      <c r="K27" s="15">
        <v>46241.430555555555</v>
      </c>
      <c r="L27" s="15"/>
      <c r="M27">
        <v>2</v>
      </c>
      <c r="O27" t="s">
        <v>146</v>
      </c>
      <c r="P27" t="s">
        <v>532</v>
      </c>
      <c r="S27" t="s">
        <v>360</v>
      </c>
      <c r="T27" t="s">
        <v>378</v>
      </c>
      <c r="U27" t="s">
        <v>239</v>
      </c>
      <c r="V27" t="s">
        <v>351</v>
      </c>
      <c r="W27" t="s">
        <v>378</v>
      </c>
      <c r="X27" t="s">
        <v>239</v>
      </c>
      <c r="Y27">
        <v>0</v>
      </c>
      <c r="AA27" t="s">
        <v>90</v>
      </c>
      <c r="AB27" t="s">
        <v>360</v>
      </c>
      <c r="AC27">
        <v>50</v>
      </c>
      <c r="AD27" t="s">
        <v>218</v>
      </c>
      <c r="AE27">
        <v>1</v>
      </c>
      <c r="AF27">
        <v>1</v>
      </c>
    </row>
    <row r="28" spans="1:32" x14ac:dyDescent="0.3">
      <c r="A28" t="s">
        <v>351</v>
      </c>
      <c r="B28" t="s">
        <v>45</v>
      </c>
      <c r="C28" t="s">
        <v>68</v>
      </c>
      <c r="D28" t="s">
        <v>310</v>
      </c>
      <c r="E28" t="s">
        <v>954</v>
      </c>
      <c r="F28" s="15">
        <v>46238.415856481479</v>
      </c>
      <c r="G28" t="s">
        <v>419</v>
      </c>
      <c r="H28">
        <v>3</v>
      </c>
      <c r="I28" t="s">
        <v>955</v>
      </c>
      <c r="J28" s="15">
        <v>46238.662499999999</v>
      </c>
      <c r="K28" s="15">
        <v>46240.430555555555</v>
      </c>
      <c r="L28" s="15"/>
      <c r="M28">
        <v>3</v>
      </c>
      <c r="O28" t="s">
        <v>201</v>
      </c>
      <c r="P28" t="s">
        <v>531</v>
      </c>
      <c r="S28" t="s">
        <v>360</v>
      </c>
      <c r="T28" t="s">
        <v>378</v>
      </c>
      <c r="U28" t="s">
        <v>239</v>
      </c>
      <c r="V28" t="s">
        <v>351</v>
      </c>
      <c r="W28" t="s">
        <v>378</v>
      </c>
      <c r="X28" t="s">
        <v>239</v>
      </c>
      <c r="Y28">
        <v>0</v>
      </c>
      <c r="AA28" t="s">
        <v>67</v>
      </c>
      <c r="AB28" t="s">
        <v>360</v>
      </c>
      <c r="AC28">
        <v>50</v>
      </c>
      <c r="AD28" t="s">
        <v>217</v>
      </c>
      <c r="AE28">
        <v>1</v>
      </c>
      <c r="AF28">
        <v>1</v>
      </c>
    </row>
    <row r="29" spans="1:32" x14ac:dyDescent="0.3">
      <c r="A29" t="s">
        <v>351</v>
      </c>
      <c r="B29" t="s">
        <v>45</v>
      </c>
      <c r="C29" t="s">
        <v>68</v>
      </c>
      <c r="D29" t="s">
        <v>310</v>
      </c>
      <c r="E29" t="s">
        <v>956</v>
      </c>
      <c r="F29" s="15">
        <v>46238.416307870371</v>
      </c>
      <c r="G29" t="s">
        <v>419</v>
      </c>
      <c r="H29">
        <v>10</v>
      </c>
      <c r="I29" t="s">
        <v>957</v>
      </c>
      <c r="J29" s="15">
        <v>46238.654166666667</v>
      </c>
      <c r="K29" s="15">
        <v>46240.430555555555</v>
      </c>
      <c r="L29" s="15"/>
      <c r="M29">
        <v>10</v>
      </c>
      <c r="O29" t="s">
        <v>201</v>
      </c>
      <c r="P29" t="s">
        <v>531</v>
      </c>
      <c r="S29" t="s">
        <v>360</v>
      </c>
      <c r="T29" t="s">
        <v>378</v>
      </c>
      <c r="U29" t="s">
        <v>239</v>
      </c>
      <c r="V29" t="s">
        <v>351</v>
      </c>
      <c r="W29" t="s">
        <v>378</v>
      </c>
      <c r="X29" t="s">
        <v>239</v>
      </c>
      <c r="AA29" t="s">
        <v>67</v>
      </c>
      <c r="AB29" t="s">
        <v>360</v>
      </c>
      <c r="AC29">
        <v>50</v>
      </c>
      <c r="AD29" t="s">
        <v>217</v>
      </c>
      <c r="AE29">
        <v>1</v>
      </c>
    </row>
    <row r="30" spans="1:32" x14ac:dyDescent="0.3">
      <c r="A30" t="s">
        <v>351</v>
      </c>
      <c r="B30" t="s">
        <v>45</v>
      </c>
      <c r="C30" t="s">
        <v>68</v>
      </c>
      <c r="D30" t="s">
        <v>310</v>
      </c>
      <c r="E30" t="s">
        <v>958</v>
      </c>
      <c r="F30" s="15">
        <v>46238.415497685186</v>
      </c>
      <c r="G30" t="s">
        <v>419</v>
      </c>
      <c r="H30">
        <v>9</v>
      </c>
      <c r="I30" t="s">
        <v>959</v>
      </c>
      <c r="J30" s="15">
        <v>46238.628472222219</v>
      </c>
      <c r="K30" s="15">
        <v>46240.430555555555</v>
      </c>
      <c r="L30" s="15"/>
      <c r="M30">
        <v>9</v>
      </c>
      <c r="O30" t="s">
        <v>201</v>
      </c>
      <c r="P30" t="s">
        <v>531</v>
      </c>
      <c r="S30" t="s">
        <v>360</v>
      </c>
      <c r="T30" t="s">
        <v>378</v>
      </c>
      <c r="U30" t="s">
        <v>239</v>
      </c>
      <c r="V30" t="s">
        <v>351</v>
      </c>
      <c r="W30" t="s">
        <v>378</v>
      </c>
      <c r="X30" t="s">
        <v>239</v>
      </c>
      <c r="AA30" t="s">
        <v>67</v>
      </c>
      <c r="AB30" t="s">
        <v>360</v>
      </c>
      <c r="AC30">
        <v>50</v>
      </c>
      <c r="AD30" t="s">
        <v>217</v>
      </c>
      <c r="AE30">
        <v>1</v>
      </c>
    </row>
    <row r="31" spans="1:32" x14ac:dyDescent="0.3">
      <c r="A31" t="s">
        <v>351</v>
      </c>
      <c r="B31" t="s">
        <v>45</v>
      </c>
      <c r="C31" t="s">
        <v>68</v>
      </c>
      <c r="D31" t="s">
        <v>310</v>
      </c>
      <c r="E31" t="s">
        <v>960</v>
      </c>
      <c r="F31" s="15">
        <v>46237.469942129632</v>
      </c>
      <c r="G31" t="s">
        <v>412</v>
      </c>
      <c r="H31">
        <v>1</v>
      </c>
      <c r="I31" t="s">
        <v>961</v>
      </c>
      <c r="J31" s="15">
        <v>46240.430555555555</v>
      </c>
      <c r="K31" s="15">
        <v>46240.388888888891</v>
      </c>
      <c r="L31" s="15"/>
      <c r="M31">
        <v>1</v>
      </c>
      <c r="O31" t="s">
        <v>201</v>
      </c>
      <c r="P31" t="s">
        <v>532</v>
      </c>
      <c r="S31" t="s">
        <v>360</v>
      </c>
      <c r="T31" t="s">
        <v>378</v>
      </c>
      <c r="U31" t="s">
        <v>239</v>
      </c>
      <c r="V31" t="s">
        <v>351</v>
      </c>
      <c r="W31" t="s">
        <v>378</v>
      </c>
      <c r="X31" t="s">
        <v>239</v>
      </c>
      <c r="Y31">
        <v>0</v>
      </c>
      <c r="AA31" t="s">
        <v>67</v>
      </c>
      <c r="AB31" t="s">
        <v>360</v>
      </c>
      <c r="AC31">
        <v>50</v>
      </c>
      <c r="AD31" t="s">
        <v>217</v>
      </c>
      <c r="AE31">
        <v>1</v>
      </c>
    </row>
    <row r="32" spans="1:32" x14ac:dyDescent="0.3">
      <c r="A32" t="s">
        <v>351</v>
      </c>
      <c r="B32" t="s">
        <v>48</v>
      </c>
      <c r="C32" t="s">
        <v>68</v>
      </c>
      <c r="D32" t="s">
        <v>310</v>
      </c>
      <c r="E32" t="s">
        <v>1002</v>
      </c>
      <c r="F32" s="15">
        <v>46233.385277777779</v>
      </c>
      <c r="G32" t="s">
        <v>412</v>
      </c>
      <c r="H32">
        <v>1</v>
      </c>
      <c r="I32" t="s">
        <v>1003</v>
      </c>
      <c r="J32" s="15">
        <v>46239.651388888888</v>
      </c>
      <c r="K32" s="15">
        <v>46240.420138888891</v>
      </c>
      <c r="L32" s="15"/>
      <c r="M32">
        <v>1</v>
      </c>
      <c r="O32" t="s">
        <v>201</v>
      </c>
      <c r="P32" t="s">
        <v>532</v>
      </c>
      <c r="S32" t="s">
        <v>360</v>
      </c>
      <c r="T32" t="s">
        <v>378</v>
      </c>
      <c r="U32" t="s">
        <v>239</v>
      </c>
      <c r="V32" t="s">
        <v>351</v>
      </c>
      <c r="W32" t="s">
        <v>378</v>
      </c>
      <c r="X32" t="s">
        <v>239</v>
      </c>
      <c r="Y32">
        <v>0</v>
      </c>
      <c r="AA32" t="s">
        <v>90</v>
      </c>
      <c r="AB32" t="s">
        <v>360</v>
      </c>
      <c r="AC32">
        <v>50</v>
      </c>
      <c r="AD32" t="s">
        <v>217</v>
      </c>
      <c r="AE32">
        <v>1</v>
      </c>
    </row>
    <row r="33" spans="1:32" x14ac:dyDescent="0.3">
      <c r="A33" t="s">
        <v>351</v>
      </c>
      <c r="B33" t="s">
        <v>45</v>
      </c>
      <c r="C33" t="s">
        <v>68</v>
      </c>
      <c r="D33" t="s">
        <v>310</v>
      </c>
      <c r="E33" t="s">
        <v>1061</v>
      </c>
      <c r="F33" s="15">
        <v>46225.311331018522</v>
      </c>
      <c r="G33" t="s">
        <v>409</v>
      </c>
      <c r="H33">
        <v>3</v>
      </c>
      <c r="I33" t="s">
        <v>1062</v>
      </c>
      <c r="J33" s="15">
        <v>46225.67083333333</v>
      </c>
      <c r="K33" s="15">
        <v>46227.42291666667</v>
      </c>
      <c r="L33" s="15"/>
      <c r="M33">
        <v>3</v>
      </c>
      <c r="O33" t="s">
        <v>201</v>
      </c>
      <c r="P33" t="s">
        <v>531</v>
      </c>
      <c r="S33" t="s">
        <v>360</v>
      </c>
      <c r="T33" t="s">
        <v>378</v>
      </c>
      <c r="U33" t="s">
        <v>239</v>
      </c>
      <c r="V33" t="s">
        <v>351</v>
      </c>
      <c r="W33" t="s">
        <v>378</v>
      </c>
      <c r="X33" t="s">
        <v>239</v>
      </c>
      <c r="Y33">
        <v>0</v>
      </c>
      <c r="AA33" t="s">
        <v>67</v>
      </c>
      <c r="AB33" t="s">
        <v>360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351</v>
      </c>
      <c r="B34" t="s">
        <v>45</v>
      </c>
      <c r="C34" t="s">
        <v>68</v>
      </c>
      <c r="D34" t="s">
        <v>310</v>
      </c>
      <c r="E34" t="s">
        <v>1063</v>
      </c>
      <c r="F34" s="15">
        <v>46225.310555555552</v>
      </c>
      <c r="G34" t="s">
        <v>409</v>
      </c>
      <c r="H34">
        <v>4</v>
      </c>
      <c r="I34" t="s">
        <v>1062</v>
      </c>
      <c r="J34" s="15">
        <v>46225.67083333333</v>
      </c>
      <c r="K34" s="15">
        <v>46227.42291666667</v>
      </c>
      <c r="L34" s="15"/>
      <c r="M34">
        <v>4</v>
      </c>
      <c r="O34" t="s">
        <v>201</v>
      </c>
      <c r="P34" t="s">
        <v>531</v>
      </c>
      <c r="S34" t="s">
        <v>360</v>
      </c>
      <c r="T34" t="s">
        <v>378</v>
      </c>
      <c r="U34" t="s">
        <v>239</v>
      </c>
      <c r="V34" t="s">
        <v>351</v>
      </c>
      <c r="W34" t="s">
        <v>378</v>
      </c>
      <c r="X34" t="s">
        <v>239</v>
      </c>
      <c r="AA34" t="s">
        <v>67</v>
      </c>
      <c r="AB34" t="s">
        <v>360</v>
      </c>
      <c r="AC34">
        <v>50</v>
      </c>
      <c r="AD34" t="s">
        <v>217</v>
      </c>
      <c r="AE34">
        <v>1</v>
      </c>
    </row>
    <row r="35" spans="1:32" x14ac:dyDescent="0.3">
      <c r="A35" t="s">
        <v>351</v>
      </c>
      <c r="B35" t="s">
        <v>48</v>
      </c>
      <c r="C35" t="s">
        <v>68</v>
      </c>
      <c r="D35" t="s">
        <v>310</v>
      </c>
      <c r="E35" t="s">
        <v>1093</v>
      </c>
      <c r="F35" s="15">
        <v>46225.384560185186</v>
      </c>
      <c r="G35" t="s">
        <v>412</v>
      </c>
      <c r="H35">
        <v>1</v>
      </c>
      <c r="I35" t="s">
        <v>1094</v>
      </c>
      <c r="J35" s="15">
        <v>46225.698611111111</v>
      </c>
      <c r="K35" s="15">
        <v>46227.40347222222</v>
      </c>
      <c r="L35" s="15"/>
      <c r="M35">
        <v>1</v>
      </c>
      <c r="O35" t="s">
        <v>201</v>
      </c>
      <c r="P35" t="s">
        <v>531</v>
      </c>
      <c r="S35" t="s">
        <v>360</v>
      </c>
      <c r="T35" t="s">
        <v>378</v>
      </c>
      <c r="U35" t="s">
        <v>239</v>
      </c>
      <c r="V35" t="s">
        <v>351</v>
      </c>
      <c r="W35" t="s">
        <v>378</v>
      </c>
      <c r="X35" t="s">
        <v>239</v>
      </c>
      <c r="AA35" t="s">
        <v>90</v>
      </c>
      <c r="AB35" t="s">
        <v>360</v>
      </c>
      <c r="AC35">
        <v>50</v>
      </c>
      <c r="AD35" t="s">
        <v>217</v>
      </c>
      <c r="AE35">
        <v>1</v>
      </c>
    </row>
    <row r="36" spans="1:32" x14ac:dyDescent="0.3">
      <c r="A36" t="s">
        <v>351</v>
      </c>
      <c r="B36" t="s">
        <v>48</v>
      </c>
      <c r="C36" t="s">
        <v>68</v>
      </c>
      <c r="D36" t="s">
        <v>310</v>
      </c>
      <c r="E36" t="s">
        <v>1070</v>
      </c>
      <c r="F36" s="15">
        <v>46225.554189814815</v>
      </c>
      <c r="G36" t="s">
        <v>412</v>
      </c>
      <c r="H36">
        <v>1</v>
      </c>
      <c r="I36" t="s">
        <v>1071</v>
      </c>
      <c r="J36" s="15">
        <v>46225.708333333336</v>
      </c>
      <c r="K36" s="15">
        <v>46227.40347222222</v>
      </c>
      <c r="L36" s="15"/>
      <c r="M36">
        <v>1</v>
      </c>
      <c r="O36" t="s">
        <v>201</v>
      </c>
      <c r="P36" t="s">
        <v>531</v>
      </c>
      <c r="S36" t="s">
        <v>360</v>
      </c>
      <c r="T36" t="s">
        <v>378</v>
      </c>
      <c r="U36" t="s">
        <v>239</v>
      </c>
      <c r="V36" t="s">
        <v>351</v>
      </c>
      <c r="W36" t="s">
        <v>378</v>
      </c>
      <c r="X36" t="s">
        <v>239</v>
      </c>
      <c r="AA36" t="s">
        <v>90</v>
      </c>
      <c r="AB36" t="s">
        <v>360</v>
      </c>
      <c r="AC36">
        <v>50</v>
      </c>
      <c r="AD36" t="s">
        <v>217</v>
      </c>
      <c r="AE36">
        <v>1</v>
      </c>
    </row>
    <row r="37" spans="1:32" x14ac:dyDescent="0.3">
      <c r="A37" t="s">
        <v>351</v>
      </c>
      <c r="B37" t="s">
        <v>43</v>
      </c>
      <c r="C37" t="s">
        <v>105</v>
      </c>
      <c r="D37" t="s">
        <v>310</v>
      </c>
      <c r="E37" t="s">
        <v>1091</v>
      </c>
      <c r="F37" s="15">
        <v>46226.328611111108</v>
      </c>
      <c r="G37" t="s">
        <v>412</v>
      </c>
      <c r="H37">
        <v>6</v>
      </c>
      <c r="I37" t="s">
        <v>1092</v>
      </c>
      <c r="J37" s="15">
        <v>46226.431250000001</v>
      </c>
      <c r="K37" s="15">
        <v>46227.40347222222</v>
      </c>
      <c r="L37" s="15"/>
      <c r="M37">
        <v>6</v>
      </c>
      <c r="O37" t="s">
        <v>201</v>
      </c>
      <c r="P37" t="s">
        <v>532</v>
      </c>
      <c r="S37" t="s">
        <v>360</v>
      </c>
      <c r="T37" t="s">
        <v>378</v>
      </c>
      <c r="U37" t="s">
        <v>239</v>
      </c>
      <c r="V37" t="s">
        <v>351</v>
      </c>
      <c r="W37" t="s">
        <v>378</v>
      </c>
      <c r="X37" t="s">
        <v>239</v>
      </c>
      <c r="AA37" t="s">
        <v>67</v>
      </c>
      <c r="AB37" t="s">
        <v>360</v>
      </c>
      <c r="AC37">
        <v>50</v>
      </c>
      <c r="AD37" t="s">
        <v>217</v>
      </c>
      <c r="AE37">
        <v>1</v>
      </c>
    </row>
    <row r="38" spans="1:32" x14ac:dyDescent="0.3">
      <c r="A38" t="s">
        <v>351</v>
      </c>
      <c r="B38" t="s">
        <v>48</v>
      </c>
      <c r="C38" t="s">
        <v>68</v>
      </c>
      <c r="D38" t="s">
        <v>310</v>
      </c>
      <c r="E38" t="s">
        <v>995</v>
      </c>
      <c r="F38" s="15">
        <v>46252.400995370372</v>
      </c>
      <c r="G38" t="s">
        <v>412</v>
      </c>
      <c r="H38">
        <v>1</v>
      </c>
      <c r="I38" t="s">
        <v>996</v>
      </c>
      <c r="J38" s="15">
        <v>46253.65</v>
      </c>
      <c r="K38" s="15">
        <v>46254.420138888891</v>
      </c>
      <c r="L38" s="15"/>
      <c r="M38">
        <v>1</v>
      </c>
      <c r="O38" t="s">
        <v>201</v>
      </c>
      <c r="P38" t="s">
        <v>532</v>
      </c>
      <c r="S38" t="s">
        <v>360</v>
      </c>
      <c r="T38" t="s">
        <v>378</v>
      </c>
      <c r="U38" t="s">
        <v>239</v>
      </c>
      <c r="V38" t="s">
        <v>351</v>
      </c>
      <c r="W38" t="s">
        <v>378</v>
      </c>
      <c r="X38" t="s">
        <v>239</v>
      </c>
      <c r="Y38">
        <v>0</v>
      </c>
      <c r="AA38" t="s">
        <v>90</v>
      </c>
      <c r="AB38" t="s">
        <v>360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351</v>
      </c>
      <c r="B39" t="s">
        <v>48</v>
      </c>
      <c r="C39" t="s">
        <v>68</v>
      </c>
      <c r="D39" t="s">
        <v>310</v>
      </c>
      <c r="E39" t="s">
        <v>995</v>
      </c>
      <c r="F39" s="15">
        <v>46252.400995370372</v>
      </c>
      <c r="G39" t="s">
        <v>412</v>
      </c>
      <c r="H39">
        <v>1</v>
      </c>
      <c r="I39" t="s">
        <v>997</v>
      </c>
      <c r="J39" s="15">
        <v>46253.374305555553</v>
      </c>
      <c r="K39" s="15">
        <v>46254.420138888891</v>
      </c>
      <c r="L39" s="15"/>
      <c r="M39">
        <v>1</v>
      </c>
      <c r="O39" t="s">
        <v>201</v>
      </c>
      <c r="P39" t="s">
        <v>531</v>
      </c>
      <c r="S39" t="s">
        <v>360</v>
      </c>
      <c r="T39" t="s">
        <v>378</v>
      </c>
      <c r="U39" t="s">
        <v>239</v>
      </c>
      <c r="V39" t="s">
        <v>351</v>
      </c>
      <c r="W39" t="s">
        <v>378</v>
      </c>
      <c r="X39" t="s">
        <v>239</v>
      </c>
      <c r="AA39" t="s">
        <v>90</v>
      </c>
      <c r="AB39" t="s">
        <v>360</v>
      </c>
      <c r="AC39">
        <v>50</v>
      </c>
      <c r="AD39" t="s">
        <v>217</v>
      </c>
      <c r="AE39">
        <v>1</v>
      </c>
    </row>
    <row r="40" spans="1:32" x14ac:dyDescent="0.3">
      <c r="A40" t="s">
        <v>351</v>
      </c>
      <c r="B40" t="s">
        <v>48</v>
      </c>
      <c r="C40" t="s">
        <v>68</v>
      </c>
      <c r="D40" t="s">
        <v>310</v>
      </c>
      <c r="E40" t="s">
        <v>998</v>
      </c>
      <c r="F40" s="15">
        <v>46251.60728009259</v>
      </c>
      <c r="G40" t="s">
        <v>412</v>
      </c>
      <c r="H40">
        <v>1</v>
      </c>
      <c r="I40" t="s">
        <v>999</v>
      </c>
      <c r="J40" s="15">
        <v>46252.679166666669</v>
      </c>
      <c r="K40" s="15">
        <v>46254.420138888891</v>
      </c>
      <c r="L40" s="15"/>
      <c r="M40">
        <v>1</v>
      </c>
      <c r="O40" t="s">
        <v>201</v>
      </c>
      <c r="P40" t="s">
        <v>531</v>
      </c>
      <c r="S40" t="s">
        <v>360</v>
      </c>
      <c r="T40" t="s">
        <v>378</v>
      </c>
      <c r="U40" t="s">
        <v>239</v>
      </c>
      <c r="V40" t="s">
        <v>351</v>
      </c>
      <c r="W40" t="s">
        <v>378</v>
      </c>
      <c r="X40" t="s">
        <v>239</v>
      </c>
      <c r="Y40">
        <v>0</v>
      </c>
      <c r="AA40" t="s">
        <v>90</v>
      </c>
      <c r="AB40" t="s">
        <v>360</v>
      </c>
      <c r="AC40">
        <v>50</v>
      </c>
      <c r="AD40" t="s">
        <v>217</v>
      </c>
      <c r="AE40">
        <v>1</v>
      </c>
    </row>
    <row r="41" spans="1:32" x14ac:dyDescent="0.3">
      <c r="A41" t="s">
        <v>351</v>
      </c>
      <c r="B41" t="s">
        <v>48</v>
      </c>
      <c r="C41" t="s">
        <v>68</v>
      </c>
      <c r="D41" t="s">
        <v>310</v>
      </c>
      <c r="E41" t="s">
        <v>1000</v>
      </c>
      <c r="F41" s="15">
        <v>46237.403981481482</v>
      </c>
      <c r="G41" t="s">
        <v>412</v>
      </c>
      <c r="H41">
        <v>1</v>
      </c>
      <c r="I41" t="s">
        <v>1001</v>
      </c>
      <c r="J41" s="15">
        <v>46237.502083333333</v>
      </c>
      <c r="K41" s="15">
        <v>46239.458333333336</v>
      </c>
      <c r="L41" s="15"/>
      <c r="M41">
        <v>1</v>
      </c>
      <c r="O41" t="s">
        <v>201</v>
      </c>
      <c r="P41" t="s">
        <v>531</v>
      </c>
      <c r="S41" t="s">
        <v>360</v>
      </c>
      <c r="T41" t="s">
        <v>378</v>
      </c>
      <c r="U41" t="s">
        <v>239</v>
      </c>
      <c r="V41" t="s">
        <v>351</v>
      </c>
      <c r="W41" t="s">
        <v>378</v>
      </c>
      <c r="X41" t="s">
        <v>239</v>
      </c>
      <c r="Y41">
        <v>0</v>
      </c>
      <c r="AA41" t="s">
        <v>90</v>
      </c>
      <c r="AB41" t="s">
        <v>360</v>
      </c>
      <c r="AC41">
        <v>50</v>
      </c>
      <c r="AD41" t="s">
        <v>217</v>
      </c>
      <c r="AE41">
        <v>1</v>
      </c>
      <c r="AF41">
        <v>1</v>
      </c>
    </row>
    <row r="42" spans="1:32" x14ac:dyDescent="0.3">
      <c r="A42" t="s">
        <v>351</v>
      </c>
      <c r="B42" t="s">
        <v>48</v>
      </c>
      <c r="C42" t="s">
        <v>68</v>
      </c>
      <c r="D42" t="s">
        <v>310</v>
      </c>
      <c r="E42" t="s">
        <v>1004</v>
      </c>
      <c r="F42" s="15">
        <v>46245.504618055558</v>
      </c>
      <c r="G42" t="s">
        <v>412</v>
      </c>
      <c r="H42">
        <v>1</v>
      </c>
      <c r="I42" t="s">
        <v>1005</v>
      </c>
      <c r="J42" s="15">
        <v>46251.37777777778</v>
      </c>
      <c r="K42" s="15">
        <v>46252.390972222223</v>
      </c>
      <c r="L42" s="15"/>
      <c r="M42">
        <v>1</v>
      </c>
      <c r="O42" t="s">
        <v>201</v>
      </c>
      <c r="P42" t="s">
        <v>531</v>
      </c>
      <c r="S42" t="s">
        <v>360</v>
      </c>
      <c r="T42" t="s">
        <v>378</v>
      </c>
      <c r="U42" t="s">
        <v>239</v>
      </c>
      <c r="V42" t="s">
        <v>351</v>
      </c>
      <c r="W42" t="s">
        <v>378</v>
      </c>
      <c r="X42" t="s">
        <v>239</v>
      </c>
      <c r="Y42">
        <v>0</v>
      </c>
      <c r="AA42" t="s">
        <v>90</v>
      </c>
      <c r="AB42" t="s">
        <v>360</v>
      </c>
      <c r="AC42">
        <v>50</v>
      </c>
      <c r="AD42" t="s">
        <v>217</v>
      </c>
      <c r="AE42">
        <v>1</v>
      </c>
      <c r="AF42">
        <v>1</v>
      </c>
    </row>
    <row r="43" spans="1:32" x14ac:dyDescent="0.3">
      <c r="A43" t="s">
        <v>351</v>
      </c>
      <c r="B43" t="s">
        <v>48</v>
      </c>
      <c r="C43" t="s">
        <v>68</v>
      </c>
      <c r="D43" t="s">
        <v>310</v>
      </c>
      <c r="E43" t="s">
        <v>1051</v>
      </c>
      <c r="F43" s="15">
        <v>46224.674085648148</v>
      </c>
      <c r="G43" t="s">
        <v>412</v>
      </c>
      <c r="H43">
        <v>1</v>
      </c>
      <c r="I43" t="s">
        <v>1052</v>
      </c>
      <c r="J43" s="15">
        <v>46226.561562499999</v>
      </c>
      <c r="K43" s="15">
        <v>46230.489583333336</v>
      </c>
      <c r="L43" s="15"/>
      <c r="M43">
        <v>1</v>
      </c>
      <c r="O43" t="s">
        <v>201</v>
      </c>
      <c r="P43" t="s">
        <v>531</v>
      </c>
      <c r="S43" t="s">
        <v>360</v>
      </c>
      <c r="T43" t="s">
        <v>378</v>
      </c>
      <c r="U43" t="s">
        <v>239</v>
      </c>
      <c r="V43" t="s">
        <v>351</v>
      </c>
      <c r="W43" t="s">
        <v>378</v>
      </c>
      <c r="X43" t="s">
        <v>239</v>
      </c>
      <c r="Y43">
        <v>0</v>
      </c>
      <c r="AA43" t="s">
        <v>90</v>
      </c>
      <c r="AB43" t="s">
        <v>360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351</v>
      </c>
      <c r="B44" t="s">
        <v>48</v>
      </c>
      <c r="C44" t="s">
        <v>68</v>
      </c>
      <c r="D44" t="s">
        <v>310</v>
      </c>
      <c r="E44" t="s">
        <v>1057</v>
      </c>
      <c r="F44" s="15">
        <v>46220.546053240738</v>
      </c>
      <c r="G44" t="s">
        <v>412</v>
      </c>
      <c r="H44">
        <v>1</v>
      </c>
      <c r="I44" t="s">
        <v>1058</v>
      </c>
      <c r="J44" s="15">
        <v>46224.709398148145</v>
      </c>
      <c r="K44" s="15">
        <v>46226.411805555559</v>
      </c>
      <c r="L44" s="15"/>
      <c r="M44">
        <v>1</v>
      </c>
      <c r="O44" t="s">
        <v>201</v>
      </c>
      <c r="P44" t="s">
        <v>531</v>
      </c>
      <c r="S44" t="s">
        <v>360</v>
      </c>
      <c r="T44" t="s">
        <v>378</v>
      </c>
      <c r="U44" t="s">
        <v>239</v>
      </c>
      <c r="V44" t="s">
        <v>351</v>
      </c>
      <c r="W44" t="s">
        <v>378</v>
      </c>
      <c r="X44" t="s">
        <v>239</v>
      </c>
      <c r="Y44">
        <v>0</v>
      </c>
      <c r="AA44" t="s">
        <v>90</v>
      </c>
      <c r="AB44" t="s">
        <v>360</v>
      </c>
      <c r="AC44">
        <v>50</v>
      </c>
      <c r="AD44" t="s">
        <v>217</v>
      </c>
      <c r="AE44">
        <v>1</v>
      </c>
      <c r="AF44">
        <v>1</v>
      </c>
    </row>
    <row r="45" spans="1:32" x14ac:dyDescent="0.3">
      <c r="A45" t="s">
        <v>351</v>
      </c>
      <c r="B45" t="s">
        <v>51</v>
      </c>
      <c r="C45" t="s">
        <v>258</v>
      </c>
      <c r="D45" t="s">
        <v>310</v>
      </c>
      <c r="E45" t="s">
        <v>854</v>
      </c>
      <c r="F45" s="15">
        <v>46232.614351851851</v>
      </c>
      <c r="G45" t="s">
        <v>412</v>
      </c>
      <c r="H45">
        <v>50</v>
      </c>
      <c r="I45" t="s">
        <v>855</v>
      </c>
      <c r="J45" s="15">
        <v>46232.63958333333</v>
      </c>
      <c r="K45" s="15">
        <v>46233.408333333333</v>
      </c>
      <c r="L45" s="15"/>
      <c r="M45">
        <v>50</v>
      </c>
      <c r="O45" t="s">
        <v>201</v>
      </c>
      <c r="P45" t="s">
        <v>532</v>
      </c>
      <c r="S45" t="s">
        <v>361</v>
      </c>
      <c r="T45" t="s">
        <v>378</v>
      </c>
      <c r="U45" t="s">
        <v>239</v>
      </c>
      <c r="V45" t="s">
        <v>7</v>
      </c>
      <c r="W45" t="s">
        <v>7</v>
      </c>
      <c r="X45" t="s">
        <v>7</v>
      </c>
      <c r="AA45" t="s">
        <v>238</v>
      </c>
      <c r="AB45" t="s">
        <v>361</v>
      </c>
      <c r="AC45">
        <v>2200</v>
      </c>
      <c r="AD45" t="s">
        <v>7</v>
      </c>
      <c r="AF45">
        <v>0</v>
      </c>
    </row>
    <row r="46" spans="1:32" x14ac:dyDescent="0.3">
      <c r="A46" t="s">
        <v>351</v>
      </c>
      <c r="B46" t="s">
        <v>51</v>
      </c>
      <c r="C46" t="s">
        <v>258</v>
      </c>
      <c r="D46" t="s">
        <v>310</v>
      </c>
      <c r="E46" t="s">
        <v>850</v>
      </c>
      <c r="F46" s="15">
        <v>46252.483842592592</v>
      </c>
      <c r="G46" t="s">
        <v>412</v>
      </c>
      <c r="H46">
        <v>50</v>
      </c>
      <c r="I46" t="s">
        <v>851</v>
      </c>
      <c r="J46" s="15">
        <v>46253.598611111112</v>
      </c>
      <c r="K46" s="15">
        <v>46254.503472222219</v>
      </c>
      <c r="L46" s="15"/>
      <c r="M46">
        <v>50</v>
      </c>
      <c r="O46" t="s">
        <v>201</v>
      </c>
      <c r="P46" t="s">
        <v>532</v>
      </c>
      <c r="S46" t="s">
        <v>361</v>
      </c>
      <c r="T46" t="s">
        <v>378</v>
      </c>
      <c r="U46" t="s">
        <v>239</v>
      </c>
      <c r="V46" t="s">
        <v>7</v>
      </c>
      <c r="W46" t="s">
        <v>7</v>
      </c>
      <c r="X46" t="s">
        <v>7</v>
      </c>
      <c r="AA46" t="s">
        <v>238</v>
      </c>
      <c r="AB46" t="s">
        <v>361</v>
      </c>
      <c r="AC46">
        <v>2200</v>
      </c>
      <c r="AD46" t="s">
        <v>7</v>
      </c>
      <c r="AF46">
        <v>0</v>
      </c>
    </row>
    <row r="47" spans="1:32" x14ac:dyDescent="0.3">
      <c r="A47" t="s">
        <v>351</v>
      </c>
      <c r="B47" t="s">
        <v>51</v>
      </c>
      <c r="C47" t="s">
        <v>258</v>
      </c>
      <c r="D47" t="s">
        <v>310</v>
      </c>
      <c r="E47" t="s">
        <v>853</v>
      </c>
      <c r="F47" s="15">
        <v>46252.480428240742</v>
      </c>
      <c r="G47" t="s">
        <v>412</v>
      </c>
      <c r="H47">
        <v>50</v>
      </c>
      <c r="I47" t="s">
        <v>851</v>
      </c>
      <c r="J47" s="15">
        <v>46253.598611111112</v>
      </c>
      <c r="K47" s="15">
        <v>46254.503472222219</v>
      </c>
      <c r="L47" s="15"/>
      <c r="M47">
        <v>50</v>
      </c>
      <c r="O47" t="s">
        <v>201</v>
      </c>
      <c r="P47" t="s">
        <v>532</v>
      </c>
      <c r="S47" t="s">
        <v>361</v>
      </c>
      <c r="T47" t="s">
        <v>378</v>
      </c>
      <c r="U47" t="s">
        <v>239</v>
      </c>
      <c r="V47" t="s">
        <v>7</v>
      </c>
      <c r="W47" t="s">
        <v>7</v>
      </c>
      <c r="X47" t="s">
        <v>7</v>
      </c>
      <c r="AA47" t="s">
        <v>238</v>
      </c>
      <c r="AB47" t="s">
        <v>361</v>
      </c>
      <c r="AC47">
        <v>2200</v>
      </c>
      <c r="AD47" t="s">
        <v>7</v>
      </c>
    </row>
    <row r="48" spans="1:32" x14ac:dyDescent="0.3">
      <c r="A48" t="s">
        <v>351</v>
      </c>
      <c r="B48" t="s">
        <v>51</v>
      </c>
      <c r="C48" t="s">
        <v>258</v>
      </c>
      <c r="D48" t="s">
        <v>310</v>
      </c>
      <c r="E48" t="s">
        <v>852</v>
      </c>
      <c r="F48" s="15">
        <v>46252.482303240744</v>
      </c>
      <c r="G48" t="s">
        <v>412</v>
      </c>
      <c r="H48">
        <v>50</v>
      </c>
      <c r="I48" t="s">
        <v>851</v>
      </c>
      <c r="J48" s="15">
        <v>46253.598611111112</v>
      </c>
      <c r="K48" s="15">
        <v>46254.503472222219</v>
      </c>
      <c r="L48" s="15"/>
      <c r="M48">
        <v>50</v>
      </c>
      <c r="O48" t="s">
        <v>201</v>
      </c>
      <c r="P48" t="s">
        <v>532</v>
      </c>
      <c r="S48" t="s">
        <v>361</v>
      </c>
      <c r="T48" t="s">
        <v>378</v>
      </c>
      <c r="U48" t="s">
        <v>239</v>
      </c>
      <c r="V48" t="s">
        <v>7</v>
      </c>
      <c r="W48" t="s">
        <v>7</v>
      </c>
      <c r="X48" t="s">
        <v>7</v>
      </c>
      <c r="AA48" t="s">
        <v>238</v>
      </c>
      <c r="AB48" t="s">
        <v>361</v>
      </c>
      <c r="AC48">
        <v>2200</v>
      </c>
      <c r="AD48" t="s">
        <v>7</v>
      </c>
    </row>
    <row r="49" spans="1:32" x14ac:dyDescent="0.3">
      <c r="A49" t="s">
        <v>351</v>
      </c>
      <c r="B49" t="s">
        <v>51</v>
      </c>
      <c r="C49" t="s">
        <v>258</v>
      </c>
      <c r="D49" t="s">
        <v>310</v>
      </c>
      <c r="E49" t="s">
        <v>862</v>
      </c>
      <c r="F49" s="15">
        <v>46227.419386574074</v>
      </c>
      <c r="G49" t="s">
        <v>412</v>
      </c>
      <c r="H49">
        <v>100</v>
      </c>
      <c r="I49" t="s">
        <v>863</v>
      </c>
      <c r="J49" s="15">
        <v>46227.607638888891</v>
      </c>
      <c r="K49" s="15">
        <v>46231.386805555558</v>
      </c>
      <c r="L49" s="15"/>
      <c r="M49">
        <v>100</v>
      </c>
      <c r="O49" t="s">
        <v>201</v>
      </c>
      <c r="P49" t="s">
        <v>531</v>
      </c>
      <c r="S49" t="s">
        <v>360</v>
      </c>
      <c r="T49" t="s">
        <v>378</v>
      </c>
      <c r="U49" t="s">
        <v>239</v>
      </c>
      <c r="V49" t="s">
        <v>7</v>
      </c>
      <c r="W49" t="s">
        <v>7</v>
      </c>
      <c r="X49" t="s">
        <v>7</v>
      </c>
      <c r="AA49" t="s">
        <v>238</v>
      </c>
      <c r="AB49" t="s">
        <v>360</v>
      </c>
      <c r="AC49">
        <v>50</v>
      </c>
      <c r="AD49" t="s">
        <v>7</v>
      </c>
      <c r="AF49">
        <v>0</v>
      </c>
    </row>
    <row r="50" spans="1:32" x14ac:dyDescent="0.3">
      <c r="A50" t="s">
        <v>351</v>
      </c>
      <c r="B50" t="s">
        <v>51</v>
      </c>
      <c r="C50" t="s">
        <v>258</v>
      </c>
      <c r="D50" t="s">
        <v>310</v>
      </c>
      <c r="E50" t="s">
        <v>864</v>
      </c>
      <c r="F50" s="15">
        <v>46225.586296296293</v>
      </c>
      <c r="G50" t="s">
        <v>865</v>
      </c>
      <c r="H50">
        <v>5</v>
      </c>
      <c r="I50" t="s">
        <v>866</v>
      </c>
      <c r="J50" s="15">
        <v>46225.654861111114</v>
      </c>
      <c r="K50" s="15">
        <v>46230.291666666664</v>
      </c>
      <c r="L50" s="15"/>
      <c r="M50">
        <v>5</v>
      </c>
      <c r="O50" t="s">
        <v>201</v>
      </c>
      <c r="P50" t="s">
        <v>531</v>
      </c>
      <c r="S50" t="s">
        <v>360</v>
      </c>
      <c r="T50" t="s">
        <v>378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360</v>
      </c>
      <c r="AC50">
        <v>50</v>
      </c>
      <c r="AD50" t="s">
        <v>7</v>
      </c>
      <c r="AF50">
        <v>0</v>
      </c>
    </row>
    <row r="51" spans="1:32" x14ac:dyDescent="0.3">
      <c r="A51" t="s">
        <v>351</v>
      </c>
      <c r="B51" t="s">
        <v>51</v>
      </c>
      <c r="C51" t="s">
        <v>258</v>
      </c>
      <c r="D51" t="s">
        <v>310</v>
      </c>
      <c r="E51" t="s">
        <v>909</v>
      </c>
      <c r="F51" s="15">
        <v>46225.464629629627</v>
      </c>
      <c r="G51" t="s">
        <v>910</v>
      </c>
      <c r="H51">
        <v>18</v>
      </c>
      <c r="I51" t="s">
        <v>911</v>
      </c>
      <c r="J51" s="15">
        <v>46225.601388888892</v>
      </c>
      <c r="K51" s="15">
        <v>46231.378472222219</v>
      </c>
      <c r="L51" s="15"/>
      <c r="M51">
        <v>18</v>
      </c>
      <c r="O51" t="s">
        <v>201</v>
      </c>
      <c r="P51" t="s">
        <v>531</v>
      </c>
      <c r="S51" t="s">
        <v>362</v>
      </c>
      <c r="T51" t="s">
        <v>378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362</v>
      </c>
      <c r="AC51">
        <v>109</v>
      </c>
      <c r="AD51" t="s">
        <v>7</v>
      </c>
      <c r="AF51">
        <v>0</v>
      </c>
    </row>
    <row r="52" spans="1:32" x14ac:dyDescent="0.3">
      <c r="A52" t="s">
        <v>351</v>
      </c>
      <c r="B52" t="s">
        <v>45</v>
      </c>
      <c r="C52" t="s">
        <v>68</v>
      </c>
      <c r="D52" t="s">
        <v>310</v>
      </c>
      <c r="E52" t="s">
        <v>970</v>
      </c>
      <c r="F52" s="15">
        <v>46255.309004629627</v>
      </c>
      <c r="G52" t="s">
        <v>412</v>
      </c>
      <c r="H52">
        <v>9</v>
      </c>
      <c r="I52" t="s">
        <v>971</v>
      </c>
      <c r="J52" s="15">
        <v>46255.447222222225</v>
      </c>
      <c r="K52" s="15">
        <v>46258.458333333336</v>
      </c>
      <c r="L52" s="15"/>
      <c r="M52">
        <v>9</v>
      </c>
      <c r="O52" t="s">
        <v>201</v>
      </c>
      <c r="P52" t="s">
        <v>531</v>
      </c>
      <c r="S52" t="s">
        <v>361</v>
      </c>
      <c r="T52" t="s">
        <v>378</v>
      </c>
      <c r="U52" t="s">
        <v>239</v>
      </c>
      <c r="V52" t="s">
        <v>351</v>
      </c>
      <c r="W52" t="s">
        <v>378</v>
      </c>
      <c r="X52" t="s">
        <v>239</v>
      </c>
      <c r="Y52">
        <v>0</v>
      </c>
      <c r="AA52" t="s">
        <v>67</v>
      </c>
      <c r="AB52" t="s">
        <v>361</v>
      </c>
      <c r="AC52">
        <v>2200</v>
      </c>
      <c r="AD52" t="s">
        <v>217</v>
      </c>
      <c r="AE52">
        <v>1</v>
      </c>
      <c r="AF52">
        <v>1</v>
      </c>
    </row>
    <row r="53" spans="1:32" x14ac:dyDescent="0.3">
      <c r="A53" t="s">
        <v>351</v>
      </c>
      <c r="B53" t="s">
        <v>45</v>
      </c>
      <c r="C53" t="s">
        <v>68</v>
      </c>
      <c r="D53" t="s">
        <v>310</v>
      </c>
      <c r="E53" t="s">
        <v>972</v>
      </c>
      <c r="F53" s="15">
        <v>46254.394618055558</v>
      </c>
      <c r="G53" t="s">
        <v>412</v>
      </c>
      <c r="H53">
        <v>3</v>
      </c>
      <c r="I53" t="s">
        <v>973</v>
      </c>
      <c r="J53" s="15">
        <v>46254.607638888891</v>
      </c>
      <c r="K53" s="15">
        <v>46255.493055555555</v>
      </c>
      <c r="L53" s="15"/>
      <c r="M53">
        <v>3</v>
      </c>
      <c r="O53" t="s">
        <v>201</v>
      </c>
      <c r="P53" t="s">
        <v>532</v>
      </c>
      <c r="S53" t="s">
        <v>361</v>
      </c>
      <c r="T53" t="s">
        <v>378</v>
      </c>
      <c r="U53" t="s">
        <v>239</v>
      </c>
      <c r="V53" t="s">
        <v>351</v>
      </c>
      <c r="W53" t="s">
        <v>378</v>
      </c>
      <c r="X53" t="s">
        <v>239</v>
      </c>
      <c r="Y53">
        <v>0</v>
      </c>
      <c r="AA53" t="s">
        <v>67</v>
      </c>
      <c r="AB53" t="s">
        <v>361</v>
      </c>
      <c r="AC53">
        <v>2200</v>
      </c>
      <c r="AD53" t="s">
        <v>217</v>
      </c>
      <c r="AE53">
        <v>1</v>
      </c>
      <c r="AF53">
        <v>1</v>
      </c>
    </row>
    <row r="54" spans="1:32" x14ac:dyDescent="0.3">
      <c r="A54" t="s">
        <v>351</v>
      </c>
      <c r="B54" t="s">
        <v>45</v>
      </c>
      <c r="C54" t="s">
        <v>68</v>
      </c>
      <c r="D54" t="s">
        <v>310</v>
      </c>
      <c r="E54" t="s">
        <v>974</v>
      </c>
      <c r="F54" s="15">
        <v>46254.395497685182</v>
      </c>
      <c r="G54" t="s">
        <v>412</v>
      </c>
      <c r="H54">
        <v>7</v>
      </c>
      <c r="I54" t="s">
        <v>973</v>
      </c>
      <c r="J54" s="15">
        <v>46254.607638888891</v>
      </c>
      <c r="K54" s="15">
        <v>46255.493055555555</v>
      </c>
      <c r="L54" s="15"/>
      <c r="M54">
        <v>7</v>
      </c>
      <c r="O54" t="s">
        <v>201</v>
      </c>
      <c r="P54" t="s">
        <v>532</v>
      </c>
      <c r="S54" t="s">
        <v>361</v>
      </c>
      <c r="T54" t="s">
        <v>378</v>
      </c>
      <c r="U54" t="s">
        <v>239</v>
      </c>
      <c r="V54" t="s">
        <v>351</v>
      </c>
      <c r="W54" t="s">
        <v>378</v>
      </c>
      <c r="X54" t="s">
        <v>239</v>
      </c>
      <c r="AA54" t="s">
        <v>67</v>
      </c>
      <c r="AB54" t="s">
        <v>361</v>
      </c>
      <c r="AC54">
        <v>2200</v>
      </c>
      <c r="AD54" t="s">
        <v>217</v>
      </c>
      <c r="AE54">
        <v>1</v>
      </c>
    </row>
    <row r="55" spans="1:32" x14ac:dyDescent="0.3">
      <c r="A55" t="s">
        <v>351</v>
      </c>
      <c r="B55" t="s">
        <v>45</v>
      </c>
      <c r="C55" t="s">
        <v>68</v>
      </c>
      <c r="D55" t="s">
        <v>310</v>
      </c>
      <c r="E55" t="s">
        <v>975</v>
      </c>
      <c r="F55" s="15">
        <v>46254.396273148152</v>
      </c>
      <c r="G55" t="s">
        <v>412</v>
      </c>
      <c r="H55">
        <v>6</v>
      </c>
      <c r="I55" t="s">
        <v>973</v>
      </c>
      <c r="J55" s="15">
        <v>46254.607638888891</v>
      </c>
      <c r="K55" s="15">
        <v>46255.493055555555</v>
      </c>
      <c r="L55" s="15"/>
      <c r="M55">
        <v>6</v>
      </c>
      <c r="O55" t="s">
        <v>201</v>
      </c>
      <c r="P55" t="s">
        <v>532</v>
      </c>
      <c r="S55" t="s">
        <v>361</v>
      </c>
      <c r="T55" t="s">
        <v>378</v>
      </c>
      <c r="U55" t="s">
        <v>239</v>
      </c>
      <c r="V55" t="s">
        <v>351</v>
      </c>
      <c r="W55" t="s">
        <v>378</v>
      </c>
      <c r="X55" t="s">
        <v>239</v>
      </c>
      <c r="AA55" t="s">
        <v>67</v>
      </c>
      <c r="AB55" t="s">
        <v>361</v>
      </c>
      <c r="AC55">
        <v>2200</v>
      </c>
      <c r="AD55" t="s">
        <v>217</v>
      </c>
      <c r="AE55">
        <v>1</v>
      </c>
    </row>
    <row r="56" spans="1:32" x14ac:dyDescent="0.3">
      <c r="A56" t="s">
        <v>351</v>
      </c>
      <c r="B56" t="s">
        <v>45</v>
      </c>
      <c r="C56" t="s">
        <v>68</v>
      </c>
      <c r="D56" t="s">
        <v>310</v>
      </c>
      <c r="E56" t="s">
        <v>1074</v>
      </c>
      <c r="F56" s="15">
        <v>46231.659247685187</v>
      </c>
      <c r="G56" t="s">
        <v>1075</v>
      </c>
      <c r="H56">
        <v>13</v>
      </c>
      <c r="I56" t="s">
        <v>1076</v>
      </c>
      <c r="J56" s="15">
        <v>46231.713194444441</v>
      </c>
      <c r="K56" s="15">
        <v>46233.416666666664</v>
      </c>
      <c r="L56" s="15"/>
      <c r="M56">
        <v>13</v>
      </c>
      <c r="O56" t="s">
        <v>201</v>
      </c>
      <c r="P56" t="s">
        <v>531</v>
      </c>
      <c r="S56" t="s">
        <v>361</v>
      </c>
      <c r="T56" t="s">
        <v>378</v>
      </c>
      <c r="U56" t="s">
        <v>239</v>
      </c>
      <c r="V56" t="s">
        <v>351</v>
      </c>
      <c r="W56" t="s">
        <v>378</v>
      </c>
      <c r="X56" t="s">
        <v>239</v>
      </c>
      <c r="Y56">
        <v>0</v>
      </c>
      <c r="AA56" t="s">
        <v>67</v>
      </c>
      <c r="AB56" t="s">
        <v>361</v>
      </c>
      <c r="AC56">
        <v>2200</v>
      </c>
      <c r="AD56" t="s">
        <v>217</v>
      </c>
      <c r="AE56">
        <v>1.3</v>
      </c>
      <c r="AF56">
        <v>1</v>
      </c>
    </row>
    <row r="57" spans="1:32" x14ac:dyDescent="0.3">
      <c r="A57" t="s">
        <v>351</v>
      </c>
      <c r="B57" t="s">
        <v>45</v>
      </c>
      <c r="C57" t="s">
        <v>68</v>
      </c>
      <c r="D57" t="s">
        <v>310</v>
      </c>
      <c r="E57" t="s">
        <v>1077</v>
      </c>
      <c r="F57" s="15">
        <v>46231.635254629633</v>
      </c>
      <c r="G57" t="s">
        <v>1075</v>
      </c>
      <c r="H57">
        <v>6</v>
      </c>
      <c r="I57" t="s">
        <v>1076</v>
      </c>
      <c r="J57" s="15">
        <v>46231.713194444441</v>
      </c>
      <c r="K57" s="15">
        <v>46233.416666666664</v>
      </c>
      <c r="L57" s="15"/>
      <c r="M57">
        <v>6</v>
      </c>
      <c r="O57" t="s">
        <v>201</v>
      </c>
      <c r="P57" t="s">
        <v>531</v>
      </c>
      <c r="S57" t="s">
        <v>361</v>
      </c>
      <c r="T57" t="s">
        <v>378</v>
      </c>
      <c r="U57" t="s">
        <v>239</v>
      </c>
      <c r="V57" t="s">
        <v>351</v>
      </c>
      <c r="W57" t="s">
        <v>378</v>
      </c>
      <c r="X57" t="s">
        <v>239</v>
      </c>
      <c r="AA57" t="s">
        <v>67</v>
      </c>
      <c r="AB57" t="s">
        <v>361</v>
      </c>
      <c r="AC57">
        <v>2200</v>
      </c>
      <c r="AD57" t="s">
        <v>217</v>
      </c>
      <c r="AE57">
        <v>1</v>
      </c>
    </row>
    <row r="58" spans="1:32" x14ac:dyDescent="0.3">
      <c r="A58" t="s">
        <v>351</v>
      </c>
      <c r="B58" t="s">
        <v>45</v>
      </c>
      <c r="C58" t="s">
        <v>68</v>
      </c>
      <c r="D58" t="s">
        <v>310</v>
      </c>
      <c r="E58" t="s">
        <v>1078</v>
      </c>
      <c r="F58" s="15">
        <v>46231.634583333333</v>
      </c>
      <c r="G58" t="s">
        <v>1075</v>
      </c>
      <c r="H58">
        <v>4</v>
      </c>
      <c r="I58" t="s">
        <v>1076</v>
      </c>
      <c r="J58" s="15">
        <v>46231.713194444441</v>
      </c>
      <c r="K58" s="15">
        <v>46233.416666666664</v>
      </c>
      <c r="L58" s="15"/>
      <c r="M58">
        <v>4</v>
      </c>
      <c r="O58" t="s">
        <v>201</v>
      </c>
      <c r="P58" t="s">
        <v>531</v>
      </c>
      <c r="S58" t="s">
        <v>361</v>
      </c>
      <c r="T58" t="s">
        <v>378</v>
      </c>
      <c r="U58" t="s">
        <v>239</v>
      </c>
      <c r="V58" t="s">
        <v>351</v>
      </c>
      <c r="W58" t="s">
        <v>378</v>
      </c>
      <c r="X58" t="s">
        <v>239</v>
      </c>
      <c r="AA58" t="s">
        <v>67</v>
      </c>
      <c r="AB58" t="s">
        <v>361</v>
      </c>
      <c r="AC58">
        <v>2200</v>
      </c>
      <c r="AD58" t="s">
        <v>217</v>
      </c>
      <c r="AE58">
        <v>1</v>
      </c>
    </row>
    <row r="59" spans="1:32" x14ac:dyDescent="0.3">
      <c r="A59" t="s">
        <v>351</v>
      </c>
      <c r="B59" t="s">
        <v>45</v>
      </c>
      <c r="C59" t="s">
        <v>68</v>
      </c>
      <c r="D59" t="s">
        <v>310</v>
      </c>
      <c r="E59" t="s">
        <v>1079</v>
      </c>
      <c r="F59" s="15">
        <v>46231.633784722224</v>
      </c>
      <c r="G59" t="s">
        <v>1075</v>
      </c>
      <c r="H59">
        <v>4</v>
      </c>
      <c r="I59" t="s">
        <v>1076</v>
      </c>
      <c r="J59" s="15">
        <v>46231.713194444441</v>
      </c>
      <c r="K59" s="15">
        <v>46233.416666666664</v>
      </c>
      <c r="L59" s="15"/>
      <c r="M59">
        <v>4</v>
      </c>
      <c r="O59" t="s">
        <v>201</v>
      </c>
      <c r="P59" t="s">
        <v>531</v>
      </c>
      <c r="S59" t="s">
        <v>361</v>
      </c>
      <c r="T59" t="s">
        <v>378</v>
      </c>
      <c r="U59" t="s">
        <v>239</v>
      </c>
      <c r="V59" t="s">
        <v>351</v>
      </c>
      <c r="W59" t="s">
        <v>378</v>
      </c>
      <c r="X59" t="s">
        <v>239</v>
      </c>
      <c r="AA59" t="s">
        <v>67</v>
      </c>
      <c r="AB59" t="s">
        <v>361</v>
      </c>
      <c r="AC59">
        <v>2200</v>
      </c>
      <c r="AD59" t="s">
        <v>217</v>
      </c>
      <c r="AE59">
        <v>1</v>
      </c>
    </row>
    <row r="60" spans="1:32" x14ac:dyDescent="0.3">
      <c r="A60" t="s">
        <v>351</v>
      </c>
      <c r="B60" t="s">
        <v>45</v>
      </c>
      <c r="C60" t="s">
        <v>68</v>
      </c>
      <c r="D60" t="s">
        <v>310</v>
      </c>
      <c r="E60" t="s">
        <v>1080</v>
      </c>
      <c r="F60" s="15">
        <v>46231.632465277777</v>
      </c>
      <c r="G60" t="s">
        <v>1075</v>
      </c>
      <c r="H60">
        <v>1</v>
      </c>
      <c r="I60" t="s">
        <v>1076</v>
      </c>
      <c r="J60" s="15">
        <v>46231.713194444441</v>
      </c>
      <c r="K60" s="15">
        <v>46233.416666666664</v>
      </c>
      <c r="L60" s="15"/>
      <c r="M60">
        <v>1</v>
      </c>
      <c r="O60" t="s">
        <v>201</v>
      </c>
      <c r="P60" t="s">
        <v>531</v>
      </c>
      <c r="S60" t="s">
        <v>361</v>
      </c>
      <c r="T60" t="s">
        <v>378</v>
      </c>
      <c r="U60" t="s">
        <v>239</v>
      </c>
      <c r="V60" t="s">
        <v>351</v>
      </c>
      <c r="W60" t="s">
        <v>378</v>
      </c>
      <c r="X60" t="s">
        <v>239</v>
      </c>
      <c r="AA60" t="s">
        <v>67</v>
      </c>
      <c r="AB60" t="s">
        <v>361</v>
      </c>
      <c r="AC60">
        <v>2200</v>
      </c>
      <c r="AD60" t="s">
        <v>217</v>
      </c>
      <c r="AE60">
        <v>1</v>
      </c>
    </row>
    <row r="61" spans="1:32" x14ac:dyDescent="0.3">
      <c r="A61" t="s">
        <v>351</v>
      </c>
      <c r="B61" t="s">
        <v>45</v>
      </c>
      <c r="C61" t="s">
        <v>68</v>
      </c>
      <c r="D61" t="s">
        <v>310</v>
      </c>
      <c r="E61" t="s">
        <v>1081</v>
      </c>
      <c r="F61" s="15">
        <v>46231.631620370368</v>
      </c>
      <c r="G61" t="s">
        <v>412</v>
      </c>
      <c r="H61">
        <v>1</v>
      </c>
      <c r="I61" t="s">
        <v>1082</v>
      </c>
      <c r="J61" s="15">
        <v>46231.706250000003</v>
      </c>
      <c r="K61" s="15">
        <v>46233.416666666664</v>
      </c>
      <c r="L61" s="15"/>
      <c r="M61">
        <v>1</v>
      </c>
      <c r="O61" t="s">
        <v>201</v>
      </c>
      <c r="P61" t="s">
        <v>531</v>
      </c>
      <c r="S61" t="s">
        <v>361</v>
      </c>
      <c r="T61" t="s">
        <v>378</v>
      </c>
      <c r="U61" t="s">
        <v>239</v>
      </c>
      <c r="V61" t="s">
        <v>351</v>
      </c>
      <c r="W61" t="s">
        <v>378</v>
      </c>
      <c r="X61" t="s">
        <v>239</v>
      </c>
      <c r="AA61" t="s">
        <v>67</v>
      </c>
      <c r="AB61" t="s">
        <v>361</v>
      </c>
      <c r="AC61">
        <v>2200</v>
      </c>
      <c r="AD61" t="s">
        <v>217</v>
      </c>
      <c r="AE61">
        <v>1</v>
      </c>
    </row>
    <row r="62" spans="1:32" x14ac:dyDescent="0.3">
      <c r="A62" t="s">
        <v>351</v>
      </c>
      <c r="B62" t="s">
        <v>48</v>
      </c>
      <c r="C62" t="s">
        <v>68</v>
      </c>
      <c r="D62" t="s">
        <v>310</v>
      </c>
      <c r="E62" t="s">
        <v>992</v>
      </c>
      <c r="F62" s="15">
        <v>46245.434259259258</v>
      </c>
      <c r="G62" t="s">
        <v>412</v>
      </c>
      <c r="H62">
        <v>3</v>
      </c>
      <c r="I62" t="s">
        <v>994</v>
      </c>
      <c r="J62" s="15">
        <v>46246.470138888886</v>
      </c>
      <c r="K62" s="15">
        <v>46247.425694444442</v>
      </c>
      <c r="L62" s="15"/>
      <c r="M62">
        <v>3</v>
      </c>
      <c r="O62" t="s">
        <v>201</v>
      </c>
      <c r="P62" t="s">
        <v>532</v>
      </c>
      <c r="S62" t="s">
        <v>361</v>
      </c>
      <c r="T62" t="s">
        <v>378</v>
      </c>
      <c r="U62" t="s">
        <v>239</v>
      </c>
      <c r="V62" t="s">
        <v>351</v>
      </c>
      <c r="W62" t="s">
        <v>378</v>
      </c>
      <c r="X62" t="s">
        <v>239</v>
      </c>
      <c r="Y62">
        <v>0</v>
      </c>
      <c r="AA62" t="s">
        <v>90</v>
      </c>
      <c r="AB62" t="s">
        <v>361</v>
      </c>
      <c r="AC62">
        <v>2200</v>
      </c>
      <c r="AD62" t="s">
        <v>217</v>
      </c>
      <c r="AE62">
        <v>1</v>
      </c>
      <c r="AF62">
        <v>1</v>
      </c>
    </row>
    <row r="63" spans="1:32" x14ac:dyDescent="0.3">
      <c r="A63" t="s">
        <v>351</v>
      </c>
      <c r="B63" t="s">
        <v>48</v>
      </c>
      <c r="C63" t="s">
        <v>68</v>
      </c>
      <c r="D63" t="s">
        <v>310</v>
      </c>
      <c r="E63" t="s">
        <v>992</v>
      </c>
      <c r="F63" s="15">
        <v>46245.434259259258</v>
      </c>
      <c r="G63" t="s">
        <v>412</v>
      </c>
      <c r="H63">
        <v>1</v>
      </c>
      <c r="I63" t="s">
        <v>993</v>
      </c>
      <c r="J63" s="15">
        <v>46252.685416666667</v>
      </c>
      <c r="K63" s="15">
        <v>46254.503472222219</v>
      </c>
      <c r="L63" s="15"/>
      <c r="M63">
        <v>1</v>
      </c>
      <c r="O63" t="s">
        <v>201</v>
      </c>
      <c r="P63" t="s">
        <v>531</v>
      </c>
      <c r="S63" t="s">
        <v>361</v>
      </c>
      <c r="T63" t="s">
        <v>378</v>
      </c>
      <c r="U63" t="s">
        <v>239</v>
      </c>
      <c r="V63" t="s">
        <v>351</v>
      </c>
      <c r="W63" t="s">
        <v>378</v>
      </c>
      <c r="X63" t="s">
        <v>239</v>
      </c>
      <c r="Y63">
        <v>0</v>
      </c>
      <c r="AA63" t="s">
        <v>90</v>
      </c>
      <c r="AB63" t="s">
        <v>361</v>
      </c>
      <c r="AC63">
        <v>2200</v>
      </c>
      <c r="AD63" t="s">
        <v>217</v>
      </c>
      <c r="AE63">
        <v>1</v>
      </c>
      <c r="AF63">
        <v>1</v>
      </c>
    </row>
    <row r="64" spans="1:32" x14ac:dyDescent="0.3">
      <c r="A64" t="s">
        <v>351</v>
      </c>
      <c r="B64" t="s">
        <v>48</v>
      </c>
      <c r="C64" t="s">
        <v>68</v>
      </c>
      <c r="D64" t="s">
        <v>310</v>
      </c>
      <c r="E64" t="s">
        <v>1045</v>
      </c>
      <c r="F64" s="15">
        <v>46213.750648148147</v>
      </c>
      <c r="G64" t="s">
        <v>412</v>
      </c>
      <c r="H64">
        <v>5</v>
      </c>
      <c r="I64" t="s">
        <v>1046</v>
      </c>
      <c r="J64" s="15">
        <v>46230.428946759261</v>
      </c>
      <c r="K64" s="15">
        <v>46231.397222222222</v>
      </c>
      <c r="L64" s="15"/>
      <c r="M64">
        <v>5</v>
      </c>
      <c r="O64" t="s">
        <v>201</v>
      </c>
      <c r="P64" t="s">
        <v>532</v>
      </c>
      <c r="S64" t="s">
        <v>361</v>
      </c>
      <c r="T64" t="s">
        <v>378</v>
      </c>
      <c r="U64" t="s">
        <v>239</v>
      </c>
      <c r="V64" t="s">
        <v>351</v>
      </c>
      <c r="W64" t="s">
        <v>378</v>
      </c>
      <c r="X64" t="s">
        <v>239</v>
      </c>
      <c r="Y64">
        <v>0</v>
      </c>
      <c r="AA64" t="s">
        <v>90</v>
      </c>
      <c r="AB64" t="s">
        <v>361</v>
      </c>
      <c r="AC64">
        <v>2200</v>
      </c>
      <c r="AD64" t="s">
        <v>217</v>
      </c>
      <c r="AE64">
        <v>1</v>
      </c>
      <c r="AF64">
        <v>1</v>
      </c>
    </row>
    <row r="65" spans="1:32" x14ac:dyDescent="0.3">
      <c r="A65" t="s">
        <v>351</v>
      </c>
      <c r="B65" t="s">
        <v>45</v>
      </c>
      <c r="C65" t="s">
        <v>68</v>
      </c>
      <c r="D65" t="s">
        <v>310</v>
      </c>
      <c r="E65" t="s">
        <v>968</v>
      </c>
      <c r="F65" s="15">
        <v>46251.387743055559</v>
      </c>
      <c r="G65" t="s">
        <v>413</v>
      </c>
      <c r="H65">
        <v>15</v>
      </c>
      <c r="I65" t="s">
        <v>969</v>
      </c>
      <c r="J65" s="15">
        <v>46251.49722222222</v>
      </c>
      <c r="K65" s="15">
        <v>46252.638888888891</v>
      </c>
      <c r="L65" s="15"/>
      <c r="M65">
        <v>15</v>
      </c>
      <c r="O65" t="s">
        <v>201</v>
      </c>
      <c r="P65" t="s">
        <v>531</v>
      </c>
      <c r="S65" t="s">
        <v>362</v>
      </c>
      <c r="T65" t="s">
        <v>378</v>
      </c>
      <c r="U65" t="s">
        <v>239</v>
      </c>
      <c r="V65" t="s">
        <v>351</v>
      </c>
      <c r="W65" t="s">
        <v>378</v>
      </c>
      <c r="X65" t="s">
        <v>239</v>
      </c>
      <c r="Y65">
        <v>0</v>
      </c>
      <c r="AA65" t="s">
        <v>67</v>
      </c>
      <c r="AB65" t="s">
        <v>362</v>
      </c>
      <c r="AC65">
        <v>109</v>
      </c>
      <c r="AD65" t="s">
        <v>217</v>
      </c>
      <c r="AE65">
        <v>1.5</v>
      </c>
      <c r="AF65">
        <v>1</v>
      </c>
    </row>
    <row r="66" spans="1:32" x14ac:dyDescent="0.3">
      <c r="A66" t="s">
        <v>351</v>
      </c>
      <c r="B66" t="s">
        <v>45</v>
      </c>
      <c r="C66" t="s">
        <v>68</v>
      </c>
      <c r="D66" t="s">
        <v>310</v>
      </c>
      <c r="E66" t="s">
        <v>1027</v>
      </c>
      <c r="F66" s="15">
        <v>46230.391215277778</v>
      </c>
      <c r="G66" t="s">
        <v>413</v>
      </c>
      <c r="H66">
        <v>15</v>
      </c>
      <c r="I66" t="s">
        <v>1028</v>
      </c>
      <c r="J66" s="15">
        <v>46230.46465277778</v>
      </c>
      <c r="K66" s="15">
        <v>46231.458333333336</v>
      </c>
      <c r="L66" s="15"/>
      <c r="M66">
        <v>15</v>
      </c>
      <c r="O66" t="s">
        <v>201</v>
      </c>
      <c r="P66" t="s">
        <v>532</v>
      </c>
      <c r="S66" t="s">
        <v>362</v>
      </c>
      <c r="T66" t="s">
        <v>378</v>
      </c>
      <c r="U66" t="s">
        <v>239</v>
      </c>
      <c r="V66" t="s">
        <v>351</v>
      </c>
      <c r="W66" t="s">
        <v>378</v>
      </c>
      <c r="X66" t="s">
        <v>239</v>
      </c>
      <c r="Y66">
        <v>0</v>
      </c>
      <c r="AA66" t="s">
        <v>67</v>
      </c>
      <c r="AB66" t="s">
        <v>362</v>
      </c>
      <c r="AC66">
        <v>109</v>
      </c>
      <c r="AD66" t="s">
        <v>217</v>
      </c>
      <c r="AE66">
        <v>1.5</v>
      </c>
      <c r="AF66">
        <v>1</v>
      </c>
    </row>
    <row r="67" spans="1:32" x14ac:dyDescent="0.3">
      <c r="A67" t="s">
        <v>351</v>
      </c>
      <c r="B67" t="s">
        <v>45</v>
      </c>
      <c r="C67" t="s">
        <v>68</v>
      </c>
      <c r="D67" t="s">
        <v>310</v>
      </c>
      <c r="E67" t="s">
        <v>1085</v>
      </c>
      <c r="F67" s="15">
        <v>46230.398877314816</v>
      </c>
      <c r="G67" t="s">
        <v>413</v>
      </c>
      <c r="H67">
        <v>10</v>
      </c>
      <c r="I67" t="s">
        <v>1086</v>
      </c>
      <c r="J67" s="15">
        <v>46230.632638888892</v>
      </c>
      <c r="K67" s="15">
        <v>46232.696527777778</v>
      </c>
      <c r="L67" s="15"/>
      <c r="M67">
        <v>10</v>
      </c>
      <c r="O67" t="s">
        <v>201</v>
      </c>
      <c r="P67" t="s">
        <v>531</v>
      </c>
      <c r="S67" t="s">
        <v>362</v>
      </c>
      <c r="T67" t="s">
        <v>378</v>
      </c>
      <c r="U67" t="s">
        <v>239</v>
      </c>
      <c r="V67" t="s">
        <v>351</v>
      </c>
      <c r="W67" t="s">
        <v>378</v>
      </c>
      <c r="X67" t="s">
        <v>239</v>
      </c>
      <c r="AA67" t="s">
        <v>67</v>
      </c>
      <c r="AB67" t="s">
        <v>362</v>
      </c>
      <c r="AC67">
        <v>109</v>
      </c>
      <c r="AD67" t="s">
        <v>217</v>
      </c>
      <c r="AE67">
        <v>1</v>
      </c>
      <c r="AF67">
        <v>1</v>
      </c>
    </row>
    <row r="68" spans="1:32" x14ac:dyDescent="0.3">
      <c r="A68" t="s">
        <v>351</v>
      </c>
      <c r="B68" t="s">
        <v>48</v>
      </c>
      <c r="C68" t="s">
        <v>68</v>
      </c>
      <c r="D68" t="s">
        <v>310</v>
      </c>
      <c r="E68" t="s">
        <v>1006</v>
      </c>
      <c r="F68" s="15">
        <v>46252.576365740744</v>
      </c>
      <c r="G68" t="s">
        <v>905</v>
      </c>
      <c r="H68">
        <v>25</v>
      </c>
      <c r="I68" t="s">
        <v>1007</v>
      </c>
      <c r="J68" s="15">
        <v>46253.647222222222</v>
      </c>
      <c r="K68" s="15">
        <v>46255.477083333331</v>
      </c>
      <c r="L68" s="15"/>
      <c r="M68">
        <v>25</v>
      </c>
      <c r="O68" t="s">
        <v>201</v>
      </c>
      <c r="P68" t="s">
        <v>531</v>
      </c>
      <c r="S68" t="s">
        <v>362</v>
      </c>
      <c r="T68" t="s">
        <v>378</v>
      </c>
      <c r="U68" t="s">
        <v>239</v>
      </c>
      <c r="V68" t="s">
        <v>351</v>
      </c>
      <c r="W68" t="s">
        <v>378</v>
      </c>
      <c r="X68" t="s">
        <v>239</v>
      </c>
      <c r="Y68">
        <v>0</v>
      </c>
      <c r="AA68" t="s">
        <v>90</v>
      </c>
      <c r="AB68" t="s">
        <v>362</v>
      </c>
      <c r="AC68">
        <v>109</v>
      </c>
      <c r="AD68" t="s">
        <v>217</v>
      </c>
      <c r="AE68">
        <v>2.5</v>
      </c>
      <c r="AF68">
        <v>1</v>
      </c>
    </row>
    <row r="69" spans="1:32" x14ac:dyDescent="0.3">
      <c r="A69" t="s">
        <v>351</v>
      </c>
      <c r="B69" t="s">
        <v>48</v>
      </c>
      <c r="C69" t="s">
        <v>68</v>
      </c>
      <c r="D69" t="s">
        <v>310</v>
      </c>
      <c r="E69" t="s">
        <v>1008</v>
      </c>
      <c r="F69" s="15">
        <v>46252.581203703703</v>
      </c>
      <c r="G69" t="s">
        <v>905</v>
      </c>
      <c r="H69">
        <v>15</v>
      </c>
      <c r="I69" t="s">
        <v>1009</v>
      </c>
      <c r="J69" s="15">
        <v>46254.392361111109</v>
      </c>
      <c r="K69" s="15">
        <v>46255.477083333331</v>
      </c>
      <c r="L69" s="15"/>
      <c r="M69">
        <v>15</v>
      </c>
      <c r="O69" t="s">
        <v>201</v>
      </c>
      <c r="P69" t="s">
        <v>531</v>
      </c>
      <c r="S69" t="s">
        <v>362</v>
      </c>
      <c r="T69" t="s">
        <v>378</v>
      </c>
      <c r="U69" t="s">
        <v>239</v>
      </c>
      <c r="V69" t="s">
        <v>351</v>
      </c>
      <c r="W69" t="s">
        <v>378</v>
      </c>
      <c r="X69" t="s">
        <v>239</v>
      </c>
      <c r="Y69">
        <v>0</v>
      </c>
      <c r="AA69" t="s">
        <v>90</v>
      </c>
      <c r="AB69" t="s">
        <v>362</v>
      </c>
      <c r="AC69">
        <v>109</v>
      </c>
      <c r="AD69" t="s">
        <v>217</v>
      </c>
      <c r="AE69">
        <v>1.5</v>
      </c>
    </row>
    <row r="70" spans="1:32" x14ac:dyDescent="0.3">
      <c r="A70" t="s">
        <v>351</v>
      </c>
      <c r="B70" t="s">
        <v>48</v>
      </c>
      <c r="C70" t="s">
        <v>68</v>
      </c>
      <c r="D70" t="s">
        <v>310</v>
      </c>
      <c r="E70" t="s">
        <v>1034</v>
      </c>
      <c r="F70" s="15">
        <v>46231.625231481485</v>
      </c>
      <c r="G70" t="s">
        <v>1035</v>
      </c>
      <c r="H70">
        <v>10</v>
      </c>
      <c r="I70" t="s">
        <v>1036</v>
      </c>
      <c r="J70" s="15">
        <v>46234.652581018519</v>
      </c>
      <c r="K70" s="15">
        <v>46238.509722222225</v>
      </c>
      <c r="L70" s="15"/>
      <c r="M70">
        <v>10</v>
      </c>
      <c r="O70" t="s">
        <v>201</v>
      </c>
      <c r="P70" t="s">
        <v>531</v>
      </c>
      <c r="S70" t="s">
        <v>362</v>
      </c>
      <c r="T70" t="s">
        <v>378</v>
      </c>
      <c r="U70" t="s">
        <v>239</v>
      </c>
      <c r="V70" t="s">
        <v>351</v>
      </c>
      <c r="W70" t="s">
        <v>378</v>
      </c>
      <c r="X70" t="s">
        <v>239</v>
      </c>
      <c r="Y70">
        <v>0</v>
      </c>
      <c r="AA70" t="s">
        <v>90</v>
      </c>
      <c r="AB70" t="s">
        <v>362</v>
      </c>
      <c r="AC70">
        <v>109</v>
      </c>
      <c r="AD70" t="s">
        <v>217</v>
      </c>
      <c r="AE70">
        <v>1</v>
      </c>
      <c r="AF70">
        <v>1</v>
      </c>
    </row>
    <row r="71" spans="1:32" x14ac:dyDescent="0.3">
      <c r="A71" t="s">
        <v>351</v>
      </c>
      <c r="B71" t="s">
        <v>48</v>
      </c>
      <c r="C71" t="s">
        <v>68</v>
      </c>
      <c r="D71" t="s">
        <v>310</v>
      </c>
      <c r="E71" t="s">
        <v>1029</v>
      </c>
      <c r="F71" s="15">
        <v>46227.725787037038</v>
      </c>
      <c r="G71" t="s">
        <v>413</v>
      </c>
      <c r="H71">
        <v>16</v>
      </c>
      <c r="I71" t="s">
        <v>1030</v>
      </c>
      <c r="J71" s="15">
        <v>46232.603437500002</v>
      </c>
      <c r="K71" s="15">
        <v>46234.413194444445</v>
      </c>
      <c r="L71" s="15"/>
      <c r="M71">
        <v>16</v>
      </c>
      <c r="O71" t="s">
        <v>201</v>
      </c>
      <c r="P71" t="s">
        <v>531</v>
      </c>
      <c r="S71" t="s">
        <v>362</v>
      </c>
      <c r="T71" t="s">
        <v>378</v>
      </c>
      <c r="U71" t="s">
        <v>239</v>
      </c>
      <c r="V71" t="s">
        <v>351</v>
      </c>
      <c r="W71" t="s">
        <v>378</v>
      </c>
      <c r="X71" t="s">
        <v>239</v>
      </c>
      <c r="Y71">
        <v>0</v>
      </c>
      <c r="AA71" t="s">
        <v>90</v>
      </c>
      <c r="AB71" t="s">
        <v>362</v>
      </c>
      <c r="AC71">
        <v>109</v>
      </c>
      <c r="AD71" t="s">
        <v>217</v>
      </c>
      <c r="AE71">
        <v>1.6</v>
      </c>
      <c r="AF71">
        <v>1</v>
      </c>
    </row>
    <row r="72" spans="1:32" x14ac:dyDescent="0.3">
      <c r="A72" t="s">
        <v>351</v>
      </c>
      <c r="B72" t="s">
        <v>45</v>
      </c>
      <c r="C72" t="s">
        <v>68</v>
      </c>
      <c r="D72" t="s">
        <v>310</v>
      </c>
      <c r="E72" t="s">
        <v>964</v>
      </c>
      <c r="F72" s="15">
        <v>46245.50304398148</v>
      </c>
      <c r="G72" t="s">
        <v>420</v>
      </c>
      <c r="H72">
        <v>5</v>
      </c>
      <c r="I72" t="s">
        <v>965</v>
      </c>
      <c r="J72" s="15">
        <v>46245.540277777778</v>
      </c>
      <c r="K72" s="15">
        <v>46247.46875</v>
      </c>
      <c r="L72" s="15"/>
      <c r="M72">
        <v>5</v>
      </c>
      <c r="O72" t="s">
        <v>201</v>
      </c>
      <c r="P72" t="s">
        <v>531</v>
      </c>
      <c r="S72" t="s">
        <v>486</v>
      </c>
      <c r="T72" t="s">
        <v>378</v>
      </c>
      <c r="U72" t="s">
        <v>239</v>
      </c>
      <c r="V72" t="s">
        <v>351</v>
      </c>
      <c r="W72" t="s">
        <v>378</v>
      </c>
      <c r="X72" t="s">
        <v>239</v>
      </c>
      <c r="AA72" t="s">
        <v>67</v>
      </c>
      <c r="AB72" t="s">
        <v>486</v>
      </c>
      <c r="AC72">
        <v>288</v>
      </c>
      <c r="AD72" t="s">
        <v>217</v>
      </c>
      <c r="AE72">
        <v>1</v>
      </c>
      <c r="AF72">
        <v>1</v>
      </c>
    </row>
    <row r="73" spans="1:32" x14ac:dyDescent="0.3">
      <c r="A73" t="s">
        <v>351</v>
      </c>
      <c r="B73" t="s">
        <v>45</v>
      </c>
      <c r="C73" t="s">
        <v>68</v>
      </c>
      <c r="D73" t="s">
        <v>310</v>
      </c>
      <c r="E73" t="s">
        <v>966</v>
      </c>
      <c r="F73" s="15">
        <v>46245.502650462964</v>
      </c>
      <c r="G73" t="s">
        <v>420</v>
      </c>
      <c r="H73">
        <v>11</v>
      </c>
      <c r="I73" t="s">
        <v>967</v>
      </c>
      <c r="J73" s="15">
        <v>46245.53125</v>
      </c>
      <c r="K73" s="15">
        <v>46247.46875</v>
      </c>
      <c r="L73" s="15"/>
      <c r="M73">
        <v>11</v>
      </c>
      <c r="O73" t="s">
        <v>201</v>
      </c>
      <c r="P73" t="s">
        <v>531</v>
      </c>
      <c r="S73" t="s">
        <v>486</v>
      </c>
      <c r="T73" t="s">
        <v>378</v>
      </c>
      <c r="U73" t="s">
        <v>239</v>
      </c>
      <c r="V73" t="s">
        <v>351</v>
      </c>
      <c r="W73" t="s">
        <v>378</v>
      </c>
      <c r="X73" t="s">
        <v>239</v>
      </c>
      <c r="AA73" t="s">
        <v>67</v>
      </c>
      <c r="AB73" t="s">
        <v>486</v>
      </c>
      <c r="AC73">
        <v>288</v>
      </c>
      <c r="AD73" t="s">
        <v>217</v>
      </c>
      <c r="AE73">
        <v>1.1000000000000001</v>
      </c>
    </row>
    <row r="74" spans="1:32" x14ac:dyDescent="0.3">
      <c r="A74" t="s">
        <v>351</v>
      </c>
      <c r="B74" t="s">
        <v>48</v>
      </c>
      <c r="C74" t="s">
        <v>68</v>
      </c>
      <c r="D74" t="s">
        <v>310</v>
      </c>
      <c r="E74" t="s">
        <v>1010</v>
      </c>
      <c r="F74" s="15">
        <v>46252.486481481479</v>
      </c>
      <c r="G74" t="s">
        <v>420</v>
      </c>
      <c r="H74">
        <v>5</v>
      </c>
      <c r="I74" t="s">
        <v>1011</v>
      </c>
      <c r="J74" s="15">
        <v>46253.540277777778</v>
      </c>
      <c r="K74" s="15">
        <v>46254.458333333336</v>
      </c>
      <c r="L74" s="15"/>
      <c r="M74">
        <v>5</v>
      </c>
      <c r="O74" t="s">
        <v>201</v>
      </c>
      <c r="P74" t="s">
        <v>532</v>
      </c>
      <c r="S74" t="s">
        <v>486</v>
      </c>
      <c r="T74" t="s">
        <v>378</v>
      </c>
      <c r="U74" t="s">
        <v>239</v>
      </c>
      <c r="V74" t="s">
        <v>351</v>
      </c>
      <c r="W74" t="s">
        <v>378</v>
      </c>
      <c r="X74" t="s">
        <v>239</v>
      </c>
      <c r="AA74" t="s">
        <v>90</v>
      </c>
      <c r="AB74" t="s">
        <v>486</v>
      </c>
      <c r="AC74">
        <v>288</v>
      </c>
      <c r="AD74" t="s">
        <v>217</v>
      </c>
      <c r="AE74">
        <v>1</v>
      </c>
      <c r="AF74">
        <v>1</v>
      </c>
    </row>
    <row r="75" spans="1:32" x14ac:dyDescent="0.3">
      <c r="A75" t="s">
        <v>351</v>
      </c>
      <c r="B75" t="s">
        <v>48</v>
      </c>
      <c r="C75" t="s">
        <v>68</v>
      </c>
      <c r="D75" t="s">
        <v>310</v>
      </c>
      <c r="E75" t="s">
        <v>1072</v>
      </c>
      <c r="F75" s="15">
        <v>46231.743472222224</v>
      </c>
      <c r="G75" t="s">
        <v>412</v>
      </c>
      <c r="H75">
        <v>1</v>
      </c>
      <c r="I75" t="s">
        <v>1073</v>
      </c>
      <c r="J75" s="15">
        <v>46239.520138888889</v>
      </c>
      <c r="K75" s="15">
        <v>46240.513194444444</v>
      </c>
      <c r="L75" s="15"/>
      <c r="M75">
        <v>1</v>
      </c>
      <c r="O75" t="s">
        <v>201</v>
      </c>
      <c r="P75" t="s">
        <v>531</v>
      </c>
      <c r="S75" t="s">
        <v>361</v>
      </c>
      <c r="T75" t="s">
        <v>378</v>
      </c>
      <c r="U75" t="s">
        <v>239</v>
      </c>
      <c r="V75" t="s">
        <v>351</v>
      </c>
      <c r="W75" t="s">
        <v>378</v>
      </c>
      <c r="X75" t="s">
        <v>239</v>
      </c>
      <c r="Y75">
        <v>0</v>
      </c>
      <c r="AA75" t="s">
        <v>90</v>
      </c>
      <c r="AB75" t="s">
        <v>361</v>
      </c>
      <c r="AC75">
        <v>2200</v>
      </c>
      <c r="AD75" t="s">
        <v>217</v>
      </c>
      <c r="AE75">
        <v>1</v>
      </c>
      <c r="AF75">
        <v>1</v>
      </c>
    </row>
    <row r="76" spans="1:32" x14ac:dyDescent="0.3">
      <c r="A76" t="s">
        <v>351</v>
      </c>
      <c r="B76" t="s">
        <v>48</v>
      </c>
      <c r="C76" t="s">
        <v>68</v>
      </c>
      <c r="D76" t="s">
        <v>310</v>
      </c>
      <c r="E76" t="s">
        <v>1083</v>
      </c>
      <c r="F76" s="15">
        <v>46231.307928240742</v>
      </c>
      <c r="G76" t="s">
        <v>411</v>
      </c>
      <c r="H76">
        <v>1</v>
      </c>
      <c r="I76" t="s">
        <v>1084</v>
      </c>
      <c r="J76" s="15">
        <v>46231.367361111108</v>
      </c>
      <c r="K76" s="15">
        <v>46232.486111111109</v>
      </c>
      <c r="L76" s="15"/>
      <c r="M76">
        <v>1</v>
      </c>
      <c r="O76" t="s">
        <v>201</v>
      </c>
      <c r="P76" t="s">
        <v>531</v>
      </c>
      <c r="S76" t="s">
        <v>363</v>
      </c>
      <c r="T76" t="s">
        <v>378</v>
      </c>
      <c r="U76" t="s">
        <v>239</v>
      </c>
      <c r="V76" t="s">
        <v>351</v>
      </c>
      <c r="W76" t="s">
        <v>378</v>
      </c>
      <c r="X76" t="s">
        <v>239</v>
      </c>
      <c r="Y76">
        <v>0</v>
      </c>
      <c r="AA76" t="s">
        <v>90</v>
      </c>
      <c r="AB76" t="s">
        <v>363</v>
      </c>
      <c r="AC76">
        <v>101</v>
      </c>
      <c r="AD76" t="s">
        <v>217</v>
      </c>
      <c r="AE76">
        <v>1</v>
      </c>
      <c r="AF76">
        <v>1</v>
      </c>
    </row>
    <row r="77" spans="1:32" x14ac:dyDescent="0.3">
      <c r="A77" t="s">
        <v>351</v>
      </c>
      <c r="B77" t="s">
        <v>48</v>
      </c>
      <c r="C77" t="s">
        <v>68</v>
      </c>
      <c r="D77" t="s">
        <v>310</v>
      </c>
      <c r="E77" t="s">
        <v>1087</v>
      </c>
      <c r="F77" s="15">
        <v>46227.576932870368</v>
      </c>
      <c r="G77" t="s">
        <v>412</v>
      </c>
      <c r="H77">
        <v>1</v>
      </c>
      <c r="I77" t="s">
        <v>1088</v>
      </c>
      <c r="J77" s="15">
        <v>46233.393819444442</v>
      </c>
      <c r="K77" s="15">
        <v>46234.439583333333</v>
      </c>
      <c r="L77" s="15"/>
      <c r="M77">
        <v>1</v>
      </c>
      <c r="O77" t="s">
        <v>201</v>
      </c>
      <c r="P77" t="s">
        <v>531</v>
      </c>
      <c r="S77" t="s">
        <v>360</v>
      </c>
      <c r="T77" t="s">
        <v>378</v>
      </c>
      <c r="U77" t="s">
        <v>239</v>
      </c>
      <c r="V77" t="s">
        <v>351</v>
      </c>
      <c r="W77" t="s">
        <v>378</v>
      </c>
      <c r="X77" t="s">
        <v>239</v>
      </c>
      <c r="Y77">
        <v>0</v>
      </c>
      <c r="AA77" t="s">
        <v>90</v>
      </c>
      <c r="AB77" t="s">
        <v>360</v>
      </c>
      <c r="AC77">
        <v>50</v>
      </c>
      <c r="AD77" t="s">
        <v>217</v>
      </c>
      <c r="AE77">
        <v>1</v>
      </c>
      <c r="AF77">
        <v>1</v>
      </c>
    </row>
    <row r="78" spans="1:32" x14ac:dyDescent="0.3">
      <c r="A78" t="s">
        <v>351</v>
      </c>
      <c r="B78" t="s">
        <v>57</v>
      </c>
      <c r="C78" t="s">
        <v>117</v>
      </c>
      <c r="D78" t="s">
        <v>310</v>
      </c>
      <c r="E78" t="s">
        <v>838</v>
      </c>
      <c r="F78" s="15">
        <v>46248.437847222223</v>
      </c>
      <c r="G78" t="s">
        <v>411</v>
      </c>
      <c r="H78">
        <v>1</v>
      </c>
      <c r="I78" t="s">
        <v>839</v>
      </c>
      <c r="J78" s="15">
        <v>46248.662499999999</v>
      </c>
      <c r="K78" s="15">
        <v>46253.628472222219</v>
      </c>
      <c r="L78" s="15"/>
      <c r="M78">
        <v>1</v>
      </c>
      <c r="O78" t="s">
        <v>201</v>
      </c>
      <c r="P78" t="s">
        <v>532</v>
      </c>
      <c r="S78" t="s">
        <v>363</v>
      </c>
      <c r="T78" t="s">
        <v>378</v>
      </c>
      <c r="U78" t="s">
        <v>239</v>
      </c>
      <c r="V78" t="s">
        <v>7</v>
      </c>
      <c r="W78" t="s">
        <v>7</v>
      </c>
      <c r="X78" t="s">
        <v>7</v>
      </c>
      <c r="AA78" t="s">
        <v>127</v>
      </c>
      <c r="AB78" t="s">
        <v>363</v>
      </c>
      <c r="AC78">
        <v>101</v>
      </c>
      <c r="AD78" t="s">
        <v>233</v>
      </c>
      <c r="AE78">
        <v>1</v>
      </c>
      <c r="AF78">
        <v>1</v>
      </c>
    </row>
    <row r="79" spans="1:32" x14ac:dyDescent="0.3">
      <c r="A79" t="s">
        <v>351</v>
      </c>
      <c r="B79" t="s">
        <v>279</v>
      </c>
      <c r="C79" t="s">
        <v>192</v>
      </c>
      <c r="D79" t="s">
        <v>310</v>
      </c>
      <c r="E79" t="s">
        <v>838</v>
      </c>
      <c r="F79" s="15">
        <v>46248.437847222223</v>
      </c>
      <c r="G79" t="s">
        <v>411</v>
      </c>
      <c r="H79">
        <v>8</v>
      </c>
      <c r="I79" t="s">
        <v>839</v>
      </c>
      <c r="J79" s="15">
        <v>46248.662499999999</v>
      </c>
      <c r="K79" s="15">
        <v>46253.628472222219</v>
      </c>
      <c r="L79" s="15"/>
      <c r="M79">
        <v>8</v>
      </c>
      <c r="O79" t="s">
        <v>201</v>
      </c>
      <c r="P79" t="s">
        <v>532</v>
      </c>
      <c r="S79" t="s">
        <v>363</v>
      </c>
      <c r="T79" t="s">
        <v>378</v>
      </c>
      <c r="U79" t="s">
        <v>239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363</v>
      </c>
      <c r="AC79">
        <v>101</v>
      </c>
      <c r="AD79" t="s">
        <v>232</v>
      </c>
      <c r="AE79">
        <v>8</v>
      </c>
    </row>
    <row r="80" spans="1:32" x14ac:dyDescent="0.3">
      <c r="A80" t="s">
        <v>351</v>
      </c>
      <c r="B80" t="s">
        <v>57</v>
      </c>
      <c r="C80" t="s">
        <v>117</v>
      </c>
      <c r="D80" t="s">
        <v>310</v>
      </c>
      <c r="E80" t="s">
        <v>840</v>
      </c>
      <c r="F80" s="15">
        <v>46239.634884259256</v>
      </c>
      <c r="G80" t="s">
        <v>411</v>
      </c>
      <c r="H80">
        <v>1</v>
      </c>
      <c r="I80" t="s">
        <v>841</v>
      </c>
      <c r="J80" s="15">
        <v>46240.408333333333</v>
      </c>
      <c r="K80" s="15">
        <v>46246.645833333336</v>
      </c>
      <c r="L80" s="15"/>
      <c r="M80">
        <v>1</v>
      </c>
      <c r="O80" t="s">
        <v>201</v>
      </c>
      <c r="P80" t="s">
        <v>532</v>
      </c>
      <c r="S80" t="s">
        <v>363</v>
      </c>
      <c r="T80" t="s">
        <v>378</v>
      </c>
      <c r="U80" t="s">
        <v>239</v>
      </c>
      <c r="V80" t="s">
        <v>7</v>
      </c>
      <c r="W80" t="s">
        <v>7</v>
      </c>
      <c r="X80" t="s">
        <v>7</v>
      </c>
      <c r="AA80" t="s">
        <v>127</v>
      </c>
      <c r="AB80" t="s">
        <v>363</v>
      </c>
      <c r="AC80">
        <v>101</v>
      </c>
      <c r="AD80" t="s">
        <v>233</v>
      </c>
      <c r="AE80">
        <v>1</v>
      </c>
      <c r="AF80">
        <v>35.200000000000003</v>
      </c>
    </row>
    <row r="81" spans="1:32" x14ac:dyDescent="0.3">
      <c r="A81" t="s">
        <v>351</v>
      </c>
      <c r="B81" t="s">
        <v>279</v>
      </c>
      <c r="C81" t="s">
        <v>192</v>
      </c>
      <c r="D81" t="s">
        <v>310</v>
      </c>
      <c r="E81" t="s">
        <v>840</v>
      </c>
      <c r="F81" s="15">
        <v>46239.634884259256</v>
      </c>
      <c r="G81" t="s">
        <v>411</v>
      </c>
      <c r="H81">
        <v>350</v>
      </c>
      <c r="I81" t="s">
        <v>841</v>
      </c>
      <c r="J81" s="15">
        <v>46240.408333333333</v>
      </c>
      <c r="K81" s="15">
        <v>46246.645833333336</v>
      </c>
      <c r="L81" s="15"/>
      <c r="M81">
        <v>350</v>
      </c>
      <c r="O81" t="s">
        <v>201</v>
      </c>
      <c r="P81" t="s">
        <v>531</v>
      </c>
      <c r="S81" t="s">
        <v>363</v>
      </c>
      <c r="T81" t="s">
        <v>378</v>
      </c>
      <c r="U81" t="s">
        <v>239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363</v>
      </c>
      <c r="AC81">
        <v>101</v>
      </c>
      <c r="AD81" t="s">
        <v>232</v>
      </c>
      <c r="AE81">
        <v>350</v>
      </c>
    </row>
    <row r="82" spans="1:32" x14ac:dyDescent="0.3">
      <c r="A82" t="s">
        <v>351</v>
      </c>
      <c r="B82" t="s">
        <v>57</v>
      </c>
      <c r="C82" t="s">
        <v>117</v>
      </c>
      <c r="D82" t="s">
        <v>310</v>
      </c>
      <c r="E82" t="s">
        <v>842</v>
      </c>
      <c r="F82" s="15">
        <v>46245.601261574076</v>
      </c>
      <c r="G82" t="s">
        <v>417</v>
      </c>
      <c r="H82">
        <v>1</v>
      </c>
      <c r="I82" t="s">
        <v>843</v>
      </c>
      <c r="J82" s="15">
        <v>46246.638194444444</v>
      </c>
      <c r="K82" s="15">
        <v>46252.386805555558</v>
      </c>
      <c r="L82" s="15"/>
      <c r="M82">
        <v>1</v>
      </c>
      <c r="O82" t="s">
        <v>201</v>
      </c>
      <c r="P82" t="s">
        <v>532</v>
      </c>
      <c r="S82" t="s">
        <v>361</v>
      </c>
      <c r="T82" t="s">
        <v>378</v>
      </c>
      <c r="U82" t="s">
        <v>239</v>
      </c>
      <c r="V82" t="s">
        <v>7</v>
      </c>
      <c r="W82" t="s">
        <v>7</v>
      </c>
      <c r="X82" t="s">
        <v>7</v>
      </c>
      <c r="AA82" t="s">
        <v>127</v>
      </c>
      <c r="AB82" t="s">
        <v>361</v>
      </c>
      <c r="AC82">
        <v>2200</v>
      </c>
      <c r="AD82" t="s">
        <v>233</v>
      </c>
      <c r="AE82">
        <v>1</v>
      </c>
      <c r="AF82">
        <v>47.3</v>
      </c>
    </row>
    <row r="83" spans="1:32" x14ac:dyDescent="0.3">
      <c r="A83" t="s">
        <v>351</v>
      </c>
      <c r="B83" t="s">
        <v>279</v>
      </c>
      <c r="C83" t="s">
        <v>192</v>
      </c>
      <c r="D83" t="s">
        <v>310</v>
      </c>
      <c r="E83" t="s">
        <v>842</v>
      </c>
      <c r="F83" s="15">
        <v>46245.601261574076</v>
      </c>
      <c r="G83" t="s">
        <v>417</v>
      </c>
      <c r="H83">
        <v>471</v>
      </c>
      <c r="I83" t="s">
        <v>843</v>
      </c>
      <c r="J83" s="15">
        <v>46246.638194444444</v>
      </c>
      <c r="K83" s="15">
        <v>46252.386805555558</v>
      </c>
      <c r="L83" s="15"/>
      <c r="M83">
        <v>471</v>
      </c>
      <c r="O83" t="s">
        <v>201</v>
      </c>
      <c r="P83" t="s">
        <v>531</v>
      </c>
      <c r="S83" t="s">
        <v>361</v>
      </c>
      <c r="T83" t="s">
        <v>378</v>
      </c>
      <c r="U83" t="s">
        <v>239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361</v>
      </c>
      <c r="AC83">
        <v>2200</v>
      </c>
      <c r="AD83" t="s">
        <v>232</v>
      </c>
      <c r="AE83">
        <v>471</v>
      </c>
    </row>
    <row r="84" spans="1:32" x14ac:dyDescent="0.3">
      <c r="A84" t="s">
        <v>351</v>
      </c>
      <c r="B84" t="s">
        <v>57</v>
      </c>
      <c r="C84" t="s">
        <v>117</v>
      </c>
      <c r="D84" t="s">
        <v>310</v>
      </c>
      <c r="E84" t="s">
        <v>844</v>
      </c>
      <c r="F84" s="15">
        <v>46245.375648148147</v>
      </c>
      <c r="G84" t="s">
        <v>412</v>
      </c>
      <c r="H84">
        <v>5</v>
      </c>
      <c r="I84" t="s">
        <v>845</v>
      </c>
      <c r="J84" s="15">
        <v>46246.395138888889</v>
      </c>
      <c r="K84" s="15">
        <v>46248.681250000001</v>
      </c>
      <c r="L84" s="15"/>
      <c r="M84">
        <v>5</v>
      </c>
      <c r="O84" t="s">
        <v>201</v>
      </c>
      <c r="P84" t="s">
        <v>532</v>
      </c>
      <c r="S84" t="s">
        <v>361</v>
      </c>
      <c r="T84" t="s">
        <v>378</v>
      </c>
      <c r="U84" t="s">
        <v>239</v>
      </c>
      <c r="V84" t="s">
        <v>7</v>
      </c>
      <c r="W84" t="s">
        <v>7</v>
      </c>
      <c r="X84" t="s">
        <v>7</v>
      </c>
      <c r="AA84" t="s">
        <v>127</v>
      </c>
      <c r="AB84" t="s">
        <v>361</v>
      </c>
      <c r="AC84">
        <v>2200</v>
      </c>
      <c r="AD84" t="s">
        <v>233</v>
      </c>
      <c r="AE84">
        <v>1</v>
      </c>
      <c r="AF84">
        <v>181.1</v>
      </c>
    </row>
    <row r="85" spans="1:32" x14ac:dyDescent="0.3">
      <c r="A85" t="s">
        <v>351</v>
      </c>
      <c r="B85" t="s">
        <v>279</v>
      </c>
      <c r="C85" t="s">
        <v>192</v>
      </c>
      <c r="D85" t="s">
        <v>310</v>
      </c>
      <c r="E85" t="s">
        <v>844</v>
      </c>
      <c r="F85" s="15">
        <v>46245.375648148147</v>
      </c>
      <c r="G85" t="s">
        <v>412</v>
      </c>
      <c r="H85">
        <v>1805</v>
      </c>
      <c r="I85" t="s">
        <v>845</v>
      </c>
      <c r="J85" s="15">
        <v>46246.395138888889</v>
      </c>
      <c r="K85" s="15">
        <v>46248.681250000001</v>
      </c>
      <c r="L85" s="15"/>
      <c r="M85">
        <v>1805</v>
      </c>
      <c r="O85" t="s">
        <v>201</v>
      </c>
      <c r="P85" t="s">
        <v>532</v>
      </c>
      <c r="S85" t="s">
        <v>361</v>
      </c>
      <c r="T85" t="s">
        <v>378</v>
      </c>
      <c r="U85" t="s">
        <v>239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361</v>
      </c>
      <c r="AC85">
        <v>2200</v>
      </c>
      <c r="AD85" t="s">
        <v>232</v>
      </c>
      <c r="AE85">
        <v>1805</v>
      </c>
    </row>
    <row r="86" spans="1:32" x14ac:dyDescent="0.3">
      <c r="A86" t="s">
        <v>351</v>
      </c>
      <c r="B86" t="s">
        <v>57</v>
      </c>
      <c r="C86" t="s">
        <v>117</v>
      </c>
      <c r="D86" t="s">
        <v>310</v>
      </c>
      <c r="E86" t="s">
        <v>846</v>
      </c>
      <c r="F86" s="15">
        <v>46239.715613425928</v>
      </c>
      <c r="G86" t="s">
        <v>412</v>
      </c>
      <c r="H86">
        <v>3</v>
      </c>
      <c r="I86" t="s">
        <v>847</v>
      </c>
      <c r="J86" s="15">
        <v>46241.71597222222</v>
      </c>
      <c r="K86" s="15">
        <v>46246.671527777777</v>
      </c>
      <c r="L86" s="15"/>
      <c r="M86">
        <v>3</v>
      </c>
      <c r="O86" t="s">
        <v>201</v>
      </c>
      <c r="P86" t="s">
        <v>532</v>
      </c>
      <c r="S86" t="s">
        <v>361</v>
      </c>
      <c r="T86" t="s">
        <v>378</v>
      </c>
      <c r="U86" t="s">
        <v>239</v>
      </c>
      <c r="V86" t="s">
        <v>7</v>
      </c>
      <c r="W86" t="s">
        <v>7</v>
      </c>
      <c r="X86" t="s">
        <v>7</v>
      </c>
      <c r="AA86" t="s">
        <v>127</v>
      </c>
      <c r="AB86" t="s">
        <v>361</v>
      </c>
      <c r="AC86">
        <v>2200</v>
      </c>
      <c r="AD86" t="s">
        <v>233</v>
      </c>
      <c r="AE86">
        <v>1</v>
      </c>
      <c r="AF86">
        <v>283.2</v>
      </c>
    </row>
    <row r="87" spans="1:32" x14ac:dyDescent="0.3">
      <c r="A87" t="s">
        <v>351</v>
      </c>
      <c r="B87" t="s">
        <v>279</v>
      </c>
      <c r="C87" t="s">
        <v>192</v>
      </c>
      <c r="D87" t="s">
        <v>310</v>
      </c>
      <c r="E87" t="s">
        <v>846</v>
      </c>
      <c r="F87" s="15">
        <v>46239.715613425928</v>
      </c>
      <c r="G87" t="s">
        <v>412</v>
      </c>
      <c r="H87">
        <v>1580</v>
      </c>
      <c r="I87" t="s">
        <v>847</v>
      </c>
      <c r="J87" s="15">
        <v>46241.71597222222</v>
      </c>
      <c r="K87" s="15">
        <v>46246.671527777777</v>
      </c>
      <c r="L87" s="15"/>
      <c r="M87">
        <v>1580</v>
      </c>
      <c r="O87" t="s">
        <v>201</v>
      </c>
      <c r="P87" t="s">
        <v>532</v>
      </c>
      <c r="S87" t="s">
        <v>361</v>
      </c>
      <c r="T87" t="s">
        <v>378</v>
      </c>
      <c r="U87" t="s">
        <v>239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361</v>
      </c>
      <c r="AC87">
        <v>2200</v>
      </c>
      <c r="AD87" t="s">
        <v>232</v>
      </c>
      <c r="AE87">
        <v>1580</v>
      </c>
    </row>
    <row r="88" spans="1:32" x14ac:dyDescent="0.3">
      <c r="A88" t="s">
        <v>351</v>
      </c>
      <c r="B88" t="s">
        <v>57</v>
      </c>
      <c r="C88" t="s">
        <v>117</v>
      </c>
      <c r="D88" t="s">
        <v>310</v>
      </c>
      <c r="E88" t="s">
        <v>848</v>
      </c>
      <c r="F88" s="15">
        <v>46238.474398148152</v>
      </c>
      <c r="G88" t="s">
        <v>412</v>
      </c>
      <c r="H88">
        <v>1</v>
      </c>
      <c r="I88" t="s">
        <v>849</v>
      </c>
      <c r="J88" s="15">
        <v>46238.659722222219</v>
      </c>
      <c r="K88" s="15">
        <v>46241.456944444442</v>
      </c>
      <c r="L88" s="15"/>
      <c r="M88">
        <v>1</v>
      </c>
      <c r="O88" t="s">
        <v>201</v>
      </c>
      <c r="P88" t="s">
        <v>532</v>
      </c>
      <c r="S88" t="s">
        <v>361</v>
      </c>
      <c r="T88" t="s">
        <v>378</v>
      </c>
      <c r="U88" t="s">
        <v>239</v>
      </c>
      <c r="V88" t="s">
        <v>7</v>
      </c>
      <c r="W88" t="s">
        <v>7</v>
      </c>
      <c r="X88" t="s">
        <v>7</v>
      </c>
      <c r="AA88" t="s">
        <v>127</v>
      </c>
      <c r="AB88" t="s">
        <v>361</v>
      </c>
      <c r="AC88">
        <v>2200</v>
      </c>
      <c r="AD88" t="s">
        <v>233</v>
      </c>
      <c r="AE88">
        <v>1</v>
      </c>
      <c r="AF88">
        <v>1.5</v>
      </c>
    </row>
    <row r="89" spans="1:32" x14ac:dyDescent="0.3">
      <c r="A89" t="s">
        <v>351</v>
      </c>
      <c r="B89" t="s">
        <v>279</v>
      </c>
      <c r="C89" t="s">
        <v>192</v>
      </c>
      <c r="D89" t="s">
        <v>310</v>
      </c>
      <c r="E89" t="s">
        <v>848</v>
      </c>
      <c r="F89" s="15">
        <v>46238.474398148152</v>
      </c>
      <c r="G89" t="s">
        <v>412</v>
      </c>
      <c r="H89">
        <v>13</v>
      </c>
      <c r="I89" t="s">
        <v>849</v>
      </c>
      <c r="J89" s="15">
        <v>46238.659722222219</v>
      </c>
      <c r="K89" s="15">
        <v>46241.456944444442</v>
      </c>
      <c r="L89" s="15"/>
      <c r="M89">
        <v>13</v>
      </c>
      <c r="O89" t="s">
        <v>201</v>
      </c>
      <c r="P89" t="s">
        <v>532</v>
      </c>
      <c r="S89" t="s">
        <v>361</v>
      </c>
      <c r="T89" t="s">
        <v>378</v>
      </c>
      <c r="U89" t="s">
        <v>239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361</v>
      </c>
      <c r="AC89">
        <v>2200</v>
      </c>
      <c r="AD89" t="s">
        <v>232</v>
      </c>
      <c r="AE89">
        <v>13</v>
      </c>
    </row>
    <row r="90" spans="1:32" x14ac:dyDescent="0.3">
      <c r="A90" t="s">
        <v>351</v>
      </c>
      <c r="B90" t="s">
        <v>57</v>
      </c>
      <c r="C90" t="s">
        <v>117</v>
      </c>
      <c r="D90" t="s">
        <v>310</v>
      </c>
      <c r="E90" t="s">
        <v>856</v>
      </c>
      <c r="F90" s="15">
        <v>46244.43917824074</v>
      </c>
      <c r="G90" t="s">
        <v>419</v>
      </c>
      <c r="H90">
        <v>1</v>
      </c>
      <c r="I90" t="s">
        <v>857</v>
      </c>
      <c r="J90" s="15">
        <v>46245.671527777777</v>
      </c>
      <c r="K90" s="15">
        <v>46251.602083333331</v>
      </c>
      <c r="L90" s="15"/>
      <c r="M90">
        <v>1</v>
      </c>
      <c r="O90" t="s">
        <v>201</v>
      </c>
      <c r="P90" t="s">
        <v>532</v>
      </c>
      <c r="S90" t="s">
        <v>360</v>
      </c>
      <c r="T90" t="s">
        <v>378</v>
      </c>
      <c r="U90" t="s">
        <v>239</v>
      </c>
      <c r="V90" t="s">
        <v>7</v>
      </c>
      <c r="W90" t="s">
        <v>7</v>
      </c>
      <c r="X90" t="s">
        <v>7</v>
      </c>
      <c r="AA90" t="s">
        <v>127</v>
      </c>
      <c r="AB90" t="s">
        <v>360</v>
      </c>
      <c r="AC90">
        <v>50</v>
      </c>
      <c r="AD90" t="s">
        <v>233</v>
      </c>
      <c r="AE90">
        <v>1</v>
      </c>
      <c r="AF90">
        <v>1748.2</v>
      </c>
    </row>
    <row r="91" spans="1:32" x14ac:dyDescent="0.3">
      <c r="A91" t="s">
        <v>351</v>
      </c>
      <c r="B91" t="s">
        <v>57</v>
      </c>
      <c r="C91" t="s">
        <v>117</v>
      </c>
      <c r="D91" t="s">
        <v>310</v>
      </c>
      <c r="E91" t="s">
        <v>856</v>
      </c>
      <c r="F91" s="15">
        <v>46244.43917824074</v>
      </c>
      <c r="G91" t="s">
        <v>419</v>
      </c>
      <c r="H91">
        <v>2</v>
      </c>
      <c r="I91" t="s">
        <v>857</v>
      </c>
      <c r="J91" s="15">
        <v>46245.671527777777</v>
      </c>
      <c r="K91" s="15">
        <v>46251.602083333331</v>
      </c>
      <c r="L91" s="15"/>
      <c r="M91">
        <v>2</v>
      </c>
      <c r="O91" t="s">
        <v>529</v>
      </c>
      <c r="S91" t="s">
        <v>360</v>
      </c>
      <c r="T91" t="s">
        <v>378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360</v>
      </c>
      <c r="AC91">
        <v>50</v>
      </c>
      <c r="AD91" t="s">
        <v>233</v>
      </c>
      <c r="AE91">
        <v>1</v>
      </c>
    </row>
    <row r="92" spans="1:32" x14ac:dyDescent="0.3">
      <c r="A92" t="s">
        <v>351</v>
      </c>
      <c r="B92" t="s">
        <v>57</v>
      </c>
      <c r="C92" t="s">
        <v>117</v>
      </c>
      <c r="D92" t="s">
        <v>310</v>
      </c>
      <c r="E92" t="s">
        <v>856</v>
      </c>
      <c r="F92" s="15">
        <v>46244.43917824074</v>
      </c>
      <c r="G92" t="s">
        <v>419</v>
      </c>
      <c r="H92">
        <v>4</v>
      </c>
      <c r="I92" t="s">
        <v>857</v>
      </c>
      <c r="J92" s="15">
        <v>46245.671527777777</v>
      </c>
      <c r="K92" s="15">
        <v>46251.602083333331</v>
      </c>
      <c r="L92" s="15"/>
      <c r="M92">
        <v>4</v>
      </c>
      <c r="O92" t="s">
        <v>529</v>
      </c>
      <c r="S92" t="s">
        <v>360</v>
      </c>
      <c r="T92" t="s">
        <v>378</v>
      </c>
      <c r="U92" t="s">
        <v>239</v>
      </c>
      <c r="V92" t="s">
        <v>7</v>
      </c>
      <c r="W92" t="s">
        <v>7</v>
      </c>
      <c r="X92" t="s">
        <v>7</v>
      </c>
      <c r="AA92" t="s">
        <v>127</v>
      </c>
      <c r="AB92" t="s">
        <v>360</v>
      </c>
      <c r="AC92">
        <v>50</v>
      </c>
      <c r="AD92" t="s">
        <v>233</v>
      </c>
      <c r="AE92">
        <v>1</v>
      </c>
    </row>
    <row r="93" spans="1:32" x14ac:dyDescent="0.3">
      <c r="A93" t="s">
        <v>351</v>
      </c>
      <c r="B93" t="s">
        <v>57</v>
      </c>
      <c r="C93" t="s">
        <v>117</v>
      </c>
      <c r="D93" t="s">
        <v>310</v>
      </c>
      <c r="E93" t="s">
        <v>856</v>
      </c>
      <c r="F93" s="15">
        <v>46244.43917824074</v>
      </c>
      <c r="G93" t="s">
        <v>419</v>
      </c>
      <c r="H93">
        <v>1</v>
      </c>
      <c r="I93" t="s">
        <v>857</v>
      </c>
      <c r="J93" s="15">
        <v>46245.671527777777</v>
      </c>
      <c r="K93" s="15">
        <v>46251.602083333331</v>
      </c>
      <c r="L93" s="15"/>
      <c r="M93">
        <v>1</v>
      </c>
      <c r="O93" t="s">
        <v>529</v>
      </c>
      <c r="S93" t="s">
        <v>360</v>
      </c>
      <c r="T93" t="s">
        <v>378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360</v>
      </c>
      <c r="AC93">
        <v>50</v>
      </c>
      <c r="AD93" t="s">
        <v>233</v>
      </c>
      <c r="AE93">
        <v>1</v>
      </c>
    </row>
    <row r="94" spans="1:32" x14ac:dyDescent="0.3">
      <c r="A94" t="s">
        <v>351</v>
      </c>
      <c r="B94" t="s">
        <v>57</v>
      </c>
      <c r="C94" t="s">
        <v>117</v>
      </c>
      <c r="D94" t="s">
        <v>310</v>
      </c>
      <c r="E94" t="s">
        <v>856</v>
      </c>
      <c r="F94" s="15">
        <v>46244.43917824074</v>
      </c>
      <c r="G94" t="s">
        <v>419</v>
      </c>
      <c r="H94">
        <v>3</v>
      </c>
      <c r="I94" t="s">
        <v>857</v>
      </c>
      <c r="J94" s="15">
        <v>46245.671527777777</v>
      </c>
      <c r="K94" s="15">
        <v>46251.602083333331</v>
      </c>
      <c r="L94" s="15"/>
      <c r="M94">
        <v>3</v>
      </c>
      <c r="O94" t="s">
        <v>529</v>
      </c>
      <c r="S94" t="s">
        <v>360</v>
      </c>
      <c r="T94" t="s">
        <v>378</v>
      </c>
      <c r="U94" t="s">
        <v>239</v>
      </c>
      <c r="V94" t="s">
        <v>7</v>
      </c>
      <c r="W94" t="s">
        <v>7</v>
      </c>
      <c r="X94" t="s">
        <v>7</v>
      </c>
      <c r="AA94" t="s">
        <v>127</v>
      </c>
      <c r="AB94" t="s">
        <v>360</v>
      </c>
      <c r="AC94">
        <v>50</v>
      </c>
      <c r="AD94" t="s">
        <v>233</v>
      </c>
      <c r="AE94">
        <v>1</v>
      </c>
    </row>
    <row r="95" spans="1:32" x14ac:dyDescent="0.3">
      <c r="A95" t="s">
        <v>351</v>
      </c>
      <c r="B95" t="s">
        <v>57</v>
      </c>
      <c r="C95" t="s">
        <v>117</v>
      </c>
      <c r="D95" t="s">
        <v>310</v>
      </c>
      <c r="E95" t="s">
        <v>856</v>
      </c>
      <c r="F95" s="15">
        <v>46244.43917824074</v>
      </c>
      <c r="G95" t="s">
        <v>419</v>
      </c>
      <c r="H95">
        <v>4</v>
      </c>
      <c r="I95" t="s">
        <v>857</v>
      </c>
      <c r="J95" s="15">
        <v>46245.671527777777</v>
      </c>
      <c r="K95" s="15">
        <v>46251.602083333331</v>
      </c>
      <c r="L95" s="15"/>
      <c r="M95">
        <v>4</v>
      </c>
      <c r="O95" t="s">
        <v>529</v>
      </c>
      <c r="S95" t="s">
        <v>360</v>
      </c>
      <c r="T95" t="s">
        <v>378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360</v>
      </c>
      <c r="AC95">
        <v>50</v>
      </c>
      <c r="AD95" t="s">
        <v>233</v>
      </c>
      <c r="AE95">
        <v>1</v>
      </c>
    </row>
    <row r="96" spans="1:32" x14ac:dyDescent="0.3">
      <c r="A96" t="s">
        <v>351</v>
      </c>
      <c r="B96" t="s">
        <v>57</v>
      </c>
      <c r="C96" t="s">
        <v>117</v>
      </c>
      <c r="D96" t="s">
        <v>310</v>
      </c>
      <c r="E96" t="s">
        <v>856</v>
      </c>
      <c r="F96" s="15">
        <v>46244.43917824074</v>
      </c>
      <c r="G96" t="s">
        <v>419</v>
      </c>
      <c r="H96">
        <v>2</v>
      </c>
      <c r="I96" t="s">
        <v>857</v>
      </c>
      <c r="J96" s="15">
        <v>46245.671527777777</v>
      </c>
      <c r="K96" s="15">
        <v>46251.602083333331</v>
      </c>
      <c r="L96" s="15"/>
      <c r="M96">
        <v>2</v>
      </c>
      <c r="O96" t="s">
        <v>529</v>
      </c>
      <c r="S96" t="s">
        <v>360</v>
      </c>
      <c r="T96" t="s">
        <v>378</v>
      </c>
      <c r="U96" t="s">
        <v>239</v>
      </c>
      <c r="V96" t="s">
        <v>7</v>
      </c>
      <c r="W96" t="s">
        <v>7</v>
      </c>
      <c r="X96" t="s">
        <v>7</v>
      </c>
      <c r="AA96" t="s">
        <v>127</v>
      </c>
      <c r="AB96" t="s">
        <v>360</v>
      </c>
      <c r="AC96">
        <v>50</v>
      </c>
      <c r="AD96" t="s">
        <v>233</v>
      </c>
      <c r="AE96">
        <v>1</v>
      </c>
    </row>
    <row r="97" spans="1:32" x14ac:dyDescent="0.3">
      <c r="A97" t="s">
        <v>351</v>
      </c>
      <c r="B97" t="s">
        <v>57</v>
      </c>
      <c r="C97" t="s">
        <v>117</v>
      </c>
      <c r="D97" t="s">
        <v>310</v>
      </c>
      <c r="E97" t="s">
        <v>856</v>
      </c>
      <c r="F97" s="15">
        <v>46244.43917824074</v>
      </c>
      <c r="G97" t="s">
        <v>419</v>
      </c>
      <c r="H97">
        <v>2</v>
      </c>
      <c r="I97" t="s">
        <v>857</v>
      </c>
      <c r="J97" s="15">
        <v>46245.671527777777</v>
      </c>
      <c r="K97" s="15">
        <v>46251.602083333331</v>
      </c>
      <c r="L97" s="15"/>
      <c r="M97">
        <v>2</v>
      </c>
      <c r="O97" t="s">
        <v>529</v>
      </c>
      <c r="S97" t="s">
        <v>360</v>
      </c>
      <c r="T97" t="s">
        <v>378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360</v>
      </c>
      <c r="AC97">
        <v>50</v>
      </c>
      <c r="AD97" t="s">
        <v>233</v>
      </c>
      <c r="AE97">
        <v>1</v>
      </c>
    </row>
    <row r="98" spans="1:32" x14ac:dyDescent="0.3">
      <c r="A98" t="s">
        <v>351</v>
      </c>
      <c r="B98" t="s">
        <v>57</v>
      </c>
      <c r="C98" t="s">
        <v>117</v>
      </c>
      <c r="D98" t="s">
        <v>310</v>
      </c>
      <c r="E98" t="s">
        <v>856</v>
      </c>
      <c r="F98" s="15">
        <v>46244.43917824074</v>
      </c>
      <c r="G98" t="s">
        <v>419</v>
      </c>
      <c r="H98">
        <v>2</v>
      </c>
      <c r="I98" t="s">
        <v>857</v>
      </c>
      <c r="J98" s="15">
        <v>46245.671527777777</v>
      </c>
      <c r="K98" s="15">
        <v>46251.602083333331</v>
      </c>
      <c r="L98" s="15"/>
      <c r="M98">
        <v>2</v>
      </c>
      <c r="O98" t="s">
        <v>529</v>
      </c>
      <c r="S98" t="s">
        <v>360</v>
      </c>
      <c r="T98" t="s">
        <v>378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360</v>
      </c>
      <c r="AC98">
        <v>50</v>
      </c>
      <c r="AD98" t="s">
        <v>233</v>
      </c>
      <c r="AE98">
        <v>1</v>
      </c>
    </row>
    <row r="99" spans="1:32" x14ac:dyDescent="0.3">
      <c r="A99" t="s">
        <v>351</v>
      </c>
      <c r="B99" t="s">
        <v>279</v>
      </c>
      <c r="C99" t="s">
        <v>192</v>
      </c>
      <c r="D99" t="s">
        <v>310</v>
      </c>
      <c r="E99" t="s">
        <v>856</v>
      </c>
      <c r="F99" s="15">
        <v>46244.43917824074</v>
      </c>
      <c r="G99" t="s">
        <v>419</v>
      </c>
      <c r="H99">
        <v>1096</v>
      </c>
      <c r="I99" t="s">
        <v>857</v>
      </c>
      <c r="J99" s="15">
        <v>46245.671527777777</v>
      </c>
      <c r="K99" s="15">
        <v>46251.602083333331</v>
      </c>
      <c r="L99" s="15"/>
      <c r="M99">
        <v>1096</v>
      </c>
      <c r="O99" t="s">
        <v>201</v>
      </c>
      <c r="P99" t="s">
        <v>531</v>
      </c>
      <c r="S99" t="s">
        <v>360</v>
      </c>
      <c r="T99" t="s">
        <v>378</v>
      </c>
      <c r="U99" t="s">
        <v>239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360</v>
      </c>
      <c r="AC99">
        <v>50</v>
      </c>
      <c r="AD99" t="s">
        <v>232</v>
      </c>
      <c r="AE99">
        <v>1096</v>
      </c>
    </row>
    <row r="100" spans="1:32" x14ac:dyDescent="0.3">
      <c r="A100" t="s">
        <v>351</v>
      </c>
      <c r="B100" t="s">
        <v>279</v>
      </c>
      <c r="C100" t="s">
        <v>192</v>
      </c>
      <c r="D100" t="s">
        <v>310</v>
      </c>
      <c r="E100" t="s">
        <v>856</v>
      </c>
      <c r="F100" s="15">
        <v>46244.43917824074</v>
      </c>
      <c r="G100" t="s">
        <v>419</v>
      </c>
      <c r="H100">
        <v>2343</v>
      </c>
      <c r="I100" t="s">
        <v>857</v>
      </c>
      <c r="J100" s="15">
        <v>46245.671527777777</v>
      </c>
      <c r="K100" s="15">
        <v>46251.602083333331</v>
      </c>
      <c r="L100" s="15"/>
      <c r="M100">
        <v>2343</v>
      </c>
      <c r="O100" t="s">
        <v>529</v>
      </c>
      <c r="S100" t="s">
        <v>360</v>
      </c>
      <c r="T100" t="s">
        <v>378</v>
      </c>
      <c r="U100" t="s">
        <v>239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360</v>
      </c>
      <c r="AC100">
        <v>50</v>
      </c>
      <c r="AD100" t="s">
        <v>232</v>
      </c>
      <c r="AE100">
        <v>2343</v>
      </c>
    </row>
    <row r="101" spans="1:32" x14ac:dyDescent="0.3">
      <c r="A101" t="s">
        <v>351</v>
      </c>
      <c r="B101" t="s">
        <v>279</v>
      </c>
      <c r="C101" t="s">
        <v>192</v>
      </c>
      <c r="D101" t="s">
        <v>310</v>
      </c>
      <c r="E101" t="s">
        <v>856</v>
      </c>
      <c r="F101" s="15">
        <v>46244.43917824074</v>
      </c>
      <c r="G101" t="s">
        <v>419</v>
      </c>
      <c r="H101">
        <v>2913</v>
      </c>
      <c r="I101" t="s">
        <v>857</v>
      </c>
      <c r="J101" s="15">
        <v>46245.671527777777</v>
      </c>
      <c r="K101" s="15">
        <v>46251.602083333331</v>
      </c>
      <c r="L101" s="15"/>
      <c r="M101">
        <v>2913</v>
      </c>
      <c r="O101" t="s">
        <v>529</v>
      </c>
      <c r="S101" t="s">
        <v>360</v>
      </c>
      <c r="T101" t="s">
        <v>378</v>
      </c>
      <c r="U101" t="s">
        <v>239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360</v>
      </c>
      <c r="AC101">
        <v>50</v>
      </c>
      <c r="AD101" t="s">
        <v>232</v>
      </c>
      <c r="AE101">
        <v>2913</v>
      </c>
    </row>
    <row r="102" spans="1:32" x14ac:dyDescent="0.3">
      <c r="A102" t="s">
        <v>351</v>
      </c>
      <c r="B102" t="s">
        <v>57</v>
      </c>
      <c r="C102" t="s">
        <v>117</v>
      </c>
      <c r="D102" t="s">
        <v>310</v>
      </c>
      <c r="E102" t="s">
        <v>858</v>
      </c>
      <c r="F102" s="15">
        <v>46244.468541666669</v>
      </c>
      <c r="G102" t="s">
        <v>409</v>
      </c>
      <c r="H102">
        <v>1</v>
      </c>
      <c r="I102" t="s">
        <v>859</v>
      </c>
      <c r="J102" s="15">
        <v>46244.694444444445</v>
      </c>
      <c r="K102" s="15">
        <v>46248.702777777777</v>
      </c>
      <c r="L102" s="15"/>
      <c r="M102">
        <v>1</v>
      </c>
      <c r="O102" t="s">
        <v>201</v>
      </c>
      <c r="P102" t="s">
        <v>532</v>
      </c>
      <c r="S102" t="s">
        <v>360</v>
      </c>
      <c r="T102" t="s">
        <v>378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360</v>
      </c>
      <c r="AC102">
        <v>50</v>
      </c>
      <c r="AD102" t="s">
        <v>233</v>
      </c>
      <c r="AE102">
        <v>1</v>
      </c>
      <c r="AF102">
        <v>58.2</v>
      </c>
    </row>
    <row r="103" spans="1:32" x14ac:dyDescent="0.3">
      <c r="A103" t="s">
        <v>351</v>
      </c>
      <c r="B103" t="s">
        <v>57</v>
      </c>
      <c r="C103" t="s">
        <v>117</v>
      </c>
      <c r="D103" t="s">
        <v>310</v>
      </c>
      <c r="E103" t="s">
        <v>860</v>
      </c>
      <c r="F103" s="15">
        <v>46244.466851851852</v>
      </c>
      <c r="G103" t="s">
        <v>409</v>
      </c>
      <c r="H103">
        <v>1</v>
      </c>
      <c r="I103" t="s">
        <v>861</v>
      </c>
      <c r="J103" s="15">
        <v>46247.593055555553</v>
      </c>
      <c r="K103" s="15">
        <v>46252.873611111114</v>
      </c>
      <c r="L103" s="15"/>
      <c r="M103">
        <v>1</v>
      </c>
      <c r="O103" t="s">
        <v>201</v>
      </c>
      <c r="P103" t="s">
        <v>532</v>
      </c>
      <c r="S103" t="s">
        <v>360</v>
      </c>
      <c r="T103" t="s">
        <v>378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360</v>
      </c>
      <c r="AC103">
        <v>50</v>
      </c>
      <c r="AD103" t="s">
        <v>233</v>
      </c>
      <c r="AE103">
        <v>1</v>
      </c>
      <c r="AF103">
        <v>15.8</v>
      </c>
    </row>
    <row r="104" spans="1:32" x14ac:dyDescent="0.3">
      <c r="A104" t="s">
        <v>351</v>
      </c>
      <c r="B104" t="s">
        <v>57</v>
      </c>
      <c r="C104" t="s">
        <v>117</v>
      </c>
      <c r="D104" t="s">
        <v>310</v>
      </c>
      <c r="E104" t="s">
        <v>904</v>
      </c>
      <c r="F104" s="15">
        <v>46241.40283564815</v>
      </c>
      <c r="G104" t="s">
        <v>905</v>
      </c>
      <c r="H104">
        <v>1</v>
      </c>
      <c r="I104" t="s">
        <v>906</v>
      </c>
      <c r="J104" s="15">
        <v>46241.429861111108</v>
      </c>
      <c r="K104" s="15">
        <v>46246.593055555553</v>
      </c>
      <c r="L104" s="15"/>
      <c r="M104">
        <v>1</v>
      </c>
      <c r="O104" t="s">
        <v>201</v>
      </c>
      <c r="P104" t="s">
        <v>532</v>
      </c>
      <c r="S104" t="s">
        <v>362</v>
      </c>
      <c r="T104" t="s">
        <v>378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362</v>
      </c>
      <c r="AC104">
        <v>109</v>
      </c>
      <c r="AD104" t="s">
        <v>233</v>
      </c>
      <c r="AE104">
        <v>1</v>
      </c>
      <c r="AF104">
        <v>74.3</v>
      </c>
    </row>
    <row r="105" spans="1:32" x14ac:dyDescent="0.3">
      <c r="A105" t="s">
        <v>351</v>
      </c>
      <c r="B105" t="s">
        <v>57</v>
      </c>
      <c r="C105" t="s">
        <v>117</v>
      </c>
      <c r="D105" t="s">
        <v>310</v>
      </c>
      <c r="E105" t="s">
        <v>437</v>
      </c>
      <c r="F105" s="15">
        <v>46202.512337962966</v>
      </c>
      <c r="G105" t="s">
        <v>436</v>
      </c>
      <c r="H105">
        <v>2</v>
      </c>
      <c r="I105" t="s">
        <v>1041</v>
      </c>
      <c r="J105" s="15">
        <v>46241.424259259256</v>
      </c>
      <c r="K105" s="15">
        <v>46248.483460648145</v>
      </c>
      <c r="L105" s="15"/>
      <c r="M105">
        <v>2</v>
      </c>
      <c r="O105" t="s">
        <v>201</v>
      </c>
      <c r="P105" t="s">
        <v>532</v>
      </c>
      <c r="S105" t="s">
        <v>362</v>
      </c>
      <c r="T105" t="s">
        <v>378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362</v>
      </c>
      <c r="AC105">
        <v>109</v>
      </c>
      <c r="AD105" t="s">
        <v>233</v>
      </c>
      <c r="AE105">
        <v>1</v>
      </c>
      <c r="AF105">
        <v>64.400000000000006</v>
      </c>
    </row>
    <row r="106" spans="1:32" x14ac:dyDescent="0.3">
      <c r="A106" t="s">
        <v>351</v>
      </c>
      <c r="B106" t="s">
        <v>57</v>
      </c>
      <c r="C106" t="s">
        <v>117</v>
      </c>
      <c r="D106" t="s">
        <v>310</v>
      </c>
      <c r="E106" t="s">
        <v>907</v>
      </c>
      <c r="F106" s="15">
        <v>46230.40084490741</v>
      </c>
      <c r="G106" t="s">
        <v>424</v>
      </c>
      <c r="H106">
        <v>6</v>
      </c>
      <c r="I106" t="s">
        <v>908</v>
      </c>
      <c r="J106" s="15">
        <v>46233.454386574071</v>
      </c>
      <c r="K106" s="15">
        <v>46238.481249999997</v>
      </c>
      <c r="L106" s="15"/>
      <c r="M106">
        <v>6</v>
      </c>
      <c r="O106" t="s">
        <v>201</v>
      </c>
      <c r="P106" t="s">
        <v>532</v>
      </c>
      <c r="S106" t="s">
        <v>362</v>
      </c>
      <c r="T106" t="s">
        <v>378</v>
      </c>
      <c r="U106" t="s">
        <v>239</v>
      </c>
      <c r="V106" t="s">
        <v>7</v>
      </c>
      <c r="W106" t="s">
        <v>7</v>
      </c>
      <c r="X106" t="s">
        <v>7</v>
      </c>
      <c r="AA106" t="s">
        <v>127</v>
      </c>
      <c r="AB106" t="s">
        <v>362</v>
      </c>
      <c r="AC106">
        <v>109</v>
      </c>
      <c r="AD106" t="s">
        <v>233</v>
      </c>
      <c r="AE106">
        <v>1</v>
      </c>
      <c r="AF106">
        <v>1586.5</v>
      </c>
    </row>
    <row r="107" spans="1:32" x14ac:dyDescent="0.3">
      <c r="A107" t="s">
        <v>351</v>
      </c>
      <c r="B107" t="s">
        <v>57</v>
      </c>
      <c r="C107" t="s">
        <v>117</v>
      </c>
      <c r="D107" t="s">
        <v>310</v>
      </c>
      <c r="E107" t="s">
        <v>907</v>
      </c>
      <c r="F107" s="15">
        <v>46230.40084490741</v>
      </c>
      <c r="G107" t="s">
        <v>424</v>
      </c>
      <c r="H107">
        <v>4</v>
      </c>
      <c r="I107" t="s">
        <v>908</v>
      </c>
      <c r="J107" s="15">
        <v>46233.454386574071</v>
      </c>
      <c r="K107" s="15">
        <v>46238.481249999997</v>
      </c>
      <c r="L107" s="15"/>
      <c r="M107">
        <v>4</v>
      </c>
      <c r="O107" t="s">
        <v>529</v>
      </c>
      <c r="S107" t="s">
        <v>362</v>
      </c>
      <c r="T107" t="s">
        <v>378</v>
      </c>
      <c r="U107" t="s">
        <v>239</v>
      </c>
      <c r="V107" t="s">
        <v>7</v>
      </c>
      <c r="W107" t="s">
        <v>7</v>
      </c>
      <c r="X107" t="s">
        <v>7</v>
      </c>
      <c r="AA107" t="s">
        <v>127</v>
      </c>
      <c r="AB107" t="s">
        <v>362</v>
      </c>
      <c r="AC107">
        <v>109</v>
      </c>
      <c r="AD107" t="s">
        <v>233</v>
      </c>
      <c r="AE107">
        <v>1</v>
      </c>
    </row>
    <row r="108" spans="1:32" x14ac:dyDescent="0.3">
      <c r="A108" t="s">
        <v>351</v>
      </c>
      <c r="B108" t="s">
        <v>57</v>
      </c>
      <c r="C108" t="s">
        <v>117</v>
      </c>
      <c r="D108" t="s">
        <v>310</v>
      </c>
      <c r="E108" t="s">
        <v>907</v>
      </c>
      <c r="F108" s="15">
        <v>46230.40084490741</v>
      </c>
      <c r="G108" t="s">
        <v>424</v>
      </c>
      <c r="H108">
        <v>5</v>
      </c>
      <c r="I108" t="s">
        <v>908</v>
      </c>
      <c r="J108" s="15">
        <v>46233.454386574071</v>
      </c>
      <c r="K108" s="15">
        <v>46238.481249999997</v>
      </c>
      <c r="L108" s="15"/>
      <c r="M108">
        <v>5</v>
      </c>
      <c r="O108" t="s">
        <v>529</v>
      </c>
      <c r="S108" t="s">
        <v>362</v>
      </c>
      <c r="T108" t="s">
        <v>378</v>
      </c>
      <c r="U108" t="s">
        <v>239</v>
      </c>
      <c r="V108" t="s">
        <v>7</v>
      </c>
      <c r="W108" t="s">
        <v>7</v>
      </c>
      <c r="X108" t="s">
        <v>7</v>
      </c>
      <c r="AA108" t="s">
        <v>127</v>
      </c>
      <c r="AB108" t="s">
        <v>362</v>
      </c>
      <c r="AC108">
        <v>109</v>
      </c>
      <c r="AD108" t="s">
        <v>233</v>
      </c>
      <c r="AE108">
        <v>1</v>
      </c>
    </row>
    <row r="109" spans="1:32" x14ac:dyDescent="0.3">
      <c r="A109" t="s">
        <v>351</v>
      </c>
      <c r="B109" t="s">
        <v>57</v>
      </c>
      <c r="C109" t="s">
        <v>117</v>
      </c>
      <c r="D109" t="s">
        <v>310</v>
      </c>
      <c r="E109" t="s">
        <v>907</v>
      </c>
      <c r="F109" s="15">
        <v>46230.40084490741</v>
      </c>
      <c r="G109" t="s">
        <v>424</v>
      </c>
      <c r="H109">
        <v>6</v>
      </c>
      <c r="I109" t="s">
        <v>908</v>
      </c>
      <c r="J109" s="15">
        <v>46233.454386574071</v>
      </c>
      <c r="K109" s="15">
        <v>46238.481249999997</v>
      </c>
      <c r="L109" s="15"/>
      <c r="M109">
        <v>6</v>
      </c>
      <c r="O109" t="s">
        <v>529</v>
      </c>
      <c r="S109" t="s">
        <v>362</v>
      </c>
      <c r="T109" t="s">
        <v>378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362</v>
      </c>
      <c r="AC109">
        <v>109</v>
      </c>
      <c r="AD109" t="s">
        <v>233</v>
      </c>
      <c r="AE109">
        <v>1</v>
      </c>
    </row>
    <row r="110" spans="1:32" x14ac:dyDescent="0.3">
      <c r="A110" t="s">
        <v>351</v>
      </c>
      <c r="B110" t="s">
        <v>57</v>
      </c>
      <c r="C110" t="s">
        <v>117</v>
      </c>
      <c r="D110" t="s">
        <v>310</v>
      </c>
      <c r="E110" t="s">
        <v>907</v>
      </c>
      <c r="F110" s="15">
        <v>46230.40084490741</v>
      </c>
      <c r="G110" t="s">
        <v>424</v>
      </c>
      <c r="H110">
        <v>4</v>
      </c>
      <c r="I110" t="s">
        <v>908</v>
      </c>
      <c r="J110" s="15">
        <v>46233.454386574071</v>
      </c>
      <c r="K110" s="15">
        <v>46238.481249999997</v>
      </c>
      <c r="L110" s="15"/>
      <c r="M110">
        <v>4</v>
      </c>
      <c r="O110" t="s">
        <v>529</v>
      </c>
      <c r="S110" t="s">
        <v>362</v>
      </c>
      <c r="T110" t="s">
        <v>378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362</v>
      </c>
      <c r="AC110">
        <v>109</v>
      </c>
      <c r="AD110" t="s">
        <v>233</v>
      </c>
      <c r="AE110">
        <v>1</v>
      </c>
    </row>
    <row r="111" spans="1:32" x14ac:dyDescent="0.3">
      <c r="A111" t="s">
        <v>351</v>
      </c>
      <c r="B111" t="s">
        <v>57</v>
      </c>
      <c r="C111" t="s">
        <v>117</v>
      </c>
      <c r="D111" t="s">
        <v>310</v>
      </c>
      <c r="E111" t="s">
        <v>907</v>
      </c>
      <c r="F111" s="15">
        <v>46230.40084490741</v>
      </c>
      <c r="G111" t="s">
        <v>424</v>
      </c>
      <c r="H111">
        <v>5</v>
      </c>
      <c r="I111" t="s">
        <v>908</v>
      </c>
      <c r="J111" s="15">
        <v>46233.454386574071</v>
      </c>
      <c r="K111" s="15">
        <v>46238.481249999997</v>
      </c>
      <c r="L111" s="15"/>
      <c r="M111">
        <v>5</v>
      </c>
      <c r="O111" t="s">
        <v>529</v>
      </c>
      <c r="S111" t="s">
        <v>362</v>
      </c>
      <c r="T111" t="s">
        <v>378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362</v>
      </c>
      <c r="AC111">
        <v>109</v>
      </c>
      <c r="AD111" t="s">
        <v>233</v>
      </c>
      <c r="AE111">
        <v>1</v>
      </c>
    </row>
    <row r="112" spans="1:32" x14ac:dyDescent="0.3">
      <c r="A112" t="s">
        <v>351</v>
      </c>
      <c r="B112" t="s">
        <v>57</v>
      </c>
      <c r="C112" t="s">
        <v>117</v>
      </c>
      <c r="D112" t="s">
        <v>310</v>
      </c>
      <c r="E112" t="s">
        <v>907</v>
      </c>
      <c r="F112" s="15">
        <v>46230.40084490741</v>
      </c>
      <c r="G112" t="s">
        <v>424</v>
      </c>
      <c r="H112">
        <v>6</v>
      </c>
      <c r="I112" t="s">
        <v>908</v>
      </c>
      <c r="J112" s="15">
        <v>46233.454386574071</v>
      </c>
      <c r="K112" s="15">
        <v>46238.481249999997</v>
      </c>
      <c r="L112" s="15"/>
      <c r="M112">
        <v>6</v>
      </c>
      <c r="O112" t="s">
        <v>529</v>
      </c>
      <c r="S112" t="s">
        <v>362</v>
      </c>
      <c r="T112" t="s">
        <v>378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362</v>
      </c>
      <c r="AC112">
        <v>109</v>
      </c>
      <c r="AD112" t="s">
        <v>233</v>
      </c>
      <c r="AE112">
        <v>1</v>
      </c>
    </row>
    <row r="113" spans="1:32" x14ac:dyDescent="0.3">
      <c r="A113" t="s">
        <v>351</v>
      </c>
      <c r="B113" t="s">
        <v>57</v>
      </c>
      <c r="C113" t="s">
        <v>117</v>
      </c>
      <c r="D113" t="s">
        <v>310</v>
      </c>
      <c r="E113" t="s">
        <v>907</v>
      </c>
      <c r="F113" s="15">
        <v>46230.40084490741</v>
      </c>
      <c r="G113" t="s">
        <v>424</v>
      </c>
      <c r="H113">
        <v>6</v>
      </c>
      <c r="I113" t="s">
        <v>908</v>
      </c>
      <c r="J113" s="15">
        <v>46233.454386574071</v>
      </c>
      <c r="K113" s="15">
        <v>46238.481249999997</v>
      </c>
      <c r="L113" s="15"/>
      <c r="M113">
        <v>6</v>
      </c>
      <c r="O113" t="s">
        <v>529</v>
      </c>
      <c r="S113" t="s">
        <v>362</v>
      </c>
      <c r="T113" t="s">
        <v>378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362</v>
      </c>
      <c r="AC113">
        <v>109</v>
      </c>
      <c r="AD113" t="s">
        <v>233</v>
      </c>
      <c r="AE113">
        <v>1</v>
      </c>
    </row>
    <row r="114" spans="1:32" x14ac:dyDescent="0.3">
      <c r="A114" t="s">
        <v>351</v>
      </c>
      <c r="B114" t="s">
        <v>57</v>
      </c>
      <c r="C114" t="s">
        <v>117</v>
      </c>
      <c r="D114" t="s">
        <v>310</v>
      </c>
      <c r="E114" t="s">
        <v>907</v>
      </c>
      <c r="F114" s="15">
        <v>46230.40084490741</v>
      </c>
      <c r="G114" t="s">
        <v>424</v>
      </c>
      <c r="H114">
        <v>3</v>
      </c>
      <c r="I114" t="s">
        <v>908</v>
      </c>
      <c r="J114" s="15">
        <v>46233.454386574071</v>
      </c>
      <c r="K114" s="15">
        <v>46238.481249999997</v>
      </c>
      <c r="L114" s="15"/>
      <c r="M114">
        <v>3</v>
      </c>
      <c r="O114" t="s">
        <v>529</v>
      </c>
      <c r="S114" t="s">
        <v>362</v>
      </c>
      <c r="T114" t="s">
        <v>378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362</v>
      </c>
      <c r="AC114">
        <v>109</v>
      </c>
      <c r="AD114" t="s">
        <v>233</v>
      </c>
      <c r="AE114">
        <v>1</v>
      </c>
    </row>
    <row r="115" spans="1:32" x14ac:dyDescent="0.3">
      <c r="A115" t="s">
        <v>351</v>
      </c>
      <c r="B115" t="s">
        <v>57</v>
      </c>
      <c r="C115" t="s">
        <v>117</v>
      </c>
      <c r="D115" t="s">
        <v>310</v>
      </c>
      <c r="E115" t="s">
        <v>907</v>
      </c>
      <c r="F115" s="15">
        <v>46230.40084490741</v>
      </c>
      <c r="G115" t="s">
        <v>424</v>
      </c>
      <c r="H115">
        <v>5</v>
      </c>
      <c r="I115" t="s">
        <v>908</v>
      </c>
      <c r="J115" s="15">
        <v>46233.454386574071</v>
      </c>
      <c r="K115" s="15">
        <v>46238.481249999997</v>
      </c>
      <c r="L115" s="15"/>
      <c r="M115">
        <v>5</v>
      </c>
      <c r="O115" t="s">
        <v>529</v>
      </c>
      <c r="S115" t="s">
        <v>362</v>
      </c>
      <c r="T115" t="s">
        <v>378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362</v>
      </c>
      <c r="AC115">
        <v>109</v>
      </c>
      <c r="AD115" t="s">
        <v>233</v>
      </c>
      <c r="AE115">
        <v>1</v>
      </c>
    </row>
    <row r="116" spans="1:32" x14ac:dyDescent="0.3">
      <c r="A116" t="s">
        <v>351</v>
      </c>
      <c r="B116" t="s">
        <v>57</v>
      </c>
      <c r="C116" t="s">
        <v>117</v>
      </c>
      <c r="D116" t="s">
        <v>310</v>
      </c>
      <c r="E116" t="s">
        <v>797</v>
      </c>
      <c r="F116" s="15">
        <v>46232.31826388889</v>
      </c>
      <c r="G116" t="s">
        <v>411</v>
      </c>
      <c r="H116">
        <v>1</v>
      </c>
      <c r="I116" t="s">
        <v>1033</v>
      </c>
      <c r="J116" s="15">
        <v>46232.407094907408</v>
      </c>
      <c r="K116" s="15">
        <v>46238.423611111109</v>
      </c>
      <c r="L116" s="15"/>
      <c r="M116">
        <v>1</v>
      </c>
      <c r="O116" t="s">
        <v>201</v>
      </c>
      <c r="P116" t="s">
        <v>532</v>
      </c>
      <c r="S116" t="s">
        <v>363</v>
      </c>
      <c r="T116" t="s">
        <v>378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363</v>
      </c>
      <c r="AC116">
        <v>101</v>
      </c>
      <c r="AD116" t="s">
        <v>233</v>
      </c>
      <c r="AE116">
        <v>1</v>
      </c>
      <c r="AF116">
        <v>1</v>
      </c>
    </row>
    <row r="117" spans="1:32" x14ac:dyDescent="0.3">
      <c r="A117" t="s">
        <v>351</v>
      </c>
      <c r="B117" t="s">
        <v>57</v>
      </c>
      <c r="C117" t="s">
        <v>117</v>
      </c>
      <c r="D117" t="s">
        <v>310</v>
      </c>
      <c r="E117" t="s">
        <v>438</v>
      </c>
      <c r="F117" s="15">
        <v>46212.717303240737</v>
      </c>
      <c r="G117" t="s">
        <v>412</v>
      </c>
      <c r="H117">
        <v>2</v>
      </c>
      <c r="I117" t="s">
        <v>1039</v>
      </c>
      <c r="J117" s="15">
        <v>46231.477627314816</v>
      </c>
      <c r="K117" s="15">
        <v>46238.444444444445</v>
      </c>
      <c r="L117" s="15"/>
      <c r="M117">
        <v>2</v>
      </c>
      <c r="O117" t="s">
        <v>201</v>
      </c>
      <c r="P117" t="s">
        <v>532</v>
      </c>
      <c r="S117" t="s">
        <v>361</v>
      </c>
      <c r="T117" t="s">
        <v>378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361</v>
      </c>
      <c r="AC117">
        <v>2200</v>
      </c>
      <c r="AD117" t="s">
        <v>233</v>
      </c>
      <c r="AE117">
        <v>1</v>
      </c>
      <c r="AF117">
        <v>134.9</v>
      </c>
    </row>
    <row r="118" spans="1:32" x14ac:dyDescent="0.3">
      <c r="A118" t="s">
        <v>351</v>
      </c>
      <c r="B118" t="s">
        <v>57</v>
      </c>
      <c r="C118" t="s">
        <v>117</v>
      </c>
      <c r="D118" t="s">
        <v>310</v>
      </c>
      <c r="E118" t="s">
        <v>438</v>
      </c>
      <c r="F118" s="15">
        <v>46212.717303240737</v>
      </c>
      <c r="G118" t="s">
        <v>412</v>
      </c>
      <c r="H118">
        <v>2</v>
      </c>
      <c r="I118" t="s">
        <v>1039</v>
      </c>
      <c r="J118" s="15">
        <v>46231.477627314816</v>
      </c>
      <c r="K118" s="15">
        <v>46238.444444444445</v>
      </c>
      <c r="L118" s="15"/>
      <c r="M118">
        <v>2</v>
      </c>
      <c r="O118" t="s">
        <v>529</v>
      </c>
      <c r="S118" t="s">
        <v>361</v>
      </c>
      <c r="T118" t="s">
        <v>378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361</v>
      </c>
      <c r="AC118">
        <v>2200</v>
      </c>
      <c r="AD118" t="s">
        <v>233</v>
      </c>
      <c r="AE118">
        <v>1</v>
      </c>
    </row>
    <row r="119" spans="1:32" x14ac:dyDescent="0.3">
      <c r="A119" t="s">
        <v>351</v>
      </c>
      <c r="B119" t="s">
        <v>57</v>
      </c>
      <c r="C119" t="s">
        <v>117</v>
      </c>
      <c r="D119" t="s">
        <v>310</v>
      </c>
      <c r="E119" t="s">
        <v>1055</v>
      </c>
      <c r="F119" s="15">
        <v>46223.754212962966</v>
      </c>
      <c r="G119" t="s">
        <v>412</v>
      </c>
      <c r="H119">
        <v>1</v>
      </c>
      <c r="I119" t="s">
        <v>1056</v>
      </c>
      <c r="J119" s="15">
        <v>46232.484236111108</v>
      </c>
      <c r="K119" s="15">
        <v>46238.427083333336</v>
      </c>
      <c r="L119" s="15"/>
      <c r="M119">
        <v>1</v>
      </c>
      <c r="O119" t="s">
        <v>201</v>
      </c>
      <c r="P119" t="s">
        <v>532</v>
      </c>
      <c r="S119" t="s">
        <v>361</v>
      </c>
      <c r="T119" t="s">
        <v>378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361</v>
      </c>
      <c r="AC119">
        <v>2200</v>
      </c>
      <c r="AD119" t="s">
        <v>233</v>
      </c>
      <c r="AE119">
        <v>1</v>
      </c>
    </row>
    <row r="120" spans="1:32" x14ac:dyDescent="0.3">
      <c r="A120" t="s">
        <v>351</v>
      </c>
      <c r="B120" t="s">
        <v>57</v>
      </c>
      <c r="C120" t="s">
        <v>117</v>
      </c>
      <c r="D120" t="s">
        <v>310</v>
      </c>
      <c r="E120" t="s">
        <v>1059</v>
      </c>
      <c r="F120" s="15">
        <v>46233.719895833332</v>
      </c>
      <c r="G120" t="s">
        <v>439</v>
      </c>
      <c r="H120">
        <v>6</v>
      </c>
      <c r="I120" t="s">
        <v>1060</v>
      </c>
      <c r="J120" s="15">
        <v>46234.410682870373</v>
      </c>
      <c r="K120" s="15">
        <v>46238.434027777781</v>
      </c>
      <c r="L120" s="15"/>
      <c r="M120">
        <v>6</v>
      </c>
      <c r="O120" t="s">
        <v>201</v>
      </c>
      <c r="P120" t="s">
        <v>532</v>
      </c>
      <c r="S120" t="s">
        <v>361</v>
      </c>
      <c r="T120" t="s">
        <v>378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361</v>
      </c>
      <c r="AC120">
        <v>2200</v>
      </c>
      <c r="AD120" t="s">
        <v>233</v>
      </c>
      <c r="AE120">
        <v>1</v>
      </c>
    </row>
    <row r="121" spans="1:32" x14ac:dyDescent="0.3">
      <c r="A121" t="s">
        <v>351</v>
      </c>
      <c r="B121" t="s">
        <v>57</v>
      </c>
      <c r="C121" t="s">
        <v>117</v>
      </c>
      <c r="D121" t="s">
        <v>310</v>
      </c>
      <c r="E121" t="s">
        <v>1059</v>
      </c>
      <c r="F121" s="15">
        <v>46233.719895833332</v>
      </c>
      <c r="G121" t="s">
        <v>439</v>
      </c>
      <c r="H121">
        <v>2</v>
      </c>
      <c r="I121" t="s">
        <v>1101</v>
      </c>
      <c r="J121" s="15">
        <v>46234.408483796295</v>
      </c>
      <c r="K121" s="15">
        <v>46238.436805555553</v>
      </c>
      <c r="L121" s="15"/>
      <c r="M121">
        <v>2</v>
      </c>
      <c r="O121" t="s">
        <v>201</v>
      </c>
      <c r="P121" t="s">
        <v>532</v>
      </c>
      <c r="S121" t="s">
        <v>361</v>
      </c>
      <c r="T121" t="s">
        <v>378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361</v>
      </c>
      <c r="AC121">
        <v>2200</v>
      </c>
      <c r="AD121" t="s">
        <v>233</v>
      </c>
      <c r="AE121">
        <v>1</v>
      </c>
    </row>
    <row r="122" spans="1:32" x14ac:dyDescent="0.3">
      <c r="A122" t="s">
        <v>351</v>
      </c>
      <c r="B122" t="s">
        <v>57</v>
      </c>
      <c r="C122" t="s">
        <v>117</v>
      </c>
      <c r="D122" t="s">
        <v>310</v>
      </c>
      <c r="E122" t="s">
        <v>1059</v>
      </c>
      <c r="F122" s="15">
        <v>46233.719895833332</v>
      </c>
      <c r="G122" t="s">
        <v>439</v>
      </c>
      <c r="H122">
        <v>6</v>
      </c>
      <c r="I122" t="s">
        <v>1060</v>
      </c>
      <c r="J122" s="15">
        <v>46234.410682870373</v>
      </c>
      <c r="K122" s="15">
        <v>46238.434027777781</v>
      </c>
      <c r="L122" s="15"/>
      <c r="M122">
        <v>6</v>
      </c>
      <c r="O122" t="s">
        <v>529</v>
      </c>
      <c r="S122" t="s">
        <v>361</v>
      </c>
      <c r="T122" t="s">
        <v>378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361</v>
      </c>
      <c r="AC122">
        <v>2200</v>
      </c>
      <c r="AD122" t="s">
        <v>233</v>
      </c>
      <c r="AE122">
        <v>1</v>
      </c>
    </row>
    <row r="123" spans="1:32" x14ac:dyDescent="0.3">
      <c r="A123" t="s">
        <v>351</v>
      </c>
      <c r="B123" t="s">
        <v>57</v>
      </c>
      <c r="C123" t="s">
        <v>117</v>
      </c>
      <c r="D123" t="s">
        <v>310</v>
      </c>
      <c r="E123" t="s">
        <v>437</v>
      </c>
      <c r="F123" s="15">
        <v>46202.512337962966</v>
      </c>
      <c r="G123" t="s">
        <v>436</v>
      </c>
      <c r="H123">
        <v>1</v>
      </c>
      <c r="I123" t="s">
        <v>1040</v>
      </c>
      <c r="J123" s="15">
        <v>46203.361828703702</v>
      </c>
      <c r="K123" s="15">
        <v>46212.739201388889</v>
      </c>
      <c r="L123" s="15"/>
      <c r="M123">
        <v>26</v>
      </c>
      <c r="O123" t="s">
        <v>201</v>
      </c>
      <c r="P123" t="s">
        <v>532</v>
      </c>
      <c r="S123" t="s">
        <v>362</v>
      </c>
      <c r="T123" t="s">
        <v>378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362</v>
      </c>
      <c r="AC123">
        <v>109</v>
      </c>
      <c r="AD123" t="s">
        <v>233</v>
      </c>
      <c r="AE123">
        <v>2.6</v>
      </c>
      <c r="AF123">
        <v>83.89</v>
      </c>
    </row>
    <row r="124" spans="1:32" x14ac:dyDescent="0.3">
      <c r="A124" t="s">
        <v>351</v>
      </c>
      <c r="B124" t="s">
        <v>57</v>
      </c>
      <c r="C124" t="s">
        <v>117</v>
      </c>
      <c r="D124" t="s">
        <v>310</v>
      </c>
      <c r="E124" t="s">
        <v>437</v>
      </c>
      <c r="F124" s="15">
        <v>46202.512337962966</v>
      </c>
      <c r="G124" t="s">
        <v>436</v>
      </c>
      <c r="H124">
        <v>1</v>
      </c>
      <c r="I124" t="s">
        <v>1040</v>
      </c>
      <c r="J124" s="15">
        <v>46203.361828703702</v>
      </c>
      <c r="K124" s="15">
        <v>46212.739201388889</v>
      </c>
      <c r="L124" s="15"/>
      <c r="M124">
        <v>13</v>
      </c>
      <c r="O124" t="s">
        <v>529</v>
      </c>
      <c r="S124" t="s">
        <v>362</v>
      </c>
      <c r="T124" t="s">
        <v>378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362</v>
      </c>
      <c r="AC124">
        <v>109</v>
      </c>
      <c r="AD124" t="s">
        <v>233</v>
      </c>
      <c r="AE124">
        <v>1.3</v>
      </c>
    </row>
    <row r="125" spans="1:32" x14ac:dyDescent="0.3">
      <c r="A125" t="s">
        <v>351</v>
      </c>
      <c r="B125" t="s">
        <v>57</v>
      </c>
      <c r="C125" t="s">
        <v>117</v>
      </c>
      <c r="D125" t="s">
        <v>310</v>
      </c>
      <c r="E125" t="s">
        <v>437</v>
      </c>
      <c r="F125" s="15">
        <v>46202.512337962966</v>
      </c>
      <c r="G125" t="s">
        <v>436</v>
      </c>
      <c r="H125">
        <v>30</v>
      </c>
      <c r="I125" t="s">
        <v>1042</v>
      </c>
      <c r="J125" s="15">
        <v>46239.591469907406</v>
      </c>
      <c r="K125" s="15">
        <v>46241.497916666667</v>
      </c>
      <c r="L125" s="15"/>
      <c r="M125">
        <v>30</v>
      </c>
      <c r="O125" t="s">
        <v>201</v>
      </c>
      <c r="P125" t="s">
        <v>532</v>
      </c>
      <c r="S125" t="s">
        <v>362</v>
      </c>
      <c r="T125" t="s">
        <v>378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362</v>
      </c>
      <c r="AC125">
        <v>109</v>
      </c>
      <c r="AD125" t="s">
        <v>233</v>
      </c>
      <c r="AE125">
        <v>3</v>
      </c>
      <c r="AF125">
        <v>51.3</v>
      </c>
    </row>
    <row r="126" spans="1:32" x14ac:dyDescent="0.3">
      <c r="A126" t="s">
        <v>351</v>
      </c>
      <c r="B126" t="s">
        <v>57</v>
      </c>
      <c r="C126" t="s">
        <v>117</v>
      </c>
      <c r="D126" t="s">
        <v>310</v>
      </c>
      <c r="E126" t="s">
        <v>1043</v>
      </c>
      <c r="F126" s="15">
        <v>46253.45040509259</v>
      </c>
      <c r="G126" t="s">
        <v>412</v>
      </c>
      <c r="H126">
        <v>1</v>
      </c>
      <c r="I126" t="s">
        <v>1044</v>
      </c>
      <c r="J126" s="15">
        <v>46255.393750000003</v>
      </c>
      <c r="K126" s="15">
        <v>46258.414583333331</v>
      </c>
      <c r="L126" s="15"/>
      <c r="M126">
        <v>1</v>
      </c>
      <c r="O126" t="s">
        <v>201</v>
      </c>
      <c r="P126" t="s">
        <v>532</v>
      </c>
      <c r="S126" t="s">
        <v>361</v>
      </c>
      <c r="T126" t="s">
        <v>378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361</v>
      </c>
      <c r="AC126">
        <v>2200</v>
      </c>
      <c r="AD126" t="s">
        <v>233</v>
      </c>
      <c r="AE126">
        <v>1</v>
      </c>
      <c r="AF126">
        <v>57</v>
      </c>
    </row>
    <row r="127" spans="1:32" x14ac:dyDescent="0.3">
      <c r="A127" t="s">
        <v>351</v>
      </c>
      <c r="B127" t="s">
        <v>57</v>
      </c>
      <c r="C127" t="s">
        <v>117</v>
      </c>
      <c r="D127" t="s">
        <v>310</v>
      </c>
      <c r="E127" t="s">
        <v>1049</v>
      </c>
      <c r="F127" s="15">
        <v>46225.356817129628</v>
      </c>
      <c r="G127" t="s">
        <v>409</v>
      </c>
      <c r="H127">
        <v>1</v>
      </c>
      <c r="I127" t="s">
        <v>1050</v>
      </c>
      <c r="J127" s="15">
        <v>46233.380069444444</v>
      </c>
      <c r="K127" s="15">
        <v>46238.463194444441</v>
      </c>
      <c r="L127" s="15"/>
      <c r="M127">
        <v>1</v>
      </c>
      <c r="O127" t="s">
        <v>201</v>
      </c>
      <c r="P127" t="s">
        <v>532</v>
      </c>
      <c r="S127" t="s">
        <v>360</v>
      </c>
      <c r="T127" t="s">
        <v>378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360</v>
      </c>
      <c r="AC127">
        <v>50</v>
      </c>
      <c r="AD127" t="s">
        <v>233</v>
      </c>
      <c r="AE127">
        <v>1</v>
      </c>
      <c r="AF127">
        <v>19.3</v>
      </c>
    </row>
    <row r="128" spans="1:32" x14ac:dyDescent="0.3">
      <c r="A128" t="s">
        <v>351</v>
      </c>
      <c r="B128" t="s">
        <v>57</v>
      </c>
      <c r="C128" t="s">
        <v>117</v>
      </c>
      <c r="D128" t="s">
        <v>310</v>
      </c>
      <c r="E128" t="s">
        <v>1064</v>
      </c>
      <c r="F128" s="15">
        <v>46223.623645833337</v>
      </c>
      <c r="G128" t="s">
        <v>412</v>
      </c>
      <c r="H128">
        <v>1</v>
      </c>
      <c r="I128" t="s">
        <v>1065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201</v>
      </c>
      <c r="P128" t="s">
        <v>532</v>
      </c>
      <c r="S128" t="s">
        <v>361</v>
      </c>
      <c r="T128" t="s">
        <v>378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2200</v>
      </c>
      <c r="AD128" t="s">
        <v>233</v>
      </c>
      <c r="AE128">
        <v>1</v>
      </c>
      <c r="AF128">
        <v>374.1</v>
      </c>
    </row>
    <row r="129" spans="1:32" x14ac:dyDescent="0.3">
      <c r="A129" t="s">
        <v>351</v>
      </c>
      <c r="B129" t="s">
        <v>57</v>
      </c>
      <c r="C129" t="s">
        <v>117</v>
      </c>
      <c r="D129" t="s">
        <v>310</v>
      </c>
      <c r="E129" t="s">
        <v>1064</v>
      </c>
      <c r="F129" s="15">
        <v>46223.623645833337</v>
      </c>
      <c r="G129" t="s">
        <v>412</v>
      </c>
      <c r="H129">
        <v>1</v>
      </c>
      <c r="I129" t="s">
        <v>1065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529</v>
      </c>
      <c r="S129" t="s">
        <v>361</v>
      </c>
      <c r="T129" t="s">
        <v>378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2200</v>
      </c>
      <c r="AD129" t="s">
        <v>233</v>
      </c>
      <c r="AE129">
        <v>1</v>
      </c>
    </row>
    <row r="130" spans="1:32" x14ac:dyDescent="0.3">
      <c r="A130" t="s">
        <v>351</v>
      </c>
      <c r="B130" t="s">
        <v>57</v>
      </c>
      <c r="C130" t="s">
        <v>117</v>
      </c>
      <c r="D130" t="s">
        <v>310</v>
      </c>
      <c r="E130" t="s">
        <v>1064</v>
      </c>
      <c r="F130" s="15">
        <v>46223.623645833337</v>
      </c>
      <c r="G130" t="s">
        <v>412</v>
      </c>
      <c r="H130">
        <v>3</v>
      </c>
      <c r="I130" t="s">
        <v>1066</v>
      </c>
      <c r="J130" s="15">
        <v>46224.351388888892</v>
      </c>
      <c r="K130" s="15">
        <v>46227.68472222222</v>
      </c>
      <c r="L130" s="15"/>
      <c r="M130">
        <v>3</v>
      </c>
      <c r="O130" t="s">
        <v>201</v>
      </c>
      <c r="P130" t="s">
        <v>532</v>
      </c>
      <c r="S130" t="s">
        <v>361</v>
      </c>
      <c r="T130" t="s">
        <v>378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361</v>
      </c>
      <c r="AC130">
        <v>2200</v>
      </c>
      <c r="AD130" t="s">
        <v>233</v>
      </c>
      <c r="AE130">
        <v>1</v>
      </c>
    </row>
    <row r="131" spans="1:32" x14ac:dyDescent="0.3">
      <c r="A131" t="s">
        <v>351</v>
      </c>
      <c r="B131" t="s">
        <v>57</v>
      </c>
      <c r="C131" t="s">
        <v>117</v>
      </c>
      <c r="D131" t="s">
        <v>310</v>
      </c>
      <c r="E131" t="s">
        <v>443</v>
      </c>
      <c r="F131" s="15">
        <v>46217.60359953704</v>
      </c>
      <c r="G131" t="s">
        <v>439</v>
      </c>
      <c r="H131">
        <v>1</v>
      </c>
      <c r="I131" t="s">
        <v>1069</v>
      </c>
      <c r="J131" s="15">
        <v>46220.352083333331</v>
      </c>
      <c r="K131" s="15">
        <v>46227.702777777777</v>
      </c>
      <c r="L131" s="15"/>
      <c r="M131">
        <v>1</v>
      </c>
      <c r="O131" t="s">
        <v>201</v>
      </c>
      <c r="P131" t="s">
        <v>532</v>
      </c>
      <c r="S131" t="s">
        <v>363</v>
      </c>
      <c r="T131" t="s">
        <v>378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363</v>
      </c>
      <c r="AC131">
        <v>101</v>
      </c>
      <c r="AD131" t="s">
        <v>233</v>
      </c>
      <c r="AE131">
        <v>1</v>
      </c>
      <c r="AF131">
        <v>2.5</v>
      </c>
    </row>
    <row r="132" spans="1:32" x14ac:dyDescent="0.3">
      <c r="A132" t="s">
        <v>351</v>
      </c>
      <c r="B132" t="s">
        <v>57</v>
      </c>
      <c r="C132" t="s">
        <v>117</v>
      </c>
      <c r="D132" t="s">
        <v>310</v>
      </c>
      <c r="E132" t="s">
        <v>443</v>
      </c>
      <c r="F132" s="15">
        <v>46217.60359953704</v>
      </c>
      <c r="G132" t="s">
        <v>439</v>
      </c>
      <c r="H132">
        <v>4</v>
      </c>
      <c r="I132" t="s">
        <v>1069</v>
      </c>
      <c r="J132" s="15">
        <v>46220.352083333331</v>
      </c>
      <c r="K132" s="15">
        <v>46227.702777777777</v>
      </c>
      <c r="L132" s="15"/>
      <c r="M132">
        <v>4</v>
      </c>
      <c r="O132" t="s">
        <v>529</v>
      </c>
      <c r="S132" t="s">
        <v>363</v>
      </c>
      <c r="T132" t="s">
        <v>378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363</v>
      </c>
      <c r="AC132">
        <v>101</v>
      </c>
      <c r="AD132" t="s">
        <v>233</v>
      </c>
      <c r="AE132">
        <v>1</v>
      </c>
    </row>
    <row r="133" spans="1:32" x14ac:dyDescent="0.3">
      <c r="A133" t="s">
        <v>351</v>
      </c>
      <c r="B133" t="s">
        <v>57</v>
      </c>
      <c r="C133" t="s">
        <v>117</v>
      </c>
      <c r="D133" t="s">
        <v>310</v>
      </c>
      <c r="E133" t="s">
        <v>443</v>
      </c>
      <c r="F133" s="15">
        <v>46217.60359953704</v>
      </c>
      <c r="G133" t="s">
        <v>439</v>
      </c>
      <c r="H133">
        <v>1</v>
      </c>
      <c r="I133" t="s">
        <v>1069</v>
      </c>
      <c r="J133" s="15">
        <v>46220.352083333331</v>
      </c>
      <c r="K133" s="15">
        <v>46227.702777777777</v>
      </c>
      <c r="L133" s="15"/>
      <c r="M133">
        <v>1</v>
      </c>
      <c r="O133" t="s">
        <v>529</v>
      </c>
      <c r="S133" t="s">
        <v>363</v>
      </c>
      <c r="T133" t="s">
        <v>378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363</v>
      </c>
      <c r="AC133">
        <v>101</v>
      </c>
      <c r="AD133" t="s">
        <v>233</v>
      </c>
      <c r="AE133">
        <v>1</v>
      </c>
    </row>
    <row r="134" spans="1:32" x14ac:dyDescent="0.3">
      <c r="A134" t="s">
        <v>351</v>
      </c>
      <c r="B134" t="s">
        <v>279</v>
      </c>
      <c r="C134" t="s">
        <v>192</v>
      </c>
      <c r="D134" t="s">
        <v>310</v>
      </c>
      <c r="E134" t="s">
        <v>856</v>
      </c>
      <c r="F134" s="15">
        <v>46244.43917824074</v>
      </c>
      <c r="G134" t="s">
        <v>419</v>
      </c>
      <c r="H134">
        <v>1562</v>
      </c>
      <c r="I134" t="s">
        <v>857</v>
      </c>
      <c r="J134" s="15">
        <v>46245.671527777777</v>
      </c>
      <c r="K134" s="15">
        <v>46251.602083333331</v>
      </c>
      <c r="L134" s="15"/>
      <c r="M134">
        <v>1562</v>
      </c>
      <c r="O134" t="s">
        <v>529</v>
      </c>
      <c r="S134" t="s">
        <v>360</v>
      </c>
      <c r="T134" t="s">
        <v>378</v>
      </c>
      <c r="U134" t="s">
        <v>239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360</v>
      </c>
      <c r="AC134">
        <v>50</v>
      </c>
      <c r="AD134" t="s">
        <v>232</v>
      </c>
      <c r="AE134">
        <v>1562</v>
      </c>
    </row>
    <row r="135" spans="1:32" x14ac:dyDescent="0.3">
      <c r="A135" t="s">
        <v>351</v>
      </c>
      <c r="B135" t="s">
        <v>279</v>
      </c>
      <c r="C135" t="s">
        <v>192</v>
      </c>
      <c r="D135" t="s">
        <v>310</v>
      </c>
      <c r="E135" t="s">
        <v>856</v>
      </c>
      <c r="F135" s="15">
        <v>46244.43917824074</v>
      </c>
      <c r="G135" t="s">
        <v>419</v>
      </c>
      <c r="H135">
        <v>1816</v>
      </c>
      <c r="I135" t="s">
        <v>857</v>
      </c>
      <c r="J135" s="15">
        <v>46245.671527777777</v>
      </c>
      <c r="K135" s="15">
        <v>46251.602083333331</v>
      </c>
      <c r="L135" s="15"/>
      <c r="M135">
        <v>1816</v>
      </c>
      <c r="O135" t="s">
        <v>529</v>
      </c>
      <c r="S135" t="s">
        <v>360</v>
      </c>
      <c r="T135" t="s">
        <v>378</v>
      </c>
      <c r="U135" t="s">
        <v>239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360</v>
      </c>
      <c r="AC135">
        <v>50</v>
      </c>
      <c r="AD135" t="s">
        <v>232</v>
      </c>
      <c r="AE135">
        <v>1816</v>
      </c>
    </row>
    <row r="136" spans="1:32" x14ac:dyDescent="0.3">
      <c r="A136" t="s">
        <v>351</v>
      </c>
      <c r="B136" t="s">
        <v>279</v>
      </c>
      <c r="C136" t="s">
        <v>192</v>
      </c>
      <c r="D136" t="s">
        <v>310</v>
      </c>
      <c r="E136" t="s">
        <v>856</v>
      </c>
      <c r="F136" s="15">
        <v>46244.43917824074</v>
      </c>
      <c r="G136" t="s">
        <v>419</v>
      </c>
      <c r="H136">
        <v>1842</v>
      </c>
      <c r="I136" t="s">
        <v>857</v>
      </c>
      <c r="J136" s="15">
        <v>46245.671527777777</v>
      </c>
      <c r="K136" s="15">
        <v>46251.602083333331</v>
      </c>
      <c r="L136" s="15"/>
      <c r="M136">
        <v>1842</v>
      </c>
      <c r="O136" t="s">
        <v>529</v>
      </c>
      <c r="S136" t="s">
        <v>360</v>
      </c>
      <c r="T136" t="s">
        <v>378</v>
      </c>
      <c r="U136" t="s">
        <v>239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360</v>
      </c>
      <c r="AC136">
        <v>50</v>
      </c>
      <c r="AD136" t="s">
        <v>232</v>
      </c>
      <c r="AE136">
        <v>1842</v>
      </c>
    </row>
    <row r="137" spans="1:32" x14ac:dyDescent="0.3">
      <c r="A137" t="s">
        <v>351</v>
      </c>
      <c r="B137" t="s">
        <v>279</v>
      </c>
      <c r="C137" t="s">
        <v>192</v>
      </c>
      <c r="D137" t="s">
        <v>310</v>
      </c>
      <c r="E137" t="s">
        <v>856</v>
      </c>
      <c r="F137" s="15">
        <v>46244.43917824074</v>
      </c>
      <c r="G137" t="s">
        <v>419</v>
      </c>
      <c r="H137">
        <v>2221</v>
      </c>
      <c r="I137" t="s">
        <v>857</v>
      </c>
      <c r="J137" s="15">
        <v>46245.671527777777</v>
      </c>
      <c r="K137" s="15">
        <v>46251.602083333331</v>
      </c>
      <c r="L137" s="15"/>
      <c r="M137">
        <v>2221</v>
      </c>
      <c r="O137" t="s">
        <v>529</v>
      </c>
      <c r="S137" t="s">
        <v>360</v>
      </c>
      <c r="T137" t="s">
        <v>378</v>
      </c>
      <c r="U137" t="s">
        <v>239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360</v>
      </c>
      <c r="AC137">
        <v>50</v>
      </c>
      <c r="AD137" t="s">
        <v>232</v>
      </c>
      <c r="AE137">
        <v>2221</v>
      </c>
    </row>
    <row r="138" spans="1:32" x14ac:dyDescent="0.3">
      <c r="A138" t="s">
        <v>351</v>
      </c>
      <c r="B138" t="s">
        <v>279</v>
      </c>
      <c r="C138" t="s">
        <v>192</v>
      </c>
      <c r="D138" t="s">
        <v>310</v>
      </c>
      <c r="E138" t="s">
        <v>856</v>
      </c>
      <c r="F138" s="15">
        <v>46244.43917824074</v>
      </c>
      <c r="G138" t="s">
        <v>419</v>
      </c>
      <c r="H138">
        <v>1702</v>
      </c>
      <c r="I138" t="s">
        <v>857</v>
      </c>
      <c r="J138" s="15">
        <v>46245.671527777777</v>
      </c>
      <c r="K138" s="15">
        <v>46251.602083333331</v>
      </c>
      <c r="L138" s="15"/>
      <c r="M138">
        <v>1702</v>
      </c>
      <c r="O138" t="s">
        <v>529</v>
      </c>
      <c r="S138" t="s">
        <v>360</v>
      </c>
      <c r="T138" t="s">
        <v>378</v>
      </c>
      <c r="U138" t="s">
        <v>239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360</v>
      </c>
      <c r="AC138">
        <v>50</v>
      </c>
      <c r="AD138" t="s">
        <v>232</v>
      </c>
      <c r="AE138">
        <v>1702</v>
      </c>
    </row>
    <row r="139" spans="1:32" x14ac:dyDescent="0.3">
      <c r="A139" t="s">
        <v>351</v>
      </c>
      <c r="B139" t="s">
        <v>279</v>
      </c>
      <c r="C139" t="s">
        <v>192</v>
      </c>
      <c r="D139" t="s">
        <v>310</v>
      </c>
      <c r="E139" t="s">
        <v>856</v>
      </c>
      <c r="F139" s="15">
        <v>46244.43917824074</v>
      </c>
      <c r="G139" t="s">
        <v>419</v>
      </c>
      <c r="H139">
        <v>1957</v>
      </c>
      <c r="I139" t="s">
        <v>857</v>
      </c>
      <c r="J139" s="15">
        <v>46245.671527777777</v>
      </c>
      <c r="K139" s="15">
        <v>46251.602083333331</v>
      </c>
      <c r="L139" s="15"/>
      <c r="M139">
        <v>1957</v>
      </c>
      <c r="O139" t="s">
        <v>529</v>
      </c>
      <c r="S139" t="s">
        <v>360</v>
      </c>
      <c r="T139" t="s">
        <v>378</v>
      </c>
      <c r="U139" t="s">
        <v>239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360</v>
      </c>
      <c r="AC139">
        <v>50</v>
      </c>
      <c r="AD139" t="s">
        <v>232</v>
      </c>
      <c r="AE139">
        <v>1957</v>
      </c>
    </row>
    <row r="140" spans="1:32" x14ac:dyDescent="0.3">
      <c r="A140" t="s">
        <v>351</v>
      </c>
      <c r="B140" t="s">
        <v>279</v>
      </c>
      <c r="C140" t="s">
        <v>192</v>
      </c>
      <c r="D140" t="s">
        <v>310</v>
      </c>
      <c r="E140" t="s">
        <v>858</v>
      </c>
      <c r="F140" s="15">
        <v>46244.468541666669</v>
      </c>
      <c r="G140" t="s">
        <v>409</v>
      </c>
      <c r="H140">
        <v>580</v>
      </c>
      <c r="I140" t="s">
        <v>859</v>
      </c>
      <c r="J140" s="15">
        <v>46244.694444444445</v>
      </c>
      <c r="K140" s="15">
        <v>46248.702777777777</v>
      </c>
      <c r="L140" s="15"/>
      <c r="M140">
        <v>580</v>
      </c>
      <c r="O140" t="s">
        <v>201</v>
      </c>
      <c r="P140" t="s">
        <v>531</v>
      </c>
      <c r="S140" t="s">
        <v>360</v>
      </c>
      <c r="T140" t="s">
        <v>378</v>
      </c>
      <c r="U140" t="s">
        <v>239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360</v>
      </c>
      <c r="AC140">
        <v>50</v>
      </c>
      <c r="AD140" t="s">
        <v>232</v>
      </c>
      <c r="AE140">
        <v>580</v>
      </c>
    </row>
    <row r="141" spans="1:32" x14ac:dyDescent="0.3">
      <c r="A141" t="s">
        <v>351</v>
      </c>
      <c r="B141" t="s">
        <v>279</v>
      </c>
      <c r="C141" t="s">
        <v>192</v>
      </c>
      <c r="D141" t="s">
        <v>310</v>
      </c>
      <c r="E141" t="s">
        <v>860</v>
      </c>
      <c r="F141" s="15">
        <v>46244.466851851852</v>
      </c>
      <c r="G141" t="s">
        <v>409</v>
      </c>
      <c r="H141">
        <v>156</v>
      </c>
      <c r="I141" t="s">
        <v>861</v>
      </c>
      <c r="J141" s="15">
        <v>46247.593055555553</v>
      </c>
      <c r="K141" s="15">
        <v>46252.873611111114</v>
      </c>
      <c r="L141" s="15"/>
      <c r="M141">
        <v>156</v>
      </c>
      <c r="O141" t="s">
        <v>201</v>
      </c>
      <c r="P141" t="s">
        <v>531</v>
      </c>
      <c r="S141" t="s">
        <v>360</v>
      </c>
      <c r="T141" t="s">
        <v>378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360</v>
      </c>
      <c r="AC141">
        <v>50</v>
      </c>
      <c r="AD141" t="s">
        <v>232</v>
      </c>
      <c r="AE141">
        <v>156</v>
      </c>
    </row>
    <row r="142" spans="1:32" x14ac:dyDescent="0.3">
      <c r="A142" t="s">
        <v>351</v>
      </c>
      <c r="B142" t="s">
        <v>279</v>
      </c>
      <c r="C142" t="s">
        <v>192</v>
      </c>
      <c r="D142" t="s">
        <v>310</v>
      </c>
      <c r="E142" t="s">
        <v>904</v>
      </c>
      <c r="F142" s="15">
        <v>46241.40283564815</v>
      </c>
      <c r="G142" t="s">
        <v>905</v>
      </c>
      <c r="H142">
        <v>741</v>
      </c>
      <c r="I142" t="s">
        <v>906</v>
      </c>
      <c r="J142" s="15">
        <v>46241.429861111108</v>
      </c>
      <c r="K142" s="15">
        <v>46246.593055555553</v>
      </c>
      <c r="L142" s="15"/>
      <c r="M142">
        <v>741</v>
      </c>
      <c r="O142" t="s">
        <v>201</v>
      </c>
      <c r="P142" t="s">
        <v>531</v>
      </c>
      <c r="S142" t="s">
        <v>362</v>
      </c>
      <c r="T142" t="s">
        <v>378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362</v>
      </c>
      <c r="AC142">
        <v>109</v>
      </c>
      <c r="AD142" t="s">
        <v>232</v>
      </c>
      <c r="AE142">
        <v>741</v>
      </c>
    </row>
    <row r="143" spans="1:32" x14ac:dyDescent="0.3">
      <c r="A143" t="s">
        <v>351</v>
      </c>
      <c r="B143" t="s">
        <v>279</v>
      </c>
      <c r="C143" t="s">
        <v>192</v>
      </c>
      <c r="D143" t="s">
        <v>310</v>
      </c>
      <c r="E143" t="s">
        <v>437</v>
      </c>
      <c r="F143" s="15">
        <v>46202.512337962966</v>
      </c>
      <c r="G143" t="s">
        <v>436</v>
      </c>
      <c r="H143">
        <v>641</v>
      </c>
      <c r="I143" t="s">
        <v>1041</v>
      </c>
      <c r="J143" s="15">
        <v>46241.424259259256</v>
      </c>
      <c r="K143" s="15">
        <v>46248.483460648145</v>
      </c>
      <c r="L143" s="15"/>
      <c r="M143">
        <v>641</v>
      </c>
      <c r="O143" t="s">
        <v>201</v>
      </c>
      <c r="P143" t="s">
        <v>531</v>
      </c>
      <c r="S143" t="s">
        <v>362</v>
      </c>
      <c r="T143" t="s">
        <v>378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362</v>
      </c>
      <c r="AC143">
        <v>109</v>
      </c>
      <c r="AD143" t="s">
        <v>232</v>
      </c>
      <c r="AE143">
        <v>641</v>
      </c>
    </row>
    <row r="144" spans="1:32" x14ac:dyDescent="0.3">
      <c r="A144" t="s">
        <v>351</v>
      </c>
      <c r="B144" t="s">
        <v>279</v>
      </c>
      <c r="C144" t="s">
        <v>192</v>
      </c>
      <c r="D144" t="s">
        <v>310</v>
      </c>
      <c r="E144" t="s">
        <v>907</v>
      </c>
      <c r="F144" s="15">
        <v>46230.40084490741</v>
      </c>
      <c r="G144" t="s">
        <v>424</v>
      </c>
      <c r="H144">
        <v>3027</v>
      </c>
      <c r="I144" t="s">
        <v>908</v>
      </c>
      <c r="J144" s="15">
        <v>46233.454386574071</v>
      </c>
      <c r="K144" s="15">
        <v>46238.481249999997</v>
      </c>
      <c r="L144" s="15"/>
      <c r="M144">
        <v>3027</v>
      </c>
      <c r="O144" t="s">
        <v>201</v>
      </c>
      <c r="P144" t="s">
        <v>531</v>
      </c>
      <c r="S144" t="s">
        <v>362</v>
      </c>
      <c r="T144" t="s">
        <v>378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362</v>
      </c>
      <c r="AC144">
        <v>109</v>
      </c>
      <c r="AD144" t="s">
        <v>232</v>
      </c>
      <c r="AE144">
        <v>3027</v>
      </c>
    </row>
    <row r="145" spans="1:31" x14ac:dyDescent="0.3">
      <c r="A145" t="s">
        <v>351</v>
      </c>
      <c r="B145" t="s">
        <v>279</v>
      </c>
      <c r="C145" t="s">
        <v>192</v>
      </c>
      <c r="D145" t="s">
        <v>310</v>
      </c>
      <c r="E145" t="s">
        <v>907</v>
      </c>
      <c r="F145" s="15">
        <v>46230.40084490741</v>
      </c>
      <c r="G145" t="s">
        <v>424</v>
      </c>
      <c r="H145">
        <v>687</v>
      </c>
      <c r="I145" t="s">
        <v>908</v>
      </c>
      <c r="J145" s="15">
        <v>46233.454386574071</v>
      </c>
      <c r="K145" s="15">
        <v>46238.481249999997</v>
      </c>
      <c r="L145" s="15"/>
      <c r="M145">
        <v>687</v>
      </c>
      <c r="O145" t="s">
        <v>529</v>
      </c>
      <c r="S145" t="s">
        <v>362</v>
      </c>
      <c r="T145" t="s">
        <v>378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362</v>
      </c>
      <c r="AC145">
        <v>109</v>
      </c>
      <c r="AD145" t="s">
        <v>232</v>
      </c>
      <c r="AE145">
        <v>687</v>
      </c>
    </row>
    <row r="146" spans="1:31" x14ac:dyDescent="0.3">
      <c r="A146" t="s">
        <v>351</v>
      </c>
      <c r="B146" t="s">
        <v>279</v>
      </c>
      <c r="C146" t="s">
        <v>192</v>
      </c>
      <c r="D146" t="s">
        <v>310</v>
      </c>
      <c r="E146" t="s">
        <v>907</v>
      </c>
      <c r="F146" s="15">
        <v>46230.40084490741</v>
      </c>
      <c r="G146" t="s">
        <v>424</v>
      </c>
      <c r="H146">
        <v>1378</v>
      </c>
      <c r="I146" t="s">
        <v>908</v>
      </c>
      <c r="J146" s="15">
        <v>46233.454386574071</v>
      </c>
      <c r="K146" s="15">
        <v>46238.481249999997</v>
      </c>
      <c r="L146" s="15"/>
      <c r="M146">
        <v>1378</v>
      </c>
      <c r="O146" t="s">
        <v>529</v>
      </c>
      <c r="S146" t="s">
        <v>362</v>
      </c>
      <c r="T146" t="s">
        <v>378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362</v>
      </c>
      <c r="AC146">
        <v>109</v>
      </c>
      <c r="AD146" t="s">
        <v>232</v>
      </c>
      <c r="AE146">
        <v>1378</v>
      </c>
    </row>
    <row r="147" spans="1:31" x14ac:dyDescent="0.3">
      <c r="A147" t="s">
        <v>351</v>
      </c>
      <c r="B147" t="s">
        <v>279</v>
      </c>
      <c r="C147" t="s">
        <v>192</v>
      </c>
      <c r="D147" t="s">
        <v>310</v>
      </c>
      <c r="E147" t="s">
        <v>907</v>
      </c>
      <c r="F147" s="15">
        <v>46230.40084490741</v>
      </c>
      <c r="G147" t="s">
        <v>424</v>
      </c>
      <c r="H147">
        <v>1789</v>
      </c>
      <c r="I147" t="s">
        <v>908</v>
      </c>
      <c r="J147" s="15">
        <v>46233.454386574071</v>
      </c>
      <c r="K147" s="15">
        <v>46238.481249999997</v>
      </c>
      <c r="L147" s="15"/>
      <c r="M147">
        <v>1789</v>
      </c>
      <c r="O147" t="s">
        <v>529</v>
      </c>
      <c r="S147" t="s">
        <v>362</v>
      </c>
      <c r="T147" t="s">
        <v>378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362</v>
      </c>
      <c r="AC147">
        <v>109</v>
      </c>
      <c r="AD147" t="s">
        <v>232</v>
      </c>
      <c r="AE147">
        <v>1789</v>
      </c>
    </row>
    <row r="148" spans="1:31" x14ac:dyDescent="0.3">
      <c r="A148" t="s">
        <v>351</v>
      </c>
      <c r="B148" t="s">
        <v>279</v>
      </c>
      <c r="C148" t="s">
        <v>192</v>
      </c>
      <c r="D148" t="s">
        <v>310</v>
      </c>
      <c r="E148" t="s">
        <v>907</v>
      </c>
      <c r="F148" s="15">
        <v>46230.40084490741</v>
      </c>
      <c r="G148" t="s">
        <v>424</v>
      </c>
      <c r="H148">
        <v>1710</v>
      </c>
      <c r="I148" t="s">
        <v>908</v>
      </c>
      <c r="J148" s="15">
        <v>46233.454386574071</v>
      </c>
      <c r="K148" s="15">
        <v>46238.481249999997</v>
      </c>
      <c r="L148" s="15"/>
      <c r="M148">
        <v>1710</v>
      </c>
      <c r="O148" t="s">
        <v>529</v>
      </c>
      <c r="S148" t="s">
        <v>362</v>
      </c>
      <c r="T148" t="s">
        <v>378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362</v>
      </c>
      <c r="AC148">
        <v>109</v>
      </c>
      <c r="AD148" t="s">
        <v>232</v>
      </c>
      <c r="AE148">
        <v>1710</v>
      </c>
    </row>
    <row r="149" spans="1:31" x14ac:dyDescent="0.3">
      <c r="A149" t="s">
        <v>351</v>
      </c>
      <c r="B149" t="s">
        <v>279</v>
      </c>
      <c r="C149" t="s">
        <v>192</v>
      </c>
      <c r="D149" t="s">
        <v>310</v>
      </c>
      <c r="E149" t="s">
        <v>907</v>
      </c>
      <c r="F149" s="15">
        <v>46230.40084490741</v>
      </c>
      <c r="G149" t="s">
        <v>424</v>
      </c>
      <c r="H149">
        <v>1421</v>
      </c>
      <c r="I149" t="s">
        <v>908</v>
      </c>
      <c r="J149" s="15">
        <v>46233.454386574071</v>
      </c>
      <c r="K149" s="15">
        <v>46238.481249999997</v>
      </c>
      <c r="L149" s="15"/>
      <c r="M149">
        <v>1421</v>
      </c>
      <c r="O149" t="s">
        <v>529</v>
      </c>
      <c r="S149" t="s">
        <v>362</v>
      </c>
      <c r="T149" t="s">
        <v>378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362</v>
      </c>
      <c r="AC149">
        <v>109</v>
      </c>
      <c r="AD149" t="s">
        <v>232</v>
      </c>
      <c r="AE149">
        <v>1421</v>
      </c>
    </row>
    <row r="150" spans="1:31" x14ac:dyDescent="0.3">
      <c r="A150" t="s">
        <v>351</v>
      </c>
      <c r="B150" t="s">
        <v>279</v>
      </c>
      <c r="C150" t="s">
        <v>192</v>
      </c>
      <c r="D150" t="s">
        <v>310</v>
      </c>
      <c r="E150" t="s">
        <v>907</v>
      </c>
      <c r="F150" s="15">
        <v>46230.40084490741</v>
      </c>
      <c r="G150" t="s">
        <v>424</v>
      </c>
      <c r="H150">
        <v>1299</v>
      </c>
      <c r="I150" t="s">
        <v>908</v>
      </c>
      <c r="J150" s="15">
        <v>46233.454386574071</v>
      </c>
      <c r="K150" s="15">
        <v>46238.481249999997</v>
      </c>
      <c r="L150" s="15"/>
      <c r="M150">
        <v>1299</v>
      </c>
      <c r="O150" t="s">
        <v>529</v>
      </c>
      <c r="S150" t="s">
        <v>362</v>
      </c>
      <c r="T150" t="s">
        <v>378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362</v>
      </c>
      <c r="AC150">
        <v>109</v>
      </c>
      <c r="AD150" t="s">
        <v>232</v>
      </c>
      <c r="AE150">
        <v>1299</v>
      </c>
    </row>
    <row r="151" spans="1:31" x14ac:dyDescent="0.3">
      <c r="A151" t="s">
        <v>351</v>
      </c>
      <c r="B151" t="s">
        <v>279</v>
      </c>
      <c r="C151" t="s">
        <v>192</v>
      </c>
      <c r="D151" t="s">
        <v>310</v>
      </c>
      <c r="E151" t="s">
        <v>907</v>
      </c>
      <c r="F151" s="15">
        <v>46230.40084490741</v>
      </c>
      <c r="G151" t="s">
        <v>424</v>
      </c>
      <c r="H151">
        <v>1459</v>
      </c>
      <c r="I151" t="s">
        <v>908</v>
      </c>
      <c r="J151" s="15">
        <v>46233.454386574071</v>
      </c>
      <c r="K151" s="15">
        <v>46238.481249999997</v>
      </c>
      <c r="L151" s="15"/>
      <c r="M151">
        <v>1459</v>
      </c>
      <c r="O151" t="s">
        <v>529</v>
      </c>
      <c r="S151" t="s">
        <v>362</v>
      </c>
      <c r="T151" t="s">
        <v>378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362</v>
      </c>
      <c r="AC151">
        <v>109</v>
      </c>
      <c r="AD151" t="s">
        <v>232</v>
      </c>
      <c r="AE151">
        <v>1459</v>
      </c>
    </row>
    <row r="152" spans="1:31" x14ac:dyDescent="0.3">
      <c r="A152" t="s">
        <v>351</v>
      </c>
      <c r="B152" t="s">
        <v>279</v>
      </c>
      <c r="C152" t="s">
        <v>192</v>
      </c>
      <c r="D152" t="s">
        <v>310</v>
      </c>
      <c r="E152" t="s">
        <v>907</v>
      </c>
      <c r="F152" s="15">
        <v>46230.40084490741</v>
      </c>
      <c r="G152" t="s">
        <v>424</v>
      </c>
      <c r="H152">
        <v>1476</v>
      </c>
      <c r="I152" t="s">
        <v>908</v>
      </c>
      <c r="J152" s="15">
        <v>46233.454386574071</v>
      </c>
      <c r="K152" s="15">
        <v>46238.481249999997</v>
      </c>
      <c r="L152" s="15"/>
      <c r="M152">
        <v>1476</v>
      </c>
      <c r="O152" t="s">
        <v>529</v>
      </c>
      <c r="S152" t="s">
        <v>362</v>
      </c>
      <c r="T152" t="s">
        <v>378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362</v>
      </c>
      <c r="AC152">
        <v>109</v>
      </c>
      <c r="AD152" t="s">
        <v>232</v>
      </c>
      <c r="AE152">
        <v>1476</v>
      </c>
    </row>
    <row r="153" spans="1:31" x14ac:dyDescent="0.3">
      <c r="A153" t="s">
        <v>351</v>
      </c>
      <c r="B153" t="s">
        <v>279</v>
      </c>
      <c r="C153" t="s">
        <v>192</v>
      </c>
      <c r="D153" t="s">
        <v>310</v>
      </c>
      <c r="E153" t="s">
        <v>907</v>
      </c>
      <c r="F153" s="15">
        <v>46230.40084490741</v>
      </c>
      <c r="G153" t="s">
        <v>424</v>
      </c>
      <c r="H153">
        <v>1559</v>
      </c>
      <c r="I153" t="s">
        <v>908</v>
      </c>
      <c r="J153" s="15">
        <v>46233.454386574071</v>
      </c>
      <c r="K153" s="15">
        <v>46238.481249999997</v>
      </c>
      <c r="L153" s="15"/>
      <c r="M153">
        <v>1559</v>
      </c>
      <c r="O153" t="s">
        <v>529</v>
      </c>
      <c r="S153" t="s">
        <v>362</v>
      </c>
      <c r="T153" t="s">
        <v>378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362</v>
      </c>
      <c r="AC153">
        <v>109</v>
      </c>
      <c r="AD153" t="s">
        <v>232</v>
      </c>
      <c r="AE153">
        <v>1559</v>
      </c>
    </row>
    <row r="154" spans="1:31" x14ac:dyDescent="0.3">
      <c r="A154" t="s">
        <v>351</v>
      </c>
      <c r="B154" t="s">
        <v>279</v>
      </c>
      <c r="C154" t="s">
        <v>192</v>
      </c>
      <c r="D154" t="s">
        <v>310</v>
      </c>
      <c r="E154" t="s">
        <v>797</v>
      </c>
      <c r="F154" s="15">
        <v>46232.31826388889</v>
      </c>
      <c r="G154" t="s">
        <v>411</v>
      </c>
      <c r="H154">
        <v>6</v>
      </c>
      <c r="I154" t="s">
        <v>1033</v>
      </c>
      <c r="J154" s="15">
        <v>46232.407094907408</v>
      </c>
      <c r="K154" s="15">
        <v>46238.423611111109</v>
      </c>
      <c r="L154" s="15"/>
      <c r="M154">
        <v>6</v>
      </c>
      <c r="O154" t="s">
        <v>201</v>
      </c>
      <c r="P154" t="s">
        <v>531</v>
      </c>
      <c r="S154" t="s">
        <v>363</v>
      </c>
      <c r="T154" t="s">
        <v>378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363</v>
      </c>
      <c r="AC154">
        <v>101</v>
      </c>
      <c r="AD154" t="s">
        <v>232</v>
      </c>
      <c r="AE154">
        <v>6</v>
      </c>
    </row>
    <row r="155" spans="1:31" x14ac:dyDescent="0.3">
      <c r="A155" t="s">
        <v>351</v>
      </c>
      <c r="B155" t="s">
        <v>279</v>
      </c>
      <c r="C155" t="s">
        <v>192</v>
      </c>
      <c r="D155" t="s">
        <v>310</v>
      </c>
      <c r="E155" t="s">
        <v>1043</v>
      </c>
      <c r="F155" s="15">
        <v>46253.45040509259</v>
      </c>
      <c r="G155" t="s">
        <v>412</v>
      </c>
      <c r="H155">
        <v>568</v>
      </c>
      <c r="I155" t="s">
        <v>1044</v>
      </c>
      <c r="J155" s="15">
        <v>46255.393750000003</v>
      </c>
      <c r="K155" s="15">
        <v>46258.414583333331</v>
      </c>
      <c r="L155" s="15"/>
      <c r="M155">
        <v>568</v>
      </c>
      <c r="O155" t="s">
        <v>201</v>
      </c>
      <c r="P155" t="s">
        <v>532</v>
      </c>
      <c r="S155" t="s">
        <v>361</v>
      </c>
      <c r="T155" t="s">
        <v>378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361</v>
      </c>
      <c r="AC155">
        <v>2200</v>
      </c>
      <c r="AD155" t="s">
        <v>232</v>
      </c>
      <c r="AE155">
        <v>568</v>
      </c>
    </row>
    <row r="156" spans="1:31" x14ac:dyDescent="0.3">
      <c r="A156" t="s">
        <v>351</v>
      </c>
      <c r="B156" t="s">
        <v>279</v>
      </c>
      <c r="C156" t="s">
        <v>192</v>
      </c>
      <c r="D156" t="s">
        <v>310</v>
      </c>
      <c r="E156" t="s">
        <v>1049</v>
      </c>
      <c r="F156" s="15">
        <v>46225.356817129628</v>
      </c>
      <c r="G156" t="s">
        <v>409</v>
      </c>
      <c r="H156">
        <v>191</v>
      </c>
      <c r="I156" t="s">
        <v>1050</v>
      </c>
      <c r="J156" s="15">
        <v>46233.380069444444</v>
      </c>
      <c r="K156" s="15">
        <v>46238.463194444441</v>
      </c>
      <c r="L156" s="15"/>
      <c r="M156">
        <v>191</v>
      </c>
      <c r="O156" t="s">
        <v>201</v>
      </c>
      <c r="P156" t="s">
        <v>531</v>
      </c>
      <c r="S156" t="s">
        <v>360</v>
      </c>
      <c r="T156" t="s">
        <v>378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360</v>
      </c>
      <c r="AC156">
        <v>50</v>
      </c>
      <c r="AD156" t="s">
        <v>232</v>
      </c>
      <c r="AE156">
        <v>191</v>
      </c>
    </row>
    <row r="157" spans="1:31" x14ac:dyDescent="0.3">
      <c r="A157" t="s">
        <v>351</v>
      </c>
      <c r="B157" t="s">
        <v>279</v>
      </c>
      <c r="C157" t="s">
        <v>192</v>
      </c>
      <c r="D157" t="s">
        <v>310</v>
      </c>
      <c r="E157" t="s">
        <v>1055</v>
      </c>
      <c r="F157" s="15">
        <v>46223.754212962966</v>
      </c>
      <c r="G157" t="s">
        <v>412</v>
      </c>
      <c r="H157">
        <v>42</v>
      </c>
      <c r="I157" t="s">
        <v>1056</v>
      </c>
      <c r="J157" s="15">
        <v>46232.484236111108</v>
      </c>
      <c r="K157" s="15">
        <v>46238.427083333336</v>
      </c>
      <c r="L157" s="15"/>
      <c r="M157">
        <v>42</v>
      </c>
      <c r="O157" t="s">
        <v>201</v>
      </c>
      <c r="P157" t="s">
        <v>531</v>
      </c>
      <c r="S157" t="s">
        <v>361</v>
      </c>
      <c r="T157" t="s">
        <v>378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361</v>
      </c>
      <c r="AC157">
        <v>2200</v>
      </c>
      <c r="AD157" t="s">
        <v>232</v>
      </c>
      <c r="AE157">
        <v>42</v>
      </c>
    </row>
    <row r="158" spans="1:31" x14ac:dyDescent="0.3">
      <c r="A158" t="s">
        <v>351</v>
      </c>
      <c r="B158" t="s">
        <v>279</v>
      </c>
      <c r="C158" t="s">
        <v>192</v>
      </c>
      <c r="D158" t="s">
        <v>310</v>
      </c>
      <c r="E158" t="s">
        <v>1064</v>
      </c>
      <c r="F158" s="15">
        <v>46223.623645833337</v>
      </c>
      <c r="G158" t="s">
        <v>412</v>
      </c>
      <c r="H158">
        <v>2</v>
      </c>
      <c r="I158" t="s">
        <v>1065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201</v>
      </c>
      <c r="P158" t="s">
        <v>531</v>
      </c>
      <c r="S158" t="s">
        <v>361</v>
      </c>
      <c r="T158" t="s">
        <v>378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361</v>
      </c>
      <c r="AC158">
        <v>2200</v>
      </c>
      <c r="AD158" t="s">
        <v>232</v>
      </c>
      <c r="AE158">
        <v>2</v>
      </c>
    </row>
    <row r="159" spans="1:31" x14ac:dyDescent="0.3">
      <c r="A159" t="s">
        <v>351</v>
      </c>
      <c r="B159" t="s">
        <v>279</v>
      </c>
      <c r="C159" t="s">
        <v>192</v>
      </c>
      <c r="D159" t="s">
        <v>310</v>
      </c>
      <c r="E159" t="s">
        <v>1064</v>
      </c>
      <c r="F159" s="15">
        <v>46223.623645833337</v>
      </c>
      <c r="G159" t="s">
        <v>412</v>
      </c>
      <c r="H159">
        <v>560</v>
      </c>
      <c r="I159" t="s">
        <v>1065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529</v>
      </c>
      <c r="S159" t="s">
        <v>361</v>
      </c>
      <c r="T159" t="s">
        <v>378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361</v>
      </c>
      <c r="AC159">
        <v>2200</v>
      </c>
      <c r="AD159" t="s">
        <v>232</v>
      </c>
      <c r="AE159">
        <v>560</v>
      </c>
    </row>
    <row r="160" spans="1:31" x14ac:dyDescent="0.3">
      <c r="A160" t="s">
        <v>351</v>
      </c>
      <c r="B160" t="s">
        <v>279</v>
      </c>
      <c r="C160" t="s">
        <v>192</v>
      </c>
      <c r="D160" t="s">
        <v>310</v>
      </c>
      <c r="E160" t="s">
        <v>1064</v>
      </c>
      <c r="F160" s="15">
        <v>46223.623645833337</v>
      </c>
      <c r="G160" t="s">
        <v>412</v>
      </c>
      <c r="H160">
        <v>3171</v>
      </c>
      <c r="I160" t="s">
        <v>1066</v>
      </c>
      <c r="J160" s="15">
        <v>46224.351388888892</v>
      </c>
      <c r="K160" s="15">
        <v>46227.68472222222</v>
      </c>
      <c r="L160" s="15"/>
      <c r="M160">
        <v>3171</v>
      </c>
      <c r="O160" t="s">
        <v>201</v>
      </c>
      <c r="P160" t="s">
        <v>531</v>
      </c>
      <c r="S160" t="s">
        <v>361</v>
      </c>
      <c r="T160" t="s">
        <v>378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361</v>
      </c>
      <c r="AC160">
        <v>2200</v>
      </c>
      <c r="AD160" t="s">
        <v>232</v>
      </c>
      <c r="AE160">
        <v>3171</v>
      </c>
    </row>
    <row r="161" spans="1:31" x14ac:dyDescent="0.3">
      <c r="A161" t="s">
        <v>351</v>
      </c>
      <c r="B161" t="s">
        <v>63</v>
      </c>
      <c r="C161" t="s">
        <v>95</v>
      </c>
      <c r="D161" t="s">
        <v>310</v>
      </c>
      <c r="E161" t="s">
        <v>838</v>
      </c>
      <c r="F161" s="15">
        <v>46248.437847222223</v>
      </c>
      <c r="G161" t="s">
        <v>411</v>
      </c>
      <c r="H161">
        <v>1</v>
      </c>
      <c r="I161" t="s">
        <v>839</v>
      </c>
      <c r="J161" s="15">
        <v>46248.662499999999</v>
      </c>
      <c r="K161" s="15">
        <v>46253.628472222219</v>
      </c>
      <c r="L161" s="15"/>
      <c r="M161">
        <v>1</v>
      </c>
      <c r="O161" t="s">
        <v>201</v>
      </c>
      <c r="P161" t="s">
        <v>532</v>
      </c>
      <c r="S161" t="s">
        <v>363</v>
      </c>
      <c r="T161" t="s">
        <v>378</v>
      </c>
      <c r="U161" t="s">
        <v>239</v>
      </c>
      <c r="V161" t="s">
        <v>7</v>
      </c>
      <c r="W161" t="s">
        <v>7</v>
      </c>
      <c r="X161" t="s">
        <v>7</v>
      </c>
      <c r="AA161" t="s">
        <v>96</v>
      </c>
      <c r="AB161" t="s">
        <v>363</v>
      </c>
      <c r="AC161">
        <v>101</v>
      </c>
      <c r="AD161" t="s">
        <v>225</v>
      </c>
      <c r="AE161">
        <v>1</v>
      </c>
    </row>
    <row r="162" spans="1:31" x14ac:dyDescent="0.3">
      <c r="A162" t="s">
        <v>351</v>
      </c>
      <c r="B162" t="s">
        <v>63</v>
      </c>
      <c r="C162" t="s">
        <v>95</v>
      </c>
      <c r="D162" t="s">
        <v>310</v>
      </c>
      <c r="E162" t="s">
        <v>840</v>
      </c>
      <c r="F162" s="15">
        <v>46239.634884259256</v>
      </c>
      <c r="G162" t="s">
        <v>411</v>
      </c>
      <c r="H162">
        <v>1</v>
      </c>
      <c r="I162" t="s">
        <v>841</v>
      </c>
      <c r="J162" s="15">
        <v>46240.408333333333</v>
      </c>
      <c r="K162" s="15">
        <v>46246.645833333336</v>
      </c>
      <c r="L162" s="15"/>
      <c r="M162">
        <v>1</v>
      </c>
      <c r="O162" t="s">
        <v>201</v>
      </c>
      <c r="P162" t="s">
        <v>532</v>
      </c>
      <c r="S162" t="s">
        <v>363</v>
      </c>
      <c r="T162" t="s">
        <v>378</v>
      </c>
      <c r="U162" t="s">
        <v>239</v>
      </c>
      <c r="V162" t="s">
        <v>7</v>
      </c>
      <c r="W162" t="s">
        <v>7</v>
      </c>
      <c r="X162" t="s">
        <v>7</v>
      </c>
      <c r="AA162" t="s">
        <v>96</v>
      </c>
      <c r="AB162" t="s">
        <v>363</v>
      </c>
      <c r="AC162">
        <v>101</v>
      </c>
      <c r="AD162" t="s">
        <v>225</v>
      </c>
      <c r="AE162">
        <v>1</v>
      </c>
    </row>
    <row r="163" spans="1:31" x14ac:dyDescent="0.3">
      <c r="A163" t="s">
        <v>351</v>
      </c>
      <c r="B163" t="s">
        <v>63</v>
      </c>
      <c r="C163" t="s">
        <v>95</v>
      </c>
      <c r="D163" t="s">
        <v>310</v>
      </c>
      <c r="E163" t="s">
        <v>842</v>
      </c>
      <c r="F163" s="15">
        <v>46245.601261574076</v>
      </c>
      <c r="G163" t="s">
        <v>417</v>
      </c>
      <c r="H163">
        <v>1</v>
      </c>
      <c r="I163" t="s">
        <v>843</v>
      </c>
      <c r="J163" s="15">
        <v>46246.638194444444</v>
      </c>
      <c r="K163" s="15">
        <v>46252.386805555558</v>
      </c>
      <c r="L163" s="15"/>
      <c r="M163">
        <v>1</v>
      </c>
      <c r="O163" t="s">
        <v>201</v>
      </c>
      <c r="P163" t="s">
        <v>532</v>
      </c>
      <c r="S163" t="s">
        <v>361</v>
      </c>
      <c r="T163" t="s">
        <v>378</v>
      </c>
      <c r="U163" t="s">
        <v>239</v>
      </c>
      <c r="V163" t="s">
        <v>7</v>
      </c>
      <c r="W163" t="s">
        <v>7</v>
      </c>
      <c r="X163" t="s">
        <v>7</v>
      </c>
      <c r="AA163" t="s">
        <v>96</v>
      </c>
      <c r="AB163" t="s">
        <v>361</v>
      </c>
      <c r="AC163">
        <v>2200</v>
      </c>
      <c r="AD163" t="s">
        <v>225</v>
      </c>
      <c r="AE163">
        <v>1</v>
      </c>
    </row>
    <row r="164" spans="1:31" x14ac:dyDescent="0.3">
      <c r="A164" t="s">
        <v>351</v>
      </c>
      <c r="B164" t="s">
        <v>63</v>
      </c>
      <c r="C164" t="s">
        <v>95</v>
      </c>
      <c r="D164" t="s">
        <v>310</v>
      </c>
      <c r="E164" t="s">
        <v>844</v>
      </c>
      <c r="F164" s="15">
        <v>46245.375648148147</v>
      </c>
      <c r="G164" t="s">
        <v>412</v>
      </c>
      <c r="H164">
        <v>5</v>
      </c>
      <c r="I164" t="s">
        <v>845</v>
      </c>
      <c r="J164" s="15">
        <v>46246.395138888889</v>
      </c>
      <c r="K164" s="15">
        <v>46248.681250000001</v>
      </c>
      <c r="L164" s="15"/>
      <c r="M164">
        <v>5</v>
      </c>
      <c r="O164" t="s">
        <v>201</v>
      </c>
      <c r="P164" t="s">
        <v>532</v>
      </c>
      <c r="S164" t="s">
        <v>361</v>
      </c>
      <c r="T164" t="s">
        <v>378</v>
      </c>
      <c r="U164" t="s">
        <v>239</v>
      </c>
      <c r="V164" t="s">
        <v>7</v>
      </c>
      <c r="W164" t="s">
        <v>7</v>
      </c>
      <c r="X164" t="s">
        <v>7</v>
      </c>
      <c r="AA164" t="s">
        <v>96</v>
      </c>
      <c r="AB164" t="s">
        <v>361</v>
      </c>
      <c r="AC164">
        <v>2200</v>
      </c>
      <c r="AD164" t="s">
        <v>225</v>
      </c>
      <c r="AE164">
        <v>5</v>
      </c>
    </row>
    <row r="165" spans="1:31" x14ac:dyDescent="0.3">
      <c r="A165" t="s">
        <v>351</v>
      </c>
      <c r="B165" t="s">
        <v>63</v>
      </c>
      <c r="C165" t="s">
        <v>95</v>
      </c>
      <c r="D165" t="s">
        <v>310</v>
      </c>
      <c r="E165" t="s">
        <v>846</v>
      </c>
      <c r="F165" s="15">
        <v>46239.715613425928</v>
      </c>
      <c r="G165" t="s">
        <v>412</v>
      </c>
      <c r="H165">
        <v>3</v>
      </c>
      <c r="I165" t="s">
        <v>847</v>
      </c>
      <c r="J165" s="15">
        <v>46241.71597222222</v>
      </c>
      <c r="K165" s="15">
        <v>46246.671527777777</v>
      </c>
      <c r="L165" s="15"/>
      <c r="M165">
        <v>3</v>
      </c>
      <c r="O165" t="s">
        <v>201</v>
      </c>
      <c r="P165" t="s">
        <v>532</v>
      </c>
      <c r="S165" t="s">
        <v>361</v>
      </c>
      <c r="T165" t="s">
        <v>378</v>
      </c>
      <c r="U165" t="s">
        <v>239</v>
      </c>
      <c r="V165" t="s">
        <v>7</v>
      </c>
      <c r="W165" t="s">
        <v>7</v>
      </c>
      <c r="X165" t="s">
        <v>7</v>
      </c>
      <c r="AA165" t="s">
        <v>96</v>
      </c>
      <c r="AB165" t="s">
        <v>361</v>
      </c>
      <c r="AC165">
        <v>2200</v>
      </c>
      <c r="AD165" t="s">
        <v>225</v>
      </c>
      <c r="AE165">
        <v>3</v>
      </c>
    </row>
    <row r="166" spans="1:31" x14ac:dyDescent="0.3">
      <c r="A166" t="s">
        <v>351</v>
      </c>
      <c r="B166" t="s">
        <v>63</v>
      </c>
      <c r="C166" t="s">
        <v>95</v>
      </c>
      <c r="D166" t="s">
        <v>310</v>
      </c>
      <c r="E166" t="s">
        <v>848</v>
      </c>
      <c r="F166" s="15">
        <v>46238.474398148152</v>
      </c>
      <c r="G166" t="s">
        <v>412</v>
      </c>
      <c r="H166">
        <v>1</v>
      </c>
      <c r="I166" t="s">
        <v>849</v>
      </c>
      <c r="J166" s="15">
        <v>46238.659722222219</v>
      </c>
      <c r="K166" s="15">
        <v>46241.456944444442</v>
      </c>
      <c r="L166" s="15"/>
      <c r="M166">
        <v>1</v>
      </c>
      <c r="O166" t="s">
        <v>201</v>
      </c>
      <c r="P166" t="s">
        <v>532</v>
      </c>
      <c r="S166" t="s">
        <v>361</v>
      </c>
      <c r="T166" t="s">
        <v>378</v>
      </c>
      <c r="U166" t="s">
        <v>239</v>
      </c>
      <c r="V166" t="s">
        <v>7</v>
      </c>
      <c r="W166" t="s">
        <v>7</v>
      </c>
      <c r="X166" t="s">
        <v>7</v>
      </c>
      <c r="AA166" t="s">
        <v>96</v>
      </c>
      <c r="AB166" t="s">
        <v>361</v>
      </c>
      <c r="AC166">
        <v>2200</v>
      </c>
      <c r="AD166" t="s">
        <v>225</v>
      </c>
      <c r="AE166">
        <v>1</v>
      </c>
    </row>
    <row r="167" spans="1:31" x14ac:dyDescent="0.3">
      <c r="A167" t="s">
        <v>351</v>
      </c>
      <c r="B167" t="s">
        <v>63</v>
      </c>
      <c r="C167" t="s">
        <v>95</v>
      </c>
      <c r="D167" t="s">
        <v>310</v>
      </c>
      <c r="E167" t="s">
        <v>856</v>
      </c>
      <c r="F167" s="15">
        <v>46244.43917824074</v>
      </c>
      <c r="G167" t="s">
        <v>419</v>
      </c>
      <c r="H167">
        <v>1</v>
      </c>
      <c r="I167" t="s">
        <v>857</v>
      </c>
      <c r="J167" s="15">
        <v>46245.671527777777</v>
      </c>
      <c r="K167" s="15">
        <v>46251.602083333331</v>
      </c>
      <c r="L167" s="15"/>
      <c r="M167">
        <v>1</v>
      </c>
      <c r="O167" t="s">
        <v>201</v>
      </c>
      <c r="P167" t="s">
        <v>532</v>
      </c>
      <c r="S167" t="s">
        <v>360</v>
      </c>
      <c r="T167" t="s">
        <v>378</v>
      </c>
      <c r="U167" t="s">
        <v>239</v>
      </c>
      <c r="V167" t="s">
        <v>7</v>
      </c>
      <c r="W167" t="s">
        <v>7</v>
      </c>
      <c r="X167" t="s">
        <v>7</v>
      </c>
      <c r="AA167" t="s">
        <v>96</v>
      </c>
      <c r="AB167" t="s">
        <v>360</v>
      </c>
      <c r="AC167">
        <v>50</v>
      </c>
      <c r="AD167" t="s">
        <v>225</v>
      </c>
      <c r="AE167">
        <v>1</v>
      </c>
    </row>
    <row r="168" spans="1:31" x14ac:dyDescent="0.3">
      <c r="A168" t="s">
        <v>351</v>
      </c>
      <c r="B168" t="s">
        <v>63</v>
      </c>
      <c r="C168" t="s">
        <v>95</v>
      </c>
      <c r="D168" t="s">
        <v>310</v>
      </c>
      <c r="E168" t="s">
        <v>856</v>
      </c>
      <c r="F168" s="15">
        <v>46244.43917824074</v>
      </c>
      <c r="G168" t="s">
        <v>419</v>
      </c>
      <c r="H168">
        <v>2</v>
      </c>
      <c r="I168" t="s">
        <v>857</v>
      </c>
      <c r="J168" s="15">
        <v>46245.671527777777</v>
      </c>
      <c r="K168" s="15">
        <v>46251.602083333331</v>
      </c>
      <c r="L168" s="15"/>
      <c r="M168">
        <v>2</v>
      </c>
      <c r="O168" t="s">
        <v>529</v>
      </c>
      <c r="S168" t="s">
        <v>360</v>
      </c>
      <c r="T168" t="s">
        <v>378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360</v>
      </c>
      <c r="AC168">
        <v>50</v>
      </c>
      <c r="AD168" t="s">
        <v>225</v>
      </c>
      <c r="AE168">
        <v>2</v>
      </c>
    </row>
    <row r="169" spans="1:31" x14ac:dyDescent="0.3">
      <c r="A169" t="s">
        <v>351</v>
      </c>
      <c r="B169" t="s">
        <v>63</v>
      </c>
      <c r="C169" t="s">
        <v>95</v>
      </c>
      <c r="D169" t="s">
        <v>310</v>
      </c>
      <c r="E169" t="s">
        <v>856</v>
      </c>
      <c r="F169" s="15">
        <v>46244.43917824074</v>
      </c>
      <c r="G169" t="s">
        <v>419</v>
      </c>
      <c r="H169">
        <v>4</v>
      </c>
      <c r="I169" t="s">
        <v>857</v>
      </c>
      <c r="J169" s="15">
        <v>46245.671527777777</v>
      </c>
      <c r="K169" s="15">
        <v>46251.602083333331</v>
      </c>
      <c r="L169" s="15"/>
      <c r="M169">
        <v>4</v>
      </c>
      <c r="O169" t="s">
        <v>529</v>
      </c>
      <c r="S169" t="s">
        <v>360</v>
      </c>
      <c r="T169" t="s">
        <v>378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360</v>
      </c>
      <c r="AC169">
        <v>50</v>
      </c>
      <c r="AD169" t="s">
        <v>225</v>
      </c>
      <c r="AE169">
        <v>4</v>
      </c>
    </row>
    <row r="170" spans="1:31" x14ac:dyDescent="0.3">
      <c r="A170" t="s">
        <v>351</v>
      </c>
      <c r="B170" t="s">
        <v>63</v>
      </c>
      <c r="C170" t="s">
        <v>95</v>
      </c>
      <c r="D170" t="s">
        <v>310</v>
      </c>
      <c r="E170" t="s">
        <v>856</v>
      </c>
      <c r="F170" s="15">
        <v>46244.43917824074</v>
      </c>
      <c r="G170" t="s">
        <v>419</v>
      </c>
      <c r="H170">
        <v>1</v>
      </c>
      <c r="I170" t="s">
        <v>857</v>
      </c>
      <c r="J170" s="15">
        <v>46245.671527777777</v>
      </c>
      <c r="K170" s="15">
        <v>46251.602083333331</v>
      </c>
      <c r="L170" s="15"/>
      <c r="M170">
        <v>1</v>
      </c>
      <c r="O170" t="s">
        <v>529</v>
      </c>
      <c r="S170" t="s">
        <v>360</v>
      </c>
      <c r="T170" t="s">
        <v>378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360</v>
      </c>
      <c r="AC170">
        <v>50</v>
      </c>
      <c r="AD170" t="s">
        <v>225</v>
      </c>
      <c r="AE170">
        <v>1</v>
      </c>
    </row>
    <row r="171" spans="1:31" x14ac:dyDescent="0.3">
      <c r="A171" t="s">
        <v>351</v>
      </c>
      <c r="B171" t="s">
        <v>63</v>
      </c>
      <c r="C171" t="s">
        <v>95</v>
      </c>
      <c r="D171" t="s">
        <v>310</v>
      </c>
      <c r="E171" t="s">
        <v>856</v>
      </c>
      <c r="F171" s="15">
        <v>46244.43917824074</v>
      </c>
      <c r="G171" t="s">
        <v>419</v>
      </c>
      <c r="H171">
        <v>3</v>
      </c>
      <c r="I171" t="s">
        <v>857</v>
      </c>
      <c r="J171" s="15">
        <v>46245.671527777777</v>
      </c>
      <c r="K171" s="15">
        <v>46251.602083333331</v>
      </c>
      <c r="L171" s="15"/>
      <c r="M171">
        <v>3</v>
      </c>
      <c r="O171" t="s">
        <v>529</v>
      </c>
      <c r="S171" t="s">
        <v>360</v>
      </c>
      <c r="T171" t="s">
        <v>378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360</v>
      </c>
      <c r="AC171">
        <v>50</v>
      </c>
      <c r="AD171" t="s">
        <v>225</v>
      </c>
      <c r="AE171">
        <v>3</v>
      </c>
    </row>
    <row r="172" spans="1:31" x14ac:dyDescent="0.3">
      <c r="A172" t="s">
        <v>351</v>
      </c>
      <c r="B172" t="s">
        <v>63</v>
      </c>
      <c r="C172" t="s">
        <v>95</v>
      </c>
      <c r="D172" t="s">
        <v>310</v>
      </c>
      <c r="E172" t="s">
        <v>856</v>
      </c>
      <c r="F172" s="15">
        <v>46244.43917824074</v>
      </c>
      <c r="G172" t="s">
        <v>419</v>
      </c>
      <c r="H172">
        <v>4</v>
      </c>
      <c r="I172" t="s">
        <v>857</v>
      </c>
      <c r="J172" s="15">
        <v>46245.671527777777</v>
      </c>
      <c r="K172" s="15">
        <v>46251.602083333331</v>
      </c>
      <c r="L172" s="15"/>
      <c r="M172">
        <v>4</v>
      </c>
      <c r="O172" t="s">
        <v>529</v>
      </c>
      <c r="S172" t="s">
        <v>360</v>
      </c>
      <c r="T172" t="s">
        <v>378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360</v>
      </c>
      <c r="AC172">
        <v>50</v>
      </c>
      <c r="AD172" t="s">
        <v>225</v>
      </c>
      <c r="AE172">
        <v>4</v>
      </c>
    </row>
    <row r="173" spans="1:31" x14ac:dyDescent="0.3">
      <c r="A173" t="s">
        <v>351</v>
      </c>
      <c r="B173" t="s">
        <v>63</v>
      </c>
      <c r="C173" t="s">
        <v>95</v>
      </c>
      <c r="D173" t="s">
        <v>310</v>
      </c>
      <c r="E173" t="s">
        <v>856</v>
      </c>
      <c r="F173" s="15">
        <v>46244.43917824074</v>
      </c>
      <c r="G173" t="s">
        <v>419</v>
      </c>
      <c r="H173">
        <v>2</v>
      </c>
      <c r="I173" t="s">
        <v>857</v>
      </c>
      <c r="J173" s="15">
        <v>46245.671527777777</v>
      </c>
      <c r="K173" s="15">
        <v>46251.602083333331</v>
      </c>
      <c r="L173" s="15"/>
      <c r="M173">
        <v>2</v>
      </c>
      <c r="O173" t="s">
        <v>529</v>
      </c>
      <c r="S173" t="s">
        <v>360</v>
      </c>
      <c r="T173" t="s">
        <v>378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360</v>
      </c>
      <c r="AC173">
        <v>50</v>
      </c>
      <c r="AD173" t="s">
        <v>225</v>
      </c>
      <c r="AE173">
        <v>2</v>
      </c>
    </row>
    <row r="174" spans="1:31" x14ac:dyDescent="0.3">
      <c r="A174" t="s">
        <v>351</v>
      </c>
      <c r="B174" t="s">
        <v>63</v>
      </c>
      <c r="C174" t="s">
        <v>95</v>
      </c>
      <c r="D174" t="s">
        <v>310</v>
      </c>
      <c r="E174" t="s">
        <v>856</v>
      </c>
      <c r="F174" s="15">
        <v>46244.43917824074</v>
      </c>
      <c r="G174" t="s">
        <v>419</v>
      </c>
      <c r="H174">
        <v>2</v>
      </c>
      <c r="I174" t="s">
        <v>857</v>
      </c>
      <c r="J174" s="15">
        <v>46245.671527777777</v>
      </c>
      <c r="K174" s="15">
        <v>46251.602083333331</v>
      </c>
      <c r="L174" s="15"/>
      <c r="M174">
        <v>2</v>
      </c>
      <c r="O174" t="s">
        <v>529</v>
      </c>
      <c r="S174" t="s">
        <v>360</v>
      </c>
      <c r="T174" t="s">
        <v>378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360</v>
      </c>
      <c r="AC174">
        <v>50</v>
      </c>
      <c r="AD174" t="s">
        <v>225</v>
      </c>
      <c r="AE174">
        <v>2</v>
      </c>
    </row>
    <row r="175" spans="1:31" x14ac:dyDescent="0.3">
      <c r="A175" t="s">
        <v>351</v>
      </c>
      <c r="B175" t="s">
        <v>63</v>
      </c>
      <c r="C175" t="s">
        <v>95</v>
      </c>
      <c r="D175" t="s">
        <v>310</v>
      </c>
      <c r="E175" t="s">
        <v>856</v>
      </c>
      <c r="F175" s="15">
        <v>46244.43917824074</v>
      </c>
      <c r="G175" t="s">
        <v>419</v>
      </c>
      <c r="H175">
        <v>2</v>
      </c>
      <c r="I175" t="s">
        <v>857</v>
      </c>
      <c r="J175" s="15">
        <v>46245.671527777777</v>
      </c>
      <c r="K175" s="15">
        <v>46251.602083333331</v>
      </c>
      <c r="L175" s="15"/>
      <c r="M175">
        <v>2</v>
      </c>
      <c r="O175" t="s">
        <v>529</v>
      </c>
      <c r="S175" t="s">
        <v>360</v>
      </c>
      <c r="T175" t="s">
        <v>378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50</v>
      </c>
      <c r="AD175" t="s">
        <v>225</v>
      </c>
      <c r="AE175">
        <v>2</v>
      </c>
    </row>
    <row r="176" spans="1:31" x14ac:dyDescent="0.3">
      <c r="A176" t="s">
        <v>351</v>
      </c>
      <c r="B176" t="s">
        <v>63</v>
      </c>
      <c r="C176" t="s">
        <v>95</v>
      </c>
      <c r="D176" t="s">
        <v>310</v>
      </c>
      <c r="E176" t="s">
        <v>858</v>
      </c>
      <c r="F176" s="15">
        <v>46244.468541666669</v>
      </c>
      <c r="G176" t="s">
        <v>409</v>
      </c>
      <c r="H176">
        <v>1</v>
      </c>
      <c r="I176" t="s">
        <v>859</v>
      </c>
      <c r="J176" s="15">
        <v>46244.694444444445</v>
      </c>
      <c r="K176" s="15">
        <v>46248.702777777777</v>
      </c>
      <c r="L176" s="15"/>
      <c r="M176">
        <v>1</v>
      </c>
      <c r="O176" t="s">
        <v>201</v>
      </c>
      <c r="P176" t="s">
        <v>532</v>
      </c>
      <c r="S176" t="s">
        <v>360</v>
      </c>
      <c r="T176" t="s">
        <v>378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360</v>
      </c>
      <c r="AC176">
        <v>50</v>
      </c>
      <c r="AD176" t="s">
        <v>225</v>
      </c>
      <c r="AE176">
        <v>1</v>
      </c>
    </row>
    <row r="177" spans="1:31" x14ac:dyDescent="0.3">
      <c r="A177" t="s">
        <v>351</v>
      </c>
      <c r="B177" t="s">
        <v>63</v>
      </c>
      <c r="C177" t="s">
        <v>95</v>
      </c>
      <c r="D177" t="s">
        <v>310</v>
      </c>
      <c r="E177" t="s">
        <v>860</v>
      </c>
      <c r="F177" s="15">
        <v>46244.466851851852</v>
      </c>
      <c r="G177" t="s">
        <v>409</v>
      </c>
      <c r="H177">
        <v>1</v>
      </c>
      <c r="I177" t="s">
        <v>861</v>
      </c>
      <c r="J177" s="15">
        <v>46247.593055555553</v>
      </c>
      <c r="K177" s="15">
        <v>46252.873611111114</v>
      </c>
      <c r="L177" s="15"/>
      <c r="M177">
        <v>1</v>
      </c>
      <c r="O177" t="s">
        <v>201</v>
      </c>
      <c r="P177" t="s">
        <v>532</v>
      </c>
      <c r="S177" t="s">
        <v>360</v>
      </c>
      <c r="T177" t="s">
        <v>378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360</v>
      </c>
      <c r="AC177">
        <v>50</v>
      </c>
      <c r="AD177" t="s">
        <v>225</v>
      </c>
      <c r="AE177">
        <v>1</v>
      </c>
    </row>
    <row r="178" spans="1:31" x14ac:dyDescent="0.3">
      <c r="A178" t="s">
        <v>351</v>
      </c>
      <c r="B178" t="s">
        <v>63</v>
      </c>
      <c r="C178" t="s">
        <v>95</v>
      </c>
      <c r="D178" t="s">
        <v>310</v>
      </c>
      <c r="E178" t="s">
        <v>904</v>
      </c>
      <c r="F178" s="15">
        <v>46241.40283564815</v>
      </c>
      <c r="G178" t="s">
        <v>905</v>
      </c>
      <c r="H178">
        <v>1</v>
      </c>
      <c r="I178" t="s">
        <v>906</v>
      </c>
      <c r="J178" s="15">
        <v>46241.429861111108</v>
      </c>
      <c r="K178" s="15">
        <v>46246.593055555553</v>
      </c>
      <c r="L178" s="15"/>
      <c r="M178">
        <v>1</v>
      </c>
      <c r="O178" t="s">
        <v>201</v>
      </c>
      <c r="P178" t="s">
        <v>532</v>
      </c>
      <c r="S178" t="s">
        <v>362</v>
      </c>
      <c r="T178" t="s">
        <v>378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362</v>
      </c>
      <c r="AC178">
        <v>109</v>
      </c>
      <c r="AD178" t="s">
        <v>225</v>
      </c>
      <c r="AE178">
        <v>1</v>
      </c>
    </row>
    <row r="179" spans="1:31" x14ac:dyDescent="0.3">
      <c r="A179" t="s">
        <v>351</v>
      </c>
      <c r="B179" t="s">
        <v>63</v>
      </c>
      <c r="C179" t="s">
        <v>95</v>
      </c>
      <c r="D179" t="s">
        <v>310</v>
      </c>
      <c r="E179" t="s">
        <v>437</v>
      </c>
      <c r="F179" s="15">
        <v>46202.512337962966</v>
      </c>
      <c r="G179" t="s">
        <v>436</v>
      </c>
      <c r="H179">
        <v>2</v>
      </c>
      <c r="I179" t="s">
        <v>1041</v>
      </c>
      <c r="J179" s="15">
        <v>46241.424259259256</v>
      </c>
      <c r="K179" s="15">
        <v>46248.483460648145</v>
      </c>
      <c r="L179" s="15"/>
      <c r="M179">
        <v>2</v>
      </c>
      <c r="O179" t="s">
        <v>201</v>
      </c>
      <c r="P179" t="s">
        <v>532</v>
      </c>
      <c r="S179" t="s">
        <v>362</v>
      </c>
      <c r="T179" t="s">
        <v>378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362</v>
      </c>
      <c r="AC179">
        <v>109</v>
      </c>
      <c r="AD179" t="s">
        <v>225</v>
      </c>
      <c r="AE179">
        <v>2</v>
      </c>
    </row>
    <row r="180" spans="1:31" x14ac:dyDescent="0.3">
      <c r="A180" t="s">
        <v>351</v>
      </c>
      <c r="B180" t="s">
        <v>63</v>
      </c>
      <c r="C180" t="s">
        <v>95</v>
      </c>
      <c r="D180" t="s">
        <v>310</v>
      </c>
      <c r="E180" t="s">
        <v>907</v>
      </c>
      <c r="F180" s="15">
        <v>46230.40084490741</v>
      </c>
      <c r="G180" t="s">
        <v>424</v>
      </c>
      <c r="H180">
        <v>6</v>
      </c>
      <c r="I180" t="s">
        <v>908</v>
      </c>
      <c r="J180" s="15">
        <v>46233.454386574071</v>
      </c>
      <c r="K180" s="15">
        <v>46238.481249999997</v>
      </c>
      <c r="L180" s="15"/>
      <c r="M180">
        <v>6</v>
      </c>
      <c r="O180" t="s">
        <v>201</v>
      </c>
      <c r="P180" t="s">
        <v>532</v>
      </c>
      <c r="S180" t="s">
        <v>362</v>
      </c>
      <c r="T180" t="s">
        <v>378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362</v>
      </c>
      <c r="AC180">
        <v>109</v>
      </c>
      <c r="AD180" t="s">
        <v>225</v>
      </c>
      <c r="AE180">
        <v>6</v>
      </c>
    </row>
    <row r="181" spans="1:31" x14ac:dyDescent="0.3">
      <c r="A181" t="s">
        <v>351</v>
      </c>
      <c r="B181" t="s">
        <v>63</v>
      </c>
      <c r="C181" t="s">
        <v>95</v>
      </c>
      <c r="D181" t="s">
        <v>310</v>
      </c>
      <c r="E181" t="s">
        <v>907</v>
      </c>
      <c r="F181" s="15">
        <v>46230.40084490741</v>
      </c>
      <c r="G181" t="s">
        <v>424</v>
      </c>
      <c r="H181">
        <v>4</v>
      </c>
      <c r="I181" t="s">
        <v>908</v>
      </c>
      <c r="J181" s="15">
        <v>46233.454386574071</v>
      </c>
      <c r="K181" s="15">
        <v>46238.481249999997</v>
      </c>
      <c r="L181" s="15"/>
      <c r="M181">
        <v>4</v>
      </c>
      <c r="O181" t="s">
        <v>529</v>
      </c>
      <c r="S181" t="s">
        <v>362</v>
      </c>
      <c r="T181" t="s">
        <v>378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362</v>
      </c>
      <c r="AC181">
        <v>109</v>
      </c>
      <c r="AD181" t="s">
        <v>225</v>
      </c>
      <c r="AE181">
        <v>4</v>
      </c>
    </row>
    <row r="182" spans="1:31" x14ac:dyDescent="0.3">
      <c r="A182" t="s">
        <v>351</v>
      </c>
      <c r="B182" t="s">
        <v>63</v>
      </c>
      <c r="C182" t="s">
        <v>95</v>
      </c>
      <c r="D182" t="s">
        <v>310</v>
      </c>
      <c r="E182" t="s">
        <v>907</v>
      </c>
      <c r="F182" s="15">
        <v>46230.40084490741</v>
      </c>
      <c r="G182" t="s">
        <v>424</v>
      </c>
      <c r="H182">
        <v>5</v>
      </c>
      <c r="I182" t="s">
        <v>908</v>
      </c>
      <c r="J182" s="15">
        <v>46233.454386574071</v>
      </c>
      <c r="K182" s="15">
        <v>46238.481249999997</v>
      </c>
      <c r="L182" s="15"/>
      <c r="M182">
        <v>5</v>
      </c>
      <c r="O182" t="s">
        <v>529</v>
      </c>
      <c r="S182" t="s">
        <v>362</v>
      </c>
      <c r="T182" t="s">
        <v>378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362</v>
      </c>
      <c r="AC182">
        <v>109</v>
      </c>
      <c r="AD182" t="s">
        <v>225</v>
      </c>
      <c r="AE182">
        <v>5</v>
      </c>
    </row>
    <row r="183" spans="1:31" x14ac:dyDescent="0.3">
      <c r="A183" t="s">
        <v>351</v>
      </c>
      <c r="B183" t="s">
        <v>63</v>
      </c>
      <c r="C183" t="s">
        <v>95</v>
      </c>
      <c r="D183" t="s">
        <v>310</v>
      </c>
      <c r="E183" t="s">
        <v>907</v>
      </c>
      <c r="F183" s="15">
        <v>46230.40084490741</v>
      </c>
      <c r="G183" t="s">
        <v>424</v>
      </c>
      <c r="H183">
        <v>5</v>
      </c>
      <c r="I183" t="s">
        <v>908</v>
      </c>
      <c r="J183" s="15">
        <v>46233.454386574071</v>
      </c>
      <c r="K183" s="15">
        <v>46238.481249999997</v>
      </c>
      <c r="L183" s="15"/>
      <c r="M183">
        <v>5</v>
      </c>
      <c r="O183" t="s">
        <v>529</v>
      </c>
      <c r="S183" t="s">
        <v>362</v>
      </c>
      <c r="T183" t="s">
        <v>378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362</v>
      </c>
      <c r="AC183">
        <v>109</v>
      </c>
      <c r="AD183" t="s">
        <v>225</v>
      </c>
      <c r="AE183">
        <v>5</v>
      </c>
    </row>
    <row r="184" spans="1:31" x14ac:dyDescent="0.3">
      <c r="A184" t="s">
        <v>351</v>
      </c>
      <c r="B184" t="s">
        <v>63</v>
      </c>
      <c r="C184" t="s">
        <v>95</v>
      </c>
      <c r="D184" t="s">
        <v>310</v>
      </c>
      <c r="E184" t="s">
        <v>907</v>
      </c>
      <c r="F184" s="15">
        <v>46230.40084490741</v>
      </c>
      <c r="G184" t="s">
        <v>424</v>
      </c>
      <c r="H184">
        <v>6</v>
      </c>
      <c r="I184" t="s">
        <v>908</v>
      </c>
      <c r="J184" s="15">
        <v>46233.454386574071</v>
      </c>
      <c r="K184" s="15">
        <v>46238.481249999997</v>
      </c>
      <c r="L184" s="15"/>
      <c r="M184">
        <v>6</v>
      </c>
      <c r="O184" t="s">
        <v>529</v>
      </c>
      <c r="S184" t="s">
        <v>362</v>
      </c>
      <c r="T184" t="s">
        <v>378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362</v>
      </c>
      <c r="AC184">
        <v>109</v>
      </c>
      <c r="AD184" t="s">
        <v>225</v>
      </c>
      <c r="AE184">
        <v>6</v>
      </c>
    </row>
    <row r="185" spans="1:31" x14ac:dyDescent="0.3">
      <c r="A185" t="s">
        <v>351</v>
      </c>
      <c r="B185" t="s">
        <v>63</v>
      </c>
      <c r="C185" t="s">
        <v>95</v>
      </c>
      <c r="D185" t="s">
        <v>310</v>
      </c>
      <c r="E185" t="s">
        <v>907</v>
      </c>
      <c r="F185" s="15">
        <v>46230.40084490741</v>
      </c>
      <c r="G185" t="s">
        <v>424</v>
      </c>
      <c r="H185">
        <v>4</v>
      </c>
      <c r="I185" t="s">
        <v>908</v>
      </c>
      <c r="J185" s="15">
        <v>46233.454386574071</v>
      </c>
      <c r="K185" s="15">
        <v>46238.481249999997</v>
      </c>
      <c r="L185" s="15"/>
      <c r="M185">
        <v>4</v>
      </c>
      <c r="O185" t="s">
        <v>529</v>
      </c>
      <c r="S185" t="s">
        <v>362</v>
      </c>
      <c r="T185" t="s">
        <v>378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362</v>
      </c>
      <c r="AC185">
        <v>109</v>
      </c>
      <c r="AD185" t="s">
        <v>225</v>
      </c>
      <c r="AE185">
        <v>4</v>
      </c>
    </row>
    <row r="186" spans="1:31" x14ac:dyDescent="0.3">
      <c r="A186" t="s">
        <v>351</v>
      </c>
      <c r="B186" t="s">
        <v>63</v>
      </c>
      <c r="C186" t="s">
        <v>95</v>
      </c>
      <c r="D186" t="s">
        <v>310</v>
      </c>
      <c r="E186" t="s">
        <v>907</v>
      </c>
      <c r="F186" s="15">
        <v>46230.40084490741</v>
      </c>
      <c r="G186" t="s">
        <v>424</v>
      </c>
      <c r="H186">
        <v>6</v>
      </c>
      <c r="I186" t="s">
        <v>908</v>
      </c>
      <c r="J186" s="15">
        <v>46233.454386574071</v>
      </c>
      <c r="K186" s="15">
        <v>46238.481249999997</v>
      </c>
      <c r="L186" s="15"/>
      <c r="M186">
        <v>6</v>
      </c>
      <c r="O186" t="s">
        <v>529</v>
      </c>
      <c r="S186" t="s">
        <v>362</v>
      </c>
      <c r="T186" t="s">
        <v>378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362</v>
      </c>
      <c r="AC186">
        <v>109</v>
      </c>
      <c r="AD186" t="s">
        <v>225</v>
      </c>
      <c r="AE186">
        <v>6</v>
      </c>
    </row>
    <row r="187" spans="1:31" x14ac:dyDescent="0.3">
      <c r="A187" t="s">
        <v>351</v>
      </c>
      <c r="B187" t="s">
        <v>63</v>
      </c>
      <c r="C187" t="s">
        <v>95</v>
      </c>
      <c r="D187" t="s">
        <v>310</v>
      </c>
      <c r="E187" t="s">
        <v>907</v>
      </c>
      <c r="F187" s="15">
        <v>46230.40084490741</v>
      </c>
      <c r="G187" t="s">
        <v>424</v>
      </c>
      <c r="H187">
        <v>3</v>
      </c>
      <c r="I187" t="s">
        <v>908</v>
      </c>
      <c r="J187" s="15">
        <v>46233.454386574071</v>
      </c>
      <c r="K187" s="15">
        <v>46238.481249999997</v>
      </c>
      <c r="L187" s="15"/>
      <c r="M187">
        <v>3</v>
      </c>
      <c r="O187" t="s">
        <v>529</v>
      </c>
      <c r="S187" t="s">
        <v>362</v>
      </c>
      <c r="T187" t="s">
        <v>378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362</v>
      </c>
      <c r="AC187">
        <v>109</v>
      </c>
      <c r="AD187" t="s">
        <v>225</v>
      </c>
      <c r="AE187">
        <v>3</v>
      </c>
    </row>
    <row r="188" spans="1:31" x14ac:dyDescent="0.3">
      <c r="A188" t="s">
        <v>351</v>
      </c>
      <c r="B188" t="s">
        <v>63</v>
      </c>
      <c r="C188" t="s">
        <v>95</v>
      </c>
      <c r="D188" t="s">
        <v>310</v>
      </c>
      <c r="E188" t="s">
        <v>907</v>
      </c>
      <c r="F188" s="15">
        <v>46230.40084490741</v>
      </c>
      <c r="G188" t="s">
        <v>424</v>
      </c>
      <c r="H188">
        <v>5</v>
      </c>
      <c r="I188" t="s">
        <v>908</v>
      </c>
      <c r="J188" s="15">
        <v>46233.454386574071</v>
      </c>
      <c r="K188" s="15">
        <v>46238.481249999997</v>
      </c>
      <c r="L188" s="15"/>
      <c r="M188">
        <v>5</v>
      </c>
      <c r="O188" t="s">
        <v>529</v>
      </c>
      <c r="S188" t="s">
        <v>362</v>
      </c>
      <c r="T188" t="s">
        <v>378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362</v>
      </c>
      <c r="AC188">
        <v>109</v>
      </c>
      <c r="AD188" t="s">
        <v>225</v>
      </c>
      <c r="AE188">
        <v>5</v>
      </c>
    </row>
    <row r="189" spans="1:31" x14ac:dyDescent="0.3">
      <c r="A189" t="s">
        <v>351</v>
      </c>
      <c r="B189" t="s">
        <v>63</v>
      </c>
      <c r="C189" t="s">
        <v>95</v>
      </c>
      <c r="D189" t="s">
        <v>310</v>
      </c>
      <c r="E189" t="s">
        <v>907</v>
      </c>
      <c r="F189" s="15">
        <v>46230.40084490741</v>
      </c>
      <c r="G189" t="s">
        <v>424</v>
      </c>
      <c r="H189">
        <v>6</v>
      </c>
      <c r="I189" t="s">
        <v>908</v>
      </c>
      <c r="J189" s="15">
        <v>46233.454386574071</v>
      </c>
      <c r="K189" s="15">
        <v>46238.481249999997</v>
      </c>
      <c r="L189" s="15"/>
      <c r="M189">
        <v>6</v>
      </c>
      <c r="O189" t="s">
        <v>529</v>
      </c>
      <c r="S189" t="s">
        <v>362</v>
      </c>
      <c r="T189" t="s">
        <v>378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362</v>
      </c>
      <c r="AC189">
        <v>109</v>
      </c>
      <c r="AD189" t="s">
        <v>225</v>
      </c>
      <c r="AE189">
        <v>6</v>
      </c>
    </row>
    <row r="190" spans="1:31" x14ac:dyDescent="0.3">
      <c r="A190" t="s">
        <v>351</v>
      </c>
      <c r="B190" t="s">
        <v>63</v>
      </c>
      <c r="C190" t="s">
        <v>95</v>
      </c>
      <c r="D190" t="s">
        <v>310</v>
      </c>
      <c r="E190" t="s">
        <v>438</v>
      </c>
      <c r="F190" s="15">
        <v>46212.717303240737</v>
      </c>
      <c r="G190" t="s">
        <v>412</v>
      </c>
      <c r="H190">
        <v>2</v>
      </c>
      <c r="I190" t="s">
        <v>1039</v>
      </c>
      <c r="J190" s="15">
        <v>46231.477627314816</v>
      </c>
      <c r="K190" s="15">
        <v>46238.444444444445</v>
      </c>
      <c r="L190" s="15"/>
      <c r="M190">
        <v>2</v>
      </c>
      <c r="O190" t="s">
        <v>201</v>
      </c>
      <c r="P190" t="s">
        <v>532</v>
      </c>
      <c r="S190" t="s">
        <v>361</v>
      </c>
      <c r="T190" t="s">
        <v>378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361</v>
      </c>
      <c r="AC190">
        <v>2200</v>
      </c>
      <c r="AD190" t="s">
        <v>225</v>
      </c>
      <c r="AE190">
        <v>2</v>
      </c>
    </row>
    <row r="191" spans="1:31" x14ac:dyDescent="0.3">
      <c r="A191" t="s">
        <v>351</v>
      </c>
      <c r="B191" t="s">
        <v>63</v>
      </c>
      <c r="C191" t="s">
        <v>95</v>
      </c>
      <c r="D191" t="s">
        <v>310</v>
      </c>
      <c r="E191" t="s">
        <v>438</v>
      </c>
      <c r="F191" s="15">
        <v>46212.717303240737</v>
      </c>
      <c r="G191" t="s">
        <v>412</v>
      </c>
      <c r="H191">
        <v>2</v>
      </c>
      <c r="I191" t="s">
        <v>1039</v>
      </c>
      <c r="J191" s="15">
        <v>46231.477627314816</v>
      </c>
      <c r="K191" s="15">
        <v>46238.444444444445</v>
      </c>
      <c r="L191" s="15"/>
      <c r="M191">
        <v>2</v>
      </c>
      <c r="O191" t="s">
        <v>529</v>
      </c>
      <c r="S191" t="s">
        <v>361</v>
      </c>
      <c r="T191" t="s">
        <v>378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361</v>
      </c>
      <c r="AC191">
        <v>2200</v>
      </c>
      <c r="AD191" t="s">
        <v>225</v>
      </c>
      <c r="AE191">
        <v>2</v>
      </c>
    </row>
    <row r="192" spans="1:31" x14ac:dyDescent="0.3">
      <c r="A192" t="s">
        <v>351</v>
      </c>
      <c r="B192" t="s">
        <v>63</v>
      </c>
      <c r="C192" t="s">
        <v>95</v>
      </c>
      <c r="D192" t="s">
        <v>310</v>
      </c>
      <c r="E192" t="s">
        <v>437</v>
      </c>
      <c r="F192" s="15">
        <v>46202.512337962966</v>
      </c>
      <c r="G192" t="s">
        <v>436</v>
      </c>
      <c r="H192">
        <v>1</v>
      </c>
      <c r="I192" t="s">
        <v>1040</v>
      </c>
      <c r="J192" s="15">
        <v>46203.361828703702</v>
      </c>
      <c r="K192" s="15">
        <v>46212.739201388889</v>
      </c>
      <c r="L192" s="15"/>
      <c r="M192">
        <v>26</v>
      </c>
      <c r="O192" t="s">
        <v>201</v>
      </c>
      <c r="P192" t="s">
        <v>532</v>
      </c>
      <c r="S192" t="s">
        <v>362</v>
      </c>
      <c r="T192" t="s">
        <v>378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362</v>
      </c>
      <c r="AC192">
        <v>109</v>
      </c>
      <c r="AD192" t="s">
        <v>225</v>
      </c>
      <c r="AE192">
        <v>26</v>
      </c>
    </row>
    <row r="193" spans="1:31" x14ac:dyDescent="0.3">
      <c r="A193" t="s">
        <v>351</v>
      </c>
      <c r="B193" t="s">
        <v>63</v>
      </c>
      <c r="C193" t="s">
        <v>95</v>
      </c>
      <c r="D193" t="s">
        <v>310</v>
      </c>
      <c r="E193" t="s">
        <v>437</v>
      </c>
      <c r="F193" s="15">
        <v>46202.512337962966</v>
      </c>
      <c r="G193" t="s">
        <v>436</v>
      </c>
      <c r="H193">
        <v>1</v>
      </c>
      <c r="I193" t="s">
        <v>1040</v>
      </c>
      <c r="J193" s="15">
        <v>46203.361828703702</v>
      </c>
      <c r="K193" s="15">
        <v>46212.739201388889</v>
      </c>
      <c r="L193" s="15"/>
      <c r="M193">
        <v>13</v>
      </c>
      <c r="O193" t="s">
        <v>529</v>
      </c>
      <c r="S193" t="s">
        <v>362</v>
      </c>
      <c r="T193" t="s">
        <v>378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362</v>
      </c>
      <c r="AC193">
        <v>109</v>
      </c>
      <c r="AD193" t="s">
        <v>225</v>
      </c>
      <c r="AE193">
        <v>13</v>
      </c>
    </row>
    <row r="194" spans="1:31" x14ac:dyDescent="0.3">
      <c r="A194" t="s">
        <v>351</v>
      </c>
      <c r="B194" t="s">
        <v>63</v>
      </c>
      <c r="C194" t="s">
        <v>95</v>
      </c>
      <c r="D194" t="s">
        <v>310</v>
      </c>
      <c r="E194" t="s">
        <v>437</v>
      </c>
      <c r="F194" s="15">
        <v>46202.512337962966</v>
      </c>
      <c r="G194" t="s">
        <v>436</v>
      </c>
      <c r="H194">
        <v>30</v>
      </c>
      <c r="I194" t="s">
        <v>1042</v>
      </c>
      <c r="J194" s="15">
        <v>46239.591469907406</v>
      </c>
      <c r="K194" s="15">
        <v>46241.497916666667</v>
      </c>
      <c r="L194" s="15"/>
      <c r="M194">
        <v>30</v>
      </c>
      <c r="O194" t="s">
        <v>201</v>
      </c>
      <c r="P194" t="s">
        <v>532</v>
      </c>
      <c r="S194" t="s">
        <v>362</v>
      </c>
      <c r="T194" t="s">
        <v>378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362</v>
      </c>
      <c r="AC194">
        <v>109</v>
      </c>
      <c r="AD194" t="s">
        <v>225</v>
      </c>
      <c r="AE194">
        <v>30</v>
      </c>
    </row>
    <row r="195" spans="1:31" x14ac:dyDescent="0.3">
      <c r="A195" t="s">
        <v>351</v>
      </c>
      <c r="B195" t="s">
        <v>63</v>
      </c>
      <c r="C195" t="s">
        <v>95</v>
      </c>
      <c r="D195" t="s">
        <v>310</v>
      </c>
      <c r="E195" t="s">
        <v>1043</v>
      </c>
      <c r="F195" s="15">
        <v>46253.45040509259</v>
      </c>
      <c r="G195" t="s">
        <v>412</v>
      </c>
      <c r="H195">
        <v>1</v>
      </c>
      <c r="I195" t="s">
        <v>1044</v>
      </c>
      <c r="J195" s="15">
        <v>46255.393750000003</v>
      </c>
      <c r="K195" s="15">
        <v>46258.414583333331</v>
      </c>
      <c r="L195" s="15"/>
      <c r="M195">
        <v>1</v>
      </c>
      <c r="O195" t="s">
        <v>201</v>
      </c>
      <c r="P195" t="s">
        <v>532</v>
      </c>
      <c r="S195" t="s">
        <v>361</v>
      </c>
      <c r="T195" t="s">
        <v>378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361</v>
      </c>
      <c r="AC195">
        <v>2200</v>
      </c>
      <c r="AD195" t="s">
        <v>225</v>
      </c>
      <c r="AE195">
        <v>1</v>
      </c>
    </row>
    <row r="196" spans="1:31" x14ac:dyDescent="0.3">
      <c r="A196" t="s">
        <v>351</v>
      </c>
      <c r="B196" t="s">
        <v>63</v>
      </c>
      <c r="C196" t="s">
        <v>95</v>
      </c>
      <c r="D196" t="s">
        <v>310</v>
      </c>
      <c r="E196" t="s">
        <v>1049</v>
      </c>
      <c r="F196" s="15">
        <v>46225.356817129628</v>
      </c>
      <c r="G196" t="s">
        <v>409</v>
      </c>
      <c r="H196">
        <v>1</v>
      </c>
      <c r="I196" t="s">
        <v>1050</v>
      </c>
      <c r="J196" s="15">
        <v>46233.380069444444</v>
      </c>
      <c r="K196" s="15">
        <v>46238.463194444441</v>
      </c>
      <c r="L196" s="15"/>
      <c r="M196">
        <v>1</v>
      </c>
      <c r="O196" t="s">
        <v>201</v>
      </c>
      <c r="P196" t="s">
        <v>532</v>
      </c>
      <c r="S196" t="s">
        <v>360</v>
      </c>
      <c r="T196" t="s">
        <v>378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360</v>
      </c>
      <c r="AC196">
        <v>50</v>
      </c>
      <c r="AD196" t="s">
        <v>225</v>
      </c>
      <c r="AE196">
        <v>1</v>
      </c>
    </row>
    <row r="197" spans="1:31" x14ac:dyDescent="0.3">
      <c r="A197" t="s">
        <v>351</v>
      </c>
      <c r="B197" t="s">
        <v>63</v>
      </c>
      <c r="C197" t="s">
        <v>95</v>
      </c>
      <c r="D197" t="s">
        <v>310</v>
      </c>
      <c r="E197" t="s">
        <v>1055</v>
      </c>
      <c r="F197" s="15">
        <v>46223.754212962966</v>
      </c>
      <c r="G197" t="s">
        <v>412</v>
      </c>
      <c r="H197">
        <v>1</v>
      </c>
      <c r="I197" t="s">
        <v>1056</v>
      </c>
      <c r="J197" s="15">
        <v>46232.484236111108</v>
      </c>
      <c r="K197" s="15">
        <v>46238.427083333336</v>
      </c>
      <c r="L197" s="15"/>
      <c r="M197">
        <v>1</v>
      </c>
      <c r="O197" t="s">
        <v>201</v>
      </c>
      <c r="P197" t="s">
        <v>532</v>
      </c>
      <c r="S197" t="s">
        <v>361</v>
      </c>
      <c r="T197" t="s">
        <v>378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361</v>
      </c>
      <c r="AC197">
        <v>2200</v>
      </c>
      <c r="AD197" t="s">
        <v>225</v>
      </c>
      <c r="AE197">
        <v>1</v>
      </c>
    </row>
    <row r="198" spans="1:31" x14ac:dyDescent="0.3">
      <c r="A198" t="s">
        <v>351</v>
      </c>
      <c r="B198" t="s">
        <v>63</v>
      </c>
      <c r="C198" t="s">
        <v>95</v>
      </c>
      <c r="D198" t="s">
        <v>310</v>
      </c>
      <c r="E198" t="s">
        <v>797</v>
      </c>
      <c r="F198" s="15">
        <v>46232.31826388889</v>
      </c>
      <c r="G198" t="s">
        <v>411</v>
      </c>
      <c r="H198">
        <v>1</v>
      </c>
      <c r="I198" t="s">
        <v>1033</v>
      </c>
      <c r="J198" s="15">
        <v>46232.407094907408</v>
      </c>
      <c r="K198" s="15">
        <v>46238.423611111109</v>
      </c>
      <c r="L198" s="15"/>
      <c r="M198">
        <v>1</v>
      </c>
      <c r="O198" t="s">
        <v>201</v>
      </c>
      <c r="P198" t="s">
        <v>532</v>
      </c>
      <c r="S198" t="s">
        <v>363</v>
      </c>
      <c r="T198" t="s">
        <v>378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363</v>
      </c>
      <c r="AC198">
        <v>101</v>
      </c>
      <c r="AD198" t="s">
        <v>225</v>
      </c>
      <c r="AE198">
        <v>1</v>
      </c>
    </row>
    <row r="199" spans="1:31" x14ac:dyDescent="0.3">
      <c r="A199" t="s">
        <v>351</v>
      </c>
      <c r="B199" t="s">
        <v>63</v>
      </c>
      <c r="C199" t="s">
        <v>95</v>
      </c>
      <c r="D199" t="s">
        <v>310</v>
      </c>
      <c r="E199" t="s">
        <v>1064</v>
      </c>
      <c r="F199" s="15">
        <v>46223.623645833337</v>
      </c>
      <c r="G199" t="s">
        <v>412</v>
      </c>
      <c r="H199">
        <v>1</v>
      </c>
      <c r="I199" t="s">
        <v>1065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201</v>
      </c>
      <c r="P199" t="s">
        <v>532</v>
      </c>
      <c r="S199" t="s">
        <v>361</v>
      </c>
      <c r="T199" t="s">
        <v>378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361</v>
      </c>
      <c r="AC199">
        <v>2200</v>
      </c>
      <c r="AD199" t="s">
        <v>225</v>
      </c>
      <c r="AE199">
        <v>1</v>
      </c>
    </row>
    <row r="200" spans="1:31" x14ac:dyDescent="0.3">
      <c r="A200" t="s">
        <v>351</v>
      </c>
      <c r="B200" t="s">
        <v>63</v>
      </c>
      <c r="C200" t="s">
        <v>95</v>
      </c>
      <c r="D200" t="s">
        <v>310</v>
      </c>
      <c r="E200" t="s">
        <v>1064</v>
      </c>
      <c r="F200" s="15">
        <v>46223.623645833337</v>
      </c>
      <c r="G200" t="s">
        <v>412</v>
      </c>
      <c r="H200">
        <v>1</v>
      </c>
      <c r="I200" t="s">
        <v>1065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529</v>
      </c>
      <c r="S200" t="s">
        <v>361</v>
      </c>
      <c r="T200" t="s">
        <v>378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361</v>
      </c>
      <c r="AC200">
        <v>2200</v>
      </c>
      <c r="AD200" t="s">
        <v>225</v>
      </c>
      <c r="AE200">
        <v>1</v>
      </c>
    </row>
    <row r="201" spans="1:31" x14ac:dyDescent="0.3">
      <c r="A201" t="s">
        <v>351</v>
      </c>
      <c r="B201" t="s">
        <v>63</v>
      </c>
      <c r="C201" t="s">
        <v>95</v>
      </c>
      <c r="D201" t="s">
        <v>310</v>
      </c>
      <c r="E201" t="s">
        <v>1064</v>
      </c>
      <c r="F201" s="15">
        <v>46223.623645833337</v>
      </c>
      <c r="G201" t="s">
        <v>412</v>
      </c>
      <c r="H201">
        <v>3</v>
      </c>
      <c r="I201" t="s">
        <v>1066</v>
      </c>
      <c r="J201" s="15">
        <v>46224.351388888892</v>
      </c>
      <c r="K201" s="15">
        <v>46227.68472222222</v>
      </c>
      <c r="L201" s="15"/>
      <c r="M201">
        <v>3</v>
      </c>
      <c r="O201" t="s">
        <v>201</v>
      </c>
      <c r="P201" t="s">
        <v>532</v>
      </c>
      <c r="S201" t="s">
        <v>361</v>
      </c>
      <c r="T201" t="s">
        <v>378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361</v>
      </c>
      <c r="AC201">
        <v>2200</v>
      </c>
      <c r="AD201" t="s">
        <v>225</v>
      </c>
      <c r="AE201">
        <v>3</v>
      </c>
    </row>
    <row r="202" spans="1:31" x14ac:dyDescent="0.3">
      <c r="A202" t="s">
        <v>351</v>
      </c>
      <c r="B202" t="s">
        <v>63</v>
      </c>
      <c r="C202" t="s">
        <v>95</v>
      </c>
      <c r="D202" t="s">
        <v>310</v>
      </c>
      <c r="E202" t="s">
        <v>443</v>
      </c>
      <c r="F202" s="15">
        <v>46217.60359953704</v>
      </c>
      <c r="G202" t="s">
        <v>439</v>
      </c>
      <c r="H202">
        <v>1</v>
      </c>
      <c r="I202" t="s">
        <v>1069</v>
      </c>
      <c r="J202" s="15">
        <v>46220.352083333331</v>
      </c>
      <c r="K202" s="15">
        <v>46227.702777777777</v>
      </c>
      <c r="L202" s="15"/>
      <c r="M202">
        <v>1</v>
      </c>
      <c r="O202" t="s">
        <v>201</v>
      </c>
      <c r="P202" t="s">
        <v>532</v>
      </c>
      <c r="S202" t="s">
        <v>363</v>
      </c>
      <c r="T202" t="s">
        <v>378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363</v>
      </c>
      <c r="AC202">
        <v>101</v>
      </c>
      <c r="AD202" t="s">
        <v>225</v>
      </c>
      <c r="AE202">
        <v>1</v>
      </c>
    </row>
    <row r="203" spans="1:31" x14ac:dyDescent="0.3">
      <c r="A203" t="s">
        <v>351</v>
      </c>
      <c r="B203" t="s">
        <v>63</v>
      </c>
      <c r="C203" t="s">
        <v>95</v>
      </c>
      <c r="D203" t="s">
        <v>310</v>
      </c>
      <c r="E203" t="s">
        <v>443</v>
      </c>
      <c r="F203" s="15">
        <v>46217.60359953704</v>
      </c>
      <c r="G203" t="s">
        <v>439</v>
      </c>
      <c r="H203">
        <v>4</v>
      </c>
      <c r="I203" t="s">
        <v>1069</v>
      </c>
      <c r="J203" s="15">
        <v>46220.352083333331</v>
      </c>
      <c r="K203" s="15">
        <v>46227.702777777777</v>
      </c>
      <c r="L203" s="15"/>
      <c r="M203">
        <v>4</v>
      </c>
      <c r="O203" t="s">
        <v>529</v>
      </c>
      <c r="S203" t="s">
        <v>363</v>
      </c>
      <c r="T203" t="s">
        <v>378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363</v>
      </c>
      <c r="AC203">
        <v>101</v>
      </c>
      <c r="AD203" t="s">
        <v>225</v>
      </c>
      <c r="AE203">
        <v>4</v>
      </c>
    </row>
    <row r="204" spans="1:31" x14ac:dyDescent="0.3">
      <c r="A204" t="s">
        <v>351</v>
      </c>
      <c r="B204" t="s">
        <v>63</v>
      </c>
      <c r="C204" t="s">
        <v>95</v>
      </c>
      <c r="D204" t="s">
        <v>310</v>
      </c>
      <c r="E204" t="s">
        <v>443</v>
      </c>
      <c r="F204" s="15">
        <v>46217.60359953704</v>
      </c>
      <c r="G204" t="s">
        <v>439</v>
      </c>
      <c r="H204">
        <v>1</v>
      </c>
      <c r="I204" t="s">
        <v>1069</v>
      </c>
      <c r="J204" s="15">
        <v>46220.352083333331</v>
      </c>
      <c r="K204" s="15">
        <v>46227.702777777777</v>
      </c>
      <c r="L204" s="15"/>
      <c r="M204">
        <v>1</v>
      </c>
      <c r="O204" t="s">
        <v>529</v>
      </c>
      <c r="S204" t="s">
        <v>363</v>
      </c>
      <c r="T204" t="s">
        <v>378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363</v>
      </c>
      <c r="AC204">
        <v>101</v>
      </c>
      <c r="AD204" t="s">
        <v>225</v>
      </c>
      <c r="AE204">
        <v>1</v>
      </c>
    </row>
    <row r="205" spans="1:31" x14ac:dyDescent="0.3">
      <c r="A205" t="s">
        <v>351</v>
      </c>
      <c r="B205" t="s">
        <v>63</v>
      </c>
      <c r="C205" t="s">
        <v>95</v>
      </c>
      <c r="D205" t="s">
        <v>310</v>
      </c>
      <c r="E205" t="s">
        <v>1059</v>
      </c>
      <c r="F205" s="15">
        <v>46233.719895833332</v>
      </c>
      <c r="G205" t="s">
        <v>439</v>
      </c>
      <c r="H205">
        <v>6</v>
      </c>
      <c r="I205" t="s">
        <v>1060</v>
      </c>
      <c r="J205" s="15">
        <v>46234.410682870373</v>
      </c>
      <c r="K205" s="15">
        <v>46238.434027777781</v>
      </c>
      <c r="L205" s="15"/>
      <c r="M205">
        <v>6</v>
      </c>
      <c r="O205" t="s">
        <v>201</v>
      </c>
      <c r="P205" t="s">
        <v>532</v>
      </c>
      <c r="S205" t="s">
        <v>361</v>
      </c>
      <c r="T205" t="s">
        <v>378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361</v>
      </c>
      <c r="AC205">
        <v>2200</v>
      </c>
      <c r="AD205" t="s">
        <v>225</v>
      </c>
      <c r="AE205">
        <v>6</v>
      </c>
    </row>
    <row r="206" spans="1:31" x14ac:dyDescent="0.3">
      <c r="A206" t="s">
        <v>351</v>
      </c>
      <c r="B206" t="s">
        <v>63</v>
      </c>
      <c r="C206" t="s">
        <v>95</v>
      </c>
      <c r="D206" t="s">
        <v>310</v>
      </c>
      <c r="E206" t="s">
        <v>1059</v>
      </c>
      <c r="F206" s="15">
        <v>46233.719895833332</v>
      </c>
      <c r="G206" t="s">
        <v>439</v>
      </c>
      <c r="H206">
        <v>2</v>
      </c>
      <c r="I206" t="s">
        <v>1101</v>
      </c>
      <c r="J206" s="15">
        <v>46234.408483796295</v>
      </c>
      <c r="K206" s="15">
        <v>46238.436805555553</v>
      </c>
      <c r="L206" s="15"/>
      <c r="M206">
        <v>2</v>
      </c>
      <c r="O206" t="s">
        <v>201</v>
      </c>
      <c r="P206" t="s">
        <v>532</v>
      </c>
      <c r="S206" t="s">
        <v>361</v>
      </c>
      <c r="T206" t="s">
        <v>378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361</v>
      </c>
      <c r="AC206">
        <v>2200</v>
      </c>
      <c r="AD206" t="s">
        <v>225</v>
      </c>
      <c r="AE206">
        <v>2</v>
      </c>
    </row>
    <row r="207" spans="1:31" x14ac:dyDescent="0.3">
      <c r="A207" t="s">
        <v>351</v>
      </c>
      <c r="B207" t="s">
        <v>63</v>
      </c>
      <c r="C207" t="s">
        <v>95</v>
      </c>
      <c r="D207" t="s">
        <v>310</v>
      </c>
      <c r="E207" t="s">
        <v>1059</v>
      </c>
      <c r="F207" s="15">
        <v>46233.719895833332</v>
      </c>
      <c r="G207" t="s">
        <v>439</v>
      </c>
      <c r="H207">
        <v>6</v>
      </c>
      <c r="I207" t="s">
        <v>1060</v>
      </c>
      <c r="J207" s="15">
        <v>46234.410682870373</v>
      </c>
      <c r="K207" s="15">
        <v>46238.434027777781</v>
      </c>
      <c r="L207" s="15"/>
      <c r="M207">
        <v>6</v>
      </c>
      <c r="O207" t="s">
        <v>529</v>
      </c>
      <c r="S207" t="s">
        <v>361</v>
      </c>
      <c r="T207" t="s">
        <v>378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361</v>
      </c>
      <c r="AC207">
        <v>2200</v>
      </c>
      <c r="AD207" t="s">
        <v>225</v>
      </c>
      <c r="AE207">
        <v>6</v>
      </c>
    </row>
    <row r="208" spans="1:31" x14ac:dyDescent="0.3">
      <c r="A208" t="s">
        <v>351</v>
      </c>
      <c r="B208" t="s">
        <v>281</v>
      </c>
      <c r="C208" t="s">
        <v>85</v>
      </c>
      <c r="D208" t="s">
        <v>310</v>
      </c>
      <c r="E208" t="s">
        <v>443</v>
      </c>
      <c r="F208" s="15">
        <v>46217.60359953704</v>
      </c>
      <c r="G208" t="s">
        <v>439</v>
      </c>
      <c r="H208">
        <v>1</v>
      </c>
      <c r="I208" t="s">
        <v>1069</v>
      </c>
      <c r="J208" s="15">
        <v>46220.352083333331</v>
      </c>
      <c r="K208" s="15">
        <v>46227.702777777777</v>
      </c>
      <c r="L208" s="15"/>
      <c r="M208">
        <v>1</v>
      </c>
      <c r="O208" t="s">
        <v>201</v>
      </c>
      <c r="P208" t="s">
        <v>531</v>
      </c>
      <c r="S208" t="s">
        <v>363</v>
      </c>
      <c r="T208" t="s">
        <v>378</v>
      </c>
      <c r="U208" t="s">
        <v>239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363</v>
      </c>
      <c r="AC208">
        <v>101</v>
      </c>
      <c r="AD208" t="s">
        <v>231</v>
      </c>
      <c r="AE208">
        <v>1</v>
      </c>
    </row>
    <row r="209" spans="1:32" x14ac:dyDescent="0.3">
      <c r="A209" t="s">
        <v>351</v>
      </c>
      <c r="B209" t="s">
        <v>281</v>
      </c>
      <c r="C209" t="s">
        <v>85</v>
      </c>
      <c r="D209" t="s">
        <v>310</v>
      </c>
      <c r="E209" t="s">
        <v>443</v>
      </c>
      <c r="F209" s="15">
        <v>46217.60359953704</v>
      </c>
      <c r="G209" t="s">
        <v>439</v>
      </c>
      <c r="H209">
        <v>14</v>
      </c>
      <c r="I209" t="s">
        <v>1069</v>
      </c>
      <c r="J209" s="15">
        <v>46220.352083333331</v>
      </c>
      <c r="K209" s="15">
        <v>46227.702777777777</v>
      </c>
      <c r="L209" s="15"/>
      <c r="M209">
        <v>14</v>
      </c>
      <c r="O209" t="s">
        <v>529</v>
      </c>
      <c r="S209" t="s">
        <v>363</v>
      </c>
      <c r="T209" t="s">
        <v>378</v>
      </c>
      <c r="U209" t="s">
        <v>239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363</v>
      </c>
      <c r="AC209">
        <v>101</v>
      </c>
      <c r="AD209" t="s">
        <v>231</v>
      </c>
      <c r="AE209">
        <v>14</v>
      </c>
    </row>
    <row r="210" spans="1:32" x14ac:dyDescent="0.3">
      <c r="A210" t="s">
        <v>351</v>
      </c>
      <c r="B210" t="s">
        <v>279</v>
      </c>
      <c r="C210" t="s">
        <v>197</v>
      </c>
      <c r="D210" t="s">
        <v>310</v>
      </c>
      <c r="E210" t="s">
        <v>1059</v>
      </c>
      <c r="F210" s="15">
        <v>46233.719895833332</v>
      </c>
      <c r="G210" t="s">
        <v>439</v>
      </c>
      <c r="H210">
        <v>31</v>
      </c>
      <c r="I210" t="s">
        <v>1060</v>
      </c>
      <c r="J210" s="15">
        <v>46234.410682870373</v>
      </c>
      <c r="K210" s="15">
        <v>46238.434027777781</v>
      </c>
      <c r="L210" s="15"/>
      <c r="M210">
        <v>31</v>
      </c>
      <c r="O210" t="s">
        <v>201</v>
      </c>
      <c r="P210" t="s">
        <v>532</v>
      </c>
      <c r="S210" t="s">
        <v>361</v>
      </c>
      <c r="T210" t="s">
        <v>378</v>
      </c>
      <c r="U210" t="s">
        <v>239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361</v>
      </c>
      <c r="AC210">
        <v>2200</v>
      </c>
      <c r="AD210" t="s">
        <v>232</v>
      </c>
      <c r="AE210">
        <v>496</v>
      </c>
    </row>
    <row r="211" spans="1:32" x14ac:dyDescent="0.3">
      <c r="A211" t="s">
        <v>351</v>
      </c>
      <c r="B211" t="s">
        <v>279</v>
      </c>
      <c r="C211" t="s">
        <v>197</v>
      </c>
      <c r="D211" t="s">
        <v>310</v>
      </c>
      <c r="E211" t="s">
        <v>1059</v>
      </c>
      <c r="F211" s="15">
        <v>46233.719895833332</v>
      </c>
      <c r="G211" t="s">
        <v>439</v>
      </c>
      <c r="H211">
        <v>11</v>
      </c>
      <c r="I211" t="s">
        <v>1060</v>
      </c>
      <c r="J211" s="15">
        <v>46234.410682870373</v>
      </c>
      <c r="K211" s="15">
        <v>46238.434027777781</v>
      </c>
      <c r="L211" s="15"/>
      <c r="M211">
        <v>11</v>
      </c>
      <c r="O211" t="s">
        <v>529</v>
      </c>
      <c r="S211" t="s">
        <v>361</v>
      </c>
      <c r="T211" t="s">
        <v>378</v>
      </c>
      <c r="U211" t="s">
        <v>239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361</v>
      </c>
      <c r="AC211">
        <v>2200</v>
      </c>
      <c r="AD211" t="s">
        <v>232</v>
      </c>
      <c r="AE211">
        <v>176</v>
      </c>
    </row>
    <row r="212" spans="1:32" x14ac:dyDescent="0.3">
      <c r="A212" t="s">
        <v>351</v>
      </c>
      <c r="B212" t="s">
        <v>279</v>
      </c>
      <c r="C212" t="s">
        <v>197</v>
      </c>
      <c r="D212" t="s">
        <v>310</v>
      </c>
      <c r="E212" t="s">
        <v>438</v>
      </c>
      <c r="F212" s="15">
        <v>46212.717303240737</v>
      </c>
      <c r="G212" t="s">
        <v>412</v>
      </c>
      <c r="H212">
        <v>24</v>
      </c>
      <c r="I212" t="s">
        <v>1039</v>
      </c>
      <c r="J212" s="15">
        <v>46231.477627314816</v>
      </c>
      <c r="K212" s="15">
        <v>46238.444444444445</v>
      </c>
      <c r="L212" s="15"/>
      <c r="M212">
        <v>24</v>
      </c>
      <c r="O212" t="s">
        <v>201</v>
      </c>
      <c r="P212" t="s">
        <v>531</v>
      </c>
      <c r="S212" t="s">
        <v>361</v>
      </c>
      <c r="T212" t="s">
        <v>378</v>
      </c>
      <c r="U212" t="s">
        <v>239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361</v>
      </c>
      <c r="AC212">
        <v>2200</v>
      </c>
      <c r="AD212" t="s">
        <v>232</v>
      </c>
      <c r="AE212">
        <v>384</v>
      </c>
    </row>
    <row r="213" spans="1:32" x14ac:dyDescent="0.3">
      <c r="A213" t="s">
        <v>351</v>
      </c>
      <c r="B213" t="s">
        <v>279</v>
      </c>
      <c r="C213" t="s">
        <v>197</v>
      </c>
      <c r="D213" t="s">
        <v>310</v>
      </c>
      <c r="E213" t="s">
        <v>438</v>
      </c>
      <c r="F213" s="15">
        <v>46212.717303240737</v>
      </c>
      <c r="G213" t="s">
        <v>412</v>
      </c>
      <c r="H213">
        <v>14</v>
      </c>
      <c r="I213" t="s">
        <v>1039</v>
      </c>
      <c r="J213" s="15">
        <v>46231.477627314816</v>
      </c>
      <c r="K213" s="15">
        <v>46238.444444444445</v>
      </c>
      <c r="L213" s="15"/>
      <c r="M213">
        <v>14</v>
      </c>
      <c r="O213" t="s">
        <v>529</v>
      </c>
      <c r="S213" t="s">
        <v>361</v>
      </c>
      <c r="T213" t="s">
        <v>378</v>
      </c>
      <c r="U213" t="s">
        <v>239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361</v>
      </c>
      <c r="AC213">
        <v>2200</v>
      </c>
      <c r="AD213" t="s">
        <v>232</v>
      </c>
      <c r="AE213">
        <v>224</v>
      </c>
    </row>
    <row r="214" spans="1:32" x14ac:dyDescent="0.3">
      <c r="A214" t="s">
        <v>351</v>
      </c>
      <c r="B214" t="s">
        <v>279</v>
      </c>
      <c r="C214" t="s">
        <v>197</v>
      </c>
      <c r="D214" t="s">
        <v>310</v>
      </c>
      <c r="E214" t="s">
        <v>437</v>
      </c>
      <c r="F214" s="15">
        <v>46202.512337962966</v>
      </c>
      <c r="G214" t="s">
        <v>436</v>
      </c>
      <c r="H214">
        <v>30</v>
      </c>
      <c r="I214" t="s">
        <v>1042</v>
      </c>
      <c r="J214" s="15">
        <v>46239.591469907406</v>
      </c>
      <c r="K214" s="15">
        <v>46241.497916666667</v>
      </c>
      <c r="L214" s="15"/>
      <c r="M214">
        <v>30</v>
      </c>
      <c r="O214" t="s">
        <v>201</v>
      </c>
      <c r="P214" t="s">
        <v>532</v>
      </c>
      <c r="S214" t="s">
        <v>362</v>
      </c>
      <c r="T214" t="s">
        <v>378</v>
      </c>
      <c r="U214" t="s">
        <v>239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362</v>
      </c>
      <c r="AC214">
        <v>109</v>
      </c>
      <c r="AD214" t="s">
        <v>232</v>
      </c>
      <c r="AE214">
        <v>480</v>
      </c>
    </row>
    <row r="215" spans="1:32" x14ac:dyDescent="0.3">
      <c r="A215" t="s">
        <v>351</v>
      </c>
      <c r="B215" t="s">
        <v>60</v>
      </c>
      <c r="C215" t="s">
        <v>92</v>
      </c>
      <c r="D215" t="s">
        <v>310</v>
      </c>
      <c r="E215" t="s">
        <v>437</v>
      </c>
      <c r="F215" s="15">
        <v>46202.512337962966</v>
      </c>
      <c r="G215" t="s">
        <v>436</v>
      </c>
      <c r="H215">
        <v>1</v>
      </c>
      <c r="I215" t="s">
        <v>1040</v>
      </c>
      <c r="J215" s="15">
        <v>46203.361828703702</v>
      </c>
      <c r="K215" s="15">
        <v>46212.739201388889</v>
      </c>
      <c r="L215" s="15"/>
      <c r="M215">
        <v>736</v>
      </c>
      <c r="O215" t="s">
        <v>201</v>
      </c>
      <c r="P215" t="s">
        <v>532</v>
      </c>
      <c r="S215" t="s">
        <v>362</v>
      </c>
      <c r="T215" t="s">
        <v>378</v>
      </c>
      <c r="U215" t="s">
        <v>239</v>
      </c>
      <c r="V215" t="s">
        <v>7</v>
      </c>
      <c r="W215" t="s">
        <v>7</v>
      </c>
      <c r="X215" t="s">
        <v>7</v>
      </c>
      <c r="AA215" t="s">
        <v>92</v>
      </c>
      <c r="AB215" t="s">
        <v>362</v>
      </c>
      <c r="AC215">
        <v>109</v>
      </c>
      <c r="AD215" t="s">
        <v>236</v>
      </c>
      <c r="AE215">
        <v>736</v>
      </c>
    </row>
    <row r="216" spans="1:32" x14ac:dyDescent="0.3">
      <c r="A216" t="s">
        <v>351</v>
      </c>
      <c r="B216" t="s">
        <v>60</v>
      </c>
      <c r="C216" t="s">
        <v>92</v>
      </c>
      <c r="D216" t="s">
        <v>310</v>
      </c>
      <c r="E216" t="s">
        <v>437</v>
      </c>
      <c r="F216" s="15">
        <v>46202.512337962966</v>
      </c>
      <c r="G216" t="s">
        <v>436</v>
      </c>
      <c r="H216">
        <v>1</v>
      </c>
      <c r="I216" t="s">
        <v>1040</v>
      </c>
      <c r="J216" s="15">
        <v>46203.361828703702</v>
      </c>
      <c r="K216" s="15">
        <v>46212.739201388889</v>
      </c>
      <c r="L216" s="15"/>
      <c r="M216">
        <v>60</v>
      </c>
      <c r="O216" t="s">
        <v>529</v>
      </c>
      <c r="S216" t="s">
        <v>362</v>
      </c>
      <c r="T216" t="s">
        <v>378</v>
      </c>
      <c r="U216" t="s">
        <v>239</v>
      </c>
      <c r="V216" t="s">
        <v>7</v>
      </c>
      <c r="W216" t="s">
        <v>7</v>
      </c>
      <c r="X216" t="s">
        <v>7</v>
      </c>
      <c r="AA216" t="s">
        <v>92</v>
      </c>
      <c r="AB216" t="s">
        <v>362</v>
      </c>
      <c r="AC216">
        <v>109</v>
      </c>
      <c r="AD216" t="s">
        <v>236</v>
      </c>
      <c r="AE216">
        <v>60</v>
      </c>
    </row>
    <row r="217" spans="1:32" x14ac:dyDescent="0.3">
      <c r="A217" t="s">
        <v>351</v>
      </c>
      <c r="B217" t="s">
        <v>42</v>
      </c>
      <c r="C217" t="s">
        <v>68</v>
      </c>
      <c r="D217" t="s">
        <v>310</v>
      </c>
      <c r="E217" t="s">
        <v>1089</v>
      </c>
      <c r="F217" s="15">
        <v>46227.417442129627</v>
      </c>
      <c r="G217" t="s">
        <v>412</v>
      </c>
      <c r="H217">
        <v>1</v>
      </c>
      <c r="I217" t="s">
        <v>1090</v>
      </c>
      <c r="J217" s="15">
        <v>46230.382638888892</v>
      </c>
      <c r="K217" s="15">
        <v>46231.361111111109</v>
      </c>
      <c r="L217" s="15"/>
      <c r="M217">
        <v>1</v>
      </c>
      <c r="O217" t="s">
        <v>530</v>
      </c>
      <c r="S217" t="s">
        <v>360</v>
      </c>
      <c r="T217" t="s">
        <v>378</v>
      </c>
      <c r="U217" t="s">
        <v>239</v>
      </c>
      <c r="V217" t="s">
        <v>7</v>
      </c>
      <c r="W217" t="s">
        <v>7</v>
      </c>
      <c r="X217" t="s">
        <v>7</v>
      </c>
      <c r="AA217" t="s">
        <v>67</v>
      </c>
      <c r="AB217" t="s">
        <v>360</v>
      </c>
      <c r="AC217">
        <v>50</v>
      </c>
      <c r="AD217" t="s">
        <v>7</v>
      </c>
    </row>
    <row r="218" spans="1:32" x14ac:dyDescent="0.3">
      <c r="A218" t="s">
        <v>351</v>
      </c>
      <c r="B218" t="s">
        <v>281</v>
      </c>
      <c r="C218" t="s">
        <v>85</v>
      </c>
      <c r="D218" t="s">
        <v>310</v>
      </c>
      <c r="E218" t="s">
        <v>1095</v>
      </c>
      <c r="F218" s="15">
        <v>46238.326192129629</v>
      </c>
      <c r="G218" t="s">
        <v>411</v>
      </c>
      <c r="H218">
        <v>5</v>
      </c>
      <c r="I218" t="s">
        <v>1096</v>
      </c>
      <c r="J218" s="15">
        <v>46238.341504629629</v>
      </c>
      <c r="K218" s="15">
        <v>46239.65625</v>
      </c>
      <c r="L218" s="15"/>
      <c r="M218">
        <v>5</v>
      </c>
      <c r="O218" t="s">
        <v>201</v>
      </c>
      <c r="P218" t="s">
        <v>532</v>
      </c>
      <c r="S218" t="s">
        <v>363</v>
      </c>
      <c r="T218" t="s">
        <v>378</v>
      </c>
      <c r="U218" t="s">
        <v>239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363</v>
      </c>
      <c r="AC218">
        <v>101</v>
      </c>
      <c r="AD218" t="s">
        <v>231</v>
      </c>
      <c r="AE218">
        <v>5</v>
      </c>
      <c r="AF218">
        <v>23.630000000000003</v>
      </c>
    </row>
    <row r="219" spans="1:32" x14ac:dyDescent="0.3">
      <c r="A219" t="s">
        <v>351</v>
      </c>
      <c r="B219" t="s">
        <v>281</v>
      </c>
      <c r="C219" t="s">
        <v>85</v>
      </c>
      <c r="D219" t="s">
        <v>310</v>
      </c>
      <c r="E219" t="s">
        <v>1095</v>
      </c>
      <c r="F219" s="15">
        <v>46238.326192129629</v>
      </c>
      <c r="G219" t="s">
        <v>411</v>
      </c>
      <c r="H219">
        <v>5</v>
      </c>
      <c r="I219" t="s">
        <v>1096</v>
      </c>
      <c r="J219" s="15">
        <v>46238.341504629629</v>
      </c>
      <c r="K219" s="15">
        <v>46239.65625</v>
      </c>
      <c r="L219" s="15"/>
      <c r="M219">
        <v>5</v>
      </c>
      <c r="O219" t="s">
        <v>529</v>
      </c>
      <c r="S219" t="s">
        <v>363</v>
      </c>
      <c r="T219" t="s">
        <v>378</v>
      </c>
      <c r="U219" t="s">
        <v>239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363</v>
      </c>
      <c r="AC219">
        <v>101</v>
      </c>
      <c r="AD219" t="s">
        <v>231</v>
      </c>
      <c r="AE219">
        <v>5</v>
      </c>
    </row>
    <row r="220" spans="1:32" x14ac:dyDescent="0.3">
      <c r="A220" t="s">
        <v>351</v>
      </c>
      <c r="B220" t="s">
        <v>63</v>
      </c>
      <c r="C220" t="s">
        <v>95</v>
      </c>
      <c r="D220" t="s">
        <v>310</v>
      </c>
      <c r="E220" t="s">
        <v>1095</v>
      </c>
      <c r="F220" s="15">
        <v>46238.326192129629</v>
      </c>
      <c r="G220" t="s">
        <v>411</v>
      </c>
      <c r="H220">
        <v>1</v>
      </c>
      <c r="I220" t="s">
        <v>1096</v>
      </c>
      <c r="J220" s="15">
        <v>46238.341504629629</v>
      </c>
      <c r="K220" s="15">
        <v>46239.65625</v>
      </c>
      <c r="L220" s="15"/>
      <c r="M220">
        <v>1</v>
      </c>
      <c r="O220" t="s">
        <v>201</v>
      </c>
      <c r="P220" t="s">
        <v>532</v>
      </c>
      <c r="S220" t="s">
        <v>363</v>
      </c>
      <c r="T220" t="s">
        <v>378</v>
      </c>
      <c r="U220" t="s">
        <v>239</v>
      </c>
      <c r="V220" t="s">
        <v>7</v>
      </c>
      <c r="W220" t="s">
        <v>7</v>
      </c>
      <c r="X220" t="s">
        <v>7</v>
      </c>
      <c r="AA220" t="s">
        <v>96</v>
      </c>
      <c r="AB220" t="s">
        <v>363</v>
      </c>
      <c r="AC220">
        <v>101</v>
      </c>
      <c r="AD220" t="s">
        <v>225</v>
      </c>
      <c r="AE220">
        <v>1</v>
      </c>
    </row>
    <row r="221" spans="1:32" x14ac:dyDescent="0.3">
      <c r="A221" t="s">
        <v>351</v>
      </c>
      <c r="B221" t="s">
        <v>63</v>
      </c>
      <c r="C221" t="s">
        <v>95</v>
      </c>
      <c r="D221" t="s">
        <v>310</v>
      </c>
      <c r="E221" t="s">
        <v>1095</v>
      </c>
      <c r="F221" s="15">
        <v>46238.326192129629</v>
      </c>
      <c r="G221" t="s">
        <v>411</v>
      </c>
      <c r="H221">
        <v>1</v>
      </c>
      <c r="I221" t="s">
        <v>1096</v>
      </c>
      <c r="J221" s="15">
        <v>46238.341504629629</v>
      </c>
      <c r="K221" s="15">
        <v>46239.65625</v>
      </c>
      <c r="L221" s="15"/>
      <c r="M221">
        <v>1</v>
      </c>
      <c r="O221" t="s">
        <v>529</v>
      </c>
      <c r="S221" t="s">
        <v>363</v>
      </c>
      <c r="T221" t="s">
        <v>378</v>
      </c>
      <c r="U221" t="s">
        <v>239</v>
      </c>
      <c r="V221" t="s">
        <v>7</v>
      </c>
      <c r="W221" t="s">
        <v>7</v>
      </c>
      <c r="X221" t="s">
        <v>7</v>
      </c>
      <c r="AA221" t="s">
        <v>96</v>
      </c>
      <c r="AB221" t="s">
        <v>363</v>
      </c>
      <c r="AC221">
        <v>101</v>
      </c>
      <c r="AD221" t="s">
        <v>225</v>
      </c>
      <c r="AE221">
        <v>1</v>
      </c>
    </row>
    <row r="222" spans="1:32" x14ac:dyDescent="0.3">
      <c r="A222" t="s">
        <v>351</v>
      </c>
      <c r="B222" t="s">
        <v>57</v>
      </c>
      <c r="C222" t="s">
        <v>117</v>
      </c>
      <c r="D222" t="s">
        <v>310</v>
      </c>
      <c r="E222" t="s">
        <v>1095</v>
      </c>
      <c r="F222" s="15">
        <v>46238.326192129629</v>
      </c>
      <c r="G222" t="s">
        <v>411</v>
      </c>
      <c r="H222">
        <v>1</v>
      </c>
      <c r="I222" t="s">
        <v>1096</v>
      </c>
      <c r="J222" s="15">
        <v>46238.341504629629</v>
      </c>
      <c r="K222" s="15">
        <v>46239.65625</v>
      </c>
      <c r="L222" s="15"/>
      <c r="M222">
        <v>1</v>
      </c>
      <c r="O222" t="s">
        <v>201</v>
      </c>
      <c r="P222" t="s">
        <v>532</v>
      </c>
      <c r="S222" t="s">
        <v>363</v>
      </c>
      <c r="T222" t="s">
        <v>378</v>
      </c>
      <c r="U222" t="s">
        <v>239</v>
      </c>
      <c r="V222" t="s">
        <v>7</v>
      </c>
      <c r="W222" t="s">
        <v>7</v>
      </c>
      <c r="X222" t="s">
        <v>7</v>
      </c>
      <c r="AA222" t="s">
        <v>127</v>
      </c>
      <c r="AB222" t="s">
        <v>363</v>
      </c>
      <c r="AC222">
        <v>101</v>
      </c>
      <c r="AD222" t="s">
        <v>233</v>
      </c>
      <c r="AE222">
        <v>1</v>
      </c>
    </row>
    <row r="223" spans="1:32" x14ac:dyDescent="0.3">
      <c r="A223" t="s">
        <v>351</v>
      </c>
      <c r="B223" t="s">
        <v>57</v>
      </c>
      <c r="C223" t="s">
        <v>117</v>
      </c>
      <c r="D223" t="s">
        <v>310</v>
      </c>
      <c r="E223" t="s">
        <v>1095</v>
      </c>
      <c r="F223" s="15">
        <v>46238.326192129629</v>
      </c>
      <c r="G223" t="s">
        <v>411</v>
      </c>
      <c r="H223">
        <v>1</v>
      </c>
      <c r="I223" t="s">
        <v>1096</v>
      </c>
      <c r="J223" s="15">
        <v>46238.341504629629</v>
      </c>
      <c r="K223" s="15">
        <v>46239.65625</v>
      </c>
      <c r="L223" s="15"/>
      <c r="M223">
        <v>1</v>
      </c>
      <c r="O223" t="s">
        <v>529</v>
      </c>
      <c r="S223" t="s">
        <v>363</v>
      </c>
      <c r="T223" t="s">
        <v>378</v>
      </c>
      <c r="U223" t="s">
        <v>239</v>
      </c>
      <c r="V223" t="s">
        <v>7</v>
      </c>
      <c r="W223" t="s">
        <v>7</v>
      </c>
      <c r="X223" t="s">
        <v>7</v>
      </c>
      <c r="AA223" t="s">
        <v>127</v>
      </c>
      <c r="AB223" t="s">
        <v>363</v>
      </c>
      <c r="AC223">
        <v>101</v>
      </c>
      <c r="AD223" t="s">
        <v>233</v>
      </c>
      <c r="AE223">
        <v>1</v>
      </c>
    </row>
    <row r="224" spans="1:32" x14ac:dyDescent="0.3">
      <c r="A224" t="s">
        <v>351</v>
      </c>
      <c r="B224" t="s">
        <v>63</v>
      </c>
      <c r="C224" t="s">
        <v>95</v>
      </c>
      <c r="D224" t="s">
        <v>310</v>
      </c>
      <c r="E224" t="s">
        <v>1059</v>
      </c>
      <c r="F224" s="15">
        <v>46233.719895833332</v>
      </c>
      <c r="G224" t="s">
        <v>439</v>
      </c>
      <c r="H224">
        <v>108</v>
      </c>
      <c r="I224" t="s">
        <v>1099</v>
      </c>
      <c r="J224" s="15">
        <v>46244.494745370372</v>
      </c>
      <c r="K224" s="15">
        <v>46247.731863425928</v>
      </c>
      <c r="L224" s="15"/>
      <c r="M224">
        <v>108</v>
      </c>
      <c r="O224" t="s">
        <v>201</v>
      </c>
      <c r="P224" t="s">
        <v>532</v>
      </c>
      <c r="S224" t="s">
        <v>361</v>
      </c>
      <c r="T224" t="s">
        <v>378</v>
      </c>
      <c r="U224" t="s">
        <v>239</v>
      </c>
      <c r="V224" t="s">
        <v>7</v>
      </c>
      <c r="W224" t="s">
        <v>7</v>
      </c>
      <c r="X224" t="s">
        <v>7</v>
      </c>
      <c r="AA224" t="s">
        <v>96</v>
      </c>
      <c r="AB224" t="s">
        <v>361</v>
      </c>
      <c r="AC224">
        <v>2200</v>
      </c>
      <c r="AD224" t="s">
        <v>225</v>
      </c>
      <c r="AE224">
        <v>108</v>
      </c>
      <c r="AF224">
        <v>184.68</v>
      </c>
    </row>
    <row r="225" spans="1:32" x14ac:dyDescent="0.3">
      <c r="A225" t="s">
        <v>351</v>
      </c>
      <c r="B225" t="s">
        <v>57</v>
      </c>
      <c r="C225" t="s">
        <v>117</v>
      </c>
      <c r="D225" t="s">
        <v>310</v>
      </c>
      <c r="E225" t="s">
        <v>1059</v>
      </c>
      <c r="F225" s="15">
        <v>46233.719895833332</v>
      </c>
      <c r="G225" t="s">
        <v>439</v>
      </c>
      <c r="H225">
        <v>108</v>
      </c>
      <c r="I225" t="s">
        <v>1099</v>
      </c>
      <c r="J225" s="15">
        <v>46244.494745370372</v>
      </c>
      <c r="K225" s="15">
        <v>46247.731863425928</v>
      </c>
      <c r="L225" s="15"/>
      <c r="M225">
        <v>108</v>
      </c>
      <c r="O225" t="s">
        <v>201</v>
      </c>
      <c r="P225" t="s">
        <v>532</v>
      </c>
      <c r="S225" t="s">
        <v>361</v>
      </c>
      <c r="T225" t="s">
        <v>378</v>
      </c>
      <c r="U225" t="s">
        <v>239</v>
      </c>
      <c r="V225" t="s">
        <v>7</v>
      </c>
      <c r="W225" t="s">
        <v>7</v>
      </c>
      <c r="X225" t="s">
        <v>7</v>
      </c>
      <c r="AA225" t="s">
        <v>127</v>
      </c>
      <c r="AB225" t="s">
        <v>361</v>
      </c>
      <c r="AC225">
        <v>2200</v>
      </c>
      <c r="AD225" t="s">
        <v>233</v>
      </c>
      <c r="AE225">
        <v>10.8</v>
      </c>
    </row>
    <row r="226" spans="1:32" x14ac:dyDescent="0.3">
      <c r="A226" t="s">
        <v>351</v>
      </c>
      <c r="B226" t="s">
        <v>63</v>
      </c>
      <c r="C226" t="s">
        <v>95</v>
      </c>
      <c r="D226" t="s">
        <v>310</v>
      </c>
      <c r="E226" t="s">
        <v>1059</v>
      </c>
      <c r="F226" s="15">
        <v>46233.719895833332</v>
      </c>
      <c r="G226" t="s">
        <v>439</v>
      </c>
      <c r="H226">
        <v>12</v>
      </c>
      <c r="I226" t="s">
        <v>1100</v>
      </c>
      <c r="J226" s="15">
        <v>46237.708252314813</v>
      </c>
      <c r="K226" s="15">
        <v>46240.458333333336</v>
      </c>
      <c r="L226" s="15"/>
      <c r="M226">
        <v>12</v>
      </c>
      <c r="O226" t="s">
        <v>201</v>
      </c>
      <c r="P226" t="s">
        <v>532</v>
      </c>
      <c r="S226" t="s">
        <v>361</v>
      </c>
      <c r="T226" t="s">
        <v>378</v>
      </c>
      <c r="U226" t="s">
        <v>239</v>
      </c>
      <c r="V226" t="s">
        <v>7</v>
      </c>
      <c r="W226" t="s">
        <v>7</v>
      </c>
      <c r="X226" t="s">
        <v>7</v>
      </c>
      <c r="AA226" t="s">
        <v>96</v>
      </c>
      <c r="AB226" t="s">
        <v>361</v>
      </c>
      <c r="AC226">
        <v>2200</v>
      </c>
      <c r="AD226" t="s">
        <v>225</v>
      </c>
      <c r="AE226">
        <v>12</v>
      </c>
      <c r="AF226">
        <v>20.52</v>
      </c>
    </row>
    <row r="227" spans="1:32" x14ac:dyDescent="0.3">
      <c r="A227" t="s">
        <v>351</v>
      </c>
      <c r="B227" t="s">
        <v>57</v>
      </c>
      <c r="C227" t="s">
        <v>117</v>
      </c>
      <c r="D227" t="s">
        <v>310</v>
      </c>
      <c r="E227" t="s">
        <v>1059</v>
      </c>
      <c r="F227" s="15">
        <v>46233.719895833332</v>
      </c>
      <c r="G227" t="s">
        <v>439</v>
      </c>
      <c r="H227">
        <v>12</v>
      </c>
      <c r="I227" t="s">
        <v>1100</v>
      </c>
      <c r="J227" s="15">
        <v>46237.708252314813</v>
      </c>
      <c r="K227" s="15">
        <v>46240.458333333336</v>
      </c>
      <c r="L227" s="15"/>
      <c r="M227">
        <v>12</v>
      </c>
      <c r="O227" t="s">
        <v>201</v>
      </c>
      <c r="P227" t="s">
        <v>532</v>
      </c>
      <c r="S227" t="s">
        <v>361</v>
      </c>
      <c r="T227" t="s">
        <v>378</v>
      </c>
      <c r="U227" t="s">
        <v>239</v>
      </c>
      <c r="V227" t="s">
        <v>7</v>
      </c>
      <c r="W227" t="s">
        <v>7</v>
      </c>
      <c r="X227" t="s">
        <v>7</v>
      </c>
      <c r="AA227" t="s">
        <v>127</v>
      </c>
      <c r="AB227" t="s">
        <v>361</v>
      </c>
      <c r="AC227">
        <v>2200</v>
      </c>
      <c r="AD227" t="s">
        <v>233</v>
      </c>
      <c r="AE227">
        <v>1.2</v>
      </c>
    </row>
    <row r="228" spans="1:32" x14ac:dyDescent="0.3">
      <c r="A228" t="s">
        <v>351</v>
      </c>
      <c r="B228" t="s">
        <v>279</v>
      </c>
      <c r="C228" t="s">
        <v>197</v>
      </c>
      <c r="D228" t="s">
        <v>310</v>
      </c>
      <c r="E228" t="s">
        <v>1059</v>
      </c>
      <c r="F228" s="15">
        <v>46233.719895833332</v>
      </c>
      <c r="G228" t="s">
        <v>439</v>
      </c>
      <c r="H228">
        <v>12</v>
      </c>
      <c r="I228" t="s">
        <v>1100</v>
      </c>
      <c r="J228" s="15">
        <v>46237.708252314813</v>
      </c>
      <c r="K228" s="15">
        <v>46240.458333333336</v>
      </c>
      <c r="L228" s="15"/>
      <c r="M228">
        <v>12</v>
      </c>
      <c r="O228" t="s">
        <v>201</v>
      </c>
      <c r="P228" t="s">
        <v>532</v>
      </c>
      <c r="S228" t="s">
        <v>361</v>
      </c>
      <c r="T228" t="s">
        <v>378</v>
      </c>
      <c r="U228" t="s">
        <v>239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361</v>
      </c>
      <c r="AC228">
        <v>2200</v>
      </c>
      <c r="AD228" t="s">
        <v>232</v>
      </c>
      <c r="AE228">
        <v>192</v>
      </c>
    </row>
    <row r="229" spans="1:32" x14ac:dyDescent="0.3">
      <c r="A229" t="s">
        <v>351</v>
      </c>
      <c r="B229" t="s">
        <v>281</v>
      </c>
      <c r="C229" t="s">
        <v>85</v>
      </c>
      <c r="D229" t="s">
        <v>310</v>
      </c>
      <c r="E229" t="s">
        <v>1059</v>
      </c>
      <c r="F229" s="15">
        <v>46233.719895833332</v>
      </c>
      <c r="G229" t="s">
        <v>439</v>
      </c>
      <c r="H229">
        <v>2</v>
      </c>
      <c r="I229" t="s">
        <v>1101</v>
      </c>
      <c r="J229" s="15">
        <v>46234.408483796295</v>
      </c>
      <c r="K229" s="15">
        <v>46238.436805555553</v>
      </c>
      <c r="L229" s="15"/>
      <c r="M229">
        <v>2</v>
      </c>
      <c r="O229" t="s">
        <v>201</v>
      </c>
      <c r="P229" t="s">
        <v>532</v>
      </c>
      <c r="S229" t="s">
        <v>361</v>
      </c>
      <c r="T229" t="s">
        <v>378</v>
      </c>
      <c r="U229" t="s">
        <v>239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361</v>
      </c>
      <c r="AC229">
        <v>2200</v>
      </c>
      <c r="AD229" t="s">
        <v>231</v>
      </c>
      <c r="AE229">
        <v>2</v>
      </c>
    </row>
    <row r="230" spans="1:32" x14ac:dyDescent="0.3">
      <c r="A230" t="s">
        <v>351</v>
      </c>
      <c r="B230" t="s">
        <v>279</v>
      </c>
      <c r="C230" t="s">
        <v>197</v>
      </c>
      <c r="D230" t="s">
        <v>310</v>
      </c>
      <c r="E230" t="s">
        <v>1059</v>
      </c>
      <c r="F230" s="15">
        <v>46233.719895833332</v>
      </c>
      <c r="G230" t="s">
        <v>439</v>
      </c>
      <c r="H230">
        <v>108</v>
      </c>
      <c r="I230" t="s">
        <v>1099</v>
      </c>
      <c r="J230" s="15">
        <v>46244.494745370372</v>
      </c>
      <c r="K230" s="15">
        <v>46247.731863425928</v>
      </c>
      <c r="L230" s="15"/>
      <c r="M230">
        <v>108</v>
      </c>
      <c r="O230" t="s">
        <v>201</v>
      </c>
      <c r="P230" t="s">
        <v>531</v>
      </c>
      <c r="S230" t="s">
        <v>361</v>
      </c>
      <c r="T230" t="s">
        <v>378</v>
      </c>
      <c r="U230" t="s">
        <v>239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361</v>
      </c>
      <c r="AC230">
        <v>2200</v>
      </c>
      <c r="AD230" t="s">
        <v>232</v>
      </c>
      <c r="AE230">
        <v>1728</v>
      </c>
    </row>
    <row r="231" spans="1:32" x14ac:dyDescent="0.3">
      <c r="A231" t="s">
        <v>351</v>
      </c>
      <c r="B231" t="s">
        <v>47</v>
      </c>
      <c r="C231" t="s">
        <v>68</v>
      </c>
      <c r="D231" t="s">
        <v>310</v>
      </c>
      <c r="E231" t="s">
        <v>441</v>
      </c>
      <c r="F231" s="15">
        <v>46211.698680555557</v>
      </c>
      <c r="G231" t="s">
        <v>413</v>
      </c>
      <c r="H231">
        <v>2</v>
      </c>
      <c r="I231" t="s">
        <v>497</v>
      </c>
      <c r="J231" s="15">
        <v>46219.448703703703</v>
      </c>
      <c r="K231" s="15">
        <v>46220.459722222222</v>
      </c>
      <c r="L231" s="15"/>
      <c r="M231">
        <v>2</v>
      </c>
      <c r="O231" t="s">
        <v>201</v>
      </c>
      <c r="P231" t="s">
        <v>531</v>
      </c>
      <c r="S231" t="s">
        <v>362</v>
      </c>
      <c r="T231" t="s">
        <v>378</v>
      </c>
      <c r="U231" t="s">
        <v>239</v>
      </c>
      <c r="V231" t="s">
        <v>351</v>
      </c>
      <c r="W231" t="s">
        <v>378</v>
      </c>
      <c r="X231" t="s">
        <v>239</v>
      </c>
      <c r="Y231">
        <v>0</v>
      </c>
      <c r="AA231" t="s">
        <v>90</v>
      </c>
      <c r="AB231" t="s">
        <v>362</v>
      </c>
      <c r="AC231">
        <v>109</v>
      </c>
      <c r="AD231" t="s">
        <v>218</v>
      </c>
      <c r="AE231">
        <v>1</v>
      </c>
      <c r="AF231">
        <v>1</v>
      </c>
    </row>
    <row r="232" spans="1:32" x14ac:dyDescent="0.3">
      <c r="A232" t="s">
        <v>351</v>
      </c>
      <c r="B232" t="s">
        <v>279</v>
      </c>
      <c r="C232" t="s">
        <v>197</v>
      </c>
      <c r="D232" t="s">
        <v>310</v>
      </c>
      <c r="E232" t="s">
        <v>443</v>
      </c>
      <c r="F232" s="15">
        <v>46217.60359953704</v>
      </c>
      <c r="G232" t="s">
        <v>439</v>
      </c>
      <c r="H232">
        <v>13</v>
      </c>
      <c r="I232" t="s">
        <v>1102</v>
      </c>
      <c r="J232" s="15">
        <v>46237.518055555556</v>
      </c>
      <c r="K232" s="15">
        <v>46239.647916666669</v>
      </c>
      <c r="L232" s="15"/>
      <c r="M232">
        <v>13</v>
      </c>
      <c r="O232" t="s">
        <v>201</v>
      </c>
      <c r="P232" t="s">
        <v>532</v>
      </c>
      <c r="S232" t="s">
        <v>363</v>
      </c>
      <c r="T232" t="s">
        <v>378</v>
      </c>
      <c r="U232" t="s">
        <v>239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363</v>
      </c>
      <c r="AC232">
        <v>101</v>
      </c>
      <c r="AD232" t="s">
        <v>232</v>
      </c>
      <c r="AE232">
        <v>208</v>
      </c>
    </row>
    <row r="233" spans="1:32" x14ac:dyDescent="0.3">
      <c r="A233" t="s">
        <v>351</v>
      </c>
      <c r="B233" t="s">
        <v>57</v>
      </c>
      <c r="C233" t="s">
        <v>117</v>
      </c>
      <c r="D233" t="s">
        <v>310</v>
      </c>
      <c r="E233" t="s">
        <v>822</v>
      </c>
      <c r="F233" s="15">
        <v>46247.424131944441</v>
      </c>
      <c r="G233" t="s">
        <v>409</v>
      </c>
      <c r="H233">
        <v>1</v>
      </c>
      <c r="I233" t="s">
        <v>823</v>
      </c>
      <c r="J233" s="15">
        <v>46247.640277777777</v>
      </c>
      <c r="K233" s="15">
        <v>46253.622916666667</v>
      </c>
      <c r="L233" s="15"/>
      <c r="M233">
        <v>1</v>
      </c>
      <c r="O233" t="s">
        <v>201</v>
      </c>
      <c r="P233" t="s">
        <v>532</v>
      </c>
      <c r="S233" t="s">
        <v>359</v>
      </c>
      <c r="T233" t="s">
        <v>377</v>
      </c>
      <c r="U233" t="s">
        <v>239</v>
      </c>
      <c r="V233" t="s">
        <v>7</v>
      </c>
      <c r="W233" t="s">
        <v>7</v>
      </c>
      <c r="X233" t="s">
        <v>7</v>
      </c>
      <c r="AA233" t="s">
        <v>127</v>
      </c>
      <c r="AB233" t="s">
        <v>359</v>
      </c>
      <c r="AC233">
        <v>2100</v>
      </c>
      <c r="AD233" t="s">
        <v>233</v>
      </c>
      <c r="AE233">
        <v>1</v>
      </c>
      <c r="AF233">
        <v>95.4</v>
      </c>
    </row>
    <row r="234" spans="1:32" x14ac:dyDescent="0.3">
      <c r="A234" t="s">
        <v>351</v>
      </c>
      <c r="B234" t="s">
        <v>57</v>
      </c>
      <c r="C234" t="s">
        <v>117</v>
      </c>
      <c r="D234" t="s">
        <v>310</v>
      </c>
      <c r="E234" t="s">
        <v>820</v>
      </c>
      <c r="F234" s="15">
        <v>46241.653622685182</v>
      </c>
      <c r="G234" t="s">
        <v>409</v>
      </c>
      <c r="H234">
        <v>1</v>
      </c>
      <c r="I234" t="s">
        <v>821</v>
      </c>
      <c r="J234" s="15">
        <v>46247.673611111109</v>
      </c>
      <c r="K234" s="15">
        <v>46253.618055555555</v>
      </c>
      <c r="L234" s="15"/>
      <c r="M234">
        <v>1</v>
      </c>
      <c r="O234" t="s">
        <v>201</v>
      </c>
      <c r="P234" t="s">
        <v>532</v>
      </c>
      <c r="S234" t="s">
        <v>359</v>
      </c>
      <c r="T234" t="s">
        <v>377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359</v>
      </c>
      <c r="AC234">
        <v>2100</v>
      </c>
      <c r="AD234" t="s">
        <v>233</v>
      </c>
      <c r="AE234">
        <v>1</v>
      </c>
    </row>
    <row r="235" spans="1:32" x14ac:dyDescent="0.3">
      <c r="A235" t="s">
        <v>351</v>
      </c>
      <c r="B235" t="s">
        <v>57</v>
      </c>
      <c r="C235" t="s">
        <v>117</v>
      </c>
      <c r="D235" t="s">
        <v>310</v>
      </c>
      <c r="E235" t="s">
        <v>824</v>
      </c>
      <c r="F235" s="15">
        <v>46238.350578703707</v>
      </c>
      <c r="G235" t="s">
        <v>409</v>
      </c>
      <c r="H235">
        <v>1</v>
      </c>
      <c r="I235" t="s">
        <v>825</v>
      </c>
      <c r="J235" s="15">
        <v>46238.650694444441</v>
      </c>
      <c r="K235" s="15">
        <v>46241.494444444441</v>
      </c>
      <c r="L235" s="15"/>
      <c r="M235">
        <v>1</v>
      </c>
      <c r="O235" t="s">
        <v>201</v>
      </c>
      <c r="P235" t="s">
        <v>532</v>
      </c>
      <c r="S235" t="s">
        <v>359</v>
      </c>
      <c r="T235" t="s">
        <v>377</v>
      </c>
      <c r="U235" t="s">
        <v>239</v>
      </c>
      <c r="V235" t="s">
        <v>7</v>
      </c>
      <c r="W235" t="s">
        <v>7</v>
      </c>
      <c r="X235" t="s">
        <v>7</v>
      </c>
      <c r="AA235" t="s">
        <v>127</v>
      </c>
      <c r="AB235" t="s">
        <v>359</v>
      </c>
      <c r="AC235">
        <v>2100</v>
      </c>
      <c r="AD235" t="s">
        <v>233</v>
      </c>
      <c r="AE235">
        <v>1</v>
      </c>
      <c r="AF235">
        <v>22.6</v>
      </c>
    </row>
    <row r="236" spans="1:32" x14ac:dyDescent="0.3">
      <c r="A236" t="s">
        <v>351</v>
      </c>
      <c r="B236" t="s">
        <v>279</v>
      </c>
      <c r="C236" t="s">
        <v>192</v>
      </c>
      <c r="D236" t="s">
        <v>310</v>
      </c>
      <c r="E236" t="s">
        <v>822</v>
      </c>
      <c r="F236" s="15">
        <v>46247.424131944441</v>
      </c>
      <c r="G236" t="s">
        <v>409</v>
      </c>
      <c r="H236">
        <v>557</v>
      </c>
      <c r="I236" t="s">
        <v>823</v>
      </c>
      <c r="J236" s="15">
        <v>46247.640277777777</v>
      </c>
      <c r="K236" s="15">
        <v>46253.622916666667</v>
      </c>
      <c r="L236" s="15"/>
      <c r="M236">
        <v>557</v>
      </c>
      <c r="O236" t="s">
        <v>201</v>
      </c>
      <c r="P236" t="s">
        <v>531</v>
      </c>
      <c r="S236" t="s">
        <v>359</v>
      </c>
      <c r="T236" t="s">
        <v>377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359</v>
      </c>
      <c r="AC236">
        <v>2100</v>
      </c>
      <c r="AD236" t="s">
        <v>232</v>
      </c>
      <c r="AE236">
        <v>557</v>
      </c>
    </row>
    <row r="237" spans="1:32" x14ac:dyDescent="0.3">
      <c r="A237" t="s">
        <v>351</v>
      </c>
      <c r="B237" t="s">
        <v>279</v>
      </c>
      <c r="C237" t="s">
        <v>192</v>
      </c>
      <c r="D237" t="s">
        <v>310</v>
      </c>
      <c r="E237" t="s">
        <v>820</v>
      </c>
      <c r="F237" s="15">
        <v>46241.653622685182</v>
      </c>
      <c r="G237" t="s">
        <v>409</v>
      </c>
      <c r="H237">
        <v>393</v>
      </c>
      <c r="I237" t="s">
        <v>821</v>
      </c>
      <c r="J237" s="15">
        <v>46247.673611111109</v>
      </c>
      <c r="K237" s="15">
        <v>46253.618055555555</v>
      </c>
      <c r="L237" s="15"/>
      <c r="M237">
        <v>393</v>
      </c>
      <c r="O237" t="s">
        <v>201</v>
      </c>
      <c r="P237" t="s">
        <v>531</v>
      </c>
      <c r="S237" t="s">
        <v>359</v>
      </c>
      <c r="T237" t="s">
        <v>377</v>
      </c>
      <c r="U237" t="s">
        <v>239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359</v>
      </c>
      <c r="AC237">
        <v>2100</v>
      </c>
      <c r="AD237" t="s">
        <v>232</v>
      </c>
      <c r="AE237">
        <v>393</v>
      </c>
    </row>
    <row r="238" spans="1:32" x14ac:dyDescent="0.3">
      <c r="A238" t="s">
        <v>351</v>
      </c>
      <c r="B238" t="s">
        <v>279</v>
      </c>
      <c r="C238" t="s">
        <v>192</v>
      </c>
      <c r="D238" t="s">
        <v>310</v>
      </c>
      <c r="E238" t="s">
        <v>824</v>
      </c>
      <c r="F238" s="15">
        <v>46238.350578703707</v>
      </c>
      <c r="G238" t="s">
        <v>409</v>
      </c>
      <c r="H238">
        <v>224</v>
      </c>
      <c r="I238" t="s">
        <v>825</v>
      </c>
      <c r="J238" s="15">
        <v>46238.650694444441</v>
      </c>
      <c r="K238" s="15">
        <v>46241.494444444441</v>
      </c>
      <c r="L238" s="15"/>
      <c r="M238">
        <v>224</v>
      </c>
      <c r="O238" t="s">
        <v>201</v>
      </c>
      <c r="P238" t="s">
        <v>532</v>
      </c>
      <c r="S238" t="s">
        <v>359</v>
      </c>
      <c r="T238" t="s">
        <v>377</v>
      </c>
      <c r="U238" t="s">
        <v>239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359</v>
      </c>
      <c r="AC238">
        <v>2100</v>
      </c>
      <c r="AD238" t="s">
        <v>232</v>
      </c>
      <c r="AE238">
        <v>224</v>
      </c>
    </row>
    <row r="239" spans="1:32" x14ac:dyDescent="0.3">
      <c r="A239" t="s">
        <v>351</v>
      </c>
      <c r="B239" t="s">
        <v>63</v>
      </c>
      <c r="C239" t="s">
        <v>95</v>
      </c>
      <c r="D239" t="s">
        <v>310</v>
      </c>
      <c r="E239" t="s">
        <v>822</v>
      </c>
      <c r="F239" s="15">
        <v>46247.424131944441</v>
      </c>
      <c r="G239" t="s">
        <v>409</v>
      </c>
      <c r="H239">
        <v>1</v>
      </c>
      <c r="I239" t="s">
        <v>823</v>
      </c>
      <c r="J239" s="15">
        <v>46247.640277777777</v>
      </c>
      <c r="K239" s="15">
        <v>46253.622916666667</v>
      </c>
      <c r="L239" s="15"/>
      <c r="M239">
        <v>1</v>
      </c>
      <c r="O239" t="s">
        <v>201</v>
      </c>
      <c r="P239" t="s">
        <v>532</v>
      </c>
      <c r="S239" t="s">
        <v>359</v>
      </c>
      <c r="T239" t="s">
        <v>377</v>
      </c>
      <c r="U239" t="s">
        <v>239</v>
      </c>
      <c r="V239" t="s">
        <v>7</v>
      </c>
      <c r="W239" t="s">
        <v>7</v>
      </c>
      <c r="X239" t="s">
        <v>7</v>
      </c>
      <c r="AA239" t="s">
        <v>96</v>
      </c>
      <c r="AB239" t="s">
        <v>359</v>
      </c>
      <c r="AC239">
        <v>2100</v>
      </c>
      <c r="AD239" t="s">
        <v>225</v>
      </c>
      <c r="AE239">
        <v>1</v>
      </c>
    </row>
    <row r="240" spans="1:32" x14ac:dyDescent="0.3">
      <c r="A240" t="s">
        <v>351</v>
      </c>
      <c r="B240" t="s">
        <v>63</v>
      </c>
      <c r="C240" t="s">
        <v>95</v>
      </c>
      <c r="D240" t="s">
        <v>310</v>
      </c>
      <c r="E240" t="s">
        <v>820</v>
      </c>
      <c r="F240" s="15">
        <v>46241.653622685182</v>
      </c>
      <c r="G240" t="s">
        <v>409</v>
      </c>
      <c r="H240">
        <v>1</v>
      </c>
      <c r="I240" t="s">
        <v>821</v>
      </c>
      <c r="J240" s="15">
        <v>46247.673611111109</v>
      </c>
      <c r="K240" s="15">
        <v>46253.618055555555</v>
      </c>
      <c r="L240" s="15"/>
      <c r="M240">
        <v>1</v>
      </c>
      <c r="O240" t="s">
        <v>201</v>
      </c>
      <c r="P240" t="s">
        <v>532</v>
      </c>
      <c r="S240" t="s">
        <v>359</v>
      </c>
      <c r="T240" t="s">
        <v>377</v>
      </c>
      <c r="U240" t="s">
        <v>239</v>
      </c>
      <c r="V240" t="s">
        <v>7</v>
      </c>
      <c r="W240" t="s">
        <v>7</v>
      </c>
      <c r="X240" t="s">
        <v>7</v>
      </c>
      <c r="AA240" t="s">
        <v>96</v>
      </c>
      <c r="AB240" t="s">
        <v>359</v>
      </c>
      <c r="AC240">
        <v>2100</v>
      </c>
      <c r="AD240" t="s">
        <v>225</v>
      </c>
      <c r="AE240">
        <v>1</v>
      </c>
    </row>
    <row r="241" spans="1:32" x14ac:dyDescent="0.3">
      <c r="A241" t="s">
        <v>351</v>
      </c>
      <c r="B241" t="s">
        <v>63</v>
      </c>
      <c r="C241" t="s">
        <v>95</v>
      </c>
      <c r="D241" t="s">
        <v>310</v>
      </c>
      <c r="E241" t="s">
        <v>824</v>
      </c>
      <c r="F241" s="15">
        <v>46238.350578703707</v>
      </c>
      <c r="G241" t="s">
        <v>409</v>
      </c>
      <c r="H241">
        <v>1</v>
      </c>
      <c r="I241" t="s">
        <v>825</v>
      </c>
      <c r="J241" s="15">
        <v>46238.650694444441</v>
      </c>
      <c r="K241" s="15">
        <v>46241.494444444441</v>
      </c>
      <c r="L241" s="15"/>
      <c r="M241">
        <v>1</v>
      </c>
      <c r="O241" t="s">
        <v>201</v>
      </c>
      <c r="P241" t="s">
        <v>532</v>
      </c>
      <c r="S241" t="s">
        <v>359</v>
      </c>
      <c r="T241" t="s">
        <v>377</v>
      </c>
      <c r="U241" t="s">
        <v>239</v>
      </c>
      <c r="V241" t="s">
        <v>7</v>
      </c>
      <c r="W241" t="s">
        <v>7</v>
      </c>
      <c r="X241" t="s">
        <v>7</v>
      </c>
      <c r="AA241" t="s">
        <v>96</v>
      </c>
      <c r="AB241" t="s">
        <v>359</v>
      </c>
      <c r="AC241">
        <v>2100</v>
      </c>
      <c r="AD241" t="s">
        <v>225</v>
      </c>
      <c r="AE241">
        <v>1</v>
      </c>
    </row>
    <row r="242" spans="1:32" x14ac:dyDescent="0.3">
      <c r="A242" t="s">
        <v>351</v>
      </c>
      <c r="B242" t="s">
        <v>45</v>
      </c>
      <c r="C242" t="s">
        <v>68</v>
      </c>
      <c r="D242" t="s">
        <v>310</v>
      </c>
      <c r="E242" t="s">
        <v>867</v>
      </c>
      <c r="F242" s="15">
        <v>46234.569490740738</v>
      </c>
      <c r="G242" t="s">
        <v>408</v>
      </c>
      <c r="H242">
        <v>5</v>
      </c>
      <c r="I242" t="s">
        <v>868</v>
      </c>
      <c r="J242" s="15">
        <v>46234.710416666669</v>
      </c>
      <c r="K242" s="15">
        <v>46239.541666666664</v>
      </c>
      <c r="L242" s="15"/>
      <c r="M242">
        <v>5</v>
      </c>
      <c r="O242" t="s">
        <v>201</v>
      </c>
      <c r="P242" t="s">
        <v>531</v>
      </c>
      <c r="S242" t="s">
        <v>359</v>
      </c>
      <c r="T242" t="s">
        <v>377</v>
      </c>
      <c r="U242" t="s">
        <v>239</v>
      </c>
      <c r="V242" t="s">
        <v>351</v>
      </c>
      <c r="W242" t="s">
        <v>378</v>
      </c>
      <c r="X242" t="s">
        <v>239</v>
      </c>
      <c r="Y242">
        <v>103</v>
      </c>
      <c r="AA242" t="s">
        <v>67</v>
      </c>
      <c r="AB242" t="s">
        <v>359</v>
      </c>
      <c r="AC242">
        <v>2100</v>
      </c>
      <c r="AD242" t="s">
        <v>217</v>
      </c>
      <c r="AE242">
        <v>1</v>
      </c>
      <c r="AF242">
        <v>1</v>
      </c>
    </row>
    <row r="243" spans="1:32" x14ac:dyDescent="0.3">
      <c r="A243" t="s">
        <v>351</v>
      </c>
      <c r="B243" t="s">
        <v>45</v>
      </c>
      <c r="C243" t="s">
        <v>68</v>
      </c>
      <c r="D243" t="s">
        <v>310</v>
      </c>
      <c r="E243" t="s">
        <v>869</v>
      </c>
      <c r="F243" s="15">
        <v>46233.473078703704</v>
      </c>
      <c r="G243" t="s">
        <v>408</v>
      </c>
      <c r="H243">
        <v>3</v>
      </c>
      <c r="I243" t="s">
        <v>870</v>
      </c>
      <c r="J243" s="15">
        <v>46233.640972222223</v>
      </c>
      <c r="K243" s="15">
        <v>46237.458333333336</v>
      </c>
      <c r="L243" s="15"/>
      <c r="M243">
        <v>3</v>
      </c>
      <c r="O243" t="s">
        <v>201</v>
      </c>
      <c r="P243" t="s">
        <v>532</v>
      </c>
      <c r="S243" t="s">
        <v>359</v>
      </c>
      <c r="T243" t="s">
        <v>377</v>
      </c>
      <c r="U243" t="s">
        <v>239</v>
      </c>
      <c r="V243" t="s">
        <v>351</v>
      </c>
      <c r="W243" t="s">
        <v>378</v>
      </c>
      <c r="X243" t="s">
        <v>239</v>
      </c>
      <c r="Y243">
        <v>103</v>
      </c>
      <c r="AA243" t="s">
        <v>67</v>
      </c>
      <c r="AB243" t="s">
        <v>359</v>
      </c>
      <c r="AC243">
        <v>2100</v>
      </c>
      <c r="AD243" t="s">
        <v>217</v>
      </c>
      <c r="AE243">
        <v>1</v>
      </c>
      <c r="AF243">
        <v>1</v>
      </c>
    </row>
    <row r="244" spans="1:32" x14ac:dyDescent="0.3">
      <c r="A244" t="s">
        <v>351</v>
      </c>
      <c r="B244" t="s">
        <v>45</v>
      </c>
      <c r="C244" t="s">
        <v>68</v>
      </c>
      <c r="D244" t="s">
        <v>310</v>
      </c>
      <c r="E244" t="s">
        <v>871</v>
      </c>
      <c r="F244" s="15">
        <v>46233.472222222219</v>
      </c>
      <c r="G244" t="s">
        <v>408</v>
      </c>
      <c r="H244">
        <v>2</v>
      </c>
      <c r="I244" t="s">
        <v>870</v>
      </c>
      <c r="J244" s="15">
        <v>46233.640972222223</v>
      </c>
      <c r="K244" s="15">
        <v>46237.458333333336</v>
      </c>
      <c r="L244" s="15"/>
      <c r="M244">
        <v>2</v>
      </c>
      <c r="O244" t="s">
        <v>201</v>
      </c>
      <c r="P244" t="s">
        <v>532</v>
      </c>
      <c r="S244" t="s">
        <v>359</v>
      </c>
      <c r="T244" t="s">
        <v>377</v>
      </c>
      <c r="U244" t="s">
        <v>239</v>
      </c>
      <c r="V244" t="s">
        <v>351</v>
      </c>
      <c r="W244" t="s">
        <v>378</v>
      </c>
      <c r="X244" t="s">
        <v>239</v>
      </c>
      <c r="AA244" t="s">
        <v>67</v>
      </c>
      <c r="AB244" t="s">
        <v>359</v>
      </c>
      <c r="AC244">
        <v>2100</v>
      </c>
      <c r="AD244" t="s">
        <v>217</v>
      </c>
      <c r="AE244">
        <v>1</v>
      </c>
    </row>
    <row r="245" spans="1:32" x14ac:dyDescent="0.3">
      <c r="A245" t="s">
        <v>351</v>
      </c>
      <c r="B245" t="s">
        <v>45</v>
      </c>
      <c r="C245" t="s">
        <v>68</v>
      </c>
      <c r="D245" t="s">
        <v>310</v>
      </c>
      <c r="E245" t="s">
        <v>872</v>
      </c>
      <c r="F245" s="15">
        <v>46233.471770833334</v>
      </c>
      <c r="G245" t="s">
        <v>408</v>
      </c>
      <c r="H245">
        <v>3</v>
      </c>
      <c r="I245" t="s">
        <v>870</v>
      </c>
      <c r="J245" s="15">
        <v>46233.640972222223</v>
      </c>
      <c r="K245" s="15">
        <v>46237.458333333336</v>
      </c>
      <c r="L245" s="15"/>
      <c r="M245">
        <v>3</v>
      </c>
      <c r="O245" t="s">
        <v>201</v>
      </c>
      <c r="P245" t="s">
        <v>532</v>
      </c>
      <c r="S245" t="s">
        <v>359</v>
      </c>
      <c r="T245" t="s">
        <v>377</v>
      </c>
      <c r="U245" t="s">
        <v>239</v>
      </c>
      <c r="V245" t="s">
        <v>351</v>
      </c>
      <c r="W245" t="s">
        <v>378</v>
      </c>
      <c r="X245" t="s">
        <v>239</v>
      </c>
      <c r="AA245" t="s">
        <v>67</v>
      </c>
      <c r="AB245" t="s">
        <v>359</v>
      </c>
      <c r="AC245">
        <v>2100</v>
      </c>
      <c r="AD245" t="s">
        <v>217</v>
      </c>
      <c r="AE245">
        <v>1</v>
      </c>
    </row>
    <row r="246" spans="1:32" x14ac:dyDescent="0.3">
      <c r="A246" t="s">
        <v>351</v>
      </c>
      <c r="B246" t="s">
        <v>279</v>
      </c>
      <c r="C246" t="s">
        <v>197</v>
      </c>
      <c r="D246" t="s">
        <v>310</v>
      </c>
      <c r="E246" t="s">
        <v>828</v>
      </c>
      <c r="F246" s="15">
        <v>46239.427071759259</v>
      </c>
      <c r="G246" t="s">
        <v>412</v>
      </c>
      <c r="H246">
        <v>1</v>
      </c>
      <c r="I246" t="s">
        <v>829</v>
      </c>
      <c r="J246" s="15">
        <v>46240.368750000001</v>
      </c>
      <c r="K246" s="15">
        <v>46246.47152777778</v>
      </c>
      <c r="L246" s="15"/>
      <c r="M246">
        <v>1</v>
      </c>
      <c r="O246" t="s">
        <v>201</v>
      </c>
      <c r="P246" t="s">
        <v>531</v>
      </c>
      <c r="S246" t="s">
        <v>359</v>
      </c>
      <c r="T246" t="s">
        <v>377</v>
      </c>
      <c r="U246" t="s">
        <v>239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359</v>
      </c>
      <c r="AC246">
        <v>2100</v>
      </c>
      <c r="AD246" t="s">
        <v>232</v>
      </c>
      <c r="AE246">
        <v>16</v>
      </c>
      <c r="AF246">
        <v>65.25</v>
      </c>
    </row>
    <row r="247" spans="1:32" x14ac:dyDescent="0.3">
      <c r="A247" t="s">
        <v>351</v>
      </c>
      <c r="B247" t="s">
        <v>279</v>
      </c>
      <c r="C247" t="s">
        <v>197</v>
      </c>
      <c r="D247" t="s">
        <v>310</v>
      </c>
      <c r="E247" t="s">
        <v>828</v>
      </c>
      <c r="F247" s="15">
        <v>46239.427071759259</v>
      </c>
      <c r="G247" t="s">
        <v>412</v>
      </c>
      <c r="H247">
        <v>9</v>
      </c>
      <c r="I247" t="s">
        <v>829</v>
      </c>
      <c r="J247" s="15">
        <v>46240.368750000001</v>
      </c>
      <c r="K247" s="15">
        <v>46246.47152777778</v>
      </c>
      <c r="L247" s="15"/>
      <c r="M247">
        <v>9</v>
      </c>
      <c r="O247" t="s">
        <v>529</v>
      </c>
      <c r="S247" t="s">
        <v>359</v>
      </c>
      <c r="T247" t="s">
        <v>377</v>
      </c>
      <c r="U247" t="s">
        <v>239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359</v>
      </c>
      <c r="AC247">
        <v>2100</v>
      </c>
      <c r="AD247" t="s">
        <v>232</v>
      </c>
      <c r="AE247">
        <v>144</v>
      </c>
    </row>
    <row r="248" spans="1:32" x14ac:dyDescent="0.3">
      <c r="A248" t="s">
        <v>351</v>
      </c>
      <c r="B248" t="s">
        <v>279</v>
      </c>
      <c r="C248" t="s">
        <v>197</v>
      </c>
      <c r="D248" t="s">
        <v>310</v>
      </c>
      <c r="E248" t="s">
        <v>828</v>
      </c>
      <c r="F248" s="15">
        <v>46239.427071759259</v>
      </c>
      <c r="G248" t="s">
        <v>412</v>
      </c>
      <c r="H248">
        <v>25</v>
      </c>
      <c r="I248" t="s">
        <v>829</v>
      </c>
      <c r="J248" s="15">
        <v>46240.368750000001</v>
      </c>
      <c r="K248" s="15">
        <v>46246.47152777778</v>
      </c>
      <c r="L248" s="15"/>
      <c r="M248">
        <v>25</v>
      </c>
      <c r="O248" t="s">
        <v>529</v>
      </c>
      <c r="S248" t="s">
        <v>359</v>
      </c>
      <c r="T248" t="s">
        <v>377</v>
      </c>
      <c r="U248" t="s">
        <v>239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359</v>
      </c>
      <c r="AC248">
        <v>2100</v>
      </c>
      <c r="AD248" t="s">
        <v>232</v>
      </c>
      <c r="AE248">
        <v>400</v>
      </c>
    </row>
    <row r="249" spans="1:32" x14ac:dyDescent="0.3">
      <c r="A249" t="s">
        <v>351</v>
      </c>
      <c r="B249" t="s">
        <v>279</v>
      </c>
      <c r="C249" t="s">
        <v>197</v>
      </c>
      <c r="D249" t="s">
        <v>310</v>
      </c>
      <c r="E249" t="s">
        <v>828</v>
      </c>
      <c r="F249" s="15">
        <v>46239.427071759259</v>
      </c>
      <c r="G249" t="s">
        <v>412</v>
      </c>
      <c r="H249">
        <v>1</v>
      </c>
      <c r="I249" t="s">
        <v>829</v>
      </c>
      <c r="J249" s="15">
        <v>46240.368750000001</v>
      </c>
      <c r="K249" s="15">
        <v>46246.47152777778</v>
      </c>
      <c r="L249" s="15"/>
      <c r="M249">
        <v>1</v>
      </c>
      <c r="O249" t="s">
        <v>529</v>
      </c>
      <c r="S249" t="s">
        <v>359</v>
      </c>
      <c r="T249" t="s">
        <v>377</v>
      </c>
      <c r="U249" t="s">
        <v>239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359</v>
      </c>
      <c r="AC249">
        <v>2100</v>
      </c>
      <c r="AD249" t="s">
        <v>232</v>
      </c>
      <c r="AE249">
        <v>16</v>
      </c>
    </row>
    <row r="250" spans="1:32" x14ac:dyDescent="0.3">
      <c r="A250" t="s">
        <v>351</v>
      </c>
      <c r="B250" t="s">
        <v>279</v>
      </c>
      <c r="C250" t="s">
        <v>197</v>
      </c>
      <c r="D250" t="s">
        <v>310</v>
      </c>
      <c r="E250" t="s">
        <v>828</v>
      </c>
      <c r="F250" s="15">
        <v>46239.427071759259</v>
      </c>
      <c r="G250" t="s">
        <v>412</v>
      </c>
      <c r="H250">
        <v>2</v>
      </c>
      <c r="I250" t="s">
        <v>829</v>
      </c>
      <c r="J250" s="15">
        <v>46240.368750000001</v>
      </c>
      <c r="K250" s="15">
        <v>46246.47152777778</v>
      </c>
      <c r="L250" s="15"/>
      <c r="M250">
        <v>2</v>
      </c>
      <c r="O250" t="s">
        <v>529</v>
      </c>
      <c r="S250" t="s">
        <v>359</v>
      </c>
      <c r="T250" t="s">
        <v>377</v>
      </c>
      <c r="U250" t="s">
        <v>239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359</v>
      </c>
      <c r="AC250">
        <v>2100</v>
      </c>
      <c r="AD250" t="s">
        <v>232</v>
      </c>
      <c r="AE250">
        <v>32</v>
      </c>
    </row>
    <row r="251" spans="1:32" x14ac:dyDescent="0.3">
      <c r="A251" t="s">
        <v>351</v>
      </c>
      <c r="B251" t="s">
        <v>63</v>
      </c>
      <c r="C251" t="s">
        <v>95</v>
      </c>
      <c r="D251" t="s">
        <v>310</v>
      </c>
      <c r="E251" t="s">
        <v>828</v>
      </c>
      <c r="F251" s="15">
        <v>46239.427071759259</v>
      </c>
      <c r="G251" t="s">
        <v>412</v>
      </c>
      <c r="H251">
        <v>9</v>
      </c>
      <c r="I251" t="s">
        <v>829</v>
      </c>
      <c r="J251" s="15">
        <v>46240.368750000001</v>
      </c>
      <c r="K251" s="15">
        <v>46246.47152777778</v>
      </c>
      <c r="L251" s="15"/>
      <c r="M251">
        <v>9</v>
      </c>
      <c r="O251" t="s">
        <v>201</v>
      </c>
      <c r="P251" t="s">
        <v>532</v>
      </c>
      <c r="S251" t="s">
        <v>359</v>
      </c>
      <c r="T251" t="s">
        <v>377</v>
      </c>
      <c r="U251" t="s">
        <v>239</v>
      </c>
      <c r="V251" t="s">
        <v>7</v>
      </c>
      <c r="W251" t="s">
        <v>7</v>
      </c>
      <c r="X251" t="s">
        <v>7</v>
      </c>
      <c r="AA251" t="s">
        <v>96</v>
      </c>
      <c r="AB251" t="s">
        <v>359</v>
      </c>
      <c r="AC251">
        <v>2100</v>
      </c>
      <c r="AD251" t="s">
        <v>225</v>
      </c>
      <c r="AE251">
        <v>9</v>
      </c>
    </row>
    <row r="252" spans="1:32" x14ac:dyDescent="0.3">
      <c r="A252" t="s">
        <v>351</v>
      </c>
      <c r="B252" t="s">
        <v>63</v>
      </c>
      <c r="C252" t="s">
        <v>95</v>
      </c>
      <c r="D252" t="s">
        <v>310</v>
      </c>
      <c r="E252" t="s">
        <v>828</v>
      </c>
      <c r="F252" s="15">
        <v>46239.427071759259</v>
      </c>
      <c r="G252" t="s">
        <v>412</v>
      </c>
      <c r="H252">
        <v>25</v>
      </c>
      <c r="I252" t="s">
        <v>829</v>
      </c>
      <c r="J252" s="15">
        <v>46240.368750000001</v>
      </c>
      <c r="K252" s="15">
        <v>46246.47152777778</v>
      </c>
      <c r="L252" s="15"/>
      <c r="M252">
        <v>25</v>
      </c>
      <c r="O252" t="s">
        <v>529</v>
      </c>
      <c r="S252" t="s">
        <v>359</v>
      </c>
      <c r="T252" t="s">
        <v>377</v>
      </c>
      <c r="U252" t="s">
        <v>239</v>
      </c>
      <c r="V252" t="s">
        <v>7</v>
      </c>
      <c r="W252" t="s">
        <v>7</v>
      </c>
      <c r="X252" t="s">
        <v>7</v>
      </c>
      <c r="AA252" t="s">
        <v>96</v>
      </c>
      <c r="AB252" t="s">
        <v>359</v>
      </c>
      <c r="AC252">
        <v>2100</v>
      </c>
      <c r="AD252" t="s">
        <v>225</v>
      </c>
      <c r="AE252">
        <v>25</v>
      </c>
    </row>
    <row r="253" spans="1:32" x14ac:dyDescent="0.3">
      <c r="A253" t="s">
        <v>351</v>
      </c>
      <c r="B253" t="s">
        <v>63</v>
      </c>
      <c r="C253" t="s">
        <v>95</v>
      </c>
      <c r="D253" t="s">
        <v>310</v>
      </c>
      <c r="E253" t="s">
        <v>828</v>
      </c>
      <c r="F253" s="15">
        <v>46239.427071759259</v>
      </c>
      <c r="G253" t="s">
        <v>412</v>
      </c>
      <c r="H253">
        <v>1</v>
      </c>
      <c r="I253" t="s">
        <v>829</v>
      </c>
      <c r="J253" s="15">
        <v>46240.368750000001</v>
      </c>
      <c r="K253" s="15">
        <v>46246.47152777778</v>
      </c>
      <c r="L253" s="15"/>
      <c r="M253">
        <v>1</v>
      </c>
      <c r="O253" t="s">
        <v>529</v>
      </c>
      <c r="S253" t="s">
        <v>359</v>
      </c>
      <c r="T253" t="s">
        <v>377</v>
      </c>
      <c r="U253" t="s">
        <v>239</v>
      </c>
      <c r="V253" t="s">
        <v>7</v>
      </c>
      <c r="W253" t="s">
        <v>7</v>
      </c>
      <c r="X253" t="s">
        <v>7</v>
      </c>
      <c r="AA253" t="s">
        <v>96</v>
      </c>
      <c r="AB253" t="s">
        <v>359</v>
      </c>
      <c r="AC253">
        <v>2100</v>
      </c>
      <c r="AD253" t="s">
        <v>225</v>
      </c>
      <c r="AE253">
        <v>1</v>
      </c>
    </row>
    <row r="254" spans="1:32" x14ac:dyDescent="0.3">
      <c r="A254" t="s">
        <v>351</v>
      </c>
      <c r="B254" t="s">
        <v>63</v>
      </c>
      <c r="C254" t="s">
        <v>95</v>
      </c>
      <c r="D254" t="s">
        <v>310</v>
      </c>
      <c r="E254" t="s">
        <v>828</v>
      </c>
      <c r="F254" s="15">
        <v>46239.427071759259</v>
      </c>
      <c r="G254" t="s">
        <v>412</v>
      </c>
      <c r="H254">
        <v>2</v>
      </c>
      <c r="I254" t="s">
        <v>829</v>
      </c>
      <c r="J254" s="15">
        <v>46240.368750000001</v>
      </c>
      <c r="K254" s="15">
        <v>46246.47152777778</v>
      </c>
      <c r="L254" s="15"/>
      <c r="M254">
        <v>2</v>
      </c>
      <c r="O254" t="s">
        <v>529</v>
      </c>
      <c r="S254" t="s">
        <v>359</v>
      </c>
      <c r="T254" t="s">
        <v>377</v>
      </c>
      <c r="U254" t="s">
        <v>239</v>
      </c>
      <c r="V254" t="s">
        <v>7</v>
      </c>
      <c r="W254" t="s">
        <v>7</v>
      </c>
      <c r="X254" t="s">
        <v>7</v>
      </c>
      <c r="AA254" t="s">
        <v>96</v>
      </c>
      <c r="AB254" t="s">
        <v>359</v>
      </c>
      <c r="AC254">
        <v>2100</v>
      </c>
      <c r="AD254" t="s">
        <v>225</v>
      </c>
      <c r="AE254">
        <v>2</v>
      </c>
    </row>
    <row r="255" spans="1:32" x14ac:dyDescent="0.3">
      <c r="A255" t="s">
        <v>351</v>
      </c>
      <c r="B255" t="s">
        <v>63</v>
      </c>
      <c r="C255" t="s">
        <v>95</v>
      </c>
      <c r="D255" t="s">
        <v>310</v>
      </c>
      <c r="E255" t="s">
        <v>828</v>
      </c>
      <c r="F255" s="15">
        <v>46239.427071759259</v>
      </c>
      <c r="G255" t="s">
        <v>412</v>
      </c>
      <c r="H255">
        <v>1</v>
      </c>
      <c r="I255" t="s">
        <v>829</v>
      </c>
      <c r="J255" s="15">
        <v>46240.368750000001</v>
      </c>
      <c r="K255" s="15">
        <v>46246.47152777778</v>
      </c>
      <c r="L255" s="15"/>
      <c r="M255">
        <v>1</v>
      </c>
      <c r="O255" t="s">
        <v>529</v>
      </c>
      <c r="S255" t="s">
        <v>359</v>
      </c>
      <c r="T255" t="s">
        <v>377</v>
      </c>
      <c r="U255" t="s">
        <v>239</v>
      </c>
      <c r="V255" t="s">
        <v>7</v>
      </c>
      <c r="W255" t="s">
        <v>7</v>
      </c>
      <c r="X255" t="s">
        <v>7</v>
      </c>
      <c r="AA255" t="s">
        <v>96</v>
      </c>
      <c r="AB255" t="s">
        <v>359</v>
      </c>
      <c r="AC255">
        <v>2100</v>
      </c>
      <c r="AD255" t="s">
        <v>225</v>
      </c>
      <c r="AE255">
        <v>1</v>
      </c>
    </row>
    <row r="256" spans="1:32" x14ac:dyDescent="0.3">
      <c r="A256" t="s">
        <v>351</v>
      </c>
      <c r="B256" t="s">
        <v>57</v>
      </c>
      <c r="C256" t="s">
        <v>117</v>
      </c>
      <c r="D256" t="s">
        <v>310</v>
      </c>
      <c r="E256" t="s">
        <v>828</v>
      </c>
      <c r="F256" s="15">
        <v>46239.427071759259</v>
      </c>
      <c r="G256" t="s">
        <v>412</v>
      </c>
      <c r="H256">
        <v>9</v>
      </c>
      <c r="I256" t="s">
        <v>829</v>
      </c>
      <c r="J256" s="15">
        <v>46240.368750000001</v>
      </c>
      <c r="K256" s="15">
        <v>46246.47152777778</v>
      </c>
      <c r="L256" s="15"/>
      <c r="M256">
        <v>9</v>
      </c>
      <c r="O256" t="s">
        <v>201</v>
      </c>
      <c r="P256" t="s">
        <v>532</v>
      </c>
      <c r="S256" t="s">
        <v>359</v>
      </c>
      <c r="T256" t="s">
        <v>377</v>
      </c>
      <c r="U256" t="s">
        <v>239</v>
      </c>
      <c r="V256" t="s">
        <v>7</v>
      </c>
      <c r="W256" t="s">
        <v>7</v>
      </c>
      <c r="X256" t="s">
        <v>7</v>
      </c>
      <c r="AA256" t="s">
        <v>127</v>
      </c>
      <c r="AB256" t="s">
        <v>359</v>
      </c>
      <c r="AC256">
        <v>2100</v>
      </c>
      <c r="AD256" t="s">
        <v>233</v>
      </c>
      <c r="AE256">
        <v>1</v>
      </c>
    </row>
    <row r="257" spans="1:32" x14ac:dyDescent="0.3">
      <c r="A257" t="s">
        <v>351</v>
      </c>
      <c r="B257" t="s">
        <v>57</v>
      </c>
      <c r="C257" t="s">
        <v>117</v>
      </c>
      <c r="D257" t="s">
        <v>310</v>
      </c>
      <c r="E257" t="s">
        <v>828</v>
      </c>
      <c r="F257" s="15">
        <v>46239.427071759259</v>
      </c>
      <c r="G257" t="s">
        <v>412</v>
      </c>
      <c r="H257">
        <v>25</v>
      </c>
      <c r="I257" t="s">
        <v>829</v>
      </c>
      <c r="J257" s="15">
        <v>46240.368750000001</v>
      </c>
      <c r="K257" s="15">
        <v>46246.47152777778</v>
      </c>
      <c r="L257" s="15"/>
      <c r="M257">
        <v>25</v>
      </c>
      <c r="O257" t="s">
        <v>529</v>
      </c>
      <c r="S257" t="s">
        <v>359</v>
      </c>
      <c r="T257" t="s">
        <v>377</v>
      </c>
      <c r="U257" t="s">
        <v>239</v>
      </c>
      <c r="V257" t="s">
        <v>7</v>
      </c>
      <c r="W257" t="s">
        <v>7</v>
      </c>
      <c r="X257" t="s">
        <v>7</v>
      </c>
      <c r="AA257" t="s">
        <v>127</v>
      </c>
      <c r="AB257" t="s">
        <v>359</v>
      </c>
      <c r="AC257">
        <v>2100</v>
      </c>
      <c r="AD257" t="s">
        <v>233</v>
      </c>
      <c r="AE257">
        <v>2.5</v>
      </c>
    </row>
    <row r="258" spans="1:32" x14ac:dyDescent="0.3">
      <c r="A258" t="s">
        <v>351</v>
      </c>
      <c r="B258" t="s">
        <v>57</v>
      </c>
      <c r="C258" t="s">
        <v>117</v>
      </c>
      <c r="D258" t="s">
        <v>310</v>
      </c>
      <c r="E258" t="s">
        <v>828</v>
      </c>
      <c r="F258" s="15">
        <v>46239.427071759259</v>
      </c>
      <c r="G258" t="s">
        <v>412</v>
      </c>
      <c r="H258">
        <v>1</v>
      </c>
      <c r="I258" t="s">
        <v>829</v>
      </c>
      <c r="J258" s="15">
        <v>46240.368750000001</v>
      </c>
      <c r="K258" s="15">
        <v>46246.47152777778</v>
      </c>
      <c r="L258" s="15"/>
      <c r="M258">
        <v>1</v>
      </c>
      <c r="O258" t="s">
        <v>529</v>
      </c>
      <c r="S258" t="s">
        <v>359</v>
      </c>
      <c r="T258" t="s">
        <v>377</v>
      </c>
      <c r="U258" t="s">
        <v>239</v>
      </c>
      <c r="V258" t="s">
        <v>7</v>
      </c>
      <c r="W258" t="s">
        <v>7</v>
      </c>
      <c r="X258" t="s">
        <v>7</v>
      </c>
      <c r="AA258" t="s">
        <v>127</v>
      </c>
      <c r="AB258" t="s">
        <v>359</v>
      </c>
      <c r="AC258">
        <v>2100</v>
      </c>
      <c r="AD258" t="s">
        <v>233</v>
      </c>
      <c r="AE258">
        <v>1</v>
      </c>
    </row>
    <row r="259" spans="1:32" x14ac:dyDescent="0.3">
      <c r="A259" t="s">
        <v>351</v>
      </c>
      <c r="B259" t="s">
        <v>57</v>
      </c>
      <c r="C259" t="s">
        <v>117</v>
      </c>
      <c r="D259" t="s">
        <v>310</v>
      </c>
      <c r="E259" t="s">
        <v>828</v>
      </c>
      <c r="F259" s="15">
        <v>46239.427071759259</v>
      </c>
      <c r="G259" t="s">
        <v>412</v>
      </c>
      <c r="H259">
        <v>1</v>
      </c>
      <c r="I259" t="s">
        <v>829</v>
      </c>
      <c r="J259" s="15">
        <v>46240.368750000001</v>
      </c>
      <c r="K259" s="15">
        <v>46246.47152777778</v>
      </c>
      <c r="L259" s="15"/>
      <c r="M259">
        <v>1</v>
      </c>
      <c r="O259" t="s">
        <v>529</v>
      </c>
      <c r="S259" t="s">
        <v>359</v>
      </c>
      <c r="T259" t="s">
        <v>377</v>
      </c>
      <c r="U259" t="s">
        <v>239</v>
      </c>
      <c r="V259" t="s">
        <v>7</v>
      </c>
      <c r="W259" t="s">
        <v>7</v>
      </c>
      <c r="X259" t="s">
        <v>7</v>
      </c>
      <c r="AA259" t="s">
        <v>127</v>
      </c>
      <c r="AB259" t="s">
        <v>359</v>
      </c>
      <c r="AC259">
        <v>2100</v>
      </c>
      <c r="AD259" t="s">
        <v>233</v>
      </c>
      <c r="AE259">
        <v>1</v>
      </c>
    </row>
    <row r="260" spans="1:32" x14ac:dyDescent="0.3">
      <c r="A260" t="s">
        <v>351</v>
      </c>
      <c r="B260" t="s">
        <v>57</v>
      </c>
      <c r="C260" t="s">
        <v>117</v>
      </c>
      <c r="D260" t="s">
        <v>310</v>
      </c>
      <c r="E260" t="s">
        <v>828</v>
      </c>
      <c r="F260" s="15">
        <v>46239.427071759259</v>
      </c>
      <c r="G260" t="s">
        <v>412</v>
      </c>
      <c r="H260">
        <v>2</v>
      </c>
      <c r="I260" t="s">
        <v>829</v>
      </c>
      <c r="J260" s="15">
        <v>46240.368750000001</v>
      </c>
      <c r="K260" s="15">
        <v>46246.47152777778</v>
      </c>
      <c r="L260" s="15"/>
      <c r="M260">
        <v>2</v>
      </c>
      <c r="O260" t="s">
        <v>529</v>
      </c>
      <c r="S260" t="s">
        <v>359</v>
      </c>
      <c r="T260" t="s">
        <v>377</v>
      </c>
      <c r="U260" t="s">
        <v>239</v>
      </c>
      <c r="V260" t="s">
        <v>7</v>
      </c>
      <c r="W260" t="s">
        <v>7</v>
      </c>
      <c r="X260" t="s">
        <v>7</v>
      </c>
      <c r="AA260" t="s">
        <v>127</v>
      </c>
      <c r="AB260" t="s">
        <v>359</v>
      </c>
      <c r="AC260">
        <v>2100</v>
      </c>
      <c r="AD260" t="s">
        <v>233</v>
      </c>
      <c r="AE260">
        <v>1</v>
      </c>
    </row>
    <row r="261" spans="1:32" x14ac:dyDescent="0.3">
      <c r="A261" t="s">
        <v>351</v>
      </c>
      <c r="B261" t="s">
        <v>45</v>
      </c>
      <c r="C261" t="s">
        <v>68</v>
      </c>
      <c r="D261" t="s">
        <v>310</v>
      </c>
      <c r="E261" t="s">
        <v>877</v>
      </c>
      <c r="F261" s="15">
        <v>46244.473298611112</v>
      </c>
      <c r="G261" t="s">
        <v>408</v>
      </c>
      <c r="H261">
        <v>2</v>
      </c>
      <c r="I261" t="s">
        <v>878</v>
      </c>
      <c r="J261" s="15">
        <v>46245.607638888891</v>
      </c>
      <c r="K261" s="15">
        <v>46246.458333333336</v>
      </c>
      <c r="L261" s="15"/>
      <c r="M261">
        <v>2</v>
      </c>
      <c r="O261" t="s">
        <v>201</v>
      </c>
      <c r="P261" t="s">
        <v>532</v>
      </c>
      <c r="S261" t="s">
        <v>359</v>
      </c>
      <c r="T261" t="s">
        <v>377</v>
      </c>
      <c r="U261" t="s">
        <v>239</v>
      </c>
      <c r="V261" t="s">
        <v>351</v>
      </c>
      <c r="W261" t="s">
        <v>378</v>
      </c>
      <c r="X261" t="s">
        <v>239</v>
      </c>
      <c r="Y261">
        <v>103</v>
      </c>
      <c r="AA261" t="s">
        <v>67</v>
      </c>
      <c r="AB261" t="s">
        <v>359</v>
      </c>
      <c r="AC261">
        <v>2100</v>
      </c>
      <c r="AD261" t="s">
        <v>217</v>
      </c>
      <c r="AE261">
        <v>1</v>
      </c>
      <c r="AF261">
        <v>1</v>
      </c>
    </row>
    <row r="262" spans="1:32" x14ac:dyDescent="0.3">
      <c r="A262" t="s">
        <v>351</v>
      </c>
      <c r="B262" t="s">
        <v>45</v>
      </c>
      <c r="C262" t="s">
        <v>68</v>
      </c>
      <c r="D262" t="s">
        <v>310</v>
      </c>
      <c r="E262" t="s">
        <v>885</v>
      </c>
      <c r="F262" s="15">
        <v>46246.66033564815</v>
      </c>
      <c r="G262" t="s">
        <v>408</v>
      </c>
      <c r="H262">
        <v>3</v>
      </c>
      <c r="I262" t="s">
        <v>884</v>
      </c>
      <c r="J262" s="15">
        <v>46246.69027777778</v>
      </c>
      <c r="K262" s="15">
        <v>46252.458333333336</v>
      </c>
      <c r="L262" s="15"/>
      <c r="M262">
        <v>3</v>
      </c>
      <c r="O262" t="s">
        <v>201</v>
      </c>
      <c r="P262" t="s">
        <v>531</v>
      </c>
      <c r="S262" t="s">
        <v>359</v>
      </c>
      <c r="T262" t="s">
        <v>377</v>
      </c>
      <c r="U262" t="s">
        <v>239</v>
      </c>
      <c r="V262" t="s">
        <v>351</v>
      </c>
      <c r="W262" t="s">
        <v>378</v>
      </c>
      <c r="X262" t="s">
        <v>239</v>
      </c>
      <c r="Y262">
        <v>103</v>
      </c>
      <c r="AA262" t="s">
        <v>67</v>
      </c>
      <c r="AB262" t="s">
        <v>359</v>
      </c>
      <c r="AC262">
        <v>2100</v>
      </c>
      <c r="AD262" t="s">
        <v>217</v>
      </c>
      <c r="AE262">
        <v>1</v>
      </c>
      <c r="AF262">
        <v>1</v>
      </c>
    </row>
    <row r="263" spans="1:32" x14ac:dyDescent="0.3">
      <c r="A263" t="s">
        <v>351</v>
      </c>
      <c r="B263" t="s">
        <v>45</v>
      </c>
      <c r="C263" t="s">
        <v>68</v>
      </c>
      <c r="D263" t="s">
        <v>310</v>
      </c>
      <c r="E263" t="s">
        <v>886</v>
      </c>
      <c r="F263" s="15">
        <v>46246.659872685188</v>
      </c>
      <c r="G263" t="s">
        <v>887</v>
      </c>
      <c r="H263">
        <v>3</v>
      </c>
      <c r="I263" t="s">
        <v>884</v>
      </c>
      <c r="J263" s="15">
        <v>46246.69027777778</v>
      </c>
      <c r="K263" s="15">
        <v>46252.458333333336</v>
      </c>
      <c r="L263" s="15"/>
      <c r="M263">
        <v>3</v>
      </c>
      <c r="O263" t="s">
        <v>201</v>
      </c>
      <c r="P263" t="s">
        <v>531</v>
      </c>
      <c r="S263" t="s">
        <v>359</v>
      </c>
      <c r="T263" t="s">
        <v>377</v>
      </c>
      <c r="U263" t="s">
        <v>239</v>
      </c>
      <c r="V263" t="s">
        <v>351</v>
      </c>
      <c r="W263" t="s">
        <v>378</v>
      </c>
      <c r="X263" t="s">
        <v>239</v>
      </c>
      <c r="AA263" t="s">
        <v>67</v>
      </c>
      <c r="AB263" t="s">
        <v>359</v>
      </c>
      <c r="AC263">
        <v>2100</v>
      </c>
      <c r="AD263" t="s">
        <v>217</v>
      </c>
      <c r="AE263">
        <v>1</v>
      </c>
    </row>
    <row r="264" spans="1:32" x14ac:dyDescent="0.3">
      <c r="A264" t="s">
        <v>351</v>
      </c>
      <c r="B264" t="s">
        <v>45</v>
      </c>
      <c r="C264" t="s">
        <v>68</v>
      </c>
      <c r="D264" t="s">
        <v>310</v>
      </c>
      <c r="E264" t="s">
        <v>879</v>
      </c>
      <c r="F264" s="15">
        <v>46245.574305555558</v>
      </c>
      <c r="G264" t="s">
        <v>408</v>
      </c>
      <c r="H264">
        <v>3</v>
      </c>
      <c r="I264" t="s">
        <v>880</v>
      </c>
      <c r="J264" s="15">
        <v>46245.65902777778</v>
      </c>
      <c r="K264" s="15">
        <v>46246.458333333336</v>
      </c>
      <c r="L264" s="15"/>
      <c r="M264">
        <v>3</v>
      </c>
      <c r="O264" t="s">
        <v>201</v>
      </c>
      <c r="P264" t="s">
        <v>532</v>
      </c>
      <c r="S264" t="s">
        <v>359</v>
      </c>
      <c r="T264" t="s">
        <v>377</v>
      </c>
      <c r="U264" t="s">
        <v>239</v>
      </c>
      <c r="V264" t="s">
        <v>351</v>
      </c>
      <c r="W264" t="s">
        <v>378</v>
      </c>
      <c r="X264" t="s">
        <v>239</v>
      </c>
      <c r="AA264" t="s">
        <v>67</v>
      </c>
      <c r="AB264" t="s">
        <v>359</v>
      </c>
      <c r="AC264">
        <v>2100</v>
      </c>
      <c r="AD264" t="s">
        <v>217</v>
      </c>
      <c r="AE264">
        <v>1</v>
      </c>
    </row>
    <row r="265" spans="1:32" x14ac:dyDescent="0.3">
      <c r="A265" t="s">
        <v>351</v>
      </c>
      <c r="B265" t="s">
        <v>45</v>
      </c>
      <c r="C265" t="s">
        <v>68</v>
      </c>
      <c r="D265" t="s">
        <v>310</v>
      </c>
      <c r="E265" t="s">
        <v>881</v>
      </c>
      <c r="F265" s="15">
        <v>46244.657546296294</v>
      </c>
      <c r="G265" t="s">
        <v>408</v>
      </c>
      <c r="H265">
        <v>5</v>
      </c>
      <c r="I265" t="s">
        <v>882</v>
      </c>
      <c r="J265" s="15">
        <v>46245.393750000003</v>
      </c>
      <c r="K265" s="15">
        <v>46246.458333333336</v>
      </c>
      <c r="L265" s="15"/>
      <c r="M265">
        <v>5</v>
      </c>
      <c r="O265" t="s">
        <v>201</v>
      </c>
      <c r="P265" t="s">
        <v>532</v>
      </c>
      <c r="S265" t="s">
        <v>359</v>
      </c>
      <c r="T265" t="s">
        <v>377</v>
      </c>
      <c r="U265" t="s">
        <v>239</v>
      </c>
      <c r="V265" t="s">
        <v>351</v>
      </c>
      <c r="W265" t="s">
        <v>378</v>
      </c>
      <c r="X265" t="s">
        <v>239</v>
      </c>
      <c r="AA265" t="s">
        <v>67</v>
      </c>
      <c r="AB265" t="s">
        <v>359</v>
      </c>
      <c r="AC265">
        <v>2100</v>
      </c>
      <c r="AD265" t="s">
        <v>217</v>
      </c>
      <c r="AE265">
        <v>1</v>
      </c>
    </row>
    <row r="266" spans="1:32" x14ac:dyDescent="0.3">
      <c r="A266" t="s">
        <v>351</v>
      </c>
      <c r="B266" t="s">
        <v>45</v>
      </c>
      <c r="C266" t="s">
        <v>68</v>
      </c>
      <c r="D266" t="s">
        <v>310</v>
      </c>
      <c r="E266" t="s">
        <v>889</v>
      </c>
      <c r="F266" s="15">
        <v>46244.47451388889</v>
      </c>
      <c r="G266" t="s">
        <v>408</v>
      </c>
      <c r="H266">
        <v>3</v>
      </c>
      <c r="I266" t="s">
        <v>890</v>
      </c>
      <c r="J266" s="15">
        <v>46244.695833333331</v>
      </c>
      <c r="K266" s="15">
        <v>46246.458333333336</v>
      </c>
      <c r="L266" s="15"/>
      <c r="M266">
        <v>3</v>
      </c>
      <c r="O266" t="s">
        <v>201</v>
      </c>
      <c r="P266" t="s">
        <v>532</v>
      </c>
      <c r="S266" t="s">
        <v>359</v>
      </c>
      <c r="T266" t="s">
        <v>377</v>
      </c>
      <c r="U266" t="s">
        <v>239</v>
      </c>
      <c r="V266" t="s">
        <v>351</v>
      </c>
      <c r="W266" t="s">
        <v>378</v>
      </c>
      <c r="X266" t="s">
        <v>239</v>
      </c>
      <c r="Y266">
        <v>103</v>
      </c>
      <c r="AA266" t="s">
        <v>67</v>
      </c>
      <c r="AB266" t="s">
        <v>359</v>
      </c>
      <c r="AC266">
        <v>2100</v>
      </c>
      <c r="AD266" t="s">
        <v>217</v>
      </c>
      <c r="AE266">
        <v>1</v>
      </c>
    </row>
    <row r="267" spans="1:32" x14ac:dyDescent="0.3">
      <c r="A267" t="s">
        <v>351</v>
      </c>
      <c r="B267" t="s">
        <v>45</v>
      </c>
      <c r="C267" t="s">
        <v>68</v>
      </c>
      <c r="D267" t="s">
        <v>310</v>
      </c>
      <c r="E267" t="s">
        <v>883</v>
      </c>
      <c r="F267" s="15">
        <v>46246.658784722225</v>
      </c>
      <c r="G267" t="s">
        <v>408</v>
      </c>
      <c r="H267">
        <v>1</v>
      </c>
      <c r="I267" t="s">
        <v>884</v>
      </c>
      <c r="J267" s="15">
        <v>46246.69027777778</v>
      </c>
      <c r="K267" s="15">
        <v>46252.458333333336</v>
      </c>
      <c r="L267" s="15"/>
      <c r="M267">
        <v>1</v>
      </c>
      <c r="O267" t="s">
        <v>201</v>
      </c>
      <c r="P267" t="s">
        <v>531</v>
      </c>
      <c r="S267" t="s">
        <v>359</v>
      </c>
      <c r="T267" t="s">
        <v>377</v>
      </c>
      <c r="U267" t="s">
        <v>239</v>
      </c>
      <c r="V267" t="s">
        <v>351</v>
      </c>
      <c r="W267" t="s">
        <v>378</v>
      </c>
      <c r="X267" t="s">
        <v>239</v>
      </c>
      <c r="AA267" t="s">
        <v>67</v>
      </c>
      <c r="AB267" t="s">
        <v>359</v>
      </c>
      <c r="AC267">
        <v>2100</v>
      </c>
      <c r="AD267" t="s">
        <v>217</v>
      </c>
      <c r="AE267">
        <v>1</v>
      </c>
    </row>
    <row r="268" spans="1:32" x14ac:dyDescent="0.3">
      <c r="A268" t="s">
        <v>351</v>
      </c>
      <c r="B268" t="s">
        <v>45</v>
      </c>
      <c r="C268" t="s">
        <v>68</v>
      </c>
      <c r="D268" t="s">
        <v>310</v>
      </c>
      <c r="E268" t="s">
        <v>895</v>
      </c>
      <c r="F268" s="15">
        <v>46244.477743055555</v>
      </c>
      <c r="G268" t="s">
        <v>408</v>
      </c>
      <c r="H268">
        <v>1</v>
      </c>
      <c r="I268" t="s">
        <v>890</v>
      </c>
      <c r="J268" s="15">
        <v>46244.695833333331</v>
      </c>
      <c r="K268" s="15">
        <v>46246.458333333336</v>
      </c>
      <c r="L268" s="15"/>
      <c r="M268">
        <v>1</v>
      </c>
      <c r="O268" t="s">
        <v>201</v>
      </c>
      <c r="P268" t="s">
        <v>532</v>
      </c>
      <c r="S268" t="s">
        <v>359</v>
      </c>
      <c r="T268" t="s">
        <v>377</v>
      </c>
      <c r="U268" t="s">
        <v>239</v>
      </c>
      <c r="V268" t="s">
        <v>351</v>
      </c>
      <c r="W268" t="s">
        <v>378</v>
      </c>
      <c r="X268" t="s">
        <v>239</v>
      </c>
      <c r="AA268" t="s">
        <v>67</v>
      </c>
      <c r="AB268" t="s">
        <v>359</v>
      </c>
      <c r="AC268">
        <v>2100</v>
      </c>
      <c r="AD268" t="s">
        <v>217</v>
      </c>
      <c r="AE268">
        <v>1</v>
      </c>
    </row>
    <row r="269" spans="1:32" x14ac:dyDescent="0.3">
      <c r="A269" t="s">
        <v>351</v>
      </c>
      <c r="B269" t="s">
        <v>45</v>
      </c>
      <c r="C269" t="s">
        <v>68</v>
      </c>
      <c r="D269" t="s">
        <v>310</v>
      </c>
      <c r="E269" t="s">
        <v>893</v>
      </c>
      <c r="F269" s="15">
        <v>46244.473958333336</v>
      </c>
      <c r="G269" t="s">
        <v>408</v>
      </c>
      <c r="H269">
        <v>1</v>
      </c>
      <c r="I269" t="s">
        <v>892</v>
      </c>
      <c r="J269" s="15">
        <v>46244.682638888888</v>
      </c>
      <c r="K269" s="15">
        <v>46246.458333333336</v>
      </c>
      <c r="L269" s="15"/>
      <c r="M269">
        <v>1</v>
      </c>
      <c r="O269" t="s">
        <v>201</v>
      </c>
      <c r="P269" t="s">
        <v>532</v>
      </c>
      <c r="S269" t="s">
        <v>359</v>
      </c>
      <c r="T269" t="s">
        <v>377</v>
      </c>
      <c r="U269" t="s">
        <v>239</v>
      </c>
      <c r="V269" t="s">
        <v>351</v>
      </c>
      <c r="W269" t="s">
        <v>378</v>
      </c>
      <c r="X269" t="s">
        <v>239</v>
      </c>
      <c r="AA269" t="s">
        <v>67</v>
      </c>
      <c r="AB269" t="s">
        <v>359</v>
      </c>
      <c r="AC269">
        <v>2100</v>
      </c>
      <c r="AD269" t="s">
        <v>217</v>
      </c>
      <c r="AE269">
        <v>1</v>
      </c>
    </row>
    <row r="270" spans="1:32" x14ac:dyDescent="0.3">
      <c r="A270" t="s">
        <v>351</v>
      </c>
      <c r="B270" t="s">
        <v>45</v>
      </c>
      <c r="C270" t="s">
        <v>68</v>
      </c>
      <c r="D270" t="s">
        <v>310</v>
      </c>
      <c r="E270" t="s">
        <v>894</v>
      </c>
      <c r="F270" s="15">
        <v>46244.476030092592</v>
      </c>
      <c r="G270" t="s">
        <v>408</v>
      </c>
      <c r="H270">
        <v>3</v>
      </c>
      <c r="I270" t="s">
        <v>892</v>
      </c>
      <c r="J270" s="15">
        <v>46244.682638888888</v>
      </c>
      <c r="K270" s="15">
        <v>46246.458333333336</v>
      </c>
      <c r="L270" s="15"/>
      <c r="M270">
        <v>3</v>
      </c>
      <c r="O270" t="s">
        <v>201</v>
      </c>
      <c r="P270" t="s">
        <v>532</v>
      </c>
      <c r="S270" t="s">
        <v>359</v>
      </c>
      <c r="T270" t="s">
        <v>377</v>
      </c>
      <c r="U270" t="s">
        <v>239</v>
      </c>
      <c r="V270" t="s">
        <v>351</v>
      </c>
      <c r="W270" t="s">
        <v>378</v>
      </c>
      <c r="X270" t="s">
        <v>239</v>
      </c>
      <c r="AA270" t="s">
        <v>67</v>
      </c>
      <c r="AB270" t="s">
        <v>359</v>
      </c>
      <c r="AC270">
        <v>2100</v>
      </c>
      <c r="AD270" t="s">
        <v>217</v>
      </c>
      <c r="AE270">
        <v>1</v>
      </c>
    </row>
    <row r="271" spans="1:32" x14ac:dyDescent="0.3">
      <c r="A271" t="s">
        <v>351</v>
      </c>
      <c r="B271" t="s">
        <v>45</v>
      </c>
      <c r="C271" t="s">
        <v>68</v>
      </c>
      <c r="D271" t="s">
        <v>310</v>
      </c>
      <c r="E271" t="s">
        <v>896</v>
      </c>
      <c r="F271" s="15">
        <v>46237.458333333336</v>
      </c>
      <c r="G271" t="s">
        <v>408</v>
      </c>
      <c r="H271">
        <v>5</v>
      </c>
      <c r="I271" t="s">
        <v>897</v>
      </c>
      <c r="J271" s="15">
        <v>46237.70208333333</v>
      </c>
      <c r="K271" s="15">
        <v>46239.5</v>
      </c>
      <c r="L271" s="15"/>
      <c r="M271">
        <v>5</v>
      </c>
      <c r="O271" t="s">
        <v>201</v>
      </c>
      <c r="P271" t="s">
        <v>532</v>
      </c>
      <c r="S271" t="s">
        <v>359</v>
      </c>
      <c r="T271" t="s">
        <v>377</v>
      </c>
      <c r="U271" t="s">
        <v>239</v>
      </c>
      <c r="V271" t="s">
        <v>351</v>
      </c>
      <c r="W271" t="s">
        <v>378</v>
      </c>
      <c r="X271" t="s">
        <v>239</v>
      </c>
      <c r="Y271">
        <v>103</v>
      </c>
      <c r="AA271" t="s">
        <v>67</v>
      </c>
      <c r="AB271" t="s">
        <v>359</v>
      </c>
      <c r="AC271">
        <v>2100</v>
      </c>
      <c r="AD271" t="s">
        <v>217</v>
      </c>
      <c r="AE271">
        <v>1</v>
      </c>
    </row>
    <row r="272" spans="1:32" x14ac:dyDescent="0.3">
      <c r="A272" t="s">
        <v>351</v>
      </c>
      <c r="B272" t="s">
        <v>45</v>
      </c>
      <c r="C272" t="s">
        <v>68</v>
      </c>
      <c r="D272" t="s">
        <v>310</v>
      </c>
      <c r="E272" t="s">
        <v>891</v>
      </c>
      <c r="F272" s="15">
        <v>46244.476921296293</v>
      </c>
      <c r="G272" t="s">
        <v>408</v>
      </c>
      <c r="H272">
        <v>3</v>
      </c>
      <c r="I272" t="s">
        <v>892</v>
      </c>
      <c r="J272" s="15">
        <v>46244.682638888888</v>
      </c>
      <c r="K272" s="15">
        <v>46246.458333333336</v>
      </c>
      <c r="L272" s="15"/>
      <c r="M272">
        <v>3</v>
      </c>
      <c r="O272" t="s">
        <v>201</v>
      </c>
      <c r="P272" t="s">
        <v>532</v>
      </c>
      <c r="S272" t="s">
        <v>359</v>
      </c>
      <c r="T272" t="s">
        <v>377</v>
      </c>
      <c r="U272" t="s">
        <v>239</v>
      </c>
      <c r="V272" t="s">
        <v>351</v>
      </c>
      <c r="W272" t="s">
        <v>378</v>
      </c>
      <c r="X272" t="s">
        <v>239</v>
      </c>
      <c r="AA272" t="s">
        <v>67</v>
      </c>
      <c r="AB272" t="s">
        <v>359</v>
      </c>
      <c r="AC272">
        <v>2100</v>
      </c>
      <c r="AD272" t="s">
        <v>217</v>
      </c>
      <c r="AE272">
        <v>1</v>
      </c>
    </row>
    <row r="273" spans="1:32" x14ac:dyDescent="0.3">
      <c r="A273" t="s">
        <v>351</v>
      </c>
      <c r="B273" t="s">
        <v>45</v>
      </c>
      <c r="C273" t="s">
        <v>68</v>
      </c>
      <c r="D273" t="s">
        <v>310</v>
      </c>
      <c r="E273" t="s">
        <v>888</v>
      </c>
      <c r="F273" s="15">
        <v>46246.659317129626</v>
      </c>
      <c r="G273" t="s">
        <v>408</v>
      </c>
      <c r="H273">
        <v>3</v>
      </c>
      <c r="I273" t="s">
        <v>884</v>
      </c>
      <c r="J273" s="15">
        <v>46246.69027777778</v>
      </c>
      <c r="K273" s="15">
        <v>46252.458333333336</v>
      </c>
      <c r="L273" s="15"/>
      <c r="M273">
        <v>3</v>
      </c>
      <c r="O273" t="s">
        <v>201</v>
      </c>
      <c r="P273" t="s">
        <v>531</v>
      </c>
      <c r="S273" t="s">
        <v>359</v>
      </c>
      <c r="T273" t="s">
        <v>377</v>
      </c>
      <c r="U273" t="s">
        <v>239</v>
      </c>
      <c r="V273" t="s">
        <v>351</v>
      </c>
      <c r="W273" t="s">
        <v>378</v>
      </c>
      <c r="X273" t="s">
        <v>239</v>
      </c>
      <c r="AA273" t="s">
        <v>67</v>
      </c>
      <c r="AB273" t="s">
        <v>359</v>
      </c>
      <c r="AC273">
        <v>2100</v>
      </c>
      <c r="AD273" t="s">
        <v>217</v>
      </c>
      <c r="AE273">
        <v>1</v>
      </c>
    </row>
    <row r="274" spans="1:32" x14ac:dyDescent="0.3">
      <c r="A274" t="s">
        <v>351</v>
      </c>
      <c r="B274" t="s">
        <v>45</v>
      </c>
      <c r="C274" t="s">
        <v>68</v>
      </c>
      <c r="D274" t="s">
        <v>310</v>
      </c>
      <c r="E274" t="s">
        <v>898</v>
      </c>
      <c r="F274" s="15">
        <v>46251.598506944443</v>
      </c>
      <c r="G274" t="s">
        <v>408</v>
      </c>
      <c r="H274">
        <v>3</v>
      </c>
      <c r="I274" t="s">
        <v>899</v>
      </c>
      <c r="J274" s="15">
        <v>46253.477083333331</v>
      </c>
      <c r="K274" s="15">
        <v>46255.493055555555</v>
      </c>
      <c r="L274" s="15"/>
      <c r="M274">
        <v>3</v>
      </c>
      <c r="O274" t="s">
        <v>201</v>
      </c>
      <c r="P274" t="s">
        <v>531</v>
      </c>
      <c r="S274" t="s">
        <v>359</v>
      </c>
      <c r="T274" t="s">
        <v>377</v>
      </c>
      <c r="U274" t="s">
        <v>239</v>
      </c>
      <c r="V274" t="s">
        <v>351</v>
      </c>
      <c r="W274" t="s">
        <v>378</v>
      </c>
      <c r="X274" t="s">
        <v>239</v>
      </c>
      <c r="Y274">
        <v>103</v>
      </c>
      <c r="AA274" t="s">
        <v>67</v>
      </c>
      <c r="AB274" t="s">
        <v>359</v>
      </c>
      <c r="AC274">
        <v>2100</v>
      </c>
      <c r="AD274" t="s">
        <v>217</v>
      </c>
      <c r="AE274">
        <v>1</v>
      </c>
      <c r="AF274">
        <v>1</v>
      </c>
    </row>
    <row r="275" spans="1:32" x14ac:dyDescent="0.3">
      <c r="A275" t="s">
        <v>351</v>
      </c>
      <c r="B275" t="s">
        <v>51</v>
      </c>
      <c r="C275" t="s">
        <v>258</v>
      </c>
      <c r="D275" t="s">
        <v>310</v>
      </c>
      <c r="E275" t="s">
        <v>830</v>
      </c>
      <c r="F275" s="15">
        <v>46251.581516203703</v>
      </c>
      <c r="G275" t="s">
        <v>408</v>
      </c>
      <c r="H275">
        <v>100</v>
      </c>
      <c r="I275" t="s">
        <v>831</v>
      </c>
      <c r="J275" s="15">
        <v>46253.445138888892</v>
      </c>
      <c r="K275" s="15">
        <v>46255.493055555555</v>
      </c>
      <c r="L275" s="15"/>
      <c r="M275">
        <v>100</v>
      </c>
      <c r="O275" t="s">
        <v>201</v>
      </c>
      <c r="P275" t="s">
        <v>531</v>
      </c>
      <c r="S275" t="s">
        <v>359</v>
      </c>
      <c r="T275" t="s">
        <v>377</v>
      </c>
      <c r="U275" t="s">
        <v>239</v>
      </c>
      <c r="V275" t="s">
        <v>7</v>
      </c>
      <c r="W275" t="s">
        <v>7</v>
      </c>
      <c r="X275" t="s">
        <v>7</v>
      </c>
      <c r="AA275" t="s">
        <v>238</v>
      </c>
      <c r="AB275" t="s">
        <v>359</v>
      </c>
      <c r="AC275">
        <v>2100</v>
      </c>
      <c r="AD275" t="s">
        <v>7</v>
      </c>
      <c r="AF275">
        <v>0</v>
      </c>
    </row>
    <row r="276" spans="1:32" x14ac:dyDescent="0.3">
      <c r="A276" t="s">
        <v>351</v>
      </c>
      <c r="B276" t="s">
        <v>51</v>
      </c>
      <c r="C276" t="s">
        <v>258</v>
      </c>
      <c r="D276" t="s">
        <v>310</v>
      </c>
      <c r="E276" t="s">
        <v>832</v>
      </c>
      <c r="F276" s="15">
        <v>46251.566979166666</v>
      </c>
      <c r="G276" t="s">
        <v>408</v>
      </c>
      <c r="H276">
        <v>450</v>
      </c>
      <c r="I276" t="s">
        <v>831</v>
      </c>
      <c r="J276" s="15">
        <v>46253.445138888892</v>
      </c>
      <c r="K276" s="15">
        <v>46255.493055555555</v>
      </c>
      <c r="L276" s="15"/>
      <c r="M276">
        <v>450</v>
      </c>
      <c r="O276" t="s">
        <v>201</v>
      </c>
      <c r="P276" t="s">
        <v>531</v>
      </c>
      <c r="S276" t="s">
        <v>359</v>
      </c>
      <c r="T276" t="s">
        <v>377</v>
      </c>
      <c r="U276" t="s">
        <v>239</v>
      </c>
      <c r="V276" t="s">
        <v>7</v>
      </c>
      <c r="W276" t="s">
        <v>7</v>
      </c>
      <c r="X276" t="s">
        <v>7</v>
      </c>
      <c r="AA276" t="s">
        <v>238</v>
      </c>
      <c r="AB276" t="s">
        <v>359</v>
      </c>
      <c r="AC276">
        <v>2100</v>
      </c>
      <c r="AD276" t="s">
        <v>7</v>
      </c>
    </row>
    <row r="277" spans="1:32" x14ac:dyDescent="0.3">
      <c r="A277" t="s">
        <v>351</v>
      </c>
      <c r="B277" t="s">
        <v>51</v>
      </c>
      <c r="C277" t="s">
        <v>258</v>
      </c>
      <c r="D277" t="s">
        <v>310</v>
      </c>
      <c r="E277" t="s">
        <v>833</v>
      </c>
      <c r="F277" s="15">
        <v>46244.518692129626</v>
      </c>
      <c r="G277" t="s">
        <v>834</v>
      </c>
      <c r="H277">
        <v>64</v>
      </c>
      <c r="I277" t="s">
        <v>835</v>
      </c>
      <c r="J277" s="15">
        <v>46245.446527777778</v>
      </c>
      <c r="K277" s="15">
        <v>46246.4375</v>
      </c>
      <c r="L277" s="15"/>
      <c r="M277">
        <v>64</v>
      </c>
      <c r="O277" t="s">
        <v>201</v>
      </c>
      <c r="P277" t="s">
        <v>532</v>
      </c>
      <c r="S277" t="s">
        <v>359</v>
      </c>
      <c r="T277" t="s">
        <v>377</v>
      </c>
      <c r="U277" t="s">
        <v>239</v>
      </c>
      <c r="V277" t="s">
        <v>7</v>
      </c>
      <c r="W277" t="s">
        <v>7</v>
      </c>
      <c r="X277" t="s">
        <v>7</v>
      </c>
      <c r="AA277" t="s">
        <v>238</v>
      </c>
      <c r="AB277" t="s">
        <v>359</v>
      </c>
      <c r="AC277">
        <v>2100</v>
      </c>
      <c r="AD277" t="s">
        <v>7</v>
      </c>
    </row>
    <row r="278" spans="1:32" x14ac:dyDescent="0.3">
      <c r="A278" t="s">
        <v>351</v>
      </c>
      <c r="B278" t="s">
        <v>51</v>
      </c>
      <c r="C278" t="s">
        <v>258</v>
      </c>
      <c r="D278" t="s">
        <v>310</v>
      </c>
      <c r="E278" t="s">
        <v>836</v>
      </c>
      <c r="F278" s="15">
        <v>46240.542048611111</v>
      </c>
      <c r="G278" t="s">
        <v>412</v>
      </c>
      <c r="H278">
        <v>450</v>
      </c>
      <c r="I278" t="s">
        <v>837</v>
      </c>
      <c r="J278" s="15">
        <v>46244.459722222222</v>
      </c>
      <c r="K278" s="15">
        <v>46246.4375</v>
      </c>
      <c r="L278" s="15"/>
      <c r="M278">
        <v>450</v>
      </c>
      <c r="O278" t="s">
        <v>201</v>
      </c>
      <c r="P278" t="s">
        <v>532</v>
      </c>
      <c r="S278" t="s">
        <v>359</v>
      </c>
      <c r="T278" t="s">
        <v>377</v>
      </c>
      <c r="U278" t="s">
        <v>239</v>
      </c>
      <c r="V278" t="s">
        <v>7</v>
      </c>
      <c r="W278" t="s">
        <v>7</v>
      </c>
      <c r="X278" t="s">
        <v>7</v>
      </c>
      <c r="AA278" t="s">
        <v>238</v>
      </c>
      <c r="AB278" t="s">
        <v>359</v>
      </c>
      <c r="AC278">
        <v>2100</v>
      </c>
      <c r="AD278" t="s">
        <v>7</v>
      </c>
    </row>
    <row r="279" spans="1:32" x14ac:dyDescent="0.3">
      <c r="A279" t="s">
        <v>351</v>
      </c>
      <c r="B279" t="s">
        <v>45</v>
      </c>
      <c r="C279" t="s">
        <v>68</v>
      </c>
      <c r="D279" t="s">
        <v>310</v>
      </c>
      <c r="E279" t="s">
        <v>926</v>
      </c>
      <c r="F279" s="15">
        <v>46254.355046296296</v>
      </c>
      <c r="G279" t="s">
        <v>427</v>
      </c>
      <c r="H279">
        <v>35</v>
      </c>
      <c r="I279" t="s">
        <v>927</v>
      </c>
      <c r="J279" s="15">
        <v>46254.531944444447</v>
      </c>
      <c r="K279" s="15">
        <v>46258.410416666666</v>
      </c>
      <c r="L279" s="15"/>
      <c r="M279">
        <v>35</v>
      </c>
      <c r="O279" t="s">
        <v>201</v>
      </c>
      <c r="P279" t="s">
        <v>532</v>
      </c>
      <c r="S279" t="s">
        <v>365</v>
      </c>
      <c r="T279" t="s">
        <v>377</v>
      </c>
      <c r="U279" t="s">
        <v>239</v>
      </c>
      <c r="V279" t="s">
        <v>351</v>
      </c>
      <c r="W279" t="s">
        <v>378</v>
      </c>
      <c r="X279" t="s">
        <v>239</v>
      </c>
      <c r="Y279">
        <v>93</v>
      </c>
      <c r="AA279" t="s">
        <v>67</v>
      </c>
      <c r="AB279" t="s">
        <v>487</v>
      </c>
      <c r="AC279">
        <v>289</v>
      </c>
      <c r="AD279" t="s">
        <v>217</v>
      </c>
      <c r="AE279">
        <v>3.5</v>
      </c>
      <c r="AF279">
        <v>1</v>
      </c>
    </row>
    <row r="280" spans="1:32" x14ac:dyDescent="0.3">
      <c r="A280" t="s">
        <v>351</v>
      </c>
      <c r="B280" t="s">
        <v>45</v>
      </c>
      <c r="C280" t="s">
        <v>68</v>
      </c>
      <c r="D280" t="s">
        <v>310</v>
      </c>
      <c r="E280" t="s">
        <v>900</v>
      </c>
      <c r="F280" s="15">
        <v>46253.542812500003</v>
      </c>
      <c r="G280" t="s">
        <v>408</v>
      </c>
      <c r="H280">
        <v>3</v>
      </c>
      <c r="I280" t="s">
        <v>901</v>
      </c>
      <c r="J280" s="15">
        <v>46254.361805555556</v>
      </c>
      <c r="K280" s="15">
        <v>46255.493055555555</v>
      </c>
      <c r="L280" s="15"/>
      <c r="M280">
        <v>3</v>
      </c>
      <c r="O280" t="s">
        <v>201</v>
      </c>
      <c r="P280" t="s">
        <v>532</v>
      </c>
      <c r="S280" t="s">
        <v>359</v>
      </c>
      <c r="T280" t="s">
        <v>377</v>
      </c>
      <c r="U280" t="s">
        <v>239</v>
      </c>
      <c r="V280" t="s">
        <v>351</v>
      </c>
      <c r="W280" t="s">
        <v>378</v>
      </c>
      <c r="X280" t="s">
        <v>239</v>
      </c>
      <c r="Y280">
        <v>103</v>
      </c>
      <c r="AA280" t="s">
        <v>67</v>
      </c>
      <c r="AB280" t="s">
        <v>359</v>
      </c>
      <c r="AC280">
        <v>2100</v>
      </c>
      <c r="AD280" t="s">
        <v>217</v>
      </c>
      <c r="AE280">
        <v>1</v>
      </c>
    </row>
    <row r="281" spans="1:32" x14ac:dyDescent="0.3">
      <c r="A281" t="s">
        <v>351</v>
      </c>
      <c r="B281" t="s">
        <v>45</v>
      </c>
      <c r="C281" t="s">
        <v>68</v>
      </c>
      <c r="D281" t="s">
        <v>310</v>
      </c>
      <c r="E281" t="s">
        <v>902</v>
      </c>
      <c r="F281" s="15">
        <v>46253.545694444445</v>
      </c>
      <c r="G281" t="s">
        <v>408</v>
      </c>
      <c r="H281">
        <v>3</v>
      </c>
      <c r="I281" t="s">
        <v>901</v>
      </c>
      <c r="J281" s="15">
        <v>46254.361805555556</v>
      </c>
      <c r="K281" s="15">
        <v>46255.493055555555</v>
      </c>
      <c r="L281" s="15"/>
      <c r="M281">
        <v>3</v>
      </c>
      <c r="O281" t="s">
        <v>201</v>
      </c>
      <c r="P281" t="s">
        <v>532</v>
      </c>
      <c r="S281" t="s">
        <v>359</v>
      </c>
      <c r="T281" t="s">
        <v>377</v>
      </c>
      <c r="U281" t="s">
        <v>239</v>
      </c>
      <c r="V281" t="s">
        <v>351</v>
      </c>
      <c r="W281" t="s">
        <v>378</v>
      </c>
      <c r="X281" t="s">
        <v>239</v>
      </c>
      <c r="AA281" t="s">
        <v>67</v>
      </c>
      <c r="AB281" t="s">
        <v>359</v>
      </c>
      <c r="AC281">
        <v>2100</v>
      </c>
      <c r="AD281" t="s">
        <v>217</v>
      </c>
      <c r="AE281">
        <v>1</v>
      </c>
    </row>
    <row r="282" spans="1:32" x14ac:dyDescent="0.3">
      <c r="A282" t="s">
        <v>351</v>
      </c>
      <c r="B282" t="s">
        <v>45</v>
      </c>
      <c r="C282" t="s">
        <v>68</v>
      </c>
      <c r="D282" t="s">
        <v>310</v>
      </c>
      <c r="E282" t="s">
        <v>903</v>
      </c>
      <c r="F282" s="15">
        <v>46253.545173611114</v>
      </c>
      <c r="G282" t="s">
        <v>408</v>
      </c>
      <c r="H282">
        <v>3</v>
      </c>
      <c r="I282" t="s">
        <v>901</v>
      </c>
      <c r="J282" s="15">
        <v>46254.361805555556</v>
      </c>
      <c r="K282" s="15">
        <v>46255.493055555555</v>
      </c>
      <c r="L282" s="15"/>
      <c r="M282">
        <v>3</v>
      </c>
      <c r="O282" t="s">
        <v>201</v>
      </c>
      <c r="P282" t="s">
        <v>532</v>
      </c>
      <c r="S282" t="s">
        <v>359</v>
      </c>
      <c r="T282" t="s">
        <v>377</v>
      </c>
      <c r="U282" t="s">
        <v>239</v>
      </c>
      <c r="V282" t="s">
        <v>351</v>
      </c>
      <c r="W282" t="s">
        <v>378</v>
      </c>
      <c r="X282" t="s">
        <v>239</v>
      </c>
      <c r="AA282" t="s">
        <v>67</v>
      </c>
      <c r="AB282" t="s">
        <v>359</v>
      </c>
      <c r="AC282">
        <v>2100</v>
      </c>
      <c r="AD282" t="s">
        <v>217</v>
      </c>
      <c r="AE282">
        <v>1</v>
      </c>
    </row>
    <row r="283" spans="1:32" x14ac:dyDescent="0.3">
      <c r="A283" t="s">
        <v>351</v>
      </c>
      <c r="B283" t="s">
        <v>45</v>
      </c>
      <c r="C283" t="s">
        <v>68</v>
      </c>
      <c r="D283" t="s">
        <v>310</v>
      </c>
      <c r="E283" t="s">
        <v>873</v>
      </c>
      <c r="F283" s="15">
        <v>46233.471192129633</v>
      </c>
      <c r="G283" t="s">
        <v>408</v>
      </c>
      <c r="H283">
        <v>3</v>
      </c>
      <c r="I283" t="s">
        <v>874</v>
      </c>
      <c r="J283" s="15">
        <v>46233.615185185183</v>
      </c>
      <c r="K283" s="15">
        <v>46237.458333333336</v>
      </c>
      <c r="L283" s="15"/>
      <c r="M283">
        <v>3</v>
      </c>
      <c r="O283" t="s">
        <v>201</v>
      </c>
      <c r="P283" t="s">
        <v>532</v>
      </c>
      <c r="S283" t="s">
        <v>359</v>
      </c>
      <c r="T283" t="s">
        <v>377</v>
      </c>
      <c r="U283" t="s">
        <v>239</v>
      </c>
      <c r="V283" t="s">
        <v>351</v>
      </c>
      <c r="W283" t="s">
        <v>378</v>
      </c>
      <c r="X283" t="s">
        <v>239</v>
      </c>
      <c r="AA283" t="s">
        <v>67</v>
      </c>
      <c r="AB283" t="s">
        <v>359</v>
      </c>
      <c r="AC283">
        <v>2100</v>
      </c>
      <c r="AD283" t="s">
        <v>217</v>
      </c>
      <c r="AE283">
        <v>1</v>
      </c>
    </row>
    <row r="284" spans="1:32" x14ac:dyDescent="0.3">
      <c r="A284" t="s">
        <v>351</v>
      </c>
      <c r="B284" t="s">
        <v>45</v>
      </c>
      <c r="C284" t="s">
        <v>68</v>
      </c>
      <c r="D284" t="s">
        <v>310</v>
      </c>
      <c r="E284" t="s">
        <v>875</v>
      </c>
      <c r="F284" s="15">
        <v>46233.470659722225</v>
      </c>
      <c r="G284" t="s">
        <v>408</v>
      </c>
      <c r="H284">
        <v>3</v>
      </c>
      <c r="I284" t="s">
        <v>874</v>
      </c>
      <c r="J284" s="15">
        <v>46233.615185185183</v>
      </c>
      <c r="K284" s="15">
        <v>46237.458333333336</v>
      </c>
      <c r="L284" s="15"/>
      <c r="M284">
        <v>3</v>
      </c>
      <c r="O284" t="s">
        <v>201</v>
      </c>
      <c r="P284" t="s">
        <v>532</v>
      </c>
      <c r="S284" t="s">
        <v>359</v>
      </c>
      <c r="T284" t="s">
        <v>377</v>
      </c>
      <c r="U284" t="s">
        <v>239</v>
      </c>
      <c r="V284" t="s">
        <v>351</v>
      </c>
      <c r="W284" t="s">
        <v>378</v>
      </c>
      <c r="X284" t="s">
        <v>239</v>
      </c>
      <c r="AA284" t="s">
        <v>67</v>
      </c>
      <c r="AB284" t="s">
        <v>359</v>
      </c>
      <c r="AC284">
        <v>2100</v>
      </c>
      <c r="AD284" t="s">
        <v>217</v>
      </c>
      <c r="AE284">
        <v>1</v>
      </c>
    </row>
    <row r="285" spans="1:32" x14ac:dyDescent="0.3">
      <c r="A285" t="s">
        <v>351</v>
      </c>
      <c r="B285" t="s">
        <v>45</v>
      </c>
      <c r="C285" t="s">
        <v>68</v>
      </c>
      <c r="D285" t="s">
        <v>310</v>
      </c>
      <c r="E285" t="s">
        <v>876</v>
      </c>
      <c r="F285" s="15">
        <v>46233.468287037038</v>
      </c>
      <c r="G285" t="s">
        <v>408</v>
      </c>
      <c r="H285">
        <v>3</v>
      </c>
      <c r="I285" t="s">
        <v>874</v>
      </c>
      <c r="J285" s="15">
        <v>46233.615185185183</v>
      </c>
      <c r="K285" s="15">
        <v>46237.458333333336</v>
      </c>
      <c r="L285" s="15"/>
      <c r="M285">
        <v>3</v>
      </c>
      <c r="O285" t="s">
        <v>201</v>
      </c>
      <c r="P285" t="s">
        <v>532</v>
      </c>
      <c r="S285" t="s">
        <v>359</v>
      </c>
      <c r="T285" t="s">
        <v>377</v>
      </c>
      <c r="U285" t="s">
        <v>239</v>
      </c>
      <c r="V285" t="s">
        <v>351</v>
      </c>
      <c r="W285" t="s">
        <v>378</v>
      </c>
      <c r="X285" t="s">
        <v>239</v>
      </c>
      <c r="AA285" t="s">
        <v>67</v>
      </c>
      <c r="AB285" t="s">
        <v>359</v>
      </c>
      <c r="AC285">
        <v>2100</v>
      </c>
      <c r="AD285" t="s">
        <v>217</v>
      </c>
      <c r="AE285">
        <v>1</v>
      </c>
    </row>
    <row r="286" spans="1:32" x14ac:dyDescent="0.3">
      <c r="A286" t="s">
        <v>351</v>
      </c>
      <c r="B286" t="s">
        <v>45</v>
      </c>
      <c r="C286" t="s">
        <v>68</v>
      </c>
      <c r="D286" t="s">
        <v>310</v>
      </c>
      <c r="E286" t="s">
        <v>930</v>
      </c>
      <c r="F286" s="15">
        <v>46225.582372685189</v>
      </c>
      <c r="G286" t="s">
        <v>408</v>
      </c>
      <c r="H286">
        <v>3</v>
      </c>
      <c r="I286" t="s">
        <v>931</v>
      </c>
      <c r="J286" s="15">
        <v>46226.429560185185</v>
      </c>
      <c r="K286" s="15">
        <v>46231.455555555556</v>
      </c>
      <c r="L286" s="15"/>
      <c r="M286">
        <v>3</v>
      </c>
      <c r="O286" t="s">
        <v>201</v>
      </c>
      <c r="P286" t="s">
        <v>531</v>
      </c>
      <c r="S286" t="s">
        <v>359</v>
      </c>
      <c r="T286" t="s">
        <v>377</v>
      </c>
      <c r="U286" t="s">
        <v>239</v>
      </c>
      <c r="V286" t="s">
        <v>351</v>
      </c>
      <c r="W286" t="s">
        <v>378</v>
      </c>
      <c r="X286" t="s">
        <v>239</v>
      </c>
      <c r="Y286">
        <v>103</v>
      </c>
      <c r="AA286" t="s">
        <v>67</v>
      </c>
      <c r="AB286" t="s">
        <v>359</v>
      </c>
      <c r="AC286">
        <v>2100</v>
      </c>
      <c r="AD286" t="s">
        <v>217</v>
      </c>
      <c r="AE286">
        <v>1</v>
      </c>
      <c r="AF286">
        <v>1</v>
      </c>
    </row>
    <row r="287" spans="1:32" x14ac:dyDescent="0.3">
      <c r="A287" t="s">
        <v>351</v>
      </c>
      <c r="B287" t="s">
        <v>45</v>
      </c>
      <c r="C287" t="s">
        <v>68</v>
      </c>
      <c r="D287" t="s">
        <v>310</v>
      </c>
      <c r="E287" t="s">
        <v>932</v>
      </c>
      <c r="F287" s="15">
        <v>46225.581944444442</v>
      </c>
      <c r="G287" t="s">
        <v>408</v>
      </c>
      <c r="H287">
        <v>1</v>
      </c>
      <c r="I287" t="s">
        <v>931</v>
      </c>
      <c r="J287" s="15">
        <v>46226.429560185185</v>
      </c>
      <c r="K287" s="15">
        <v>46231.455555555556</v>
      </c>
      <c r="L287" s="15"/>
      <c r="M287">
        <v>1</v>
      </c>
      <c r="O287" t="s">
        <v>201</v>
      </c>
      <c r="P287" t="s">
        <v>531</v>
      </c>
      <c r="S287" t="s">
        <v>359</v>
      </c>
      <c r="T287" t="s">
        <v>377</v>
      </c>
      <c r="U287" t="s">
        <v>239</v>
      </c>
      <c r="V287" t="s">
        <v>351</v>
      </c>
      <c r="W287" t="s">
        <v>378</v>
      </c>
      <c r="X287" t="s">
        <v>239</v>
      </c>
      <c r="AA287" t="s">
        <v>67</v>
      </c>
      <c r="AB287" t="s">
        <v>359</v>
      </c>
      <c r="AC287">
        <v>2100</v>
      </c>
      <c r="AD287" t="s">
        <v>217</v>
      </c>
      <c r="AE287">
        <v>1</v>
      </c>
    </row>
    <row r="288" spans="1:32" x14ac:dyDescent="0.3">
      <c r="A288" t="s">
        <v>351</v>
      </c>
      <c r="B288" t="s">
        <v>45</v>
      </c>
      <c r="C288" t="s">
        <v>68</v>
      </c>
      <c r="D288" t="s">
        <v>310</v>
      </c>
      <c r="E288" t="s">
        <v>933</v>
      </c>
      <c r="F288" s="15">
        <v>46225.581226851849</v>
      </c>
      <c r="G288" t="s">
        <v>408</v>
      </c>
      <c r="H288">
        <v>3</v>
      </c>
      <c r="I288" t="s">
        <v>931</v>
      </c>
      <c r="J288" s="15">
        <v>46226.429560185185</v>
      </c>
      <c r="K288" s="15">
        <v>46231.455555555556</v>
      </c>
      <c r="L288" s="15"/>
      <c r="M288">
        <v>3</v>
      </c>
      <c r="O288" t="s">
        <v>201</v>
      </c>
      <c r="P288" t="s">
        <v>531</v>
      </c>
      <c r="S288" t="s">
        <v>359</v>
      </c>
      <c r="T288" t="s">
        <v>377</v>
      </c>
      <c r="U288" t="s">
        <v>239</v>
      </c>
      <c r="V288" t="s">
        <v>351</v>
      </c>
      <c r="W288" t="s">
        <v>378</v>
      </c>
      <c r="X288" t="s">
        <v>239</v>
      </c>
      <c r="AA288" t="s">
        <v>67</v>
      </c>
      <c r="AB288" t="s">
        <v>359</v>
      </c>
      <c r="AC288">
        <v>2100</v>
      </c>
      <c r="AD288" t="s">
        <v>217</v>
      </c>
      <c r="AE288">
        <v>1</v>
      </c>
    </row>
    <row r="289" spans="1:32" x14ac:dyDescent="0.3">
      <c r="A289" t="s">
        <v>351</v>
      </c>
      <c r="B289" t="s">
        <v>45</v>
      </c>
      <c r="C289" t="s">
        <v>68</v>
      </c>
      <c r="D289" t="s">
        <v>310</v>
      </c>
      <c r="E289" t="s">
        <v>934</v>
      </c>
      <c r="F289" s="15">
        <v>46225.358090277776</v>
      </c>
      <c r="G289" t="s">
        <v>412</v>
      </c>
      <c r="H289">
        <v>26</v>
      </c>
      <c r="I289" t="s">
        <v>935</v>
      </c>
      <c r="J289" s="15">
        <v>46226.397361111114</v>
      </c>
      <c r="K289" s="15">
        <v>46227.5</v>
      </c>
      <c r="L289" s="15"/>
      <c r="M289">
        <v>26</v>
      </c>
      <c r="O289" t="s">
        <v>201</v>
      </c>
      <c r="P289" t="s">
        <v>532</v>
      </c>
      <c r="S289" t="s">
        <v>359</v>
      </c>
      <c r="T289" t="s">
        <v>377</v>
      </c>
      <c r="U289" t="s">
        <v>239</v>
      </c>
      <c r="V289" t="s">
        <v>351</v>
      </c>
      <c r="W289" t="s">
        <v>378</v>
      </c>
      <c r="X289" t="s">
        <v>239</v>
      </c>
      <c r="AA289" t="s">
        <v>67</v>
      </c>
      <c r="AB289" t="s">
        <v>359</v>
      </c>
      <c r="AC289">
        <v>2100</v>
      </c>
      <c r="AD289" t="s">
        <v>217</v>
      </c>
      <c r="AE289">
        <v>2.6</v>
      </c>
      <c r="AF289">
        <v>1.23</v>
      </c>
    </row>
    <row r="290" spans="1:32" x14ac:dyDescent="0.3">
      <c r="A290" t="s">
        <v>351</v>
      </c>
      <c r="B290" t="s">
        <v>45</v>
      </c>
      <c r="C290" t="s">
        <v>68</v>
      </c>
      <c r="D290" t="s">
        <v>310</v>
      </c>
      <c r="E290" t="s">
        <v>936</v>
      </c>
      <c r="F290" s="15">
        <v>46225.333067129628</v>
      </c>
      <c r="G290" t="s">
        <v>429</v>
      </c>
      <c r="H290">
        <v>8</v>
      </c>
      <c r="I290" t="s">
        <v>937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201</v>
      </c>
      <c r="P290" t="s">
        <v>531</v>
      </c>
      <c r="S290" t="s">
        <v>359</v>
      </c>
      <c r="T290" t="s">
        <v>377</v>
      </c>
      <c r="U290" t="s">
        <v>239</v>
      </c>
      <c r="V290" t="s">
        <v>351</v>
      </c>
      <c r="W290" t="s">
        <v>378</v>
      </c>
      <c r="X290" t="s">
        <v>239</v>
      </c>
      <c r="Y290">
        <v>103</v>
      </c>
      <c r="AA290" t="s">
        <v>67</v>
      </c>
      <c r="AB290" t="s">
        <v>359</v>
      </c>
      <c r="AC290">
        <v>2100</v>
      </c>
      <c r="AD290" t="s">
        <v>217</v>
      </c>
      <c r="AE290">
        <v>1</v>
      </c>
    </row>
    <row r="291" spans="1:32" x14ac:dyDescent="0.3">
      <c r="A291" t="s">
        <v>351</v>
      </c>
      <c r="B291" t="s">
        <v>45</v>
      </c>
      <c r="C291" t="s">
        <v>68</v>
      </c>
      <c r="D291" t="s">
        <v>310</v>
      </c>
      <c r="E291" t="s">
        <v>948</v>
      </c>
      <c r="F291" s="15">
        <v>46223.488009259258</v>
      </c>
      <c r="G291" t="s">
        <v>408</v>
      </c>
      <c r="H291">
        <v>2</v>
      </c>
      <c r="I291" t="s">
        <v>949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201</v>
      </c>
      <c r="P291" t="s">
        <v>531</v>
      </c>
      <c r="S291" t="s">
        <v>359</v>
      </c>
      <c r="T291" t="s">
        <v>377</v>
      </c>
      <c r="U291" t="s">
        <v>239</v>
      </c>
      <c r="V291" t="s">
        <v>351</v>
      </c>
      <c r="W291" t="s">
        <v>378</v>
      </c>
      <c r="X291" t="s">
        <v>239</v>
      </c>
      <c r="Y291">
        <v>103</v>
      </c>
      <c r="AA291" t="s">
        <v>67</v>
      </c>
      <c r="AB291" t="s">
        <v>359</v>
      </c>
      <c r="AC291">
        <v>2100</v>
      </c>
      <c r="AD291" t="s">
        <v>217</v>
      </c>
      <c r="AE291">
        <v>1</v>
      </c>
    </row>
    <row r="292" spans="1:32" x14ac:dyDescent="0.3">
      <c r="A292" t="s">
        <v>351</v>
      </c>
      <c r="B292" t="s">
        <v>45</v>
      </c>
      <c r="C292" t="s">
        <v>68</v>
      </c>
      <c r="D292" t="s">
        <v>310</v>
      </c>
      <c r="E292" t="s">
        <v>950</v>
      </c>
      <c r="F292" s="15">
        <v>46223.487222222226</v>
      </c>
      <c r="G292" t="s">
        <v>408</v>
      </c>
      <c r="H292">
        <v>1</v>
      </c>
      <c r="I292" t="s">
        <v>949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201</v>
      </c>
      <c r="P292" t="s">
        <v>531</v>
      </c>
      <c r="S292" t="s">
        <v>359</v>
      </c>
      <c r="T292" t="s">
        <v>377</v>
      </c>
      <c r="U292" t="s">
        <v>239</v>
      </c>
      <c r="V292" t="s">
        <v>351</v>
      </c>
      <c r="W292" t="s">
        <v>378</v>
      </c>
      <c r="X292" t="s">
        <v>239</v>
      </c>
      <c r="AA292" t="s">
        <v>67</v>
      </c>
      <c r="AB292" t="s">
        <v>359</v>
      </c>
      <c r="AC292">
        <v>2100</v>
      </c>
      <c r="AD292" t="s">
        <v>217</v>
      </c>
      <c r="AE292">
        <v>1</v>
      </c>
    </row>
    <row r="293" spans="1:32" x14ac:dyDescent="0.3">
      <c r="A293" t="s">
        <v>351</v>
      </c>
      <c r="B293" t="s">
        <v>45</v>
      </c>
      <c r="C293" t="s">
        <v>68</v>
      </c>
      <c r="D293" t="s">
        <v>310</v>
      </c>
      <c r="E293" t="s">
        <v>940</v>
      </c>
      <c r="F293" s="15">
        <v>46225.339780092596</v>
      </c>
      <c r="G293" t="s">
        <v>412</v>
      </c>
      <c r="H293">
        <v>4</v>
      </c>
      <c r="I293" t="s">
        <v>939</v>
      </c>
      <c r="J293" s="15">
        <v>46225.680555555555</v>
      </c>
      <c r="K293" s="15">
        <v>46227.5</v>
      </c>
      <c r="L293" s="15"/>
      <c r="M293">
        <v>4</v>
      </c>
      <c r="O293" t="s">
        <v>201</v>
      </c>
      <c r="P293" t="s">
        <v>532</v>
      </c>
      <c r="S293" t="s">
        <v>359</v>
      </c>
      <c r="T293" t="s">
        <v>377</v>
      </c>
      <c r="U293" t="s">
        <v>239</v>
      </c>
      <c r="V293" t="s">
        <v>351</v>
      </c>
      <c r="W293" t="s">
        <v>378</v>
      </c>
      <c r="X293" t="s">
        <v>239</v>
      </c>
      <c r="AA293" t="s">
        <v>67</v>
      </c>
      <c r="AB293" t="s">
        <v>359</v>
      </c>
      <c r="AC293">
        <v>2100</v>
      </c>
      <c r="AD293" t="s">
        <v>217</v>
      </c>
      <c r="AE293">
        <v>1</v>
      </c>
    </row>
    <row r="294" spans="1:32" x14ac:dyDescent="0.3">
      <c r="A294" t="s">
        <v>351</v>
      </c>
      <c r="B294" t="s">
        <v>45</v>
      </c>
      <c r="C294" t="s">
        <v>68</v>
      </c>
      <c r="D294" t="s">
        <v>310</v>
      </c>
      <c r="E294" t="s">
        <v>941</v>
      </c>
      <c r="F294" s="15">
        <v>46225.337905092594</v>
      </c>
      <c r="G294" t="s">
        <v>412</v>
      </c>
      <c r="H294">
        <v>2</v>
      </c>
      <c r="I294" t="s">
        <v>939</v>
      </c>
      <c r="J294" s="15">
        <v>46225.680555555555</v>
      </c>
      <c r="K294" s="15">
        <v>46227.5</v>
      </c>
      <c r="L294" s="15"/>
      <c r="M294">
        <v>2</v>
      </c>
      <c r="O294" t="s">
        <v>201</v>
      </c>
      <c r="P294" t="s">
        <v>532</v>
      </c>
      <c r="S294" t="s">
        <v>359</v>
      </c>
      <c r="T294" t="s">
        <v>377</v>
      </c>
      <c r="U294" t="s">
        <v>239</v>
      </c>
      <c r="V294" t="s">
        <v>351</v>
      </c>
      <c r="W294" t="s">
        <v>378</v>
      </c>
      <c r="X294" t="s">
        <v>239</v>
      </c>
      <c r="AA294" t="s">
        <v>67</v>
      </c>
      <c r="AB294" t="s">
        <v>359</v>
      </c>
      <c r="AC294">
        <v>2100</v>
      </c>
      <c r="AD294" t="s">
        <v>217</v>
      </c>
      <c r="AE294">
        <v>1</v>
      </c>
    </row>
    <row r="295" spans="1:32" x14ac:dyDescent="0.3">
      <c r="A295" t="s">
        <v>351</v>
      </c>
      <c r="B295" t="s">
        <v>45</v>
      </c>
      <c r="C295" t="s">
        <v>68</v>
      </c>
      <c r="D295" t="s">
        <v>310</v>
      </c>
      <c r="E295" t="s">
        <v>942</v>
      </c>
      <c r="F295" s="15">
        <v>46225.337650462963</v>
      </c>
      <c r="G295" t="s">
        <v>412</v>
      </c>
      <c r="H295">
        <v>1</v>
      </c>
      <c r="I295" t="s">
        <v>939</v>
      </c>
      <c r="J295" s="15">
        <v>46225.680555555555</v>
      </c>
      <c r="K295" s="15">
        <v>46227.5</v>
      </c>
      <c r="L295" s="15"/>
      <c r="M295">
        <v>1</v>
      </c>
      <c r="O295" t="s">
        <v>201</v>
      </c>
      <c r="P295" t="s">
        <v>532</v>
      </c>
      <c r="S295" t="s">
        <v>359</v>
      </c>
      <c r="T295" t="s">
        <v>377</v>
      </c>
      <c r="U295" t="s">
        <v>239</v>
      </c>
      <c r="V295" t="s">
        <v>351</v>
      </c>
      <c r="W295" t="s">
        <v>378</v>
      </c>
      <c r="X295" t="s">
        <v>239</v>
      </c>
      <c r="AA295" t="s">
        <v>67</v>
      </c>
      <c r="AB295" t="s">
        <v>359</v>
      </c>
      <c r="AC295">
        <v>2100</v>
      </c>
      <c r="AD295" t="s">
        <v>217</v>
      </c>
      <c r="AE295">
        <v>1</v>
      </c>
    </row>
    <row r="296" spans="1:32" x14ac:dyDescent="0.3">
      <c r="A296" t="s">
        <v>351</v>
      </c>
      <c r="B296" t="s">
        <v>45</v>
      </c>
      <c r="C296" t="s">
        <v>68</v>
      </c>
      <c r="D296" t="s">
        <v>310</v>
      </c>
      <c r="E296" t="s">
        <v>943</v>
      </c>
      <c r="F296" s="15">
        <v>46224.651469907411</v>
      </c>
      <c r="G296" t="s">
        <v>412</v>
      </c>
      <c r="H296">
        <v>16</v>
      </c>
      <c r="I296" t="s">
        <v>944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201</v>
      </c>
      <c r="P296" t="s">
        <v>532</v>
      </c>
      <c r="S296" t="s">
        <v>359</v>
      </c>
      <c r="T296" t="s">
        <v>377</v>
      </c>
      <c r="U296" t="s">
        <v>239</v>
      </c>
      <c r="V296" t="s">
        <v>351</v>
      </c>
      <c r="W296" t="s">
        <v>378</v>
      </c>
      <c r="X296" t="s">
        <v>239</v>
      </c>
      <c r="AA296" t="s">
        <v>67</v>
      </c>
      <c r="AB296" t="s">
        <v>359</v>
      </c>
      <c r="AC296">
        <v>2100</v>
      </c>
      <c r="AD296" t="s">
        <v>217</v>
      </c>
      <c r="AE296">
        <v>1.6</v>
      </c>
    </row>
    <row r="297" spans="1:32" x14ac:dyDescent="0.3">
      <c r="A297" t="s">
        <v>351</v>
      </c>
      <c r="B297" t="s">
        <v>45</v>
      </c>
      <c r="C297" t="s">
        <v>68</v>
      </c>
      <c r="D297" t="s">
        <v>310</v>
      </c>
      <c r="E297" t="s">
        <v>945</v>
      </c>
      <c r="F297" s="15">
        <v>46224.65053240741</v>
      </c>
      <c r="G297" t="s">
        <v>412</v>
      </c>
      <c r="H297">
        <v>6</v>
      </c>
      <c r="I297" t="s">
        <v>944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201</v>
      </c>
      <c r="P297" t="s">
        <v>532</v>
      </c>
      <c r="S297" t="s">
        <v>359</v>
      </c>
      <c r="T297" t="s">
        <v>377</v>
      </c>
      <c r="U297" t="s">
        <v>239</v>
      </c>
      <c r="V297" t="s">
        <v>351</v>
      </c>
      <c r="W297" t="s">
        <v>378</v>
      </c>
      <c r="X297" t="s">
        <v>239</v>
      </c>
      <c r="AA297" t="s">
        <v>67</v>
      </c>
      <c r="AB297" t="s">
        <v>359</v>
      </c>
      <c r="AC297">
        <v>2100</v>
      </c>
      <c r="AD297" t="s">
        <v>217</v>
      </c>
      <c r="AE297">
        <v>1</v>
      </c>
    </row>
    <row r="298" spans="1:32" x14ac:dyDescent="0.3">
      <c r="A298" t="s">
        <v>351</v>
      </c>
      <c r="B298" t="s">
        <v>45</v>
      </c>
      <c r="C298" t="s">
        <v>68</v>
      </c>
      <c r="D298" t="s">
        <v>310</v>
      </c>
      <c r="E298" t="s">
        <v>938</v>
      </c>
      <c r="F298" s="15">
        <v>46225.340196759258</v>
      </c>
      <c r="G298" t="s">
        <v>412</v>
      </c>
      <c r="H298">
        <v>3</v>
      </c>
      <c r="I298" t="s">
        <v>939</v>
      </c>
      <c r="J298" s="15">
        <v>46225.680555555555</v>
      </c>
      <c r="K298" s="15">
        <v>46227.5</v>
      </c>
      <c r="L298" s="15"/>
      <c r="M298">
        <v>3</v>
      </c>
      <c r="O298" t="s">
        <v>201</v>
      </c>
      <c r="P298" t="s">
        <v>532</v>
      </c>
      <c r="S298" t="s">
        <v>359</v>
      </c>
      <c r="T298" t="s">
        <v>377</v>
      </c>
      <c r="U298" t="s">
        <v>239</v>
      </c>
      <c r="V298" t="s">
        <v>351</v>
      </c>
      <c r="W298" t="s">
        <v>378</v>
      </c>
      <c r="X298" t="s">
        <v>239</v>
      </c>
      <c r="AA298" t="s">
        <v>67</v>
      </c>
      <c r="AB298" t="s">
        <v>359</v>
      </c>
      <c r="AC298">
        <v>2100</v>
      </c>
      <c r="AD298" t="s">
        <v>217</v>
      </c>
      <c r="AE298">
        <v>1</v>
      </c>
    </row>
    <row r="299" spans="1:32" x14ac:dyDescent="0.3">
      <c r="A299" t="s">
        <v>351</v>
      </c>
      <c r="B299" t="s">
        <v>45</v>
      </c>
      <c r="C299" t="s">
        <v>68</v>
      </c>
      <c r="D299" t="s">
        <v>310</v>
      </c>
      <c r="E299" t="s">
        <v>946</v>
      </c>
      <c r="F299" s="15">
        <v>46225.340752314813</v>
      </c>
      <c r="G299" t="s">
        <v>412</v>
      </c>
      <c r="H299">
        <v>3</v>
      </c>
      <c r="I299" t="s">
        <v>939</v>
      </c>
      <c r="J299" s="15">
        <v>46225.680555555555</v>
      </c>
      <c r="K299" s="15">
        <v>46227.5</v>
      </c>
      <c r="L299" s="15"/>
      <c r="M299">
        <v>3</v>
      </c>
      <c r="O299" t="s">
        <v>201</v>
      </c>
      <c r="P299" t="s">
        <v>532</v>
      </c>
      <c r="S299" t="s">
        <v>359</v>
      </c>
      <c r="T299" t="s">
        <v>377</v>
      </c>
      <c r="U299" t="s">
        <v>239</v>
      </c>
      <c r="V299" t="s">
        <v>351</v>
      </c>
      <c r="W299" t="s">
        <v>378</v>
      </c>
      <c r="X299" t="s">
        <v>239</v>
      </c>
      <c r="AA299" t="s">
        <v>67</v>
      </c>
      <c r="AB299" t="s">
        <v>359</v>
      </c>
      <c r="AC299">
        <v>2100</v>
      </c>
      <c r="AD299" t="s">
        <v>217</v>
      </c>
      <c r="AE299">
        <v>1</v>
      </c>
    </row>
    <row r="300" spans="1:32" x14ac:dyDescent="0.3">
      <c r="A300" t="s">
        <v>351</v>
      </c>
      <c r="B300" t="s">
        <v>63</v>
      </c>
      <c r="C300" t="s">
        <v>95</v>
      </c>
      <c r="D300" t="s">
        <v>310</v>
      </c>
      <c r="E300" t="s">
        <v>826</v>
      </c>
      <c r="F300" s="15">
        <v>46230.561921296299</v>
      </c>
      <c r="G300" t="s">
        <v>409</v>
      </c>
      <c r="H300">
        <v>1</v>
      </c>
      <c r="I300" t="s">
        <v>827</v>
      </c>
      <c r="J300" s="15">
        <v>46231.383333333331</v>
      </c>
      <c r="K300" s="15">
        <v>46237.474999999999</v>
      </c>
      <c r="L300" s="15"/>
      <c r="M300">
        <v>1</v>
      </c>
      <c r="O300" t="s">
        <v>201</v>
      </c>
      <c r="P300" t="s">
        <v>532</v>
      </c>
      <c r="S300" t="s">
        <v>359</v>
      </c>
      <c r="T300" t="s">
        <v>377</v>
      </c>
      <c r="U300" t="s">
        <v>239</v>
      </c>
      <c r="V300" t="s">
        <v>7</v>
      </c>
      <c r="W300" t="s">
        <v>7</v>
      </c>
      <c r="X300" t="s">
        <v>7</v>
      </c>
      <c r="AA300" t="s">
        <v>96</v>
      </c>
      <c r="AB300" t="s">
        <v>359</v>
      </c>
      <c r="AC300">
        <v>2100</v>
      </c>
      <c r="AD300" t="s">
        <v>225</v>
      </c>
      <c r="AE300">
        <v>1</v>
      </c>
      <c r="AF300">
        <v>24.7</v>
      </c>
    </row>
    <row r="301" spans="1:32" x14ac:dyDescent="0.3">
      <c r="A301" t="s">
        <v>351</v>
      </c>
      <c r="B301" t="s">
        <v>57</v>
      </c>
      <c r="C301" t="s">
        <v>117</v>
      </c>
      <c r="D301" t="s">
        <v>310</v>
      </c>
      <c r="E301" t="s">
        <v>826</v>
      </c>
      <c r="F301" s="15">
        <v>46230.561921296299</v>
      </c>
      <c r="G301" t="s">
        <v>409</v>
      </c>
      <c r="H301">
        <v>1</v>
      </c>
      <c r="I301" t="s">
        <v>827</v>
      </c>
      <c r="J301" s="15">
        <v>46231.383333333331</v>
      </c>
      <c r="K301" s="15">
        <v>46237.474999999999</v>
      </c>
      <c r="L301" s="15"/>
      <c r="M301">
        <v>1</v>
      </c>
      <c r="O301" t="s">
        <v>201</v>
      </c>
      <c r="P301" t="s">
        <v>532</v>
      </c>
      <c r="S301" t="s">
        <v>359</v>
      </c>
      <c r="T301" t="s">
        <v>377</v>
      </c>
      <c r="U301" t="s">
        <v>239</v>
      </c>
      <c r="V301" t="s">
        <v>7</v>
      </c>
      <c r="W301" t="s">
        <v>7</v>
      </c>
      <c r="X301" t="s">
        <v>7</v>
      </c>
      <c r="AA301" t="s">
        <v>127</v>
      </c>
      <c r="AB301" t="s">
        <v>359</v>
      </c>
      <c r="AC301">
        <v>2100</v>
      </c>
      <c r="AD301" t="s">
        <v>233</v>
      </c>
      <c r="AE301">
        <v>1</v>
      </c>
    </row>
    <row r="302" spans="1:32" x14ac:dyDescent="0.3">
      <c r="A302" t="s">
        <v>351</v>
      </c>
      <c r="B302" t="s">
        <v>279</v>
      </c>
      <c r="C302" t="s">
        <v>192</v>
      </c>
      <c r="D302" t="s">
        <v>310</v>
      </c>
      <c r="E302" t="s">
        <v>826</v>
      </c>
      <c r="F302" s="15">
        <v>46230.561921296299</v>
      </c>
      <c r="G302" t="s">
        <v>409</v>
      </c>
      <c r="H302">
        <v>245</v>
      </c>
      <c r="I302" t="s">
        <v>827</v>
      </c>
      <c r="J302" s="15">
        <v>46231.383333333331</v>
      </c>
      <c r="K302" s="15">
        <v>46237.474999999999</v>
      </c>
      <c r="L302" s="15"/>
      <c r="M302">
        <v>245</v>
      </c>
      <c r="O302" t="s">
        <v>201</v>
      </c>
      <c r="P302" t="s">
        <v>531</v>
      </c>
      <c r="S302" t="s">
        <v>359</v>
      </c>
      <c r="T302" t="s">
        <v>377</v>
      </c>
      <c r="U302" t="s">
        <v>239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359</v>
      </c>
      <c r="AC302">
        <v>2100</v>
      </c>
      <c r="AD302" t="s">
        <v>232</v>
      </c>
      <c r="AE302">
        <v>245</v>
      </c>
    </row>
    <row r="303" spans="1:32" x14ac:dyDescent="0.3">
      <c r="A303" t="s">
        <v>351</v>
      </c>
      <c r="B303" t="s">
        <v>45</v>
      </c>
      <c r="C303" t="s">
        <v>68</v>
      </c>
      <c r="D303" t="s">
        <v>310</v>
      </c>
      <c r="E303" t="s">
        <v>951</v>
      </c>
      <c r="F303" s="15">
        <v>46230.441238425927</v>
      </c>
      <c r="G303" t="s">
        <v>408</v>
      </c>
      <c r="H303">
        <v>3</v>
      </c>
      <c r="I303" t="s">
        <v>952</v>
      </c>
      <c r="J303" s="15">
        <v>46230.705555555556</v>
      </c>
      <c r="K303" s="15">
        <v>46231.431944444441</v>
      </c>
      <c r="L303" s="15"/>
      <c r="M303">
        <v>3</v>
      </c>
      <c r="O303" t="s">
        <v>201</v>
      </c>
      <c r="P303" t="s">
        <v>532</v>
      </c>
      <c r="S303" t="s">
        <v>359</v>
      </c>
      <c r="T303" t="s">
        <v>377</v>
      </c>
      <c r="U303" t="s">
        <v>239</v>
      </c>
      <c r="V303" t="s">
        <v>351</v>
      </c>
      <c r="W303" t="s">
        <v>378</v>
      </c>
      <c r="X303" t="s">
        <v>239</v>
      </c>
      <c r="Y303">
        <v>103</v>
      </c>
      <c r="AA303" t="s">
        <v>67</v>
      </c>
      <c r="AB303" t="s">
        <v>359</v>
      </c>
      <c r="AC303">
        <v>2100</v>
      </c>
      <c r="AD303" t="s">
        <v>217</v>
      </c>
      <c r="AE303">
        <v>1</v>
      </c>
    </row>
    <row r="304" spans="1:32" x14ac:dyDescent="0.3">
      <c r="A304" t="s">
        <v>351</v>
      </c>
      <c r="B304" t="s">
        <v>45</v>
      </c>
      <c r="C304" t="s">
        <v>68</v>
      </c>
      <c r="D304" t="s">
        <v>310</v>
      </c>
      <c r="E304" t="s">
        <v>953</v>
      </c>
      <c r="F304" s="15">
        <v>46230.439814814818</v>
      </c>
      <c r="G304" t="s">
        <v>408</v>
      </c>
      <c r="H304">
        <v>4</v>
      </c>
      <c r="I304" t="s">
        <v>952</v>
      </c>
      <c r="J304" s="15">
        <v>46230.705555555556</v>
      </c>
      <c r="K304" s="15">
        <v>46231.431944444441</v>
      </c>
      <c r="L304" s="15"/>
      <c r="M304">
        <v>4</v>
      </c>
      <c r="O304" t="s">
        <v>201</v>
      </c>
      <c r="P304" t="s">
        <v>532</v>
      </c>
      <c r="S304" t="s">
        <v>359</v>
      </c>
      <c r="T304" t="s">
        <v>377</v>
      </c>
      <c r="U304" t="s">
        <v>239</v>
      </c>
      <c r="V304" t="s">
        <v>351</v>
      </c>
      <c r="W304" t="s">
        <v>378</v>
      </c>
      <c r="X304" t="s">
        <v>239</v>
      </c>
      <c r="AA304" t="s">
        <v>67</v>
      </c>
      <c r="AB304" t="s">
        <v>359</v>
      </c>
      <c r="AC304">
        <v>2100</v>
      </c>
      <c r="AD304" t="s">
        <v>217</v>
      </c>
      <c r="AE304">
        <v>1</v>
      </c>
    </row>
    <row r="305" spans="1:32" x14ac:dyDescent="0.3">
      <c r="A305" t="s">
        <v>351</v>
      </c>
      <c r="B305" t="s">
        <v>43</v>
      </c>
      <c r="C305" t="s">
        <v>105</v>
      </c>
      <c r="D305" t="s">
        <v>310</v>
      </c>
      <c r="E305" t="s">
        <v>1023</v>
      </c>
      <c r="F305" s="15">
        <v>46226.43414351852</v>
      </c>
      <c r="G305" t="s">
        <v>426</v>
      </c>
      <c r="H305">
        <v>1</v>
      </c>
      <c r="I305" t="s">
        <v>1024</v>
      </c>
      <c r="J305" s="15">
        <v>46226.474999999999</v>
      </c>
      <c r="K305" s="15">
        <v>46231.455555555556</v>
      </c>
      <c r="L305" s="15"/>
      <c r="M305">
        <v>1</v>
      </c>
      <c r="O305" t="s">
        <v>201</v>
      </c>
      <c r="P305" t="s">
        <v>531</v>
      </c>
      <c r="S305" t="s">
        <v>359</v>
      </c>
      <c r="T305" t="s">
        <v>377</v>
      </c>
      <c r="U305" t="s">
        <v>239</v>
      </c>
      <c r="V305" t="s">
        <v>351</v>
      </c>
      <c r="W305" t="s">
        <v>378</v>
      </c>
      <c r="X305" t="s">
        <v>239</v>
      </c>
      <c r="AA305" t="s">
        <v>67</v>
      </c>
      <c r="AB305" t="s">
        <v>359</v>
      </c>
      <c r="AC305">
        <v>2100</v>
      </c>
      <c r="AD305" t="s">
        <v>217</v>
      </c>
      <c r="AE305">
        <v>1</v>
      </c>
    </row>
    <row r="306" spans="1:32" x14ac:dyDescent="0.3">
      <c r="A306" t="s">
        <v>351</v>
      </c>
      <c r="B306" t="s">
        <v>45</v>
      </c>
      <c r="C306" t="s">
        <v>68</v>
      </c>
      <c r="D306" t="s">
        <v>310</v>
      </c>
      <c r="E306" t="s">
        <v>947</v>
      </c>
      <c r="F306" s="15">
        <v>46225.341481481482</v>
      </c>
      <c r="G306" t="s">
        <v>412</v>
      </c>
      <c r="H306">
        <v>11</v>
      </c>
      <c r="I306" t="s">
        <v>939</v>
      </c>
      <c r="J306" s="15">
        <v>46225.680555555555</v>
      </c>
      <c r="K306" s="15">
        <v>46227.5</v>
      </c>
      <c r="L306" s="15"/>
      <c r="M306">
        <v>11</v>
      </c>
      <c r="O306" t="s">
        <v>201</v>
      </c>
      <c r="P306" t="s">
        <v>532</v>
      </c>
      <c r="S306" t="s">
        <v>359</v>
      </c>
      <c r="T306" t="s">
        <v>377</v>
      </c>
      <c r="U306" t="s">
        <v>239</v>
      </c>
      <c r="V306" t="s">
        <v>351</v>
      </c>
      <c r="W306" t="s">
        <v>378</v>
      </c>
      <c r="X306" t="s">
        <v>239</v>
      </c>
      <c r="AA306" t="s">
        <v>67</v>
      </c>
      <c r="AB306" t="s">
        <v>359</v>
      </c>
      <c r="AC306">
        <v>2100</v>
      </c>
      <c r="AD306" t="s">
        <v>217</v>
      </c>
      <c r="AE306">
        <v>1.1000000000000001</v>
      </c>
    </row>
    <row r="307" spans="1:32" x14ac:dyDescent="0.3">
      <c r="A307" t="s">
        <v>351</v>
      </c>
      <c r="B307" t="s">
        <v>45</v>
      </c>
      <c r="C307" t="s">
        <v>68</v>
      </c>
      <c r="D307" t="s">
        <v>310</v>
      </c>
      <c r="E307" t="s">
        <v>916</v>
      </c>
      <c r="F307" s="15">
        <v>46244.522743055553</v>
      </c>
      <c r="G307" t="s">
        <v>421</v>
      </c>
      <c r="H307">
        <v>6</v>
      </c>
      <c r="I307" t="s">
        <v>917</v>
      </c>
      <c r="J307" s="15">
        <v>46244.706250000003</v>
      </c>
      <c r="K307" s="15">
        <v>46247.409722222219</v>
      </c>
      <c r="L307" s="15"/>
      <c r="M307">
        <v>6</v>
      </c>
      <c r="O307" t="s">
        <v>201</v>
      </c>
      <c r="P307" t="s">
        <v>531</v>
      </c>
      <c r="S307" t="s">
        <v>364</v>
      </c>
      <c r="T307" t="s">
        <v>379</v>
      </c>
      <c r="U307" t="s">
        <v>239</v>
      </c>
      <c r="V307" t="s">
        <v>351</v>
      </c>
      <c r="W307" t="s">
        <v>378</v>
      </c>
      <c r="X307" t="s">
        <v>239</v>
      </c>
      <c r="Y307">
        <v>0</v>
      </c>
      <c r="AA307" t="s">
        <v>67</v>
      </c>
      <c r="AB307" t="s">
        <v>364</v>
      </c>
      <c r="AC307">
        <v>1050</v>
      </c>
      <c r="AD307" t="s">
        <v>217</v>
      </c>
      <c r="AE307">
        <v>1</v>
      </c>
      <c r="AF307">
        <v>1</v>
      </c>
    </row>
    <row r="308" spans="1:32" x14ac:dyDescent="0.3">
      <c r="A308" t="s">
        <v>351</v>
      </c>
      <c r="B308" t="s">
        <v>51</v>
      </c>
      <c r="C308" t="s">
        <v>258</v>
      </c>
      <c r="D308" t="s">
        <v>310</v>
      </c>
      <c r="E308" t="s">
        <v>928</v>
      </c>
      <c r="F308" s="15">
        <v>46247.655405092592</v>
      </c>
      <c r="G308" t="s">
        <v>421</v>
      </c>
      <c r="H308">
        <v>120</v>
      </c>
      <c r="I308" t="s">
        <v>929</v>
      </c>
      <c r="J308" s="15">
        <v>46247.70208333333</v>
      </c>
      <c r="K308" s="15">
        <v>46253.604166666664</v>
      </c>
      <c r="L308" s="15"/>
      <c r="M308">
        <v>120</v>
      </c>
      <c r="O308" t="s">
        <v>201</v>
      </c>
      <c r="P308" t="s">
        <v>531</v>
      </c>
      <c r="S308" t="s">
        <v>364</v>
      </c>
      <c r="T308" t="s">
        <v>379</v>
      </c>
      <c r="U308" t="s">
        <v>239</v>
      </c>
      <c r="V308" t="s">
        <v>7</v>
      </c>
      <c r="W308" t="s">
        <v>7</v>
      </c>
      <c r="X308" t="s">
        <v>7</v>
      </c>
      <c r="AA308" t="s">
        <v>238</v>
      </c>
      <c r="AB308" t="s">
        <v>364</v>
      </c>
      <c r="AC308">
        <v>1050</v>
      </c>
      <c r="AD308" t="s">
        <v>7</v>
      </c>
      <c r="AF308">
        <v>0</v>
      </c>
    </row>
    <row r="309" spans="1:32" x14ac:dyDescent="0.3">
      <c r="A309" t="s">
        <v>351</v>
      </c>
      <c r="B309" t="s">
        <v>45</v>
      </c>
      <c r="C309" t="s">
        <v>68</v>
      </c>
      <c r="D309" t="s">
        <v>310</v>
      </c>
      <c r="E309" t="s">
        <v>918</v>
      </c>
      <c r="F309" s="15">
        <v>46252.385625000003</v>
      </c>
      <c r="G309" t="s">
        <v>415</v>
      </c>
      <c r="H309">
        <v>45</v>
      </c>
      <c r="I309" t="s">
        <v>919</v>
      </c>
      <c r="J309" s="15">
        <v>46252.684027777781</v>
      </c>
      <c r="K309" s="15">
        <v>46254.560416666667</v>
      </c>
      <c r="L309" s="15"/>
      <c r="M309">
        <v>45</v>
      </c>
      <c r="O309" t="s">
        <v>201</v>
      </c>
      <c r="P309" t="s">
        <v>531</v>
      </c>
      <c r="S309" t="s">
        <v>364</v>
      </c>
      <c r="T309" t="s">
        <v>379</v>
      </c>
      <c r="U309" t="s">
        <v>239</v>
      </c>
      <c r="V309" t="s">
        <v>351</v>
      </c>
      <c r="W309" t="s">
        <v>378</v>
      </c>
      <c r="X309" t="s">
        <v>239</v>
      </c>
      <c r="Y309">
        <v>0</v>
      </c>
      <c r="AA309" t="s">
        <v>67</v>
      </c>
      <c r="AB309" t="s">
        <v>364</v>
      </c>
      <c r="AC309">
        <v>1050</v>
      </c>
      <c r="AD309" t="s">
        <v>217</v>
      </c>
      <c r="AE309">
        <v>4.5</v>
      </c>
      <c r="AF309">
        <v>1</v>
      </c>
    </row>
    <row r="310" spans="1:32" x14ac:dyDescent="0.3">
      <c r="A310" t="s">
        <v>351</v>
      </c>
      <c r="B310" t="s">
        <v>45</v>
      </c>
      <c r="C310" t="s">
        <v>68</v>
      </c>
      <c r="D310" t="s">
        <v>310</v>
      </c>
      <c r="E310" t="s">
        <v>920</v>
      </c>
      <c r="F310" s="15">
        <v>46251.574641203704</v>
      </c>
      <c r="G310" t="s">
        <v>421</v>
      </c>
      <c r="H310">
        <v>15</v>
      </c>
      <c r="I310" t="s">
        <v>921</v>
      </c>
      <c r="J310" s="15">
        <v>46252.347222222219</v>
      </c>
      <c r="K310" s="15">
        <v>46253.486111111109</v>
      </c>
      <c r="L310" s="15"/>
      <c r="M310">
        <v>15</v>
      </c>
      <c r="O310" t="s">
        <v>201</v>
      </c>
      <c r="P310" t="s">
        <v>531</v>
      </c>
      <c r="S310" t="s">
        <v>364</v>
      </c>
      <c r="T310" t="s">
        <v>379</v>
      </c>
      <c r="U310" t="s">
        <v>239</v>
      </c>
      <c r="V310" t="s">
        <v>351</v>
      </c>
      <c r="W310" t="s">
        <v>378</v>
      </c>
      <c r="X310" t="s">
        <v>239</v>
      </c>
      <c r="AA310" t="s">
        <v>67</v>
      </c>
      <c r="AB310" t="s">
        <v>364</v>
      </c>
      <c r="AC310">
        <v>1050</v>
      </c>
      <c r="AD310" t="s">
        <v>217</v>
      </c>
      <c r="AE310">
        <v>1.5</v>
      </c>
      <c r="AF310">
        <v>1</v>
      </c>
    </row>
    <row r="311" spans="1:32" x14ac:dyDescent="0.3">
      <c r="A311" t="s">
        <v>351</v>
      </c>
      <c r="B311" t="s">
        <v>45</v>
      </c>
      <c r="C311" t="s">
        <v>68</v>
      </c>
      <c r="D311" t="s">
        <v>310</v>
      </c>
      <c r="E311" t="s">
        <v>922</v>
      </c>
      <c r="F311" s="15">
        <v>46224.403738425928</v>
      </c>
      <c r="G311" t="s">
        <v>415</v>
      </c>
      <c r="H311">
        <v>50</v>
      </c>
      <c r="I311" t="s">
        <v>923</v>
      </c>
      <c r="J311" s="15">
        <v>46224.678472222222</v>
      </c>
      <c r="K311" s="15">
        <v>46227.503472222219</v>
      </c>
      <c r="L311" s="15"/>
      <c r="M311">
        <v>50</v>
      </c>
      <c r="O311" t="s">
        <v>201</v>
      </c>
      <c r="P311" t="s">
        <v>531</v>
      </c>
      <c r="S311" t="s">
        <v>364</v>
      </c>
      <c r="T311" t="s">
        <v>379</v>
      </c>
      <c r="U311" t="s">
        <v>239</v>
      </c>
      <c r="V311" t="s">
        <v>351</v>
      </c>
      <c r="W311" t="s">
        <v>378</v>
      </c>
      <c r="X311" t="s">
        <v>239</v>
      </c>
      <c r="Y311">
        <v>0</v>
      </c>
      <c r="AA311" t="s">
        <v>67</v>
      </c>
      <c r="AB311" t="s">
        <v>364</v>
      </c>
      <c r="AC311">
        <v>1050</v>
      </c>
      <c r="AD311" t="s">
        <v>217</v>
      </c>
      <c r="AE311">
        <v>5</v>
      </c>
      <c r="AF311">
        <v>1</v>
      </c>
    </row>
    <row r="312" spans="1:32" x14ac:dyDescent="0.3">
      <c r="A312" t="s">
        <v>351</v>
      </c>
      <c r="B312" t="s">
        <v>45</v>
      </c>
      <c r="C312" t="s">
        <v>68</v>
      </c>
      <c r="D312" t="s">
        <v>310</v>
      </c>
      <c r="E312" t="s">
        <v>924</v>
      </c>
      <c r="F312" s="15">
        <v>46230.325821759259</v>
      </c>
      <c r="G312" t="s">
        <v>421</v>
      </c>
      <c r="H312">
        <v>22</v>
      </c>
      <c r="I312" t="s">
        <v>925</v>
      </c>
      <c r="J312" s="15">
        <v>46230.419444444444</v>
      </c>
      <c r="K312" s="15">
        <v>46232.520833333336</v>
      </c>
      <c r="L312" s="15"/>
      <c r="M312">
        <v>22</v>
      </c>
      <c r="O312" t="s">
        <v>201</v>
      </c>
      <c r="P312" t="s">
        <v>531</v>
      </c>
      <c r="S312" t="s">
        <v>364</v>
      </c>
      <c r="T312" t="s">
        <v>379</v>
      </c>
      <c r="U312" t="s">
        <v>239</v>
      </c>
      <c r="V312" t="s">
        <v>351</v>
      </c>
      <c r="W312" t="s">
        <v>378</v>
      </c>
      <c r="X312" t="s">
        <v>239</v>
      </c>
      <c r="Y312">
        <v>0</v>
      </c>
      <c r="AA312" t="s">
        <v>67</v>
      </c>
      <c r="AB312" t="s">
        <v>364</v>
      </c>
      <c r="AC312">
        <v>1050</v>
      </c>
      <c r="AD312" t="s">
        <v>217</v>
      </c>
      <c r="AE312">
        <v>2.2000000000000002</v>
      </c>
      <c r="AF312">
        <v>1</v>
      </c>
    </row>
    <row r="313" spans="1:32" x14ac:dyDescent="0.3">
      <c r="A313" t="s">
        <v>351</v>
      </c>
      <c r="B313" t="s">
        <v>48</v>
      </c>
      <c r="C313" t="s">
        <v>68</v>
      </c>
      <c r="D313" t="s">
        <v>310</v>
      </c>
      <c r="E313" t="s">
        <v>976</v>
      </c>
      <c r="F313" s="15">
        <v>46226.544976851852</v>
      </c>
      <c r="G313" t="s">
        <v>415</v>
      </c>
      <c r="H313">
        <v>1</v>
      </c>
      <c r="I313" t="s">
        <v>977</v>
      </c>
      <c r="J313" s="15">
        <v>46227.467361111114</v>
      </c>
      <c r="K313" s="15">
        <v>46230.449305555558</v>
      </c>
      <c r="L313" s="15"/>
      <c r="M313">
        <v>1</v>
      </c>
      <c r="O313" t="s">
        <v>201</v>
      </c>
      <c r="P313" t="s">
        <v>532</v>
      </c>
      <c r="S313" t="s">
        <v>364</v>
      </c>
      <c r="T313" t="s">
        <v>379</v>
      </c>
      <c r="U313" t="s">
        <v>239</v>
      </c>
      <c r="V313" t="s">
        <v>351</v>
      </c>
      <c r="W313" t="s">
        <v>378</v>
      </c>
      <c r="X313" t="s">
        <v>239</v>
      </c>
      <c r="Y313">
        <v>0</v>
      </c>
      <c r="AA313" t="s">
        <v>90</v>
      </c>
      <c r="AB313" t="s">
        <v>364</v>
      </c>
      <c r="AC313">
        <v>1050</v>
      </c>
      <c r="AD313" t="s">
        <v>217</v>
      </c>
      <c r="AE313">
        <v>1</v>
      </c>
      <c r="AF313">
        <v>1</v>
      </c>
    </row>
    <row r="314" spans="1:32" x14ac:dyDescent="0.3">
      <c r="A314" t="s">
        <v>351</v>
      </c>
      <c r="B314" t="s">
        <v>45</v>
      </c>
      <c r="C314" t="s">
        <v>68</v>
      </c>
      <c r="D314" t="s">
        <v>310</v>
      </c>
      <c r="E314" t="s">
        <v>1179</v>
      </c>
      <c r="F314" s="15">
        <v>46224.647638888891</v>
      </c>
      <c r="G314" t="s">
        <v>416</v>
      </c>
      <c r="H314">
        <v>1</v>
      </c>
      <c r="I314" t="s">
        <v>1180</v>
      </c>
      <c r="J314" s="15">
        <v>46225.434756944444</v>
      </c>
      <c r="K314" s="15">
        <v>46226.447916666664</v>
      </c>
      <c r="L314" s="15"/>
      <c r="M314">
        <v>1</v>
      </c>
      <c r="O314" t="s">
        <v>201</v>
      </c>
      <c r="P314" t="s">
        <v>532</v>
      </c>
      <c r="S314" t="s">
        <v>358</v>
      </c>
      <c r="T314" t="s">
        <v>376</v>
      </c>
      <c r="U314" t="s">
        <v>287</v>
      </c>
      <c r="V314" t="s">
        <v>351</v>
      </c>
      <c r="W314" t="s">
        <v>378</v>
      </c>
      <c r="X314" t="s">
        <v>239</v>
      </c>
      <c r="Y314">
        <v>76</v>
      </c>
      <c r="AA314" t="s">
        <v>67</v>
      </c>
      <c r="AB314" t="s">
        <v>358</v>
      </c>
      <c r="AD314" t="s">
        <v>217</v>
      </c>
      <c r="AE314">
        <v>1</v>
      </c>
      <c r="AF314">
        <v>1</v>
      </c>
    </row>
    <row r="315" spans="1:32" x14ac:dyDescent="0.3">
      <c r="A315" t="s">
        <v>351</v>
      </c>
      <c r="B315" t="s">
        <v>63</v>
      </c>
      <c r="C315" t="s">
        <v>95</v>
      </c>
      <c r="D315" t="s">
        <v>310</v>
      </c>
      <c r="E315" t="s">
        <v>1183</v>
      </c>
      <c r="F315" s="15">
        <v>46241.647488425922</v>
      </c>
      <c r="G315" t="s">
        <v>409</v>
      </c>
      <c r="H315">
        <v>1</v>
      </c>
      <c r="I315" t="s">
        <v>1184</v>
      </c>
      <c r="J315" s="15">
        <v>46244.369074074071</v>
      </c>
      <c r="K315" s="15">
        <v>46247.349988425929</v>
      </c>
      <c r="L315" s="15"/>
      <c r="M315">
        <v>1</v>
      </c>
      <c r="O315" t="s">
        <v>201</v>
      </c>
      <c r="P315" t="s">
        <v>532</v>
      </c>
      <c r="S315" t="s">
        <v>359</v>
      </c>
      <c r="T315" t="s">
        <v>377</v>
      </c>
      <c r="U315" t="s">
        <v>239</v>
      </c>
      <c r="V315" t="s">
        <v>7</v>
      </c>
      <c r="W315" t="s">
        <v>7</v>
      </c>
      <c r="X315" t="s">
        <v>7</v>
      </c>
      <c r="AA315" t="s">
        <v>96</v>
      </c>
      <c r="AB315" t="s">
        <v>359</v>
      </c>
      <c r="AC315">
        <v>2100</v>
      </c>
      <c r="AD315" t="s">
        <v>225</v>
      </c>
      <c r="AE315">
        <v>1</v>
      </c>
      <c r="AF315">
        <v>34.200000000000003</v>
      </c>
    </row>
    <row r="316" spans="1:32" x14ac:dyDescent="0.3">
      <c r="A316" t="s">
        <v>351</v>
      </c>
      <c r="B316" t="s">
        <v>57</v>
      </c>
      <c r="C316" t="s">
        <v>117</v>
      </c>
      <c r="D316" t="s">
        <v>310</v>
      </c>
      <c r="E316" t="s">
        <v>1183</v>
      </c>
      <c r="F316" s="15">
        <v>46241.647488425922</v>
      </c>
      <c r="G316" t="s">
        <v>409</v>
      </c>
      <c r="H316">
        <v>1</v>
      </c>
      <c r="I316" t="s">
        <v>1184</v>
      </c>
      <c r="J316" s="15">
        <v>46244.369074074071</v>
      </c>
      <c r="K316" s="15">
        <v>46247.349988425929</v>
      </c>
      <c r="L316" s="15"/>
      <c r="M316">
        <v>1</v>
      </c>
      <c r="O316" t="s">
        <v>201</v>
      </c>
      <c r="P316" t="s">
        <v>532</v>
      </c>
      <c r="S316" t="s">
        <v>359</v>
      </c>
      <c r="T316" t="s">
        <v>377</v>
      </c>
      <c r="U316" t="s">
        <v>239</v>
      </c>
      <c r="V316" t="s">
        <v>7</v>
      </c>
      <c r="W316" t="s">
        <v>7</v>
      </c>
      <c r="X316" t="s">
        <v>7</v>
      </c>
      <c r="AA316" t="s">
        <v>127</v>
      </c>
      <c r="AB316" t="s">
        <v>359</v>
      </c>
      <c r="AC316">
        <v>2100</v>
      </c>
      <c r="AD316" t="s">
        <v>233</v>
      </c>
      <c r="AE316">
        <v>1</v>
      </c>
    </row>
    <row r="317" spans="1:32" x14ac:dyDescent="0.3">
      <c r="A317" t="s">
        <v>351</v>
      </c>
      <c r="B317" t="s">
        <v>48</v>
      </c>
      <c r="C317" t="s">
        <v>68</v>
      </c>
      <c r="D317" t="s">
        <v>310</v>
      </c>
      <c r="E317" t="s">
        <v>442</v>
      </c>
      <c r="F317" s="15">
        <v>46216.601365740738</v>
      </c>
      <c r="G317" t="s">
        <v>412</v>
      </c>
      <c r="H317">
        <v>1</v>
      </c>
      <c r="I317" t="s">
        <v>1103</v>
      </c>
      <c r="J317" s="15">
        <v>46220.410416666666</v>
      </c>
      <c r="K317" s="15">
        <v>46223.497916666667</v>
      </c>
      <c r="L317" s="15"/>
      <c r="M317">
        <v>1</v>
      </c>
      <c r="O317" t="s">
        <v>201</v>
      </c>
      <c r="P317" t="s">
        <v>531</v>
      </c>
      <c r="S317" t="s">
        <v>360</v>
      </c>
      <c r="T317" t="s">
        <v>378</v>
      </c>
      <c r="U317" t="s">
        <v>239</v>
      </c>
      <c r="V317" t="s">
        <v>351</v>
      </c>
      <c r="W317" t="s">
        <v>378</v>
      </c>
      <c r="X317" t="s">
        <v>239</v>
      </c>
      <c r="Y317">
        <v>0</v>
      </c>
      <c r="AA317" t="s">
        <v>90</v>
      </c>
      <c r="AB317" t="s">
        <v>360</v>
      </c>
      <c r="AC317">
        <v>50</v>
      </c>
      <c r="AD317" t="s">
        <v>217</v>
      </c>
      <c r="AE317">
        <v>1</v>
      </c>
      <c r="AF317">
        <v>1</v>
      </c>
    </row>
    <row r="318" spans="1:32" x14ac:dyDescent="0.3">
      <c r="A318" t="s">
        <v>351</v>
      </c>
      <c r="B318" t="s">
        <v>57</v>
      </c>
      <c r="C318" t="s">
        <v>117</v>
      </c>
      <c r="D318" t="s">
        <v>310</v>
      </c>
      <c r="E318" t="s">
        <v>443</v>
      </c>
      <c r="F318" s="15">
        <v>46217.60359953704</v>
      </c>
      <c r="G318" t="s">
        <v>439</v>
      </c>
      <c r="H318">
        <v>13</v>
      </c>
      <c r="I318" t="s">
        <v>1102</v>
      </c>
      <c r="J318" s="15">
        <v>46237.518055555556</v>
      </c>
      <c r="K318" s="15">
        <v>46239.647916666669</v>
      </c>
      <c r="L318" s="15"/>
      <c r="M318">
        <v>13</v>
      </c>
      <c r="O318" t="s">
        <v>201</v>
      </c>
      <c r="P318" t="s">
        <v>532</v>
      </c>
      <c r="S318" t="s">
        <v>363</v>
      </c>
      <c r="T318" t="s">
        <v>378</v>
      </c>
      <c r="U318" t="s">
        <v>239</v>
      </c>
      <c r="V318" t="s">
        <v>7</v>
      </c>
      <c r="W318" t="s">
        <v>7</v>
      </c>
      <c r="X318" t="s">
        <v>7</v>
      </c>
      <c r="AA318" t="s">
        <v>127</v>
      </c>
      <c r="AB318" t="s">
        <v>363</v>
      </c>
      <c r="AC318">
        <v>101</v>
      </c>
      <c r="AD318" t="s">
        <v>233</v>
      </c>
      <c r="AE318">
        <v>1.3</v>
      </c>
    </row>
    <row r="319" spans="1:32" x14ac:dyDescent="0.3">
      <c r="A319" t="s">
        <v>351</v>
      </c>
      <c r="B319" t="s">
        <v>281</v>
      </c>
      <c r="C319" t="s">
        <v>85</v>
      </c>
      <c r="D319" t="s">
        <v>310</v>
      </c>
      <c r="E319" t="s">
        <v>443</v>
      </c>
      <c r="F319" s="15">
        <v>46217.60359953704</v>
      </c>
      <c r="G319" t="s">
        <v>439</v>
      </c>
      <c r="H319">
        <v>1</v>
      </c>
      <c r="I319" t="s">
        <v>1069</v>
      </c>
      <c r="J319" s="15">
        <v>46220.352083333331</v>
      </c>
      <c r="K319" s="15">
        <v>46227.702777777777</v>
      </c>
      <c r="L319" s="15"/>
      <c r="M319">
        <v>1</v>
      </c>
      <c r="O319" t="s">
        <v>529</v>
      </c>
      <c r="S319" t="s">
        <v>363</v>
      </c>
      <c r="T319" t="s">
        <v>378</v>
      </c>
      <c r="U319" t="s">
        <v>239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363</v>
      </c>
      <c r="AC319">
        <v>101</v>
      </c>
      <c r="AD319" t="s">
        <v>231</v>
      </c>
      <c r="AE319">
        <v>1</v>
      </c>
    </row>
    <row r="320" spans="1:32" x14ac:dyDescent="0.3">
      <c r="A320" t="s">
        <v>351</v>
      </c>
      <c r="B320" t="s">
        <v>279</v>
      </c>
      <c r="C320" t="s">
        <v>192</v>
      </c>
      <c r="D320" t="s">
        <v>310</v>
      </c>
      <c r="E320" t="s">
        <v>1183</v>
      </c>
      <c r="F320" s="15">
        <v>46241.647488425922</v>
      </c>
      <c r="G320" t="s">
        <v>409</v>
      </c>
      <c r="H320">
        <v>340</v>
      </c>
      <c r="I320" t="s">
        <v>1184</v>
      </c>
      <c r="J320" s="15">
        <v>46244.369074074071</v>
      </c>
      <c r="K320" s="15">
        <v>46247.349988425929</v>
      </c>
      <c r="L320" s="15"/>
      <c r="M320">
        <v>340</v>
      </c>
      <c r="O320" t="s">
        <v>201</v>
      </c>
      <c r="P320" t="s">
        <v>532</v>
      </c>
      <c r="S320" t="s">
        <v>359</v>
      </c>
      <c r="T320" t="s">
        <v>377</v>
      </c>
      <c r="U320" t="s">
        <v>239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359</v>
      </c>
      <c r="AC320">
        <v>2100</v>
      </c>
      <c r="AD320" t="s">
        <v>232</v>
      </c>
      <c r="AE320">
        <v>340</v>
      </c>
    </row>
    <row r="321" spans="1:31" x14ac:dyDescent="0.3">
      <c r="A321" t="s">
        <v>351</v>
      </c>
      <c r="B321" t="s">
        <v>48</v>
      </c>
      <c r="C321" t="s">
        <v>68</v>
      </c>
      <c r="D321" t="s">
        <v>310</v>
      </c>
      <c r="E321" t="s">
        <v>1187</v>
      </c>
      <c r="F321" s="15">
        <v>46241.31753472222</v>
      </c>
      <c r="G321" t="s">
        <v>411</v>
      </c>
      <c r="H321">
        <v>2</v>
      </c>
      <c r="I321" t="s">
        <v>1188</v>
      </c>
      <c r="J321" s="15">
        <v>46241.34952546296</v>
      </c>
      <c r="K321" s="15">
        <v>46244.479166666664</v>
      </c>
      <c r="L321" s="15"/>
      <c r="M321">
        <v>2</v>
      </c>
      <c r="O321" t="s">
        <v>201</v>
      </c>
      <c r="P321" t="s">
        <v>531</v>
      </c>
      <c r="S321" t="s">
        <v>363</v>
      </c>
      <c r="T321" t="s">
        <v>378</v>
      </c>
      <c r="U321" t="s">
        <v>239</v>
      </c>
      <c r="V321" t="s">
        <v>351</v>
      </c>
      <c r="W321" t="s">
        <v>378</v>
      </c>
      <c r="X321" t="s">
        <v>239</v>
      </c>
      <c r="AA321" t="s">
        <v>90</v>
      </c>
      <c r="AB321" t="s">
        <v>363</v>
      </c>
      <c r="AC321">
        <v>101</v>
      </c>
      <c r="AD321" t="s">
        <v>217</v>
      </c>
      <c r="AE321">
        <v>1</v>
      </c>
    </row>
    <row r="322" spans="1:31" x14ac:dyDescent="0.3">
      <c r="A322" t="s">
        <v>351</v>
      </c>
      <c r="B322" t="s">
        <v>63</v>
      </c>
      <c r="C322" t="s">
        <v>95</v>
      </c>
      <c r="D322" t="s">
        <v>310</v>
      </c>
      <c r="E322" t="s">
        <v>1194</v>
      </c>
      <c r="F322" s="15">
        <v>46239.716504629629</v>
      </c>
      <c r="G322" t="s">
        <v>412</v>
      </c>
      <c r="H322">
        <v>1</v>
      </c>
      <c r="I322" t="s">
        <v>1195</v>
      </c>
      <c r="J322" s="15">
        <v>46240.376805555556</v>
      </c>
      <c r="K322" s="15">
        <v>46246.703472222223</v>
      </c>
      <c r="L322" s="15"/>
      <c r="M322">
        <v>1</v>
      </c>
      <c r="O322" t="s">
        <v>201</v>
      </c>
      <c r="P322" t="s">
        <v>532</v>
      </c>
      <c r="S322" t="s">
        <v>361</v>
      </c>
      <c r="T322" t="s">
        <v>378</v>
      </c>
      <c r="U322" t="s">
        <v>239</v>
      </c>
      <c r="V322" t="s">
        <v>7</v>
      </c>
      <c r="W322" t="s">
        <v>7</v>
      </c>
      <c r="X322" t="s">
        <v>7</v>
      </c>
      <c r="AA322" t="s">
        <v>96</v>
      </c>
      <c r="AB322" t="s">
        <v>361</v>
      </c>
      <c r="AC322">
        <v>2200</v>
      </c>
      <c r="AD322" t="s">
        <v>225</v>
      </c>
      <c r="AE322">
        <v>1</v>
      </c>
    </row>
    <row r="323" spans="1:31" x14ac:dyDescent="0.3">
      <c r="A323" t="s">
        <v>351</v>
      </c>
      <c r="B323" t="s">
        <v>57</v>
      </c>
      <c r="C323" t="s">
        <v>117</v>
      </c>
      <c r="D323" t="s">
        <v>310</v>
      </c>
      <c r="E323" t="s">
        <v>1194</v>
      </c>
      <c r="F323" s="15">
        <v>46239.716504629629</v>
      </c>
      <c r="G323" t="s">
        <v>412</v>
      </c>
      <c r="H323">
        <v>1</v>
      </c>
      <c r="I323" t="s">
        <v>1195</v>
      </c>
      <c r="J323" s="15">
        <v>46240.376805555556</v>
      </c>
      <c r="K323" s="15">
        <v>46246.703472222223</v>
      </c>
      <c r="L323" s="15"/>
      <c r="M323">
        <v>1</v>
      </c>
      <c r="O323" t="s">
        <v>201</v>
      </c>
      <c r="P323" t="s">
        <v>532</v>
      </c>
      <c r="S323" t="s">
        <v>361</v>
      </c>
      <c r="T323" t="s">
        <v>378</v>
      </c>
      <c r="U323" t="s">
        <v>239</v>
      </c>
      <c r="V323" t="s">
        <v>7</v>
      </c>
      <c r="W323" t="s">
        <v>7</v>
      </c>
      <c r="X323" t="s">
        <v>7</v>
      </c>
      <c r="AA323" t="s">
        <v>127</v>
      </c>
      <c r="AB323" t="s">
        <v>361</v>
      </c>
      <c r="AC323">
        <v>2200</v>
      </c>
      <c r="AD323" t="s">
        <v>233</v>
      </c>
      <c r="AE323">
        <v>1</v>
      </c>
    </row>
    <row r="324" spans="1:31" x14ac:dyDescent="0.3">
      <c r="A324" t="s">
        <v>351</v>
      </c>
      <c r="B324" t="s">
        <v>279</v>
      </c>
      <c r="C324" t="s">
        <v>192</v>
      </c>
      <c r="D324" t="s">
        <v>310</v>
      </c>
      <c r="E324" t="s">
        <v>1194</v>
      </c>
      <c r="F324" s="15">
        <v>46239.716504629629</v>
      </c>
      <c r="G324" t="s">
        <v>412</v>
      </c>
      <c r="H324">
        <v>1246</v>
      </c>
      <c r="I324" t="s">
        <v>1195</v>
      </c>
      <c r="J324" s="15">
        <v>46240.376805555556</v>
      </c>
      <c r="K324" s="15">
        <v>46246.703472222223</v>
      </c>
      <c r="L324" s="15"/>
      <c r="M324">
        <v>1246</v>
      </c>
      <c r="O324" t="s">
        <v>201</v>
      </c>
      <c r="P324" t="s">
        <v>531</v>
      </c>
      <c r="S324" t="s">
        <v>361</v>
      </c>
      <c r="T324" t="s">
        <v>378</v>
      </c>
      <c r="U324" t="s">
        <v>239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361</v>
      </c>
      <c r="AC324">
        <v>2200</v>
      </c>
      <c r="AD324" t="s">
        <v>232</v>
      </c>
      <c r="AE324">
        <v>1246</v>
      </c>
    </row>
    <row r="325" spans="1:31" x14ac:dyDescent="0.3">
      <c r="A325" t="s">
        <v>351</v>
      </c>
      <c r="B325" t="s">
        <v>63</v>
      </c>
      <c r="C325" t="s">
        <v>95</v>
      </c>
      <c r="D325" t="s">
        <v>310</v>
      </c>
      <c r="E325" t="s">
        <v>443</v>
      </c>
      <c r="F325" s="15">
        <v>46217.60359953704</v>
      </c>
      <c r="G325" t="s">
        <v>439</v>
      </c>
      <c r="H325">
        <v>13</v>
      </c>
      <c r="I325" t="s">
        <v>1102</v>
      </c>
      <c r="J325" s="15">
        <v>46237.518055555556</v>
      </c>
      <c r="K325" s="15">
        <v>46239.647916666669</v>
      </c>
      <c r="L325" s="15"/>
      <c r="M325">
        <v>13</v>
      </c>
      <c r="O325" t="s">
        <v>201</v>
      </c>
      <c r="P325" t="s">
        <v>532</v>
      </c>
      <c r="S325" t="s">
        <v>363</v>
      </c>
      <c r="T325" t="s">
        <v>378</v>
      </c>
      <c r="U325" t="s">
        <v>239</v>
      </c>
      <c r="V325" t="s">
        <v>7</v>
      </c>
      <c r="W325" t="s">
        <v>7</v>
      </c>
      <c r="X325" t="s">
        <v>7</v>
      </c>
      <c r="AA325" t="s">
        <v>96</v>
      </c>
      <c r="AB325" t="s">
        <v>363</v>
      </c>
      <c r="AC325">
        <v>101</v>
      </c>
      <c r="AD325" t="s">
        <v>225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23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351</v>
      </c>
      <c r="B2" t="s">
        <v>43</v>
      </c>
      <c r="C2" t="s">
        <v>105</v>
      </c>
      <c r="D2" s="15">
        <v>46246.307928240742</v>
      </c>
      <c r="E2" t="s">
        <v>411</v>
      </c>
      <c r="F2">
        <v>1</v>
      </c>
      <c r="G2" s="15">
        <v>46247.461805555555</v>
      </c>
      <c r="H2" t="s">
        <v>363</v>
      </c>
      <c r="I2" t="s">
        <v>378</v>
      </c>
      <c r="J2" t="s">
        <v>239</v>
      </c>
      <c r="K2" t="s">
        <v>351</v>
      </c>
      <c r="L2" t="s">
        <v>378</v>
      </c>
      <c r="M2" t="s">
        <v>239</v>
      </c>
      <c r="N2">
        <v>0</v>
      </c>
      <c r="O2" t="s">
        <v>67</v>
      </c>
      <c r="P2" t="s">
        <v>363</v>
      </c>
      <c r="Q2" t="s">
        <v>217</v>
      </c>
      <c r="R2">
        <v>1</v>
      </c>
    </row>
    <row r="3" spans="1:18" x14ac:dyDescent="0.3">
      <c r="A3" t="s">
        <v>351</v>
      </c>
      <c r="B3" t="s">
        <v>43</v>
      </c>
      <c r="C3" t="s">
        <v>105</v>
      </c>
      <c r="D3" s="15">
        <v>46244.651597222219</v>
      </c>
      <c r="E3" t="s">
        <v>411</v>
      </c>
      <c r="F3">
        <v>2</v>
      </c>
      <c r="G3" s="15">
        <v>46246.481944444444</v>
      </c>
      <c r="H3" t="s">
        <v>363</v>
      </c>
      <c r="I3" t="s">
        <v>378</v>
      </c>
      <c r="J3" t="s">
        <v>239</v>
      </c>
      <c r="K3" t="s">
        <v>351</v>
      </c>
      <c r="L3" t="s">
        <v>378</v>
      </c>
      <c r="M3" t="s">
        <v>239</v>
      </c>
      <c r="N3">
        <v>0</v>
      </c>
      <c r="O3" t="s">
        <v>67</v>
      </c>
      <c r="P3" t="s">
        <v>363</v>
      </c>
      <c r="Q3" t="s">
        <v>217</v>
      </c>
      <c r="R3">
        <v>1</v>
      </c>
    </row>
    <row r="4" spans="1:18" x14ac:dyDescent="0.3">
      <c r="A4" t="s">
        <v>351</v>
      </c>
      <c r="B4" t="s">
        <v>43</v>
      </c>
      <c r="C4" t="s">
        <v>105</v>
      </c>
      <c r="D4" s="15">
        <v>46241.373356481483</v>
      </c>
      <c r="E4" t="s">
        <v>411</v>
      </c>
      <c r="F4">
        <v>2</v>
      </c>
      <c r="G4" s="15">
        <v>46244.479166666664</v>
      </c>
      <c r="H4" t="s">
        <v>363</v>
      </c>
      <c r="I4" t="s">
        <v>378</v>
      </c>
      <c r="J4" t="s">
        <v>239</v>
      </c>
      <c r="K4" t="s">
        <v>351</v>
      </c>
      <c r="L4" t="s">
        <v>378</v>
      </c>
      <c r="M4" t="s">
        <v>239</v>
      </c>
      <c r="N4">
        <v>0</v>
      </c>
      <c r="O4" t="s">
        <v>67</v>
      </c>
      <c r="P4" t="s">
        <v>363</v>
      </c>
      <c r="Q4" t="s">
        <v>217</v>
      </c>
      <c r="R4">
        <v>1</v>
      </c>
    </row>
    <row r="5" spans="1:18" x14ac:dyDescent="0.3">
      <c r="A5" t="s">
        <v>351</v>
      </c>
      <c r="B5" t="s">
        <v>43</v>
      </c>
      <c r="C5" t="s">
        <v>105</v>
      </c>
      <c r="D5" s="15">
        <v>46239.511006944442</v>
      </c>
      <c r="E5" t="s">
        <v>411</v>
      </c>
      <c r="F5">
        <v>3</v>
      </c>
      <c r="G5" s="15">
        <v>46240.486805555556</v>
      </c>
      <c r="H5" t="s">
        <v>363</v>
      </c>
      <c r="I5" t="s">
        <v>378</v>
      </c>
      <c r="J5" t="s">
        <v>239</v>
      </c>
      <c r="K5" t="s">
        <v>351</v>
      </c>
      <c r="L5" t="s">
        <v>378</v>
      </c>
      <c r="M5" t="s">
        <v>239</v>
      </c>
      <c r="N5">
        <v>0</v>
      </c>
      <c r="O5" t="s">
        <v>67</v>
      </c>
      <c r="P5" t="s">
        <v>363</v>
      </c>
      <c r="Q5" t="s">
        <v>217</v>
      </c>
      <c r="R5">
        <v>1</v>
      </c>
    </row>
    <row r="6" spans="1:18" x14ac:dyDescent="0.3">
      <c r="A6" t="s">
        <v>351</v>
      </c>
      <c r="B6" t="s">
        <v>45</v>
      </c>
      <c r="C6" t="s">
        <v>68</v>
      </c>
      <c r="D6" s="15">
        <v>46238.581493055557</v>
      </c>
      <c r="E6" t="s">
        <v>411</v>
      </c>
      <c r="F6">
        <v>9</v>
      </c>
      <c r="G6" s="15">
        <v>46240.479166666664</v>
      </c>
      <c r="H6" t="s">
        <v>363</v>
      </c>
      <c r="I6" t="s">
        <v>378</v>
      </c>
      <c r="J6" t="s">
        <v>239</v>
      </c>
      <c r="K6" t="s">
        <v>351</v>
      </c>
      <c r="L6" t="s">
        <v>378</v>
      </c>
      <c r="M6" t="s">
        <v>239</v>
      </c>
      <c r="O6" t="s">
        <v>67</v>
      </c>
      <c r="P6" t="s">
        <v>363</v>
      </c>
      <c r="Q6" t="s">
        <v>217</v>
      </c>
    </row>
    <row r="7" spans="1:18" x14ac:dyDescent="0.3">
      <c r="A7" t="s">
        <v>351</v>
      </c>
      <c r="B7" t="s">
        <v>47</v>
      </c>
      <c r="C7" t="s">
        <v>68</v>
      </c>
      <c r="D7" s="15">
        <v>46239.471967592595</v>
      </c>
      <c r="E7" t="s">
        <v>411</v>
      </c>
      <c r="F7">
        <v>1</v>
      </c>
      <c r="G7" s="15">
        <v>46240.488194444442</v>
      </c>
      <c r="H7" t="s">
        <v>363</v>
      </c>
      <c r="I7" t="s">
        <v>378</v>
      </c>
      <c r="J7" t="s">
        <v>239</v>
      </c>
      <c r="K7" t="s">
        <v>351</v>
      </c>
      <c r="L7" t="s">
        <v>378</v>
      </c>
      <c r="M7" t="s">
        <v>239</v>
      </c>
      <c r="N7">
        <v>0</v>
      </c>
      <c r="O7" t="s">
        <v>90</v>
      </c>
      <c r="P7" t="s">
        <v>363</v>
      </c>
      <c r="Q7" t="s">
        <v>218</v>
      </c>
    </row>
    <row r="8" spans="1:18" x14ac:dyDescent="0.3">
      <c r="A8" t="s">
        <v>351</v>
      </c>
      <c r="B8" t="s">
        <v>47</v>
      </c>
      <c r="C8" t="s">
        <v>68</v>
      </c>
      <c r="D8" s="15">
        <v>46239.466099537036</v>
      </c>
      <c r="E8" t="s">
        <v>411</v>
      </c>
      <c r="F8">
        <v>1</v>
      </c>
      <c r="G8" s="15">
        <v>46240.467361111114</v>
      </c>
      <c r="H8" t="s">
        <v>363</v>
      </c>
      <c r="I8" t="s">
        <v>378</v>
      </c>
      <c r="J8" t="s">
        <v>239</v>
      </c>
      <c r="K8" t="s">
        <v>351</v>
      </c>
      <c r="L8" t="s">
        <v>378</v>
      </c>
      <c r="M8" t="s">
        <v>239</v>
      </c>
      <c r="O8" t="s">
        <v>90</v>
      </c>
      <c r="P8" t="s">
        <v>363</v>
      </c>
      <c r="Q8" t="s">
        <v>218</v>
      </c>
    </row>
    <row r="9" spans="1:18" x14ac:dyDescent="0.3">
      <c r="A9" t="s">
        <v>351</v>
      </c>
      <c r="B9" t="s">
        <v>43</v>
      </c>
      <c r="C9" t="s">
        <v>105</v>
      </c>
      <c r="D9" s="15">
        <v>46232.641296296293</v>
      </c>
      <c r="E9" t="s">
        <v>411</v>
      </c>
      <c r="F9">
        <v>3</v>
      </c>
      <c r="G9" s="15">
        <v>46233.513888888891</v>
      </c>
      <c r="H9" t="s">
        <v>363</v>
      </c>
      <c r="I9" t="s">
        <v>378</v>
      </c>
      <c r="J9" t="s">
        <v>239</v>
      </c>
      <c r="K9" t="s">
        <v>351</v>
      </c>
      <c r="L9" t="s">
        <v>378</v>
      </c>
      <c r="M9" t="s">
        <v>239</v>
      </c>
      <c r="N9">
        <v>0</v>
      </c>
      <c r="O9" t="s">
        <v>67</v>
      </c>
      <c r="P9" t="s">
        <v>363</v>
      </c>
      <c r="Q9" t="s">
        <v>217</v>
      </c>
      <c r="R9">
        <v>1</v>
      </c>
    </row>
    <row r="10" spans="1:18" x14ac:dyDescent="0.3">
      <c r="A10" t="s">
        <v>351</v>
      </c>
      <c r="B10" t="s">
        <v>43</v>
      </c>
      <c r="C10" t="s">
        <v>105</v>
      </c>
      <c r="D10" s="15">
        <v>46220.487835648149</v>
      </c>
      <c r="E10" t="s">
        <v>411</v>
      </c>
      <c r="F10">
        <v>3</v>
      </c>
      <c r="G10" s="15">
        <v>46224.423611111109</v>
      </c>
      <c r="H10" t="s">
        <v>363</v>
      </c>
      <c r="I10" t="s">
        <v>378</v>
      </c>
      <c r="J10" t="s">
        <v>239</v>
      </c>
      <c r="K10" t="s">
        <v>351</v>
      </c>
      <c r="L10" t="s">
        <v>378</v>
      </c>
      <c r="M10" t="s">
        <v>239</v>
      </c>
      <c r="N10">
        <v>0</v>
      </c>
      <c r="O10" t="s">
        <v>67</v>
      </c>
      <c r="P10" t="s">
        <v>363</v>
      </c>
      <c r="Q10" t="s">
        <v>217</v>
      </c>
      <c r="R10">
        <v>1</v>
      </c>
    </row>
    <row r="11" spans="1:18" x14ac:dyDescent="0.3">
      <c r="A11" t="s">
        <v>351</v>
      </c>
      <c r="B11" t="s">
        <v>47</v>
      </c>
      <c r="C11" t="s">
        <v>68</v>
      </c>
      <c r="D11" s="15">
        <v>46233.500243055554</v>
      </c>
      <c r="E11" t="s">
        <v>411</v>
      </c>
      <c r="F11">
        <v>2</v>
      </c>
      <c r="G11" s="15">
        <v>46234.449305555558</v>
      </c>
      <c r="H11" t="s">
        <v>363</v>
      </c>
      <c r="I11" t="s">
        <v>378</v>
      </c>
      <c r="J11" t="s">
        <v>239</v>
      </c>
      <c r="K11" t="s">
        <v>351</v>
      </c>
      <c r="L11" t="s">
        <v>378</v>
      </c>
      <c r="M11" t="s">
        <v>239</v>
      </c>
      <c r="N11">
        <v>0</v>
      </c>
      <c r="O11" t="s">
        <v>90</v>
      </c>
      <c r="P11" t="s">
        <v>363</v>
      </c>
      <c r="Q11" t="s">
        <v>218</v>
      </c>
      <c r="R11">
        <v>1</v>
      </c>
    </row>
    <row r="12" spans="1:18" x14ac:dyDescent="0.3">
      <c r="A12" t="s">
        <v>351</v>
      </c>
      <c r="B12" t="s">
        <v>48</v>
      </c>
      <c r="C12" t="s">
        <v>68</v>
      </c>
      <c r="D12" s="15">
        <v>46224.393900462965</v>
      </c>
      <c r="E12" t="s">
        <v>411</v>
      </c>
      <c r="F12">
        <v>1</v>
      </c>
      <c r="G12" s="15">
        <v>46234.497916666667</v>
      </c>
      <c r="H12" t="s">
        <v>363</v>
      </c>
      <c r="I12" t="s">
        <v>378</v>
      </c>
      <c r="J12" t="s">
        <v>239</v>
      </c>
      <c r="K12" t="s">
        <v>351</v>
      </c>
      <c r="L12" t="s">
        <v>378</v>
      </c>
      <c r="M12" t="s">
        <v>239</v>
      </c>
      <c r="N12">
        <v>0</v>
      </c>
      <c r="O12" t="s">
        <v>90</v>
      </c>
      <c r="P12" t="s">
        <v>363</v>
      </c>
      <c r="Q12" t="s">
        <v>217</v>
      </c>
    </row>
    <row r="13" spans="1:18" x14ac:dyDescent="0.3">
      <c r="A13" t="s">
        <v>351</v>
      </c>
      <c r="B13" t="s">
        <v>47</v>
      </c>
      <c r="C13" t="s">
        <v>68</v>
      </c>
      <c r="D13" s="15">
        <v>46240.53496527778</v>
      </c>
      <c r="E13" t="s">
        <v>411</v>
      </c>
      <c r="F13">
        <v>1</v>
      </c>
      <c r="G13" s="15">
        <v>46241.430555555555</v>
      </c>
      <c r="H13" t="s">
        <v>363</v>
      </c>
      <c r="I13" t="s">
        <v>378</v>
      </c>
      <c r="J13" t="s">
        <v>239</v>
      </c>
      <c r="K13" t="s">
        <v>351</v>
      </c>
      <c r="L13" t="s">
        <v>378</v>
      </c>
      <c r="M13" t="s">
        <v>239</v>
      </c>
      <c r="N13">
        <v>0</v>
      </c>
      <c r="O13" t="s">
        <v>90</v>
      </c>
      <c r="P13" t="s">
        <v>363</v>
      </c>
      <c r="Q13" t="s">
        <v>218</v>
      </c>
      <c r="R13">
        <v>1</v>
      </c>
    </row>
    <row r="14" spans="1:18" x14ac:dyDescent="0.3">
      <c r="A14" t="s">
        <v>351</v>
      </c>
      <c r="B14" t="s">
        <v>48</v>
      </c>
      <c r="C14" t="s">
        <v>68</v>
      </c>
      <c r="D14" s="15">
        <v>46246.518310185187</v>
      </c>
      <c r="E14" t="s">
        <v>411</v>
      </c>
      <c r="F14">
        <v>1</v>
      </c>
      <c r="G14" s="15">
        <v>46254.573611111111</v>
      </c>
      <c r="H14" t="s">
        <v>363</v>
      </c>
      <c r="I14" t="s">
        <v>378</v>
      </c>
      <c r="J14" t="s">
        <v>239</v>
      </c>
      <c r="K14" t="s">
        <v>351</v>
      </c>
      <c r="L14" t="s">
        <v>378</v>
      </c>
      <c r="M14" t="s">
        <v>239</v>
      </c>
      <c r="N14">
        <v>0</v>
      </c>
      <c r="O14" t="s">
        <v>90</v>
      </c>
      <c r="P14" t="s">
        <v>363</v>
      </c>
      <c r="Q14" t="s">
        <v>217</v>
      </c>
      <c r="R14">
        <v>1</v>
      </c>
    </row>
    <row r="15" spans="1:18" x14ac:dyDescent="0.3">
      <c r="A15" t="s">
        <v>351</v>
      </c>
      <c r="B15" t="s">
        <v>48</v>
      </c>
      <c r="C15" t="s">
        <v>68</v>
      </c>
      <c r="D15" s="15">
        <v>46251.526550925926</v>
      </c>
      <c r="E15" t="s">
        <v>411</v>
      </c>
      <c r="F15">
        <v>1</v>
      </c>
      <c r="G15" s="15">
        <v>46254.573611111111</v>
      </c>
      <c r="H15" t="s">
        <v>363</v>
      </c>
      <c r="I15" t="s">
        <v>378</v>
      </c>
      <c r="J15" t="s">
        <v>239</v>
      </c>
      <c r="K15" t="s">
        <v>351</v>
      </c>
      <c r="L15" t="s">
        <v>378</v>
      </c>
      <c r="M15" t="s">
        <v>239</v>
      </c>
      <c r="O15" t="s">
        <v>90</v>
      </c>
      <c r="P15" t="s">
        <v>363</v>
      </c>
      <c r="Q15" t="s">
        <v>217</v>
      </c>
    </row>
    <row r="16" spans="1:18" x14ac:dyDescent="0.3">
      <c r="A16" t="s">
        <v>351</v>
      </c>
      <c r="B16" t="s">
        <v>48</v>
      </c>
      <c r="C16" t="s">
        <v>68</v>
      </c>
      <c r="D16" s="15">
        <v>46251.620995370373</v>
      </c>
      <c r="E16" t="s">
        <v>411</v>
      </c>
      <c r="F16">
        <v>2</v>
      </c>
      <c r="G16" s="15">
        <v>46254.573611111111</v>
      </c>
      <c r="H16" t="s">
        <v>363</v>
      </c>
      <c r="I16" t="s">
        <v>378</v>
      </c>
      <c r="J16" t="s">
        <v>239</v>
      </c>
      <c r="K16" t="s">
        <v>351</v>
      </c>
      <c r="L16" t="s">
        <v>378</v>
      </c>
      <c r="M16" t="s">
        <v>239</v>
      </c>
      <c r="O16" t="s">
        <v>90</v>
      </c>
      <c r="P16" t="s">
        <v>363</v>
      </c>
      <c r="Q16" t="s">
        <v>217</v>
      </c>
    </row>
    <row r="17" spans="1:18" x14ac:dyDescent="0.3">
      <c r="A17" t="s">
        <v>351</v>
      </c>
      <c r="B17" t="s">
        <v>48</v>
      </c>
      <c r="C17" t="s">
        <v>68</v>
      </c>
      <c r="D17" s="15">
        <v>46254.383645833332</v>
      </c>
      <c r="E17" t="s">
        <v>411</v>
      </c>
      <c r="F17">
        <v>1</v>
      </c>
      <c r="G17" s="15">
        <v>46258.484027777777</v>
      </c>
      <c r="H17" t="s">
        <v>363</v>
      </c>
      <c r="I17" t="s">
        <v>378</v>
      </c>
      <c r="J17" t="s">
        <v>239</v>
      </c>
      <c r="K17" t="s">
        <v>351</v>
      </c>
      <c r="L17" t="s">
        <v>378</v>
      </c>
      <c r="M17" t="s">
        <v>239</v>
      </c>
      <c r="N17">
        <v>0</v>
      </c>
      <c r="O17" t="s">
        <v>90</v>
      </c>
      <c r="P17" t="s">
        <v>363</v>
      </c>
      <c r="Q17" t="s">
        <v>217</v>
      </c>
      <c r="R17">
        <v>1</v>
      </c>
    </row>
    <row r="18" spans="1:18" x14ac:dyDescent="0.3">
      <c r="A18" t="s">
        <v>351</v>
      </c>
      <c r="B18" t="s">
        <v>48</v>
      </c>
      <c r="C18" t="s">
        <v>68</v>
      </c>
      <c r="D18" s="15">
        <v>46246.459398148145</v>
      </c>
      <c r="E18" t="s">
        <v>411</v>
      </c>
      <c r="F18">
        <v>1</v>
      </c>
      <c r="G18" s="15">
        <v>46258.484027777777</v>
      </c>
      <c r="H18" t="s">
        <v>363</v>
      </c>
      <c r="I18" t="s">
        <v>378</v>
      </c>
      <c r="J18" t="s">
        <v>239</v>
      </c>
      <c r="K18" t="s">
        <v>351</v>
      </c>
      <c r="L18" t="s">
        <v>378</v>
      </c>
      <c r="M18" t="s">
        <v>239</v>
      </c>
      <c r="O18" t="s">
        <v>90</v>
      </c>
      <c r="P18" t="s">
        <v>363</v>
      </c>
      <c r="Q18" t="s">
        <v>217</v>
      </c>
    </row>
    <row r="19" spans="1:18" x14ac:dyDescent="0.3">
      <c r="A19" t="s">
        <v>351</v>
      </c>
      <c r="B19" t="s">
        <v>48</v>
      </c>
      <c r="C19" t="s">
        <v>68</v>
      </c>
      <c r="D19" s="15">
        <v>46245.580497685187</v>
      </c>
      <c r="E19" t="s">
        <v>411</v>
      </c>
      <c r="F19">
        <v>1</v>
      </c>
      <c r="G19" s="15">
        <v>46258.484027777777</v>
      </c>
      <c r="H19" t="s">
        <v>363</v>
      </c>
      <c r="I19" t="s">
        <v>378</v>
      </c>
      <c r="J19" t="s">
        <v>239</v>
      </c>
      <c r="K19" t="s">
        <v>351</v>
      </c>
      <c r="L19" t="s">
        <v>378</v>
      </c>
      <c r="M19" t="s">
        <v>239</v>
      </c>
      <c r="O19" t="s">
        <v>90</v>
      </c>
      <c r="P19" t="s">
        <v>363</v>
      </c>
      <c r="Q19" t="s">
        <v>217</v>
      </c>
    </row>
    <row r="20" spans="1:18" x14ac:dyDescent="0.3">
      <c r="A20" t="s">
        <v>351</v>
      </c>
      <c r="B20" t="s">
        <v>48</v>
      </c>
      <c r="C20" t="s">
        <v>68</v>
      </c>
      <c r="D20" s="15">
        <v>46253.381192129629</v>
      </c>
      <c r="E20" t="s">
        <v>411</v>
      </c>
      <c r="F20">
        <v>1</v>
      </c>
      <c r="G20" s="15">
        <v>46255.386805555558</v>
      </c>
      <c r="H20" t="s">
        <v>363</v>
      </c>
      <c r="I20" t="s">
        <v>378</v>
      </c>
      <c r="J20" t="s">
        <v>239</v>
      </c>
      <c r="K20" t="s">
        <v>351</v>
      </c>
      <c r="L20" t="s">
        <v>378</v>
      </c>
      <c r="M20" t="s">
        <v>239</v>
      </c>
      <c r="N20">
        <v>0</v>
      </c>
      <c r="O20" t="s">
        <v>90</v>
      </c>
      <c r="P20" t="s">
        <v>363</v>
      </c>
      <c r="Q20" t="s">
        <v>217</v>
      </c>
      <c r="R20">
        <v>1</v>
      </c>
    </row>
    <row r="21" spans="1:18" x14ac:dyDescent="0.3">
      <c r="A21" t="s">
        <v>351</v>
      </c>
      <c r="B21" t="s">
        <v>48</v>
      </c>
      <c r="C21" t="s">
        <v>68</v>
      </c>
      <c r="D21" s="15">
        <v>46237.501354166663</v>
      </c>
      <c r="E21" t="s">
        <v>411</v>
      </c>
      <c r="F21">
        <v>1</v>
      </c>
      <c r="G21" s="15">
        <v>46239.477777777778</v>
      </c>
      <c r="H21" t="s">
        <v>363</v>
      </c>
      <c r="I21" t="s">
        <v>378</v>
      </c>
      <c r="J21" t="s">
        <v>239</v>
      </c>
      <c r="K21" t="s">
        <v>351</v>
      </c>
      <c r="L21" t="s">
        <v>378</v>
      </c>
      <c r="M21" t="s">
        <v>239</v>
      </c>
      <c r="N21">
        <v>0</v>
      </c>
      <c r="O21" t="s">
        <v>90</v>
      </c>
      <c r="P21" t="s">
        <v>363</v>
      </c>
      <c r="Q21" t="s">
        <v>217</v>
      </c>
      <c r="R21">
        <v>1</v>
      </c>
    </row>
    <row r="22" spans="1:18" x14ac:dyDescent="0.3">
      <c r="A22" t="s">
        <v>351</v>
      </c>
      <c r="B22" t="s">
        <v>48</v>
      </c>
      <c r="C22" t="s">
        <v>68</v>
      </c>
      <c r="D22" s="15">
        <v>46237.522916666669</v>
      </c>
      <c r="E22" t="s">
        <v>411</v>
      </c>
      <c r="F22">
        <v>2</v>
      </c>
      <c r="G22" s="15">
        <v>46239.477777777778</v>
      </c>
      <c r="H22" t="s">
        <v>363</v>
      </c>
      <c r="I22" t="s">
        <v>378</v>
      </c>
      <c r="J22" t="s">
        <v>239</v>
      </c>
      <c r="K22" t="s">
        <v>351</v>
      </c>
      <c r="L22" t="s">
        <v>378</v>
      </c>
      <c r="M22" t="s">
        <v>239</v>
      </c>
      <c r="O22" t="s">
        <v>90</v>
      </c>
      <c r="P22" t="s">
        <v>363</v>
      </c>
      <c r="Q22" t="s">
        <v>217</v>
      </c>
    </row>
    <row r="23" spans="1:18" x14ac:dyDescent="0.3">
      <c r="A23" t="s">
        <v>351</v>
      </c>
      <c r="B23" t="s">
        <v>48</v>
      </c>
      <c r="C23" t="s">
        <v>68</v>
      </c>
      <c r="D23" s="15">
        <v>46226.405069444445</v>
      </c>
      <c r="E23" t="s">
        <v>411</v>
      </c>
      <c r="F23">
        <v>2</v>
      </c>
      <c r="G23" s="15">
        <v>46230.652777777781</v>
      </c>
      <c r="H23" t="s">
        <v>363</v>
      </c>
      <c r="I23" t="s">
        <v>378</v>
      </c>
      <c r="J23" t="s">
        <v>239</v>
      </c>
      <c r="K23" t="s">
        <v>351</v>
      </c>
      <c r="L23" t="s">
        <v>378</v>
      </c>
      <c r="M23" t="s">
        <v>239</v>
      </c>
      <c r="N23">
        <v>0</v>
      </c>
      <c r="O23" t="s">
        <v>90</v>
      </c>
      <c r="P23" t="s">
        <v>363</v>
      </c>
      <c r="Q23" t="s">
        <v>217</v>
      </c>
      <c r="R23">
        <v>1</v>
      </c>
    </row>
    <row r="24" spans="1:18" x14ac:dyDescent="0.3">
      <c r="A24" t="s">
        <v>351</v>
      </c>
      <c r="B24" t="s">
        <v>43</v>
      </c>
      <c r="C24" t="s">
        <v>105</v>
      </c>
      <c r="D24" s="15">
        <v>46244.369768518518</v>
      </c>
      <c r="E24" t="s">
        <v>412</v>
      </c>
      <c r="F24">
        <v>4</v>
      </c>
      <c r="G24" s="15">
        <v>46246.443055555559</v>
      </c>
      <c r="H24" t="s">
        <v>360</v>
      </c>
      <c r="I24" t="s">
        <v>378</v>
      </c>
      <c r="J24" t="s">
        <v>239</v>
      </c>
      <c r="K24" t="s">
        <v>351</v>
      </c>
      <c r="L24" t="s">
        <v>378</v>
      </c>
      <c r="M24" t="s">
        <v>239</v>
      </c>
      <c r="N24">
        <v>0</v>
      </c>
      <c r="O24" t="s">
        <v>67</v>
      </c>
      <c r="P24" t="s">
        <v>360</v>
      </c>
      <c r="Q24" t="s">
        <v>217</v>
      </c>
      <c r="R24">
        <v>1</v>
      </c>
    </row>
    <row r="25" spans="1:18" x14ac:dyDescent="0.3">
      <c r="A25" t="s">
        <v>351</v>
      </c>
      <c r="B25" t="s">
        <v>48</v>
      </c>
      <c r="C25" t="s">
        <v>68</v>
      </c>
      <c r="D25" s="15">
        <v>46244.381539351853</v>
      </c>
      <c r="E25" t="s">
        <v>412</v>
      </c>
      <c r="F25">
        <v>1</v>
      </c>
      <c r="G25" s="15">
        <v>46246.443055555559</v>
      </c>
      <c r="H25" t="s">
        <v>360</v>
      </c>
      <c r="I25" t="s">
        <v>378</v>
      </c>
      <c r="J25" t="s">
        <v>239</v>
      </c>
      <c r="K25" t="s">
        <v>351</v>
      </c>
      <c r="L25" t="s">
        <v>378</v>
      </c>
      <c r="M25" t="s">
        <v>239</v>
      </c>
      <c r="O25" t="s">
        <v>90</v>
      </c>
      <c r="P25" t="s">
        <v>360</v>
      </c>
      <c r="Q25" t="s">
        <v>217</v>
      </c>
    </row>
    <row r="26" spans="1:18" x14ac:dyDescent="0.3">
      <c r="A26" t="s">
        <v>351</v>
      </c>
      <c r="B26" t="s">
        <v>43</v>
      </c>
      <c r="C26" t="s">
        <v>105</v>
      </c>
      <c r="D26" s="15">
        <v>46227.579050925924</v>
      </c>
      <c r="E26" t="s">
        <v>412</v>
      </c>
      <c r="F26">
        <v>2</v>
      </c>
      <c r="G26" s="15">
        <v>46231.416666666664</v>
      </c>
      <c r="H26" t="s">
        <v>360</v>
      </c>
      <c r="I26" t="s">
        <v>378</v>
      </c>
      <c r="J26" t="s">
        <v>239</v>
      </c>
      <c r="K26" t="s">
        <v>351</v>
      </c>
      <c r="L26" t="s">
        <v>378</v>
      </c>
      <c r="M26" t="s">
        <v>239</v>
      </c>
      <c r="N26">
        <v>0</v>
      </c>
      <c r="O26" t="s">
        <v>67</v>
      </c>
      <c r="P26" t="s">
        <v>360</v>
      </c>
      <c r="Q26" t="s">
        <v>217</v>
      </c>
      <c r="R26">
        <v>1</v>
      </c>
    </row>
    <row r="27" spans="1:18" x14ac:dyDescent="0.3">
      <c r="A27" t="s">
        <v>351</v>
      </c>
      <c r="B27" t="s">
        <v>47</v>
      </c>
      <c r="C27" t="s">
        <v>68</v>
      </c>
      <c r="D27" s="15">
        <v>46240.53496527778</v>
      </c>
      <c r="E27" t="s">
        <v>411</v>
      </c>
      <c r="F27">
        <v>1</v>
      </c>
      <c r="G27" s="15">
        <v>46241.430555555555</v>
      </c>
      <c r="H27" t="s">
        <v>360</v>
      </c>
      <c r="I27" t="s">
        <v>378</v>
      </c>
      <c r="J27" t="s">
        <v>239</v>
      </c>
      <c r="K27" t="s">
        <v>351</v>
      </c>
      <c r="L27" t="s">
        <v>378</v>
      </c>
      <c r="M27" t="s">
        <v>239</v>
      </c>
      <c r="N27">
        <v>0</v>
      </c>
      <c r="O27" t="s">
        <v>90</v>
      </c>
      <c r="P27" t="s">
        <v>360</v>
      </c>
      <c r="Q27" t="s">
        <v>218</v>
      </c>
      <c r="R27">
        <v>1</v>
      </c>
    </row>
    <row r="28" spans="1:18" x14ac:dyDescent="0.3">
      <c r="A28" t="s">
        <v>351</v>
      </c>
      <c r="B28" t="s">
        <v>45</v>
      </c>
      <c r="C28" t="s">
        <v>68</v>
      </c>
      <c r="D28" s="15">
        <v>46238.415856481479</v>
      </c>
      <c r="E28" t="s">
        <v>419</v>
      </c>
      <c r="F28">
        <v>3</v>
      </c>
      <c r="G28" s="15">
        <v>46240.430555555555</v>
      </c>
      <c r="H28" t="s">
        <v>360</v>
      </c>
      <c r="I28" t="s">
        <v>378</v>
      </c>
      <c r="J28" t="s">
        <v>239</v>
      </c>
      <c r="K28" t="s">
        <v>351</v>
      </c>
      <c r="L28" t="s">
        <v>378</v>
      </c>
      <c r="M28" t="s">
        <v>239</v>
      </c>
      <c r="N28">
        <v>0</v>
      </c>
      <c r="O28" t="s">
        <v>67</v>
      </c>
      <c r="P28" t="s">
        <v>360</v>
      </c>
      <c r="Q28" t="s">
        <v>217</v>
      </c>
      <c r="R28">
        <v>1</v>
      </c>
    </row>
    <row r="29" spans="1:18" x14ac:dyDescent="0.3">
      <c r="A29" t="s">
        <v>351</v>
      </c>
      <c r="B29" t="s">
        <v>45</v>
      </c>
      <c r="C29" t="s">
        <v>68</v>
      </c>
      <c r="D29" s="15">
        <v>46238.416307870371</v>
      </c>
      <c r="E29" t="s">
        <v>419</v>
      </c>
      <c r="F29">
        <v>10</v>
      </c>
      <c r="G29" s="15">
        <v>46240.430555555555</v>
      </c>
      <c r="H29" t="s">
        <v>360</v>
      </c>
      <c r="I29" t="s">
        <v>378</v>
      </c>
      <c r="J29" t="s">
        <v>239</v>
      </c>
      <c r="K29" t="s">
        <v>351</v>
      </c>
      <c r="L29" t="s">
        <v>378</v>
      </c>
      <c r="M29" t="s">
        <v>239</v>
      </c>
      <c r="O29" t="s">
        <v>67</v>
      </c>
      <c r="P29" t="s">
        <v>360</v>
      </c>
      <c r="Q29" t="s">
        <v>217</v>
      </c>
    </row>
    <row r="30" spans="1:18" x14ac:dyDescent="0.3">
      <c r="A30" t="s">
        <v>351</v>
      </c>
      <c r="B30" t="s">
        <v>45</v>
      </c>
      <c r="C30" t="s">
        <v>68</v>
      </c>
      <c r="D30" s="15">
        <v>46238.415497685186</v>
      </c>
      <c r="E30" t="s">
        <v>419</v>
      </c>
      <c r="F30">
        <v>9</v>
      </c>
      <c r="G30" s="15">
        <v>46240.430555555555</v>
      </c>
      <c r="H30" t="s">
        <v>360</v>
      </c>
      <c r="I30" t="s">
        <v>378</v>
      </c>
      <c r="J30" t="s">
        <v>239</v>
      </c>
      <c r="K30" t="s">
        <v>351</v>
      </c>
      <c r="L30" t="s">
        <v>378</v>
      </c>
      <c r="M30" t="s">
        <v>239</v>
      </c>
      <c r="O30" t="s">
        <v>67</v>
      </c>
      <c r="P30" t="s">
        <v>360</v>
      </c>
      <c r="Q30" t="s">
        <v>217</v>
      </c>
    </row>
    <row r="31" spans="1:18" x14ac:dyDescent="0.3">
      <c r="A31" t="s">
        <v>351</v>
      </c>
      <c r="B31" t="s">
        <v>45</v>
      </c>
      <c r="C31" t="s">
        <v>68</v>
      </c>
      <c r="D31" s="15">
        <v>46237.469942129632</v>
      </c>
      <c r="E31" t="s">
        <v>412</v>
      </c>
      <c r="F31">
        <v>1</v>
      </c>
      <c r="G31" s="15">
        <v>46240.388888888891</v>
      </c>
      <c r="H31" t="s">
        <v>360</v>
      </c>
      <c r="I31" t="s">
        <v>378</v>
      </c>
      <c r="J31" t="s">
        <v>239</v>
      </c>
      <c r="K31" t="s">
        <v>351</v>
      </c>
      <c r="L31" t="s">
        <v>378</v>
      </c>
      <c r="M31" t="s">
        <v>239</v>
      </c>
      <c r="N31">
        <v>0</v>
      </c>
      <c r="O31" t="s">
        <v>67</v>
      </c>
      <c r="P31" t="s">
        <v>360</v>
      </c>
      <c r="Q31" t="s">
        <v>217</v>
      </c>
    </row>
    <row r="32" spans="1:18" x14ac:dyDescent="0.3">
      <c r="A32" t="s">
        <v>351</v>
      </c>
      <c r="B32" t="s">
        <v>48</v>
      </c>
      <c r="C32" t="s">
        <v>68</v>
      </c>
      <c r="D32" s="15">
        <v>46233.385277777779</v>
      </c>
      <c r="E32" t="s">
        <v>412</v>
      </c>
      <c r="F32">
        <v>1</v>
      </c>
      <c r="G32" s="15">
        <v>46240.420138888891</v>
      </c>
      <c r="H32" t="s">
        <v>360</v>
      </c>
      <c r="I32" t="s">
        <v>378</v>
      </c>
      <c r="J32" t="s">
        <v>239</v>
      </c>
      <c r="K32" t="s">
        <v>351</v>
      </c>
      <c r="L32" t="s">
        <v>378</v>
      </c>
      <c r="M32" t="s">
        <v>239</v>
      </c>
      <c r="N32">
        <v>0</v>
      </c>
      <c r="O32" t="s">
        <v>90</v>
      </c>
      <c r="P32" t="s">
        <v>360</v>
      </c>
      <c r="Q32" t="s">
        <v>217</v>
      </c>
    </row>
    <row r="33" spans="1:18" x14ac:dyDescent="0.3">
      <c r="A33" t="s">
        <v>351</v>
      </c>
      <c r="B33" t="s">
        <v>45</v>
      </c>
      <c r="C33" t="s">
        <v>68</v>
      </c>
      <c r="D33" s="15">
        <v>46225.311331018522</v>
      </c>
      <c r="E33" t="s">
        <v>409</v>
      </c>
      <c r="F33">
        <v>3</v>
      </c>
      <c r="G33" s="15">
        <v>46227.42291666667</v>
      </c>
      <c r="H33" t="s">
        <v>360</v>
      </c>
      <c r="I33" t="s">
        <v>378</v>
      </c>
      <c r="J33" t="s">
        <v>239</v>
      </c>
      <c r="K33" t="s">
        <v>351</v>
      </c>
      <c r="L33" t="s">
        <v>378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46225.310555555552</v>
      </c>
      <c r="E34" t="s">
        <v>409</v>
      </c>
      <c r="F34">
        <v>4</v>
      </c>
      <c r="G34" s="15">
        <v>46227.42291666667</v>
      </c>
      <c r="H34" t="s">
        <v>360</v>
      </c>
      <c r="I34" t="s">
        <v>378</v>
      </c>
      <c r="J34" t="s">
        <v>239</v>
      </c>
      <c r="K34" t="s">
        <v>351</v>
      </c>
      <c r="L34" t="s">
        <v>378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t="s">
        <v>351</v>
      </c>
      <c r="B35" t="s">
        <v>48</v>
      </c>
      <c r="C35" t="s">
        <v>68</v>
      </c>
      <c r="D35" s="15">
        <v>46225.384560185186</v>
      </c>
      <c r="E35" t="s">
        <v>412</v>
      </c>
      <c r="F35">
        <v>1</v>
      </c>
      <c r="G35" s="15">
        <v>46227.40347222222</v>
      </c>
      <c r="H35" t="s">
        <v>360</v>
      </c>
      <c r="I35" t="s">
        <v>378</v>
      </c>
      <c r="J35" t="s">
        <v>239</v>
      </c>
      <c r="K35" t="s">
        <v>351</v>
      </c>
      <c r="L35" t="s">
        <v>378</v>
      </c>
      <c r="M35" t="s">
        <v>239</v>
      </c>
      <c r="O35" t="s">
        <v>90</v>
      </c>
      <c r="P35" t="s">
        <v>360</v>
      </c>
      <c r="Q35" t="s">
        <v>217</v>
      </c>
    </row>
    <row r="36" spans="1:18" x14ac:dyDescent="0.3">
      <c r="A36" t="s">
        <v>351</v>
      </c>
      <c r="B36" t="s">
        <v>48</v>
      </c>
      <c r="C36" t="s">
        <v>68</v>
      </c>
      <c r="D36" s="15">
        <v>46225.554189814815</v>
      </c>
      <c r="E36" t="s">
        <v>412</v>
      </c>
      <c r="F36">
        <v>1</v>
      </c>
      <c r="G36" s="15">
        <v>46227.40347222222</v>
      </c>
      <c r="H36" t="s">
        <v>360</v>
      </c>
      <c r="I36" t="s">
        <v>378</v>
      </c>
      <c r="J36" t="s">
        <v>239</v>
      </c>
      <c r="K36" t="s">
        <v>351</v>
      </c>
      <c r="L36" t="s">
        <v>378</v>
      </c>
      <c r="M36" t="s">
        <v>239</v>
      </c>
      <c r="O36" t="s">
        <v>90</v>
      </c>
      <c r="P36" t="s">
        <v>360</v>
      </c>
      <c r="Q36" t="s">
        <v>217</v>
      </c>
    </row>
    <row r="37" spans="1:18" x14ac:dyDescent="0.3">
      <c r="A37" t="s">
        <v>351</v>
      </c>
      <c r="B37" t="s">
        <v>43</v>
      </c>
      <c r="C37" t="s">
        <v>105</v>
      </c>
      <c r="D37" s="15">
        <v>46226.328611111108</v>
      </c>
      <c r="E37" t="s">
        <v>412</v>
      </c>
      <c r="F37">
        <v>6</v>
      </c>
      <c r="G37" s="15">
        <v>46227.40347222222</v>
      </c>
      <c r="H37" t="s">
        <v>360</v>
      </c>
      <c r="I37" t="s">
        <v>378</v>
      </c>
      <c r="J37" t="s">
        <v>239</v>
      </c>
      <c r="K37" t="s">
        <v>351</v>
      </c>
      <c r="L37" t="s">
        <v>378</v>
      </c>
      <c r="M37" t="s">
        <v>239</v>
      </c>
      <c r="O37" t="s">
        <v>67</v>
      </c>
      <c r="P37" t="s">
        <v>360</v>
      </c>
      <c r="Q37" t="s">
        <v>217</v>
      </c>
    </row>
    <row r="38" spans="1:18" x14ac:dyDescent="0.3">
      <c r="A38" t="s">
        <v>351</v>
      </c>
      <c r="B38" t="s">
        <v>48</v>
      </c>
      <c r="C38" t="s">
        <v>68</v>
      </c>
      <c r="D38" s="15">
        <v>46252.400995370372</v>
      </c>
      <c r="E38" t="s">
        <v>412</v>
      </c>
      <c r="F38">
        <v>1</v>
      </c>
      <c r="G38" s="15">
        <v>46254.420138888891</v>
      </c>
      <c r="H38" t="s">
        <v>360</v>
      </c>
      <c r="I38" t="s">
        <v>378</v>
      </c>
      <c r="J38" t="s">
        <v>239</v>
      </c>
      <c r="K38" t="s">
        <v>351</v>
      </c>
      <c r="L38" t="s">
        <v>378</v>
      </c>
      <c r="M38" t="s">
        <v>239</v>
      </c>
      <c r="N38">
        <v>0</v>
      </c>
      <c r="O38" t="s">
        <v>90</v>
      </c>
      <c r="P38" t="s">
        <v>360</v>
      </c>
      <c r="Q38" t="s">
        <v>217</v>
      </c>
      <c r="R38">
        <v>1</v>
      </c>
    </row>
    <row r="39" spans="1:18" x14ac:dyDescent="0.3">
      <c r="A39" t="s">
        <v>351</v>
      </c>
      <c r="B39" t="s">
        <v>48</v>
      </c>
      <c r="C39" t="s">
        <v>68</v>
      </c>
      <c r="D39" s="15">
        <v>46252.400995370372</v>
      </c>
      <c r="E39" t="s">
        <v>412</v>
      </c>
      <c r="F39">
        <v>1</v>
      </c>
      <c r="G39" s="15">
        <v>46254.420138888891</v>
      </c>
      <c r="H39" t="s">
        <v>360</v>
      </c>
      <c r="I39" t="s">
        <v>378</v>
      </c>
      <c r="J39" t="s">
        <v>239</v>
      </c>
      <c r="K39" t="s">
        <v>351</v>
      </c>
      <c r="L39" t="s">
        <v>378</v>
      </c>
      <c r="M39" t="s">
        <v>239</v>
      </c>
      <c r="O39" t="s">
        <v>90</v>
      </c>
      <c r="P39" t="s">
        <v>360</v>
      </c>
      <c r="Q39" t="s">
        <v>217</v>
      </c>
    </row>
    <row r="40" spans="1:18" x14ac:dyDescent="0.3">
      <c r="A40" t="s">
        <v>351</v>
      </c>
      <c r="B40" t="s">
        <v>48</v>
      </c>
      <c r="C40" t="s">
        <v>68</v>
      </c>
      <c r="D40" s="15">
        <v>46251.60728009259</v>
      </c>
      <c r="E40" t="s">
        <v>412</v>
      </c>
      <c r="F40">
        <v>1</v>
      </c>
      <c r="G40" s="15">
        <v>46254.420138888891</v>
      </c>
      <c r="H40" t="s">
        <v>360</v>
      </c>
      <c r="I40" t="s">
        <v>378</v>
      </c>
      <c r="J40" t="s">
        <v>239</v>
      </c>
      <c r="K40" t="s">
        <v>351</v>
      </c>
      <c r="L40" t="s">
        <v>378</v>
      </c>
      <c r="M40" t="s">
        <v>239</v>
      </c>
      <c r="N40">
        <v>0</v>
      </c>
      <c r="O40" t="s">
        <v>90</v>
      </c>
      <c r="P40" t="s">
        <v>360</v>
      </c>
      <c r="Q40" t="s">
        <v>217</v>
      </c>
    </row>
    <row r="41" spans="1:18" x14ac:dyDescent="0.3">
      <c r="A41" t="s">
        <v>351</v>
      </c>
      <c r="B41" t="s">
        <v>48</v>
      </c>
      <c r="C41" t="s">
        <v>68</v>
      </c>
      <c r="D41" s="15">
        <v>46237.403981481482</v>
      </c>
      <c r="E41" t="s">
        <v>412</v>
      </c>
      <c r="F41">
        <v>1</v>
      </c>
      <c r="G41" s="15">
        <v>46239.458333333336</v>
      </c>
      <c r="H41" t="s">
        <v>360</v>
      </c>
      <c r="I41" t="s">
        <v>378</v>
      </c>
      <c r="J41" t="s">
        <v>239</v>
      </c>
      <c r="K41" t="s">
        <v>351</v>
      </c>
      <c r="L41" t="s">
        <v>378</v>
      </c>
      <c r="M41" t="s">
        <v>239</v>
      </c>
      <c r="N41">
        <v>0</v>
      </c>
      <c r="O41" t="s">
        <v>90</v>
      </c>
      <c r="P41" t="s">
        <v>360</v>
      </c>
      <c r="Q41" t="s">
        <v>217</v>
      </c>
      <c r="R41">
        <v>1</v>
      </c>
    </row>
    <row r="42" spans="1:18" x14ac:dyDescent="0.3">
      <c r="A42" t="s">
        <v>351</v>
      </c>
      <c r="B42" t="s">
        <v>48</v>
      </c>
      <c r="C42" t="s">
        <v>68</v>
      </c>
      <c r="D42" s="15">
        <v>46245.504618055558</v>
      </c>
      <c r="E42" t="s">
        <v>412</v>
      </c>
      <c r="F42">
        <v>1</v>
      </c>
      <c r="G42" s="15">
        <v>46252.390972222223</v>
      </c>
      <c r="H42" t="s">
        <v>360</v>
      </c>
      <c r="I42" t="s">
        <v>378</v>
      </c>
      <c r="J42" t="s">
        <v>239</v>
      </c>
      <c r="K42" t="s">
        <v>351</v>
      </c>
      <c r="L42" t="s">
        <v>378</v>
      </c>
      <c r="M42" t="s">
        <v>239</v>
      </c>
      <c r="N42">
        <v>0</v>
      </c>
      <c r="O42" t="s">
        <v>90</v>
      </c>
      <c r="P42" t="s">
        <v>360</v>
      </c>
      <c r="Q42" t="s">
        <v>217</v>
      </c>
      <c r="R42">
        <v>1</v>
      </c>
    </row>
    <row r="43" spans="1:18" x14ac:dyDescent="0.3">
      <c r="A43" t="s">
        <v>351</v>
      </c>
      <c r="B43" t="s">
        <v>48</v>
      </c>
      <c r="C43" t="s">
        <v>68</v>
      </c>
      <c r="D43" s="15">
        <v>46224.674085648148</v>
      </c>
      <c r="E43" t="s">
        <v>412</v>
      </c>
      <c r="F43">
        <v>1</v>
      </c>
      <c r="G43" s="15">
        <v>46230.489583333336</v>
      </c>
      <c r="H43" t="s">
        <v>360</v>
      </c>
      <c r="I43" t="s">
        <v>378</v>
      </c>
      <c r="J43" t="s">
        <v>239</v>
      </c>
      <c r="K43" t="s">
        <v>351</v>
      </c>
      <c r="L43" t="s">
        <v>378</v>
      </c>
      <c r="M43" t="s">
        <v>239</v>
      </c>
      <c r="N43">
        <v>0</v>
      </c>
      <c r="O43" t="s">
        <v>90</v>
      </c>
      <c r="P43" t="s">
        <v>360</v>
      </c>
      <c r="Q43" t="s">
        <v>217</v>
      </c>
      <c r="R43">
        <v>1</v>
      </c>
    </row>
    <row r="44" spans="1:18" x14ac:dyDescent="0.3">
      <c r="A44" t="s">
        <v>351</v>
      </c>
      <c r="B44" t="s">
        <v>48</v>
      </c>
      <c r="C44" t="s">
        <v>68</v>
      </c>
      <c r="D44" s="15">
        <v>46220.546053240738</v>
      </c>
      <c r="E44" t="s">
        <v>412</v>
      </c>
      <c r="F44">
        <v>1</v>
      </c>
      <c r="G44" s="15">
        <v>46226.411805555559</v>
      </c>
      <c r="H44" t="s">
        <v>360</v>
      </c>
      <c r="I44" t="s">
        <v>378</v>
      </c>
      <c r="J44" t="s">
        <v>239</v>
      </c>
      <c r="K44" t="s">
        <v>351</v>
      </c>
      <c r="L44" t="s">
        <v>378</v>
      </c>
      <c r="M44" t="s">
        <v>239</v>
      </c>
      <c r="N44">
        <v>0</v>
      </c>
      <c r="O44" t="s">
        <v>90</v>
      </c>
      <c r="P44" t="s">
        <v>360</v>
      </c>
      <c r="Q44" t="s">
        <v>217</v>
      </c>
      <c r="R44">
        <v>1</v>
      </c>
    </row>
    <row r="45" spans="1:18" x14ac:dyDescent="0.3">
      <c r="A45" t="s">
        <v>351</v>
      </c>
      <c r="B45" t="s">
        <v>45</v>
      </c>
      <c r="C45" t="s">
        <v>68</v>
      </c>
      <c r="D45" s="15">
        <v>46255.309004629627</v>
      </c>
      <c r="E45" t="s">
        <v>412</v>
      </c>
      <c r="F45">
        <v>9</v>
      </c>
      <c r="G45" s="15">
        <v>46258.458333333336</v>
      </c>
      <c r="H45" t="s">
        <v>361</v>
      </c>
      <c r="I45" t="s">
        <v>378</v>
      </c>
      <c r="J45" t="s">
        <v>239</v>
      </c>
      <c r="K45" t="s">
        <v>351</v>
      </c>
      <c r="L45" t="s">
        <v>378</v>
      </c>
      <c r="M45" t="s">
        <v>239</v>
      </c>
      <c r="N45">
        <v>0</v>
      </c>
      <c r="O45" t="s">
        <v>67</v>
      </c>
      <c r="P45" t="s">
        <v>361</v>
      </c>
      <c r="Q45" t="s">
        <v>217</v>
      </c>
      <c r="R45">
        <v>1</v>
      </c>
    </row>
    <row r="46" spans="1:18" x14ac:dyDescent="0.3">
      <c r="A46" t="s">
        <v>351</v>
      </c>
      <c r="B46" t="s">
        <v>45</v>
      </c>
      <c r="C46" t="s">
        <v>68</v>
      </c>
      <c r="D46" s="15">
        <v>46254.394618055558</v>
      </c>
      <c r="E46" t="s">
        <v>412</v>
      </c>
      <c r="F46">
        <v>3</v>
      </c>
      <c r="G46" s="15">
        <v>46255.493055555555</v>
      </c>
      <c r="H46" t="s">
        <v>361</v>
      </c>
      <c r="I46" t="s">
        <v>378</v>
      </c>
      <c r="J46" t="s">
        <v>239</v>
      </c>
      <c r="K46" t="s">
        <v>351</v>
      </c>
      <c r="L46" t="s">
        <v>378</v>
      </c>
      <c r="M46" t="s">
        <v>239</v>
      </c>
      <c r="N46">
        <v>0</v>
      </c>
      <c r="O46" t="s">
        <v>67</v>
      </c>
      <c r="P46" t="s">
        <v>361</v>
      </c>
      <c r="Q46" t="s">
        <v>217</v>
      </c>
      <c r="R46">
        <v>1</v>
      </c>
    </row>
    <row r="47" spans="1:18" x14ac:dyDescent="0.3">
      <c r="A47" t="s">
        <v>351</v>
      </c>
      <c r="B47" t="s">
        <v>45</v>
      </c>
      <c r="C47" t="s">
        <v>68</v>
      </c>
      <c r="D47" s="15">
        <v>46254.395497685182</v>
      </c>
      <c r="E47" t="s">
        <v>412</v>
      </c>
      <c r="F47">
        <v>7</v>
      </c>
      <c r="G47" s="15">
        <v>46255.493055555555</v>
      </c>
      <c r="H47" t="s">
        <v>361</v>
      </c>
      <c r="I47" t="s">
        <v>378</v>
      </c>
      <c r="J47" t="s">
        <v>239</v>
      </c>
      <c r="K47" t="s">
        <v>351</v>
      </c>
      <c r="L47" t="s">
        <v>378</v>
      </c>
      <c r="M47" t="s">
        <v>239</v>
      </c>
      <c r="O47" t="s">
        <v>67</v>
      </c>
      <c r="P47" t="s">
        <v>361</v>
      </c>
      <c r="Q47" t="s">
        <v>217</v>
      </c>
    </row>
    <row r="48" spans="1:18" x14ac:dyDescent="0.3">
      <c r="A48" t="s">
        <v>351</v>
      </c>
      <c r="B48" t="s">
        <v>45</v>
      </c>
      <c r="C48" t="s">
        <v>68</v>
      </c>
      <c r="D48" s="15">
        <v>46254.396273148152</v>
      </c>
      <c r="E48" t="s">
        <v>412</v>
      </c>
      <c r="F48">
        <v>6</v>
      </c>
      <c r="G48" s="15">
        <v>46255.493055555555</v>
      </c>
      <c r="H48" t="s">
        <v>361</v>
      </c>
      <c r="I48" t="s">
        <v>378</v>
      </c>
      <c r="J48" t="s">
        <v>239</v>
      </c>
      <c r="K48" t="s">
        <v>351</v>
      </c>
      <c r="L48" t="s">
        <v>378</v>
      </c>
      <c r="M48" t="s">
        <v>239</v>
      </c>
      <c r="O48" t="s">
        <v>67</v>
      </c>
      <c r="P48" t="s">
        <v>361</v>
      </c>
      <c r="Q48" t="s">
        <v>217</v>
      </c>
    </row>
    <row r="49" spans="1:18" x14ac:dyDescent="0.3">
      <c r="A49" t="s">
        <v>351</v>
      </c>
      <c r="B49" t="s">
        <v>45</v>
      </c>
      <c r="C49" t="s">
        <v>68</v>
      </c>
      <c r="D49" s="15">
        <v>46231.659247685187</v>
      </c>
      <c r="E49" t="s">
        <v>1075</v>
      </c>
      <c r="F49">
        <v>13</v>
      </c>
      <c r="G49" s="15">
        <v>46233.416666666664</v>
      </c>
      <c r="H49" t="s">
        <v>361</v>
      </c>
      <c r="I49" t="s">
        <v>378</v>
      </c>
      <c r="J49" t="s">
        <v>239</v>
      </c>
      <c r="K49" t="s">
        <v>351</v>
      </c>
      <c r="L49" t="s">
        <v>378</v>
      </c>
      <c r="M49" t="s">
        <v>239</v>
      </c>
      <c r="N49">
        <v>0</v>
      </c>
      <c r="O49" t="s">
        <v>67</v>
      </c>
      <c r="P49" t="s">
        <v>361</v>
      </c>
      <c r="Q49" t="s">
        <v>217</v>
      </c>
      <c r="R49">
        <v>1</v>
      </c>
    </row>
    <row r="50" spans="1:18" x14ac:dyDescent="0.3">
      <c r="A50" t="s">
        <v>351</v>
      </c>
      <c r="B50" t="s">
        <v>45</v>
      </c>
      <c r="C50" t="s">
        <v>68</v>
      </c>
      <c r="D50" s="15">
        <v>46231.635254629633</v>
      </c>
      <c r="E50" t="s">
        <v>1075</v>
      </c>
      <c r="F50">
        <v>6</v>
      </c>
      <c r="G50" s="15">
        <v>46233.416666666664</v>
      </c>
      <c r="H50" t="s">
        <v>361</v>
      </c>
      <c r="I50" t="s">
        <v>378</v>
      </c>
      <c r="J50" t="s">
        <v>239</v>
      </c>
      <c r="K50" t="s">
        <v>351</v>
      </c>
      <c r="L50" t="s">
        <v>378</v>
      </c>
      <c r="M50" t="s">
        <v>239</v>
      </c>
      <c r="O50" t="s">
        <v>67</v>
      </c>
      <c r="P50" t="s">
        <v>361</v>
      </c>
      <c r="Q50" t="s">
        <v>217</v>
      </c>
    </row>
    <row r="51" spans="1:18" x14ac:dyDescent="0.3">
      <c r="A51" t="s">
        <v>351</v>
      </c>
      <c r="B51" t="s">
        <v>45</v>
      </c>
      <c r="C51" t="s">
        <v>68</v>
      </c>
      <c r="D51" s="15">
        <v>46231.634583333333</v>
      </c>
      <c r="E51" t="s">
        <v>1075</v>
      </c>
      <c r="F51">
        <v>4</v>
      </c>
      <c r="G51" s="15">
        <v>46233.416666666664</v>
      </c>
      <c r="H51" t="s">
        <v>361</v>
      </c>
      <c r="I51" t="s">
        <v>378</v>
      </c>
      <c r="J51" t="s">
        <v>239</v>
      </c>
      <c r="K51" t="s">
        <v>351</v>
      </c>
      <c r="L51" t="s">
        <v>378</v>
      </c>
      <c r="M51" t="s">
        <v>239</v>
      </c>
      <c r="O51" t="s">
        <v>67</v>
      </c>
      <c r="P51" t="s">
        <v>361</v>
      </c>
      <c r="Q51" t="s">
        <v>217</v>
      </c>
    </row>
    <row r="52" spans="1:18" x14ac:dyDescent="0.3">
      <c r="A52" t="s">
        <v>351</v>
      </c>
      <c r="B52" t="s">
        <v>45</v>
      </c>
      <c r="C52" t="s">
        <v>68</v>
      </c>
      <c r="D52" s="15">
        <v>46231.633784722224</v>
      </c>
      <c r="E52" t="s">
        <v>1075</v>
      </c>
      <c r="F52">
        <v>4</v>
      </c>
      <c r="G52" s="15">
        <v>46233.416666666664</v>
      </c>
      <c r="H52" t="s">
        <v>361</v>
      </c>
      <c r="I52" t="s">
        <v>378</v>
      </c>
      <c r="J52" t="s">
        <v>239</v>
      </c>
      <c r="K52" t="s">
        <v>351</v>
      </c>
      <c r="L52" t="s">
        <v>378</v>
      </c>
      <c r="M52" t="s">
        <v>239</v>
      </c>
      <c r="O52" t="s">
        <v>67</v>
      </c>
      <c r="P52" t="s">
        <v>361</v>
      </c>
      <c r="Q52" t="s">
        <v>217</v>
      </c>
    </row>
    <row r="53" spans="1:18" x14ac:dyDescent="0.3">
      <c r="A53" t="s">
        <v>351</v>
      </c>
      <c r="B53" t="s">
        <v>45</v>
      </c>
      <c r="C53" t="s">
        <v>68</v>
      </c>
      <c r="D53" s="15">
        <v>46231.632465277777</v>
      </c>
      <c r="E53" t="s">
        <v>1075</v>
      </c>
      <c r="F53">
        <v>1</v>
      </c>
      <c r="G53" s="15">
        <v>46233.416666666664</v>
      </c>
      <c r="H53" t="s">
        <v>361</v>
      </c>
      <c r="I53" t="s">
        <v>378</v>
      </c>
      <c r="J53" t="s">
        <v>239</v>
      </c>
      <c r="K53" t="s">
        <v>351</v>
      </c>
      <c r="L53" t="s">
        <v>378</v>
      </c>
      <c r="M53" t="s">
        <v>239</v>
      </c>
      <c r="O53" t="s">
        <v>67</v>
      </c>
      <c r="P53" t="s">
        <v>361</v>
      </c>
      <c r="Q53" t="s">
        <v>217</v>
      </c>
    </row>
    <row r="54" spans="1:18" x14ac:dyDescent="0.3">
      <c r="A54" t="s">
        <v>351</v>
      </c>
      <c r="B54" t="s">
        <v>45</v>
      </c>
      <c r="C54" t="s">
        <v>68</v>
      </c>
      <c r="D54" s="15">
        <v>46231.631620370368</v>
      </c>
      <c r="E54" t="s">
        <v>412</v>
      </c>
      <c r="F54">
        <v>1</v>
      </c>
      <c r="G54" s="15">
        <v>46233.416666666664</v>
      </c>
      <c r="H54" t="s">
        <v>361</v>
      </c>
      <c r="I54" t="s">
        <v>378</v>
      </c>
      <c r="J54" t="s">
        <v>239</v>
      </c>
      <c r="K54" t="s">
        <v>351</v>
      </c>
      <c r="L54" t="s">
        <v>378</v>
      </c>
      <c r="M54" t="s">
        <v>239</v>
      </c>
      <c r="O54" t="s">
        <v>67</v>
      </c>
      <c r="P54" t="s">
        <v>361</v>
      </c>
      <c r="Q54" t="s">
        <v>217</v>
      </c>
    </row>
    <row r="55" spans="1:18" x14ac:dyDescent="0.3">
      <c r="A55" t="s">
        <v>351</v>
      </c>
      <c r="B55" t="s">
        <v>48</v>
      </c>
      <c r="C55" t="s">
        <v>68</v>
      </c>
      <c r="D55" s="15">
        <v>46245.434259259258</v>
      </c>
      <c r="E55" t="s">
        <v>412</v>
      </c>
      <c r="F55">
        <v>3</v>
      </c>
      <c r="G55" s="15">
        <v>46247.425694444442</v>
      </c>
      <c r="H55" t="s">
        <v>361</v>
      </c>
      <c r="I55" t="s">
        <v>378</v>
      </c>
      <c r="J55" t="s">
        <v>239</v>
      </c>
      <c r="K55" t="s">
        <v>351</v>
      </c>
      <c r="L55" t="s">
        <v>378</v>
      </c>
      <c r="M55" t="s">
        <v>239</v>
      </c>
      <c r="N55">
        <v>0</v>
      </c>
      <c r="O55" t="s">
        <v>90</v>
      </c>
      <c r="P55" t="s">
        <v>361</v>
      </c>
      <c r="Q55" t="s">
        <v>217</v>
      </c>
      <c r="R55">
        <v>1</v>
      </c>
    </row>
    <row r="56" spans="1:18" x14ac:dyDescent="0.3">
      <c r="A56" t="s">
        <v>351</v>
      </c>
      <c r="B56" t="s">
        <v>48</v>
      </c>
      <c r="C56" t="s">
        <v>68</v>
      </c>
      <c r="D56" s="15">
        <v>46245.434259259258</v>
      </c>
      <c r="E56" t="s">
        <v>412</v>
      </c>
      <c r="F56">
        <v>1</v>
      </c>
      <c r="G56" s="15">
        <v>46254.503472222219</v>
      </c>
      <c r="H56" t="s">
        <v>361</v>
      </c>
      <c r="I56" t="s">
        <v>378</v>
      </c>
      <c r="J56" t="s">
        <v>239</v>
      </c>
      <c r="K56" t="s">
        <v>351</v>
      </c>
      <c r="L56" t="s">
        <v>378</v>
      </c>
      <c r="M56" t="s">
        <v>239</v>
      </c>
      <c r="N56">
        <v>0</v>
      </c>
      <c r="O56" t="s">
        <v>90</v>
      </c>
      <c r="P56" t="s">
        <v>361</v>
      </c>
      <c r="Q56" t="s">
        <v>217</v>
      </c>
      <c r="R56">
        <v>1</v>
      </c>
    </row>
    <row r="57" spans="1:18" x14ac:dyDescent="0.3">
      <c r="A57" t="s">
        <v>351</v>
      </c>
      <c r="B57" t="s">
        <v>48</v>
      </c>
      <c r="C57" t="s">
        <v>68</v>
      </c>
      <c r="D57" s="15">
        <v>46213.750648148147</v>
      </c>
      <c r="E57" t="s">
        <v>412</v>
      </c>
      <c r="F57">
        <v>5</v>
      </c>
      <c r="G57" s="15">
        <v>46231.397222222222</v>
      </c>
      <c r="H57" t="s">
        <v>361</v>
      </c>
      <c r="I57" t="s">
        <v>378</v>
      </c>
      <c r="J57" t="s">
        <v>239</v>
      </c>
      <c r="K57" t="s">
        <v>351</v>
      </c>
      <c r="L57" t="s">
        <v>378</v>
      </c>
      <c r="M57" t="s">
        <v>239</v>
      </c>
      <c r="N57">
        <v>0</v>
      </c>
      <c r="O57" t="s">
        <v>90</v>
      </c>
      <c r="P57" t="s">
        <v>361</v>
      </c>
      <c r="Q57" t="s">
        <v>217</v>
      </c>
      <c r="R57">
        <v>1</v>
      </c>
    </row>
    <row r="58" spans="1:18" x14ac:dyDescent="0.3">
      <c r="A58" t="s">
        <v>351</v>
      </c>
      <c r="B58" t="s">
        <v>45</v>
      </c>
      <c r="C58" t="s">
        <v>68</v>
      </c>
      <c r="D58" s="15">
        <v>46251.387743055559</v>
      </c>
      <c r="E58" t="s">
        <v>413</v>
      </c>
      <c r="F58">
        <v>15</v>
      </c>
      <c r="G58" s="15">
        <v>46252.638888888891</v>
      </c>
      <c r="H58" t="s">
        <v>362</v>
      </c>
      <c r="I58" t="s">
        <v>378</v>
      </c>
      <c r="J58" t="s">
        <v>239</v>
      </c>
      <c r="K58" t="s">
        <v>351</v>
      </c>
      <c r="L58" t="s">
        <v>378</v>
      </c>
      <c r="M58" t="s">
        <v>239</v>
      </c>
      <c r="N58">
        <v>0</v>
      </c>
      <c r="O58" t="s">
        <v>67</v>
      </c>
      <c r="P58" t="s">
        <v>362</v>
      </c>
      <c r="Q58" t="s">
        <v>217</v>
      </c>
      <c r="R58">
        <v>1</v>
      </c>
    </row>
    <row r="59" spans="1:18" x14ac:dyDescent="0.3">
      <c r="A59" t="s">
        <v>351</v>
      </c>
      <c r="B59" t="s">
        <v>45</v>
      </c>
      <c r="C59" t="s">
        <v>68</v>
      </c>
      <c r="D59" s="15">
        <v>46230.391215277778</v>
      </c>
      <c r="E59" t="s">
        <v>413</v>
      </c>
      <c r="F59">
        <v>15</v>
      </c>
      <c r="G59" s="15">
        <v>46231.458333333336</v>
      </c>
      <c r="H59" t="s">
        <v>362</v>
      </c>
      <c r="I59" t="s">
        <v>378</v>
      </c>
      <c r="J59" t="s">
        <v>239</v>
      </c>
      <c r="K59" t="s">
        <v>351</v>
      </c>
      <c r="L59" t="s">
        <v>378</v>
      </c>
      <c r="M59" t="s">
        <v>239</v>
      </c>
      <c r="N59">
        <v>0</v>
      </c>
      <c r="O59" t="s">
        <v>67</v>
      </c>
      <c r="P59" t="s">
        <v>362</v>
      </c>
      <c r="Q59" t="s">
        <v>217</v>
      </c>
      <c r="R59">
        <v>1</v>
      </c>
    </row>
    <row r="60" spans="1:18" x14ac:dyDescent="0.3">
      <c r="A60" t="s">
        <v>351</v>
      </c>
      <c r="B60" t="s">
        <v>45</v>
      </c>
      <c r="C60" t="s">
        <v>68</v>
      </c>
      <c r="D60" s="15">
        <v>46230.398877314816</v>
      </c>
      <c r="E60" t="s">
        <v>413</v>
      </c>
      <c r="F60">
        <v>10</v>
      </c>
      <c r="G60" s="15">
        <v>46232.696527777778</v>
      </c>
      <c r="H60" t="s">
        <v>362</v>
      </c>
      <c r="I60" t="s">
        <v>378</v>
      </c>
      <c r="J60" t="s">
        <v>239</v>
      </c>
      <c r="K60" t="s">
        <v>351</v>
      </c>
      <c r="L60" t="s">
        <v>378</v>
      </c>
      <c r="M60" t="s">
        <v>239</v>
      </c>
      <c r="O60" t="s">
        <v>67</v>
      </c>
      <c r="P60" t="s">
        <v>362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46252.576365740744</v>
      </c>
      <c r="E61" t="s">
        <v>905</v>
      </c>
      <c r="F61">
        <v>25</v>
      </c>
      <c r="G61" s="15">
        <v>46255.477083333331</v>
      </c>
      <c r="H61" t="s">
        <v>362</v>
      </c>
      <c r="I61" t="s">
        <v>378</v>
      </c>
      <c r="J61" t="s">
        <v>239</v>
      </c>
      <c r="K61" t="s">
        <v>351</v>
      </c>
      <c r="L61" t="s">
        <v>378</v>
      </c>
      <c r="M61" t="s">
        <v>239</v>
      </c>
      <c r="N61">
        <v>0</v>
      </c>
      <c r="O61" t="s">
        <v>90</v>
      </c>
      <c r="P61" t="s">
        <v>362</v>
      </c>
      <c r="Q61" t="s">
        <v>217</v>
      </c>
      <c r="R61">
        <v>1</v>
      </c>
    </row>
    <row r="62" spans="1:18" x14ac:dyDescent="0.3">
      <c r="A62" t="s">
        <v>351</v>
      </c>
      <c r="B62" t="s">
        <v>48</v>
      </c>
      <c r="C62" t="s">
        <v>68</v>
      </c>
      <c r="D62" s="15">
        <v>46252.581203703703</v>
      </c>
      <c r="E62" t="s">
        <v>905</v>
      </c>
      <c r="F62">
        <v>15</v>
      </c>
      <c r="G62" s="15">
        <v>46255.477083333331</v>
      </c>
      <c r="H62" t="s">
        <v>362</v>
      </c>
      <c r="I62" t="s">
        <v>378</v>
      </c>
      <c r="J62" t="s">
        <v>239</v>
      </c>
      <c r="K62" t="s">
        <v>351</v>
      </c>
      <c r="L62" t="s">
        <v>378</v>
      </c>
      <c r="M62" t="s">
        <v>239</v>
      </c>
      <c r="N62">
        <v>0</v>
      </c>
      <c r="O62" t="s">
        <v>90</v>
      </c>
      <c r="P62" t="s">
        <v>362</v>
      </c>
      <c r="Q62" t="s">
        <v>217</v>
      </c>
    </row>
    <row r="63" spans="1:18" x14ac:dyDescent="0.3">
      <c r="A63" t="s">
        <v>351</v>
      </c>
      <c r="B63" t="s">
        <v>48</v>
      </c>
      <c r="C63" t="s">
        <v>68</v>
      </c>
      <c r="D63" s="15">
        <v>46231.625231481485</v>
      </c>
      <c r="E63" t="s">
        <v>1035</v>
      </c>
      <c r="F63">
        <v>10</v>
      </c>
      <c r="G63" s="15">
        <v>46238.509722222225</v>
      </c>
      <c r="H63" t="s">
        <v>362</v>
      </c>
      <c r="I63" t="s">
        <v>378</v>
      </c>
      <c r="J63" t="s">
        <v>239</v>
      </c>
      <c r="K63" t="s">
        <v>351</v>
      </c>
      <c r="L63" t="s">
        <v>378</v>
      </c>
      <c r="M63" t="s">
        <v>239</v>
      </c>
      <c r="N63">
        <v>0</v>
      </c>
      <c r="O63" t="s">
        <v>90</v>
      </c>
      <c r="P63" t="s">
        <v>362</v>
      </c>
      <c r="Q63" t="s">
        <v>217</v>
      </c>
      <c r="R63">
        <v>1</v>
      </c>
    </row>
    <row r="64" spans="1:18" x14ac:dyDescent="0.3">
      <c r="A64" t="s">
        <v>351</v>
      </c>
      <c r="B64" t="s">
        <v>48</v>
      </c>
      <c r="C64" t="s">
        <v>68</v>
      </c>
      <c r="D64" s="15">
        <v>46227.725787037038</v>
      </c>
      <c r="E64" t="s">
        <v>413</v>
      </c>
      <c r="F64">
        <v>16</v>
      </c>
      <c r="G64" s="15">
        <v>46234.413194444445</v>
      </c>
      <c r="H64" t="s">
        <v>362</v>
      </c>
      <c r="I64" t="s">
        <v>378</v>
      </c>
      <c r="J64" t="s">
        <v>239</v>
      </c>
      <c r="K64" t="s">
        <v>351</v>
      </c>
      <c r="L64" t="s">
        <v>378</v>
      </c>
      <c r="M64" t="s">
        <v>239</v>
      </c>
      <c r="N64">
        <v>0</v>
      </c>
      <c r="O64" t="s">
        <v>90</v>
      </c>
      <c r="P64" t="s">
        <v>362</v>
      </c>
      <c r="Q64" t="s">
        <v>217</v>
      </c>
      <c r="R64">
        <v>1</v>
      </c>
    </row>
    <row r="65" spans="1:18" x14ac:dyDescent="0.3">
      <c r="A65" t="s">
        <v>351</v>
      </c>
      <c r="B65" t="s">
        <v>45</v>
      </c>
      <c r="C65" t="s">
        <v>68</v>
      </c>
      <c r="D65" s="15">
        <v>46245.50304398148</v>
      </c>
      <c r="E65" t="s">
        <v>420</v>
      </c>
      <c r="F65">
        <v>5</v>
      </c>
      <c r="G65" s="15">
        <v>46247.46875</v>
      </c>
      <c r="H65" t="s">
        <v>486</v>
      </c>
      <c r="I65" t="s">
        <v>378</v>
      </c>
      <c r="J65" t="s">
        <v>239</v>
      </c>
      <c r="K65" t="s">
        <v>351</v>
      </c>
      <c r="L65" t="s">
        <v>378</v>
      </c>
      <c r="M65" t="s">
        <v>239</v>
      </c>
      <c r="O65" t="s">
        <v>67</v>
      </c>
      <c r="P65" t="s">
        <v>486</v>
      </c>
      <c r="Q65" t="s">
        <v>217</v>
      </c>
      <c r="R65">
        <v>1</v>
      </c>
    </row>
    <row r="66" spans="1:18" x14ac:dyDescent="0.3">
      <c r="A66" t="s">
        <v>351</v>
      </c>
      <c r="B66" t="s">
        <v>45</v>
      </c>
      <c r="C66" t="s">
        <v>68</v>
      </c>
      <c r="D66" s="15">
        <v>46245.502650462964</v>
      </c>
      <c r="E66" t="s">
        <v>420</v>
      </c>
      <c r="F66">
        <v>11</v>
      </c>
      <c r="G66" s="15">
        <v>46247.46875</v>
      </c>
      <c r="H66" t="s">
        <v>486</v>
      </c>
      <c r="I66" t="s">
        <v>378</v>
      </c>
      <c r="J66" t="s">
        <v>239</v>
      </c>
      <c r="K66" t="s">
        <v>351</v>
      </c>
      <c r="L66" t="s">
        <v>378</v>
      </c>
      <c r="M66" t="s">
        <v>239</v>
      </c>
      <c r="O66" t="s">
        <v>67</v>
      </c>
      <c r="P66" t="s">
        <v>486</v>
      </c>
      <c r="Q66" t="s">
        <v>217</v>
      </c>
    </row>
    <row r="67" spans="1:18" x14ac:dyDescent="0.3">
      <c r="A67" t="s">
        <v>351</v>
      </c>
      <c r="B67" t="s">
        <v>48</v>
      </c>
      <c r="C67" t="s">
        <v>68</v>
      </c>
      <c r="D67" s="15">
        <v>46252.486481481479</v>
      </c>
      <c r="E67" t="s">
        <v>420</v>
      </c>
      <c r="F67">
        <v>5</v>
      </c>
      <c r="G67" s="15">
        <v>46254.458333333336</v>
      </c>
      <c r="H67" t="s">
        <v>486</v>
      </c>
      <c r="I67" t="s">
        <v>378</v>
      </c>
      <c r="J67" t="s">
        <v>239</v>
      </c>
      <c r="K67" t="s">
        <v>351</v>
      </c>
      <c r="L67" t="s">
        <v>378</v>
      </c>
      <c r="M67" t="s">
        <v>239</v>
      </c>
      <c r="O67" t="s">
        <v>90</v>
      </c>
      <c r="P67" t="s">
        <v>486</v>
      </c>
      <c r="Q67" t="s">
        <v>217</v>
      </c>
      <c r="R67">
        <v>1</v>
      </c>
    </row>
    <row r="68" spans="1:18" x14ac:dyDescent="0.3">
      <c r="A68" t="s">
        <v>351</v>
      </c>
      <c r="B68" t="s">
        <v>48</v>
      </c>
      <c r="C68" t="s">
        <v>68</v>
      </c>
      <c r="D68" s="15">
        <v>46231.743472222224</v>
      </c>
      <c r="E68" t="s">
        <v>412</v>
      </c>
      <c r="F68">
        <v>1</v>
      </c>
      <c r="G68" s="15">
        <v>46240.513194444444</v>
      </c>
      <c r="H68" t="s">
        <v>361</v>
      </c>
      <c r="I68" t="s">
        <v>378</v>
      </c>
      <c r="J68" t="s">
        <v>239</v>
      </c>
      <c r="K68" t="s">
        <v>351</v>
      </c>
      <c r="L68" t="s">
        <v>378</v>
      </c>
      <c r="M68" t="s">
        <v>239</v>
      </c>
      <c r="N68">
        <v>0</v>
      </c>
      <c r="O68" t="s">
        <v>90</v>
      </c>
      <c r="P68" t="s">
        <v>361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46231.307928240742</v>
      </c>
      <c r="E69" t="s">
        <v>411</v>
      </c>
      <c r="F69">
        <v>1</v>
      </c>
      <c r="G69" s="15">
        <v>46232.486111111109</v>
      </c>
      <c r="H69" t="s">
        <v>363</v>
      </c>
      <c r="I69" t="s">
        <v>378</v>
      </c>
      <c r="J69" t="s">
        <v>239</v>
      </c>
      <c r="K69" t="s">
        <v>351</v>
      </c>
      <c r="L69" t="s">
        <v>378</v>
      </c>
      <c r="M69" t="s">
        <v>239</v>
      </c>
      <c r="N69">
        <v>0</v>
      </c>
      <c r="O69" t="s">
        <v>90</v>
      </c>
      <c r="P69" t="s">
        <v>363</v>
      </c>
      <c r="Q69" t="s">
        <v>217</v>
      </c>
      <c r="R69">
        <v>1</v>
      </c>
    </row>
    <row r="70" spans="1:18" x14ac:dyDescent="0.3">
      <c r="A70" t="s">
        <v>351</v>
      </c>
      <c r="B70" t="s">
        <v>48</v>
      </c>
      <c r="C70" t="s">
        <v>68</v>
      </c>
      <c r="D70" s="15">
        <v>46227.576932870368</v>
      </c>
      <c r="E70" t="s">
        <v>412</v>
      </c>
      <c r="F70">
        <v>1</v>
      </c>
      <c r="G70" s="15">
        <v>46234.439583333333</v>
      </c>
      <c r="H70" t="s">
        <v>360</v>
      </c>
      <c r="I70" t="s">
        <v>378</v>
      </c>
      <c r="J70" t="s">
        <v>239</v>
      </c>
      <c r="K70" t="s">
        <v>351</v>
      </c>
      <c r="L70" t="s">
        <v>378</v>
      </c>
      <c r="M70" t="s">
        <v>239</v>
      </c>
      <c r="N70">
        <v>0</v>
      </c>
      <c r="O70" t="s">
        <v>90</v>
      </c>
      <c r="P70" t="s">
        <v>360</v>
      </c>
      <c r="Q70" t="s">
        <v>217</v>
      </c>
      <c r="R70">
        <v>1</v>
      </c>
    </row>
    <row r="71" spans="1:18" x14ac:dyDescent="0.3">
      <c r="A71" t="s">
        <v>351</v>
      </c>
      <c r="B71" t="s">
        <v>47</v>
      </c>
      <c r="C71" t="s">
        <v>68</v>
      </c>
      <c r="D71" s="15">
        <v>46211.698680555557</v>
      </c>
      <c r="E71" t="s">
        <v>413</v>
      </c>
      <c r="F71">
        <v>2</v>
      </c>
      <c r="G71" s="15">
        <v>46220.459722222222</v>
      </c>
      <c r="H71" t="s">
        <v>362</v>
      </c>
      <c r="I71" t="s">
        <v>378</v>
      </c>
      <c r="J71" t="s">
        <v>239</v>
      </c>
      <c r="K71" t="s">
        <v>351</v>
      </c>
      <c r="L71" t="s">
        <v>378</v>
      </c>
      <c r="M71" t="s">
        <v>239</v>
      </c>
      <c r="N71">
        <v>0</v>
      </c>
      <c r="O71" t="s">
        <v>90</v>
      </c>
      <c r="P71" t="s">
        <v>362</v>
      </c>
      <c r="Q71" t="s">
        <v>218</v>
      </c>
      <c r="R71">
        <v>1</v>
      </c>
    </row>
    <row r="72" spans="1:18" x14ac:dyDescent="0.3">
      <c r="A72" t="s">
        <v>351</v>
      </c>
      <c r="B72" t="s">
        <v>45</v>
      </c>
      <c r="C72" t="s">
        <v>68</v>
      </c>
      <c r="D72" s="15">
        <v>46234.569490740738</v>
      </c>
      <c r="E72" t="s">
        <v>408</v>
      </c>
      <c r="F72">
        <v>5</v>
      </c>
      <c r="G72" s="15">
        <v>46239.541666666664</v>
      </c>
      <c r="H72" t="s">
        <v>359</v>
      </c>
      <c r="I72" t="s">
        <v>377</v>
      </c>
      <c r="J72" t="s">
        <v>239</v>
      </c>
      <c r="K72" t="s">
        <v>351</v>
      </c>
      <c r="L72" t="s">
        <v>378</v>
      </c>
      <c r="M72" t="s">
        <v>239</v>
      </c>
      <c r="N72">
        <v>103</v>
      </c>
      <c r="O72" t="s">
        <v>67</v>
      </c>
      <c r="P72" t="s">
        <v>359</v>
      </c>
      <c r="Q72" t="s">
        <v>217</v>
      </c>
      <c r="R72">
        <v>1</v>
      </c>
    </row>
    <row r="73" spans="1:18" x14ac:dyDescent="0.3">
      <c r="A73" t="s">
        <v>351</v>
      </c>
      <c r="B73" t="s">
        <v>45</v>
      </c>
      <c r="C73" t="s">
        <v>68</v>
      </c>
      <c r="D73" s="15">
        <v>46233.473078703704</v>
      </c>
      <c r="E73" t="s">
        <v>408</v>
      </c>
      <c r="F73">
        <v>3</v>
      </c>
      <c r="G73" s="15">
        <v>46237.458333333336</v>
      </c>
      <c r="H73" t="s">
        <v>359</v>
      </c>
      <c r="I73" t="s">
        <v>377</v>
      </c>
      <c r="J73" t="s">
        <v>239</v>
      </c>
      <c r="K73" t="s">
        <v>351</v>
      </c>
      <c r="L73" t="s">
        <v>378</v>
      </c>
      <c r="M73" t="s">
        <v>239</v>
      </c>
      <c r="N73">
        <v>103</v>
      </c>
      <c r="O73" t="s">
        <v>67</v>
      </c>
      <c r="P73" t="s">
        <v>359</v>
      </c>
      <c r="Q73" t="s">
        <v>217</v>
      </c>
      <c r="R73">
        <v>1</v>
      </c>
    </row>
    <row r="74" spans="1:18" x14ac:dyDescent="0.3">
      <c r="A74" t="s">
        <v>351</v>
      </c>
      <c r="B74" t="s">
        <v>45</v>
      </c>
      <c r="C74" t="s">
        <v>68</v>
      </c>
      <c r="D74" s="15">
        <v>46233.472222222219</v>
      </c>
      <c r="E74" t="s">
        <v>408</v>
      </c>
      <c r="F74">
        <v>2</v>
      </c>
      <c r="G74" s="15">
        <v>46237.458333333336</v>
      </c>
      <c r="H74" t="s">
        <v>359</v>
      </c>
      <c r="I74" t="s">
        <v>377</v>
      </c>
      <c r="J74" t="s">
        <v>239</v>
      </c>
      <c r="K74" t="s">
        <v>351</v>
      </c>
      <c r="L74" t="s">
        <v>378</v>
      </c>
      <c r="M74" t="s">
        <v>239</v>
      </c>
      <c r="O74" t="s">
        <v>67</v>
      </c>
      <c r="P74" t="s">
        <v>359</v>
      </c>
      <c r="Q74" t="s">
        <v>217</v>
      </c>
    </row>
    <row r="75" spans="1:18" x14ac:dyDescent="0.3">
      <c r="A75" t="s">
        <v>351</v>
      </c>
      <c r="B75" t="s">
        <v>45</v>
      </c>
      <c r="C75" t="s">
        <v>68</v>
      </c>
      <c r="D75" s="15">
        <v>46233.471770833334</v>
      </c>
      <c r="E75" t="s">
        <v>408</v>
      </c>
      <c r="F75">
        <v>3</v>
      </c>
      <c r="G75" s="15">
        <v>46237.458333333336</v>
      </c>
      <c r="H75" t="s">
        <v>359</v>
      </c>
      <c r="I75" t="s">
        <v>377</v>
      </c>
      <c r="J75" t="s">
        <v>239</v>
      </c>
      <c r="K75" t="s">
        <v>351</v>
      </c>
      <c r="L75" t="s">
        <v>378</v>
      </c>
      <c r="M75" t="s">
        <v>239</v>
      </c>
      <c r="O75" t="s">
        <v>67</v>
      </c>
      <c r="P75" t="s">
        <v>359</v>
      </c>
      <c r="Q75" t="s">
        <v>217</v>
      </c>
    </row>
    <row r="76" spans="1:18" x14ac:dyDescent="0.3">
      <c r="A76" t="s">
        <v>351</v>
      </c>
      <c r="B76" t="s">
        <v>45</v>
      </c>
      <c r="C76" t="s">
        <v>68</v>
      </c>
      <c r="D76" s="15">
        <v>46244.473298611112</v>
      </c>
      <c r="E76" t="s">
        <v>408</v>
      </c>
      <c r="F76">
        <v>2</v>
      </c>
      <c r="G76" s="15">
        <v>46246.458333333336</v>
      </c>
      <c r="H76" t="s">
        <v>359</v>
      </c>
      <c r="I76" t="s">
        <v>377</v>
      </c>
      <c r="J76" t="s">
        <v>239</v>
      </c>
      <c r="K76" t="s">
        <v>351</v>
      </c>
      <c r="L76" t="s">
        <v>378</v>
      </c>
      <c r="M76" t="s">
        <v>239</v>
      </c>
      <c r="N76">
        <v>103</v>
      </c>
      <c r="O76" t="s">
        <v>67</v>
      </c>
      <c r="P76" t="s">
        <v>359</v>
      </c>
      <c r="Q76" t="s">
        <v>217</v>
      </c>
      <c r="R76">
        <v>1</v>
      </c>
    </row>
    <row r="77" spans="1:18" x14ac:dyDescent="0.3">
      <c r="A77" t="s">
        <v>351</v>
      </c>
      <c r="B77" t="s">
        <v>45</v>
      </c>
      <c r="C77" t="s">
        <v>68</v>
      </c>
      <c r="D77" s="15">
        <v>46246.66033564815</v>
      </c>
      <c r="E77" t="s">
        <v>408</v>
      </c>
      <c r="F77">
        <v>3</v>
      </c>
      <c r="G77" s="15">
        <v>46252.458333333336</v>
      </c>
      <c r="H77" t="s">
        <v>359</v>
      </c>
      <c r="I77" t="s">
        <v>377</v>
      </c>
      <c r="J77" t="s">
        <v>239</v>
      </c>
      <c r="K77" t="s">
        <v>351</v>
      </c>
      <c r="L77" t="s">
        <v>378</v>
      </c>
      <c r="M77" t="s">
        <v>239</v>
      </c>
      <c r="N77">
        <v>103</v>
      </c>
      <c r="O77" t="s">
        <v>67</v>
      </c>
      <c r="P77" t="s">
        <v>359</v>
      </c>
      <c r="Q77" t="s">
        <v>217</v>
      </c>
      <c r="R77">
        <v>1</v>
      </c>
    </row>
    <row r="78" spans="1:18" x14ac:dyDescent="0.3">
      <c r="A78" t="s">
        <v>351</v>
      </c>
      <c r="B78" t="s">
        <v>45</v>
      </c>
      <c r="C78" t="s">
        <v>68</v>
      </c>
      <c r="D78" s="15">
        <v>46246.659872685188</v>
      </c>
      <c r="E78" t="s">
        <v>887</v>
      </c>
      <c r="F78">
        <v>3</v>
      </c>
      <c r="G78" s="15">
        <v>46252.458333333336</v>
      </c>
      <c r="H78" t="s">
        <v>359</v>
      </c>
      <c r="I78" t="s">
        <v>377</v>
      </c>
      <c r="J78" t="s">
        <v>239</v>
      </c>
      <c r="K78" t="s">
        <v>351</v>
      </c>
      <c r="L78" t="s">
        <v>378</v>
      </c>
      <c r="M78" t="s">
        <v>239</v>
      </c>
      <c r="O78" t="s">
        <v>67</v>
      </c>
      <c r="P78" t="s">
        <v>359</v>
      </c>
      <c r="Q78" t="s">
        <v>217</v>
      </c>
    </row>
    <row r="79" spans="1:18" x14ac:dyDescent="0.3">
      <c r="A79" t="s">
        <v>351</v>
      </c>
      <c r="B79" t="s">
        <v>45</v>
      </c>
      <c r="C79" t="s">
        <v>68</v>
      </c>
      <c r="D79" s="15">
        <v>46245.574305555558</v>
      </c>
      <c r="E79" t="s">
        <v>408</v>
      </c>
      <c r="F79">
        <v>3</v>
      </c>
      <c r="G79" s="15">
        <v>46246.458333333336</v>
      </c>
      <c r="H79" t="s">
        <v>359</v>
      </c>
      <c r="I79" t="s">
        <v>377</v>
      </c>
      <c r="J79" t="s">
        <v>239</v>
      </c>
      <c r="K79" t="s">
        <v>351</v>
      </c>
      <c r="L79" t="s">
        <v>378</v>
      </c>
      <c r="M79" t="s">
        <v>239</v>
      </c>
      <c r="O79" t="s">
        <v>67</v>
      </c>
      <c r="P79" t="s">
        <v>359</v>
      </c>
      <c r="Q79" t="s">
        <v>217</v>
      </c>
    </row>
    <row r="80" spans="1:18" x14ac:dyDescent="0.3">
      <c r="A80" t="s">
        <v>351</v>
      </c>
      <c r="B80" t="s">
        <v>45</v>
      </c>
      <c r="C80" t="s">
        <v>68</v>
      </c>
      <c r="D80" s="15">
        <v>46244.657546296294</v>
      </c>
      <c r="E80" t="s">
        <v>408</v>
      </c>
      <c r="F80">
        <v>5</v>
      </c>
      <c r="G80" s="15">
        <v>46246.458333333336</v>
      </c>
      <c r="H80" t="s">
        <v>359</v>
      </c>
      <c r="I80" t="s">
        <v>377</v>
      </c>
      <c r="J80" t="s">
        <v>239</v>
      </c>
      <c r="K80" t="s">
        <v>351</v>
      </c>
      <c r="L80" t="s">
        <v>378</v>
      </c>
      <c r="M80" t="s">
        <v>239</v>
      </c>
      <c r="O80" t="s">
        <v>67</v>
      </c>
      <c r="P80" t="s">
        <v>359</v>
      </c>
      <c r="Q80" t="s">
        <v>217</v>
      </c>
    </row>
    <row r="81" spans="1:18" x14ac:dyDescent="0.3">
      <c r="A81" t="s">
        <v>351</v>
      </c>
      <c r="B81" t="s">
        <v>45</v>
      </c>
      <c r="C81" t="s">
        <v>68</v>
      </c>
      <c r="D81" s="15">
        <v>46244.47451388889</v>
      </c>
      <c r="E81" t="s">
        <v>408</v>
      </c>
      <c r="F81">
        <v>3</v>
      </c>
      <c r="G81" s="15">
        <v>46246.458333333336</v>
      </c>
      <c r="H81" t="s">
        <v>359</v>
      </c>
      <c r="I81" t="s">
        <v>377</v>
      </c>
      <c r="J81" t="s">
        <v>239</v>
      </c>
      <c r="K81" t="s">
        <v>351</v>
      </c>
      <c r="L81" t="s">
        <v>378</v>
      </c>
      <c r="M81" t="s">
        <v>239</v>
      </c>
      <c r="N81">
        <v>103</v>
      </c>
      <c r="O81" t="s">
        <v>67</v>
      </c>
      <c r="P81" t="s">
        <v>359</v>
      </c>
      <c r="Q81" t="s">
        <v>217</v>
      </c>
    </row>
    <row r="82" spans="1:18" x14ac:dyDescent="0.3">
      <c r="A82" t="s">
        <v>351</v>
      </c>
      <c r="B82" t="s">
        <v>45</v>
      </c>
      <c r="C82" t="s">
        <v>68</v>
      </c>
      <c r="D82" s="15">
        <v>46246.658784722225</v>
      </c>
      <c r="E82" t="s">
        <v>408</v>
      </c>
      <c r="F82">
        <v>1</v>
      </c>
      <c r="G82" s="15">
        <v>46252.458333333336</v>
      </c>
      <c r="H82" t="s">
        <v>359</v>
      </c>
      <c r="I82" t="s">
        <v>377</v>
      </c>
      <c r="J82" t="s">
        <v>239</v>
      </c>
      <c r="K82" t="s">
        <v>351</v>
      </c>
      <c r="L82" t="s">
        <v>378</v>
      </c>
      <c r="M82" t="s">
        <v>239</v>
      </c>
      <c r="O82" t="s">
        <v>67</v>
      </c>
      <c r="P82" t="s">
        <v>359</v>
      </c>
      <c r="Q82" t="s">
        <v>217</v>
      </c>
    </row>
    <row r="83" spans="1:18" x14ac:dyDescent="0.3">
      <c r="A83" t="s">
        <v>351</v>
      </c>
      <c r="B83" t="s">
        <v>45</v>
      </c>
      <c r="C83" t="s">
        <v>68</v>
      </c>
      <c r="D83" s="15">
        <v>46244.477743055555</v>
      </c>
      <c r="E83" t="s">
        <v>408</v>
      </c>
      <c r="F83">
        <v>1</v>
      </c>
      <c r="G83" s="15">
        <v>46246.458333333336</v>
      </c>
      <c r="H83" t="s">
        <v>359</v>
      </c>
      <c r="I83" t="s">
        <v>377</v>
      </c>
      <c r="J83" t="s">
        <v>239</v>
      </c>
      <c r="K83" t="s">
        <v>351</v>
      </c>
      <c r="L83" t="s">
        <v>378</v>
      </c>
      <c r="M83" t="s">
        <v>239</v>
      </c>
      <c r="O83" t="s">
        <v>67</v>
      </c>
      <c r="P83" t="s">
        <v>359</v>
      </c>
      <c r="Q83" t="s">
        <v>217</v>
      </c>
    </row>
    <row r="84" spans="1:18" x14ac:dyDescent="0.3">
      <c r="A84" t="s">
        <v>351</v>
      </c>
      <c r="B84" t="s">
        <v>45</v>
      </c>
      <c r="C84" t="s">
        <v>68</v>
      </c>
      <c r="D84" s="15">
        <v>46244.473958333336</v>
      </c>
      <c r="E84" t="s">
        <v>408</v>
      </c>
      <c r="F84">
        <v>1</v>
      </c>
      <c r="G84" s="15">
        <v>46246.458333333336</v>
      </c>
      <c r="H84" t="s">
        <v>359</v>
      </c>
      <c r="I84" t="s">
        <v>377</v>
      </c>
      <c r="J84" t="s">
        <v>239</v>
      </c>
      <c r="K84" t="s">
        <v>351</v>
      </c>
      <c r="L84" t="s">
        <v>378</v>
      </c>
      <c r="M84" t="s">
        <v>239</v>
      </c>
      <c r="O84" t="s">
        <v>67</v>
      </c>
      <c r="P84" t="s">
        <v>359</v>
      </c>
      <c r="Q84" t="s">
        <v>217</v>
      </c>
    </row>
    <row r="85" spans="1:18" x14ac:dyDescent="0.3">
      <c r="A85" t="s">
        <v>351</v>
      </c>
      <c r="B85" t="s">
        <v>45</v>
      </c>
      <c r="C85" t="s">
        <v>68</v>
      </c>
      <c r="D85" s="15">
        <v>46244.476030092592</v>
      </c>
      <c r="E85" t="s">
        <v>408</v>
      </c>
      <c r="F85">
        <v>3</v>
      </c>
      <c r="G85" s="15">
        <v>46246.458333333336</v>
      </c>
      <c r="H85" t="s">
        <v>359</v>
      </c>
      <c r="I85" t="s">
        <v>377</v>
      </c>
      <c r="J85" t="s">
        <v>239</v>
      </c>
      <c r="K85" t="s">
        <v>351</v>
      </c>
      <c r="L85" t="s">
        <v>378</v>
      </c>
      <c r="M85" t="s">
        <v>239</v>
      </c>
      <c r="O85" t="s">
        <v>67</v>
      </c>
      <c r="P85" t="s">
        <v>359</v>
      </c>
      <c r="Q85" t="s">
        <v>217</v>
      </c>
    </row>
    <row r="86" spans="1:18" x14ac:dyDescent="0.3">
      <c r="A86" t="s">
        <v>351</v>
      </c>
      <c r="B86" t="s">
        <v>45</v>
      </c>
      <c r="C86" t="s">
        <v>68</v>
      </c>
      <c r="D86" s="15">
        <v>46237.458333333336</v>
      </c>
      <c r="E86" t="s">
        <v>408</v>
      </c>
      <c r="F86">
        <v>5</v>
      </c>
      <c r="G86" s="15">
        <v>46239.5</v>
      </c>
      <c r="H86" t="s">
        <v>359</v>
      </c>
      <c r="I86" t="s">
        <v>377</v>
      </c>
      <c r="J86" t="s">
        <v>239</v>
      </c>
      <c r="K86" t="s">
        <v>351</v>
      </c>
      <c r="L86" t="s">
        <v>378</v>
      </c>
      <c r="M86" t="s">
        <v>239</v>
      </c>
      <c r="N86">
        <v>103</v>
      </c>
      <c r="O86" t="s">
        <v>67</v>
      </c>
      <c r="P86" t="s">
        <v>359</v>
      </c>
      <c r="Q86" t="s">
        <v>217</v>
      </c>
    </row>
    <row r="87" spans="1:18" x14ac:dyDescent="0.3">
      <c r="A87" t="s">
        <v>351</v>
      </c>
      <c r="B87" t="s">
        <v>45</v>
      </c>
      <c r="C87" t="s">
        <v>68</v>
      </c>
      <c r="D87" s="15">
        <v>46244.476921296293</v>
      </c>
      <c r="E87" t="s">
        <v>408</v>
      </c>
      <c r="F87">
        <v>3</v>
      </c>
      <c r="G87" s="15">
        <v>46246.458333333336</v>
      </c>
      <c r="H87" t="s">
        <v>359</v>
      </c>
      <c r="I87" t="s">
        <v>377</v>
      </c>
      <c r="J87" t="s">
        <v>239</v>
      </c>
      <c r="K87" t="s">
        <v>351</v>
      </c>
      <c r="L87" t="s">
        <v>378</v>
      </c>
      <c r="M87" t="s">
        <v>239</v>
      </c>
      <c r="O87" t="s">
        <v>67</v>
      </c>
      <c r="P87" t="s">
        <v>359</v>
      </c>
      <c r="Q87" t="s">
        <v>217</v>
      </c>
    </row>
    <row r="88" spans="1:18" x14ac:dyDescent="0.3">
      <c r="A88" t="s">
        <v>351</v>
      </c>
      <c r="B88" t="s">
        <v>45</v>
      </c>
      <c r="C88" t="s">
        <v>68</v>
      </c>
      <c r="D88" s="15">
        <v>46246.659317129626</v>
      </c>
      <c r="E88" t="s">
        <v>408</v>
      </c>
      <c r="F88">
        <v>3</v>
      </c>
      <c r="G88" s="15">
        <v>46252.458333333336</v>
      </c>
      <c r="H88" t="s">
        <v>359</v>
      </c>
      <c r="I88" t="s">
        <v>377</v>
      </c>
      <c r="J88" t="s">
        <v>239</v>
      </c>
      <c r="K88" t="s">
        <v>351</v>
      </c>
      <c r="L88" t="s">
        <v>378</v>
      </c>
      <c r="M88" t="s">
        <v>239</v>
      </c>
      <c r="O88" t="s">
        <v>67</v>
      </c>
      <c r="P88" t="s">
        <v>359</v>
      </c>
      <c r="Q88" t="s">
        <v>217</v>
      </c>
    </row>
    <row r="89" spans="1:18" x14ac:dyDescent="0.3">
      <c r="A89" t="s">
        <v>351</v>
      </c>
      <c r="B89" t="s">
        <v>45</v>
      </c>
      <c r="C89" t="s">
        <v>68</v>
      </c>
      <c r="D89" s="15">
        <v>46251.598506944443</v>
      </c>
      <c r="E89" t="s">
        <v>408</v>
      </c>
      <c r="F89">
        <v>3</v>
      </c>
      <c r="G89" s="15">
        <v>46255.493055555555</v>
      </c>
      <c r="H89" t="s">
        <v>359</v>
      </c>
      <c r="I89" t="s">
        <v>377</v>
      </c>
      <c r="J89" t="s">
        <v>239</v>
      </c>
      <c r="K89" t="s">
        <v>351</v>
      </c>
      <c r="L89" t="s">
        <v>378</v>
      </c>
      <c r="M89" t="s">
        <v>239</v>
      </c>
      <c r="N89">
        <v>103</v>
      </c>
      <c r="O89" t="s">
        <v>67</v>
      </c>
      <c r="P89" t="s">
        <v>359</v>
      </c>
      <c r="Q89" t="s">
        <v>217</v>
      </c>
      <c r="R89">
        <v>1</v>
      </c>
    </row>
    <row r="90" spans="1:18" x14ac:dyDescent="0.3">
      <c r="A90" t="s">
        <v>351</v>
      </c>
      <c r="B90" t="s">
        <v>45</v>
      </c>
      <c r="C90" t="s">
        <v>68</v>
      </c>
      <c r="D90" s="15">
        <v>46254.355046296296</v>
      </c>
      <c r="E90" t="s">
        <v>427</v>
      </c>
      <c r="F90">
        <v>35</v>
      </c>
      <c r="G90" s="15">
        <v>46258.410416666666</v>
      </c>
      <c r="H90" t="s">
        <v>365</v>
      </c>
      <c r="I90" t="s">
        <v>377</v>
      </c>
      <c r="J90" t="s">
        <v>239</v>
      </c>
      <c r="K90" t="s">
        <v>351</v>
      </c>
      <c r="L90" t="s">
        <v>378</v>
      </c>
      <c r="M90" t="s">
        <v>239</v>
      </c>
      <c r="N90">
        <v>93</v>
      </c>
      <c r="O90" t="s">
        <v>67</v>
      </c>
      <c r="P90" t="s">
        <v>487</v>
      </c>
      <c r="Q90" t="s">
        <v>217</v>
      </c>
      <c r="R90">
        <v>1</v>
      </c>
    </row>
    <row r="91" spans="1:18" x14ac:dyDescent="0.3">
      <c r="A91" t="s">
        <v>351</v>
      </c>
      <c r="B91" t="s">
        <v>45</v>
      </c>
      <c r="C91" t="s">
        <v>68</v>
      </c>
      <c r="D91" s="15">
        <v>46253.542812500003</v>
      </c>
      <c r="E91" t="s">
        <v>408</v>
      </c>
      <c r="F91">
        <v>3</v>
      </c>
      <c r="G91" s="15">
        <v>46255.493055555555</v>
      </c>
      <c r="H91" t="s">
        <v>359</v>
      </c>
      <c r="I91" t="s">
        <v>377</v>
      </c>
      <c r="J91" t="s">
        <v>239</v>
      </c>
      <c r="K91" t="s">
        <v>351</v>
      </c>
      <c r="L91" t="s">
        <v>378</v>
      </c>
      <c r="M91" t="s">
        <v>239</v>
      </c>
      <c r="N91">
        <v>103</v>
      </c>
      <c r="O91" t="s">
        <v>67</v>
      </c>
      <c r="P91" t="s">
        <v>359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46253.545694444445</v>
      </c>
      <c r="E92" t="s">
        <v>408</v>
      </c>
      <c r="F92">
        <v>3</v>
      </c>
      <c r="G92" s="15">
        <v>46255.493055555555</v>
      </c>
      <c r="H92" t="s">
        <v>359</v>
      </c>
      <c r="I92" t="s">
        <v>377</v>
      </c>
      <c r="J92" t="s">
        <v>239</v>
      </c>
      <c r="K92" t="s">
        <v>351</v>
      </c>
      <c r="L92" t="s">
        <v>378</v>
      </c>
      <c r="M92" t="s">
        <v>239</v>
      </c>
      <c r="O92" t="s">
        <v>67</v>
      </c>
      <c r="P92" t="s">
        <v>359</v>
      </c>
      <c r="Q92" t="s">
        <v>217</v>
      </c>
    </row>
    <row r="93" spans="1:18" x14ac:dyDescent="0.3">
      <c r="A93" t="s">
        <v>351</v>
      </c>
      <c r="B93" t="s">
        <v>45</v>
      </c>
      <c r="C93" t="s">
        <v>68</v>
      </c>
      <c r="D93" s="15">
        <v>46253.545173611114</v>
      </c>
      <c r="E93" t="s">
        <v>408</v>
      </c>
      <c r="F93">
        <v>3</v>
      </c>
      <c r="G93" s="15">
        <v>46255.493055555555</v>
      </c>
      <c r="H93" t="s">
        <v>359</v>
      </c>
      <c r="I93" t="s">
        <v>377</v>
      </c>
      <c r="J93" t="s">
        <v>239</v>
      </c>
      <c r="K93" t="s">
        <v>351</v>
      </c>
      <c r="L93" t="s">
        <v>378</v>
      </c>
      <c r="M93" t="s">
        <v>239</v>
      </c>
      <c r="O93" t="s">
        <v>67</v>
      </c>
      <c r="P93" t="s">
        <v>359</v>
      </c>
      <c r="Q93" t="s">
        <v>217</v>
      </c>
    </row>
    <row r="94" spans="1:18" x14ac:dyDescent="0.3">
      <c r="A94" t="s">
        <v>351</v>
      </c>
      <c r="B94" t="s">
        <v>45</v>
      </c>
      <c r="C94" t="s">
        <v>68</v>
      </c>
      <c r="D94" s="15">
        <v>46233.471192129633</v>
      </c>
      <c r="E94" t="s">
        <v>408</v>
      </c>
      <c r="F94">
        <v>3</v>
      </c>
      <c r="G94" s="15">
        <v>46237.458333333336</v>
      </c>
      <c r="H94" t="s">
        <v>359</v>
      </c>
      <c r="I94" t="s">
        <v>377</v>
      </c>
      <c r="J94" t="s">
        <v>239</v>
      </c>
      <c r="K94" t="s">
        <v>351</v>
      </c>
      <c r="L94" t="s">
        <v>378</v>
      </c>
      <c r="M94" t="s">
        <v>239</v>
      </c>
      <c r="O94" t="s">
        <v>67</v>
      </c>
      <c r="P94" t="s">
        <v>359</v>
      </c>
      <c r="Q94" t="s">
        <v>217</v>
      </c>
    </row>
    <row r="95" spans="1:18" x14ac:dyDescent="0.3">
      <c r="A95" t="s">
        <v>351</v>
      </c>
      <c r="B95" t="s">
        <v>45</v>
      </c>
      <c r="C95" t="s">
        <v>68</v>
      </c>
      <c r="D95" s="15">
        <v>46233.470659722225</v>
      </c>
      <c r="E95" t="s">
        <v>408</v>
      </c>
      <c r="F95">
        <v>3</v>
      </c>
      <c r="G95" s="15">
        <v>46237.458333333336</v>
      </c>
      <c r="H95" t="s">
        <v>359</v>
      </c>
      <c r="I95" t="s">
        <v>377</v>
      </c>
      <c r="J95" t="s">
        <v>239</v>
      </c>
      <c r="K95" t="s">
        <v>351</v>
      </c>
      <c r="L95" t="s">
        <v>378</v>
      </c>
      <c r="M95" t="s">
        <v>239</v>
      </c>
      <c r="O95" t="s">
        <v>67</v>
      </c>
      <c r="P95" t="s">
        <v>359</v>
      </c>
      <c r="Q95" t="s">
        <v>217</v>
      </c>
    </row>
    <row r="96" spans="1:18" x14ac:dyDescent="0.3">
      <c r="A96" t="s">
        <v>351</v>
      </c>
      <c r="B96" t="s">
        <v>45</v>
      </c>
      <c r="C96" t="s">
        <v>68</v>
      </c>
      <c r="D96" s="15">
        <v>46233.468287037038</v>
      </c>
      <c r="E96" t="s">
        <v>408</v>
      </c>
      <c r="F96">
        <v>3</v>
      </c>
      <c r="G96" s="15">
        <v>46237.458333333336</v>
      </c>
      <c r="H96" t="s">
        <v>359</v>
      </c>
      <c r="I96" t="s">
        <v>377</v>
      </c>
      <c r="J96" t="s">
        <v>239</v>
      </c>
      <c r="K96" t="s">
        <v>351</v>
      </c>
      <c r="L96" t="s">
        <v>378</v>
      </c>
      <c r="M96" t="s">
        <v>239</v>
      </c>
      <c r="O96" t="s">
        <v>67</v>
      </c>
      <c r="P96" t="s">
        <v>359</v>
      </c>
      <c r="Q96" t="s">
        <v>217</v>
      </c>
    </row>
    <row r="97" spans="1:18" x14ac:dyDescent="0.3">
      <c r="A97" t="s">
        <v>351</v>
      </c>
      <c r="B97" t="s">
        <v>45</v>
      </c>
      <c r="C97" t="s">
        <v>68</v>
      </c>
      <c r="D97" s="15">
        <v>46225.582372685189</v>
      </c>
      <c r="E97" t="s">
        <v>408</v>
      </c>
      <c r="F97">
        <v>3</v>
      </c>
      <c r="G97" s="15">
        <v>46231.455555555556</v>
      </c>
      <c r="H97" t="s">
        <v>359</v>
      </c>
      <c r="I97" t="s">
        <v>377</v>
      </c>
      <c r="J97" t="s">
        <v>239</v>
      </c>
      <c r="K97" t="s">
        <v>351</v>
      </c>
      <c r="L97" t="s">
        <v>378</v>
      </c>
      <c r="M97" t="s">
        <v>239</v>
      </c>
      <c r="N97">
        <v>103</v>
      </c>
      <c r="O97" t="s">
        <v>67</v>
      </c>
      <c r="P97" t="s">
        <v>359</v>
      </c>
      <c r="Q97" t="s">
        <v>217</v>
      </c>
      <c r="R97">
        <v>1</v>
      </c>
    </row>
    <row r="98" spans="1:18" x14ac:dyDescent="0.3">
      <c r="A98" t="s">
        <v>351</v>
      </c>
      <c r="B98" t="s">
        <v>45</v>
      </c>
      <c r="C98" t="s">
        <v>68</v>
      </c>
      <c r="D98" s="15">
        <v>46225.581944444442</v>
      </c>
      <c r="E98" t="s">
        <v>408</v>
      </c>
      <c r="F98">
        <v>1</v>
      </c>
      <c r="G98" s="15">
        <v>46231.455555555556</v>
      </c>
      <c r="H98" t="s">
        <v>359</v>
      </c>
      <c r="I98" t="s">
        <v>377</v>
      </c>
      <c r="J98" t="s">
        <v>239</v>
      </c>
      <c r="K98" t="s">
        <v>351</v>
      </c>
      <c r="L98" t="s">
        <v>378</v>
      </c>
      <c r="M98" t="s">
        <v>239</v>
      </c>
      <c r="O98" t="s">
        <v>67</v>
      </c>
      <c r="P98" t="s">
        <v>359</v>
      </c>
      <c r="Q98" t="s">
        <v>217</v>
      </c>
    </row>
    <row r="99" spans="1:18" x14ac:dyDescent="0.3">
      <c r="A99" t="s">
        <v>351</v>
      </c>
      <c r="B99" t="s">
        <v>45</v>
      </c>
      <c r="C99" t="s">
        <v>68</v>
      </c>
      <c r="D99" s="15">
        <v>46225.581226851849</v>
      </c>
      <c r="E99" t="s">
        <v>408</v>
      </c>
      <c r="F99">
        <v>3</v>
      </c>
      <c r="G99" s="15">
        <v>46231.455555555556</v>
      </c>
      <c r="H99" t="s">
        <v>359</v>
      </c>
      <c r="I99" t="s">
        <v>377</v>
      </c>
      <c r="J99" t="s">
        <v>239</v>
      </c>
      <c r="K99" t="s">
        <v>351</v>
      </c>
      <c r="L99" t="s">
        <v>378</v>
      </c>
      <c r="M99" t="s">
        <v>239</v>
      </c>
      <c r="O99" t="s">
        <v>67</v>
      </c>
      <c r="P99" t="s">
        <v>359</v>
      </c>
      <c r="Q99" t="s">
        <v>217</v>
      </c>
    </row>
    <row r="100" spans="1:18" x14ac:dyDescent="0.3">
      <c r="A100" t="s">
        <v>351</v>
      </c>
      <c r="B100" t="s">
        <v>45</v>
      </c>
      <c r="C100" t="s">
        <v>68</v>
      </c>
      <c r="D100" s="15">
        <v>46225.358090277776</v>
      </c>
      <c r="E100" t="s">
        <v>412</v>
      </c>
      <c r="F100">
        <v>26</v>
      </c>
      <c r="G100" s="15">
        <v>46227.5</v>
      </c>
      <c r="H100" t="s">
        <v>359</v>
      </c>
      <c r="I100" t="s">
        <v>377</v>
      </c>
      <c r="J100" t="s">
        <v>239</v>
      </c>
      <c r="K100" t="s">
        <v>351</v>
      </c>
      <c r="L100" t="s">
        <v>378</v>
      </c>
      <c r="M100" t="s">
        <v>239</v>
      </c>
      <c r="O100" t="s">
        <v>67</v>
      </c>
      <c r="P100" t="s">
        <v>359</v>
      </c>
      <c r="Q100" t="s">
        <v>217</v>
      </c>
      <c r="R100">
        <v>1.23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46225.333067129628</v>
      </c>
      <c r="E101" t="s">
        <v>429</v>
      </c>
      <c r="F101">
        <v>8</v>
      </c>
      <c r="G101" s="15">
        <v>46227.5</v>
      </c>
      <c r="H101" t="s">
        <v>359</v>
      </c>
      <c r="I101" t="s">
        <v>377</v>
      </c>
      <c r="J101" t="s">
        <v>239</v>
      </c>
      <c r="K101" t="s">
        <v>351</v>
      </c>
      <c r="L101" t="s">
        <v>378</v>
      </c>
      <c r="M101" t="s">
        <v>239</v>
      </c>
      <c r="N101">
        <v>103</v>
      </c>
      <c r="O101" t="s">
        <v>67</v>
      </c>
      <c r="P101" t="s">
        <v>359</v>
      </c>
      <c r="Q101" t="s">
        <v>217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46223.488009259258</v>
      </c>
      <c r="E102" t="s">
        <v>408</v>
      </c>
      <c r="F102">
        <v>2</v>
      </c>
      <c r="G102" s="15">
        <v>46231.451388888891</v>
      </c>
      <c r="H102" t="s">
        <v>359</v>
      </c>
      <c r="I102" t="s">
        <v>377</v>
      </c>
      <c r="J102" t="s">
        <v>239</v>
      </c>
      <c r="K102" t="s">
        <v>351</v>
      </c>
      <c r="L102" t="s">
        <v>378</v>
      </c>
      <c r="M102" t="s">
        <v>239</v>
      </c>
      <c r="N102">
        <v>103</v>
      </c>
      <c r="O102" t="s">
        <v>67</v>
      </c>
      <c r="P102" t="s">
        <v>359</v>
      </c>
      <c r="Q102" t="s">
        <v>217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46223.487222222226</v>
      </c>
      <c r="E103" t="s">
        <v>408</v>
      </c>
      <c r="F103">
        <v>1</v>
      </c>
      <c r="G103" s="15">
        <v>46231.451388888891</v>
      </c>
      <c r="H103" t="s">
        <v>359</v>
      </c>
      <c r="I103" t="s">
        <v>377</v>
      </c>
      <c r="J103" t="s">
        <v>239</v>
      </c>
      <c r="K103" t="s">
        <v>351</v>
      </c>
      <c r="L103" t="s">
        <v>378</v>
      </c>
      <c r="M103" t="s">
        <v>239</v>
      </c>
      <c r="O103" t="s">
        <v>67</v>
      </c>
      <c r="P103" t="s">
        <v>359</v>
      </c>
      <c r="Q103" t="s">
        <v>217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46225.339780092596</v>
      </c>
      <c r="E104" t="s">
        <v>412</v>
      </c>
      <c r="F104">
        <v>4</v>
      </c>
      <c r="G104" s="15">
        <v>46227.5</v>
      </c>
      <c r="H104" t="s">
        <v>359</v>
      </c>
      <c r="I104" t="s">
        <v>377</v>
      </c>
      <c r="J104" t="s">
        <v>239</v>
      </c>
      <c r="K104" t="s">
        <v>351</v>
      </c>
      <c r="L104" t="s">
        <v>378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46225.337905092594</v>
      </c>
      <c r="E105" t="s">
        <v>412</v>
      </c>
      <c r="F105">
        <v>2</v>
      </c>
      <c r="G105" s="15">
        <v>46227.5</v>
      </c>
      <c r="H105" t="s">
        <v>359</v>
      </c>
      <c r="I105" t="s">
        <v>377</v>
      </c>
      <c r="J105" t="s">
        <v>239</v>
      </c>
      <c r="K105" t="s">
        <v>351</v>
      </c>
      <c r="L105" t="s">
        <v>378</v>
      </c>
      <c r="M105" t="s">
        <v>239</v>
      </c>
      <c r="O105" t="s">
        <v>67</v>
      </c>
      <c r="P105" t="s">
        <v>359</v>
      </c>
      <c r="Q105" t="s">
        <v>217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46225.337650462963</v>
      </c>
      <c r="E106" t="s">
        <v>412</v>
      </c>
      <c r="F106">
        <v>1</v>
      </c>
      <c r="G106" s="15">
        <v>46227.5</v>
      </c>
      <c r="H106" t="s">
        <v>359</v>
      </c>
      <c r="I106" t="s">
        <v>377</v>
      </c>
      <c r="J106" t="s">
        <v>239</v>
      </c>
      <c r="K106" t="s">
        <v>351</v>
      </c>
      <c r="L106" t="s">
        <v>378</v>
      </c>
      <c r="M106" t="s">
        <v>239</v>
      </c>
      <c r="O106" t="s">
        <v>67</v>
      </c>
      <c r="P106" t="s">
        <v>359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46224.651469907411</v>
      </c>
      <c r="E107" t="s">
        <v>412</v>
      </c>
      <c r="F107">
        <v>16</v>
      </c>
      <c r="G107" s="15">
        <v>46227.5</v>
      </c>
      <c r="H107" t="s">
        <v>359</v>
      </c>
      <c r="I107" t="s">
        <v>377</v>
      </c>
      <c r="J107" t="s">
        <v>239</v>
      </c>
      <c r="K107" t="s">
        <v>351</v>
      </c>
      <c r="L107" t="s">
        <v>378</v>
      </c>
      <c r="M107" t="s">
        <v>239</v>
      </c>
      <c r="O107" t="s">
        <v>67</v>
      </c>
      <c r="P107" t="s">
        <v>359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46224.65053240741</v>
      </c>
      <c r="E108" t="s">
        <v>412</v>
      </c>
      <c r="F108">
        <v>6</v>
      </c>
      <c r="G108" s="15">
        <v>46227.5</v>
      </c>
      <c r="H108" t="s">
        <v>359</v>
      </c>
      <c r="I108" t="s">
        <v>377</v>
      </c>
      <c r="J108" t="s">
        <v>239</v>
      </c>
      <c r="K108" t="s">
        <v>351</v>
      </c>
      <c r="L108" t="s">
        <v>378</v>
      </c>
      <c r="M108" t="s">
        <v>239</v>
      </c>
      <c r="O108" t="s">
        <v>67</v>
      </c>
      <c r="P108" t="s">
        <v>359</v>
      </c>
      <c r="Q108" t="s">
        <v>217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46225.340196759258</v>
      </c>
      <c r="E109" t="s">
        <v>412</v>
      </c>
      <c r="F109">
        <v>3</v>
      </c>
      <c r="G109" s="15">
        <v>46227.5</v>
      </c>
      <c r="H109" t="s">
        <v>359</v>
      </c>
      <c r="I109" t="s">
        <v>377</v>
      </c>
      <c r="J109" t="s">
        <v>239</v>
      </c>
      <c r="K109" t="s">
        <v>351</v>
      </c>
      <c r="L109" t="s">
        <v>378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46225.340752314813</v>
      </c>
      <c r="E110" t="s">
        <v>412</v>
      </c>
      <c r="F110">
        <v>3</v>
      </c>
      <c r="G110" s="15">
        <v>46227.5</v>
      </c>
      <c r="H110" t="s">
        <v>359</v>
      </c>
      <c r="I110" t="s">
        <v>377</v>
      </c>
      <c r="J110" t="s">
        <v>239</v>
      </c>
      <c r="K110" t="s">
        <v>351</v>
      </c>
      <c r="L110" t="s">
        <v>378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46230.441238425927</v>
      </c>
      <c r="E111" t="s">
        <v>408</v>
      </c>
      <c r="F111">
        <v>3</v>
      </c>
      <c r="G111" s="15">
        <v>46231.431944444441</v>
      </c>
      <c r="H111" t="s">
        <v>359</v>
      </c>
      <c r="I111" t="s">
        <v>377</v>
      </c>
      <c r="J111" t="s">
        <v>239</v>
      </c>
      <c r="K111" t="s">
        <v>351</v>
      </c>
      <c r="L111" t="s">
        <v>378</v>
      </c>
      <c r="M111" t="s">
        <v>239</v>
      </c>
      <c r="N111">
        <v>103</v>
      </c>
      <c r="O111" t="s">
        <v>67</v>
      </c>
      <c r="P111" t="s">
        <v>359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46230.439814814818</v>
      </c>
      <c r="E112" t="s">
        <v>408</v>
      </c>
      <c r="F112">
        <v>4</v>
      </c>
      <c r="G112" s="15">
        <v>46231.431944444441</v>
      </c>
      <c r="H112" t="s">
        <v>359</v>
      </c>
      <c r="I112" t="s">
        <v>377</v>
      </c>
      <c r="J112" t="s">
        <v>239</v>
      </c>
      <c r="K112" t="s">
        <v>351</v>
      </c>
      <c r="L112" t="s">
        <v>378</v>
      </c>
      <c r="M112" t="s">
        <v>239</v>
      </c>
      <c r="O112" t="s">
        <v>67</v>
      </c>
      <c r="P112" t="s">
        <v>359</v>
      </c>
      <c r="Q112" t="s">
        <v>217</v>
      </c>
    </row>
    <row r="113" spans="1:18" x14ac:dyDescent="0.3">
      <c r="A113" t="s">
        <v>351</v>
      </c>
      <c r="B113" t="s">
        <v>43</v>
      </c>
      <c r="C113" t="s">
        <v>105</v>
      </c>
      <c r="D113" s="15">
        <v>46226.43414351852</v>
      </c>
      <c r="E113" t="s">
        <v>426</v>
      </c>
      <c r="F113">
        <v>1</v>
      </c>
      <c r="G113" s="15">
        <v>46231.455555555556</v>
      </c>
      <c r="H113" t="s">
        <v>359</v>
      </c>
      <c r="I113" t="s">
        <v>377</v>
      </c>
      <c r="J113" t="s">
        <v>239</v>
      </c>
      <c r="K113" t="s">
        <v>351</v>
      </c>
      <c r="L113" t="s">
        <v>378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46225.341481481482</v>
      </c>
      <c r="E114" t="s">
        <v>412</v>
      </c>
      <c r="F114">
        <v>11</v>
      </c>
      <c r="G114" s="15">
        <v>46227.5</v>
      </c>
      <c r="H114" t="s">
        <v>359</v>
      </c>
      <c r="I114" t="s">
        <v>377</v>
      </c>
      <c r="J114" t="s">
        <v>239</v>
      </c>
      <c r="K114" t="s">
        <v>351</v>
      </c>
      <c r="L114" t="s">
        <v>378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46244.522743055553</v>
      </c>
      <c r="E115" t="s">
        <v>421</v>
      </c>
      <c r="F115">
        <v>6</v>
      </c>
      <c r="G115" s="15">
        <v>46247.409722222219</v>
      </c>
      <c r="H115" t="s">
        <v>364</v>
      </c>
      <c r="I115" t="s">
        <v>379</v>
      </c>
      <c r="J115" t="s">
        <v>239</v>
      </c>
      <c r="K115" t="s">
        <v>351</v>
      </c>
      <c r="L115" t="s">
        <v>378</v>
      </c>
      <c r="M115" t="s">
        <v>239</v>
      </c>
      <c r="N115">
        <v>0</v>
      </c>
      <c r="O115" t="s">
        <v>67</v>
      </c>
      <c r="P115" t="s">
        <v>364</v>
      </c>
      <c r="Q115" t="s">
        <v>217</v>
      </c>
      <c r="R115">
        <v>1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46252.385625000003</v>
      </c>
      <c r="E116" t="s">
        <v>415</v>
      </c>
      <c r="F116">
        <v>45</v>
      </c>
      <c r="G116" s="15">
        <v>46254.560416666667</v>
      </c>
      <c r="H116" t="s">
        <v>364</v>
      </c>
      <c r="I116" t="s">
        <v>379</v>
      </c>
      <c r="J116" t="s">
        <v>239</v>
      </c>
      <c r="K116" t="s">
        <v>351</v>
      </c>
      <c r="L116" t="s">
        <v>378</v>
      </c>
      <c r="M116" t="s">
        <v>239</v>
      </c>
      <c r="N116">
        <v>0</v>
      </c>
      <c r="O116" t="s">
        <v>67</v>
      </c>
      <c r="P116" t="s">
        <v>364</v>
      </c>
      <c r="Q116" t="s">
        <v>217</v>
      </c>
      <c r="R116">
        <v>1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46251.574641203704</v>
      </c>
      <c r="E117" t="s">
        <v>421</v>
      </c>
      <c r="F117">
        <v>15</v>
      </c>
      <c r="G117" s="15">
        <v>46253.486111111109</v>
      </c>
      <c r="H117" t="s">
        <v>364</v>
      </c>
      <c r="I117" t="s">
        <v>379</v>
      </c>
      <c r="J117" t="s">
        <v>239</v>
      </c>
      <c r="K117" t="s">
        <v>351</v>
      </c>
      <c r="L117" t="s">
        <v>378</v>
      </c>
      <c r="M117" t="s">
        <v>239</v>
      </c>
      <c r="O117" t="s">
        <v>67</v>
      </c>
      <c r="P117" t="s">
        <v>364</v>
      </c>
      <c r="Q117" t="s">
        <v>217</v>
      </c>
      <c r="R117">
        <v>1</v>
      </c>
    </row>
    <row r="118" spans="1:18" x14ac:dyDescent="0.3">
      <c r="A118" t="s">
        <v>351</v>
      </c>
      <c r="B118" t="s">
        <v>45</v>
      </c>
      <c r="C118" t="s">
        <v>68</v>
      </c>
      <c r="D118" s="15">
        <v>46224.403738425928</v>
      </c>
      <c r="E118" t="s">
        <v>415</v>
      </c>
      <c r="F118">
        <v>50</v>
      </c>
      <c r="G118" s="15">
        <v>46227.503472222219</v>
      </c>
      <c r="H118" t="s">
        <v>364</v>
      </c>
      <c r="I118" t="s">
        <v>379</v>
      </c>
      <c r="J118" t="s">
        <v>239</v>
      </c>
      <c r="K118" t="s">
        <v>351</v>
      </c>
      <c r="L118" t="s">
        <v>378</v>
      </c>
      <c r="M118" t="s">
        <v>239</v>
      </c>
      <c r="N118">
        <v>0</v>
      </c>
      <c r="O118" t="s">
        <v>67</v>
      </c>
      <c r="P118" t="s">
        <v>364</v>
      </c>
      <c r="Q118" t="s">
        <v>217</v>
      </c>
      <c r="R118">
        <v>1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46230.325821759259</v>
      </c>
      <c r="E119" t="s">
        <v>421</v>
      </c>
      <c r="F119">
        <v>22</v>
      </c>
      <c r="G119" s="15">
        <v>46232.520833333336</v>
      </c>
      <c r="H119" t="s">
        <v>364</v>
      </c>
      <c r="I119" t="s">
        <v>379</v>
      </c>
      <c r="J119" t="s">
        <v>239</v>
      </c>
      <c r="K119" t="s">
        <v>351</v>
      </c>
      <c r="L119" t="s">
        <v>378</v>
      </c>
      <c r="M119" t="s">
        <v>239</v>
      </c>
      <c r="N119">
        <v>0</v>
      </c>
      <c r="O119" t="s">
        <v>67</v>
      </c>
      <c r="P119" t="s">
        <v>364</v>
      </c>
      <c r="Q119" t="s">
        <v>217</v>
      </c>
      <c r="R119">
        <v>1</v>
      </c>
    </row>
    <row r="120" spans="1:18" x14ac:dyDescent="0.3">
      <c r="A120" t="s">
        <v>351</v>
      </c>
      <c r="B120" t="s">
        <v>48</v>
      </c>
      <c r="C120" t="s">
        <v>68</v>
      </c>
      <c r="D120" s="15">
        <v>46226.544976851852</v>
      </c>
      <c r="E120" t="s">
        <v>415</v>
      </c>
      <c r="F120">
        <v>1</v>
      </c>
      <c r="G120" s="15">
        <v>46230.449305555558</v>
      </c>
      <c r="H120" t="s">
        <v>364</v>
      </c>
      <c r="I120" t="s">
        <v>379</v>
      </c>
      <c r="J120" t="s">
        <v>239</v>
      </c>
      <c r="K120" t="s">
        <v>351</v>
      </c>
      <c r="L120" t="s">
        <v>378</v>
      </c>
      <c r="M120" t="s">
        <v>239</v>
      </c>
      <c r="N120">
        <v>0</v>
      </c>
      <c r="O120" t="s">
        <v>90</v>
      </c>
      <c r="P120" t="s">
        <v>364</v>
      </c>
      <c r="Q120" t="s">
        <v>217</v>
      </c>
      <c r="R120">
        <v>1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46224.647638888891</v>
      </c>
      <c r="E121" t="s">
        <v>416</v>
      </c>
      <c r="F121">
        <v>1</v>
      </c>
      <c r="G121" s="15">
        <v>46226.447916666664</v>
      </c>
      <c r="H121" t="s">
        <v>358</v>
      </c>
      <c r="I121" t="s">
        <v>376</v>
      </c>
      <c r="J121" t="s">
        <v>287</v>
      </c>
      <c r="K121" t="s">
        <v>351</v>
      </c>
      <c r="L121" t="s">
        <v>378</v>
      </c>
      <c r="M121" t="s">
        <v>239</v>
      </c>
      <c r="N121">
        <v>76</v>
      </c>
      <c r="O121" t="s">
        <v>67</v>
      </c>
      <c r="P121" t="s">
        <v>358</v>
      </c>
      <c r="Q121" t="s">
        <v>217</v>
      </c>
      <c r="R121">
        <v>1</v>
      </c>
    </row>
    <row r="122" spans="1:18" x14ac:dyDescent="0.3">
      <c r="A122" t="s">
        <v>351</v>
      </c>
      <c r="B122" t="s">
        <v>48</v>
      </c>
      <c r="C122" t="s">
        <v>68</v>
      </c>
      <c r="D122" s="15">
        <v>46216.601365740738</v>
      </c>
      <c r="E122" t="s">
        <v>412</v>
      </c>
      <c r="F122">
        <v>1</v>
      </c>
      <c r="G122" s="15">
        <v>46223.497916666667</v>
      </c>
      <c r="H122" t="s">
        <v>360</v>
      </c>
      <c r="I122" t="s">
        <v>378</v>
      </c>
      <c r="J122" t="s">
        <v>239</v>
      </c>
      <c r="K122" t="s">
        <v>351</v>
      </c>
      <c r="L122" t="s">
        <v>378</v>
      </c>
      <c r="M122" t="s">
        <v>239</v>
      </c>
      <c r="N122">
        <v>0</v>
      </c>
      <c r="O122" t="s">
        <v>90</v>
      </c>
      <c r="P122" t="s">
        <v>360</v>
      </c>
      <c r="Q122" t="s">
        <v>217</v>
      </c>
      <c r="R122">
        <v>1</v>
      </c>
    </row>
    <row r="123" spans="1:18" x14ac:dyDescent="0.3">
      <c r="A123" t="s">
        <v>351</v>
      </c>
      <c r="B123" t="s">
        <v>48</v>
      </c>
      <c r="C123" t="s">
        <v>68</v>
      </c>
      <c r="D123" s="15">
        <v>46241.31753472222</v>
      </c>
      <c r="E123" t="s">
        <v>411</v>
      </c>
      <c r="F123">
        <v>2</v>
      </c>
      <c r="G123" s="15">
        <v>46244.479166666664</v>
      </c>
      <c r="H123" t="s">
        <v>363</v>
      </c>
      <c r="I123" t="s">
        <v>378</v>
      </c>
      <c r="J123" t="s">
        <v>239</v>
      </c>
      <c r="K123" t="s">
        <v>351</v>
      </c>
      <c r="L123" t="s">
        <v>378</v>
      </c>
      <c r="M123" t="s">
        <v>239</v>
      </c>
      <c r="O123" t="s">
        <v>90</v>
      </c>
      <c r="P123" t="s">
        <v>363</v>
      </c>
      <c r="Q12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1189</v>
      </c>
      <c r="D1" t="s">
        <v>744</v>
      </c>
      <c r="E1" t="s">
        <v>40</v>
      </c>
      <c r="F1" t="s">
        <v>745</v>
      </c>
      <c r="H1" t="s">
        <v>282</v>
      </c>
      <c r="I1" t="s">
        <v>39</v>
      </c>
      <c r="J1" t="s">
        <v>1189</v>
      </c>
      <c r="K1" t="s">
        <v>744</v>
      </c>
      <c r="L1" t="s">
        <v>40</v>
      </c>
      <c r="M1" t="s">
        <v>745</v>
      </c>
    </row>
    <row r="2" spans="1:13" x14ac:dyDescent="0.3">
      <c r="A2" t="s">
        <v>348</v>
      </c>
      <c r="B2" t="s">
        <v>66</v>
      </c>
      <c r="C2" t="s">
        <v>211</v>
      </c>
      <c r="D2" t="s">
        <v>746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746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747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747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748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748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749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749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750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750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751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751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752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752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753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753</v>
      </c>
      <c r="L9" t="s">
        <v>90</v>
      </c>
      <c r="M9">
        <v>100</v>
      </c>
    </row>
    <row r="10" spans="1:13" x14ac:dyDescent="0.3">
      <c r="A10" t="s">
        <v>348</v>
      </c>
      <c r="B10" t="s">
        <v>679</v>
      </c>
      <c r="C10" t="s">
        <v>721</v>
      </c>
      <c r="D10" t="s">
        <v>754</v>
      </c>
      <c r="E10" t="s">
        <v>680</v>
      </c>
      <c r="F10" s="161">
        <v>0.5</v>
      </c>
      <c r="H10" t="s">
        <v>349</v>
      </c>
      <c r="I10" t="s">
        <v>679</v>
      </c>
      <c r="J10" t="s">
        <v>721</v>
      </c>
      <c r="K10" t="s">
        <v>754</v>
      </c>
      <c r="L10" t="s">
        <v>680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755</v>
      </c>
      <c r="E11" t="s">
        <v>681</v>
      </c>
      <c r="F11" s="161">
        <v>1.96</v>
      </c>
      <c r="H11" t="s">
        <v>349</v>
      </c>
      <c r="I11" t="s">
        <v>94</v>
      </c>
      <c r="J11" t="s">
        <v>220</v>
      </c>
      <c r="K11" t="s">
        <v>755</v>
      </c>
      <c r="L11" t="s">
        <v>681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756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756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757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757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758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758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759</v>
      </c>
      <c r="E15" t="s">
        <v>726</v>
      </c>
      <c r="F15" s="161">
        <v>0.44</v>
      </c>
      <c r="H15" t="s">
        <v>349</v>
      </c>
      <c r="I15" t="s">
        <v>110</v>
      </c>
      <c r="J15" t="s">
        <v>225</v>
      </c>
      <c r="K15" t="s">
        <v>759</v>
      </c>
      <c r="L15" t="s">
        <v>726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760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760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761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761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762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762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763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763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764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764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765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765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766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766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767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767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768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533</v>
      </c>
      <c r="C1" t="s">
        <v>2</v>
      </c>
      <c r="D1" t="s">
        <v>534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656</v>
      </c>
      <c r="K1" t="s">
        <v>210</v>
      </c>
    </row>
    <row r="2" spans="1:11" x14ac:dyDescent="0.3">
      <c r="A2" t="s">
        <v>352</v>
      </c>
      <c r="B2" t="s">
        <v>456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  <row r="3" spans="1:11" x14ac:dyDescent="0.3">
      <c r="A3" t="s">
        <v>351</v>
      </c>
      <c r="B3" t="s">
        <v>456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211</v>
      </c>
    </row>
    <row r="4" spans="1:11" x14ac:dyDescent="0.3">
      <c r="A4" t="s">
        <v>351</v>
      </c>
      <c r="B4" t="s">
        <v>445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212</v>
      </c>
    </row>
    <row r="5" spans="1:11" x14ac:dyDescent="0.3">
      <c r="A5" t="s">
        <v>351</v>
      </c>
      <c r="B5" t="s">
        <v>446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447</v>
      </c>
      <c r="C6" t="s">
        <v>154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211</v>
      </c>
    </row>
    <row r="7" spans="1:11" x14ac:dyDescent="0.3">
      <c r="A7" t="s">
        <v>351</v>
      </c>
      <c r="B7" t="s">
        <v>448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449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450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451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1192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453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537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211</v>
      </c>
    </row>
    <row r="14" spans="1:11" x14ac:dyDescent="0.3">
      <c r="A14" t="s">
        <v>350</v>
      </c>
      <c r="B14" t="s">
        <v>447</v>
      </c>
      <c r="C14" t="s">
        <v>154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211</v>
      </c>
    </row>
    <row r="15" spans="1:11" x14ac:dyDescent="0.3">
      <c r="A15" t="s">
        <v>350</v>
      </c>
      <c r="B15" t="s">
        <v>454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211</v>
      </c>
    </row>
    <row r="16" spans="1:11" x14ac:dyDescent="0.3">
      <c r="A16" t="s">
        <v>350</v>
      </c>
      <c r="B16" t="s">
        <v>455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454</v>
      </c>
      <c r="C17" t="s">
        <v>538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448</v>
      </c>
      <c r="C18" t="s">
        <v>1191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445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450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539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451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450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539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488</v>
      </c>
      <c r="B1" t="s">
        <v>0</v>
      </c>
      <c r="C1" t="s">
        <v>2</v>
      </c>
      <c r="D1" t="s">
        <v>138</v>
      </c>
      <c r="E1" t="s">
        <v>471</v>
      </c>
      <c r="F1" t="s">
        <v>474</v>
      </c>
      <c r="G1" t="s">
        <v>246</v>
      </c>
      <c r="H1" t="s">
        <v>472</v>
      </c>
      <c r="I1" t="s">
        <v>299</v>
      </c>
      <c r="J1" t="s">
        <v>139</v>
      </c>
      <c r="K1" t="s">
        <v>245</v>
      </c>
      <c r="L1" t="s">
        <v>247</v>
      </c>
      <c r="M1" t="s">
        <v>473</v>
      </c>
      <c r="N1" t="s">
        <v>140</v>
      </c>
      <c r="O1" t="s">
        <v>274</v>
      </c>
      <c r="P1" t="s">
        <v>145</v>
      </c>
      <c r="Q1" t="s">
        <v>664</v>
      </c>
      <c r="R1" t="s">
        <v>141</v>
      </c>
      <c r="S1" t="s">
        <v>658</v>
      </c>
      <c r="T1" t="s">
        <v>659</v>
      </c>
      <c r="U1" t="s">
        <v>660</v>
      </c>
      <c r="V1" t="s">
        <v>661</v>
      </c>
      <c r="W1" t="s">
        <v>662</v>
      </c>
      <c r="X1" t="s">
        <v>663</v>
      </c>
      <c r="Y1" t="s">
        <v>554</v>
      </c>
      <c r="Z1" t="s">
        <v>160</v>
      </c>
      <c r="AA1" t="s">
        <v>40</v>
      </c>
      <c r="AB1" t="s">
        <v>375</v>
      </c>
      <c r="AC1" t="s">
        <v>552</v>
      </c>
      <c r="AD1" t="s">
        <v>210</v>
      </c>
      <c r="AE1" t="s">
        <v>551</v>
      </c>
      <c r="AF1" t="s">
        <v>555</v>
      </c>
    </row>
    <row r="2" spans="1:32" x14ac:dyDescent="0.3">
      <c r="A2" t="s">
        <v>350</v>
      </c>
      <c r="B2" t="s">
        <v>43</v>
      </c>
      <c r="C2" t="s">
        <v>105</v>
      </c>
      <c r="D2" t="s">
        <v>310</v>
      </c>
      <c r="E2" t="s">
        <v>1142</v>
      </c>
      <c r="F2" s="15">
        <v>46240.387291666666</v>
      </c>
      <c r="G2" t="s">
        <v>412</v>
      </c>
      <c r="H2">
        <v>2</v>
      </c>
      <c r="I2" t="s">
        <v>1143</v>
      </c>
      <c r="J2" s="15">
        <v>46240.632638888892</v>
      </c>
      <c r="K2" s="15">
        <v>46241.395138888889</v>
      </c>
      <c r="L2" s="15"/>
      <c r="M2">
        <v>2</v>
      </c>
      <c r="O2" t="s">
        <v>201</v>
      </c>
      <c r="P2" t="s">
        <v>532</v>
      </c>
      <c r="S2" t="s">
        <v>366</v>
      </c>
      <c r="T2" t="s">
        <v>380</v>
      </c>
      <c r="U2" t="s">
        <v>240</v>
      </c>
      <c r="V2" t="s">
        <v>350</v>
      </c>
      <c r="W2" t="s">
        <v>356</v>
      </c>
      <c r="X2" t="s">
        <v>240</v>
      </c>
      <c r="Y2">
        <v>13</v>
      </c>
      <c r="AA2" t="s">
        <v>67</v>
      </c>
      <c r="AB2" t="s">
        <v>366</v>
      </c>
      <c r="AC2">
        <v>2480</v>
      </c>
      <c r="AD2" t="s">
        <v>217</v>
      </c>
      <c r="AE2">
        <v>1</v>
      </c>
      <c r="AF2">
        <v>1</v>
      </c>
    </row>
    <row r="3" spans="1:32" x14ac:dyDescent="0.3">
      <c r="A3" t="s">
        <v>350</v>
      </c>
      <c r="B3" t="s">
        <v>47</v>
      </c>
      <c r="C3" t="s">
        <v>68</v>
      </c>
      <c r="D3" t="s">
        <v>310</v>
      </c>
      <c r="E3" t="s">
        <v>1149</v>
      </c>
      <c r="F3" s="15">
        <v>46233.496469907404</v>
      </c>
      <c r="G3" t="s">
        <v>411</v>
      </c>
      <c r="H3">
        <v>2</v>
      </c>
      <c r="I3" t="s">
        <v>1150</v>
      </c>
      <c r="J3" s="15">
        <v>46233.658877314818</v>
      </c>
      <c r="K3" s="15">
        <v>46234.427083333336</v>
      </c>
      <c r="L3" s="15"/>
      <c r="M3">
        <v>2</v>
      </c>
      <c r="O3" t="s">
        <v>146</v>
      </c>
      <c r="P3" t="s">
        <v>532</v>
      </c>
      <c r="S3" t="s">
        <v>366</v>
      </c>
      <c r="T3" t="s">
        <v>380</v>
      </c>
      <c r="U3" t="s">
        <v>240</v>
      </c>
      <c r="V3" t="s">
        <v>350</v>
      </c>
      <c r="W3" t="s">
        <v>356</v>
      </c>
      <c r="X3" t="s">
        <v>240</v>
      </c>
      <c r="Y3">
        <v>13</v>
      </c>
      <c r="AA3" t="s">
        <v>90</v>
      </c>
      <c r="AB3" t="s">
        <v>366</v>
      </c>
      <c r="AC3">
        <v>2480</v>
      </c>
      <c r="AD3" t="s">
        <v>218</v>
      </c>
      <c r="AE3">
        <v>1</v>
      </c>
      <c r="AF3">
        <v>1</v>
      </c>
    </row>
    <row r="4" spans="1:32" x14ac:dyDescent="0.3">
      <c r="A4" t="s">
        <v>350</v>
      </c>
      <c r="B4" t="s">
        <v>45</v>
      </c>
      <c r="C4" t="s">
        <v>68</v>
      </c>
      <c r="D4" t="s">
        <v>310</v>
      </c>
      <c r="E4" t="s">
        <v>1151</v>
      </c>
      <c r="F4" s="15">
        <v>46218.662442129629</v>
      </c>
      <c r="G4" t="s">
        <v>428</v>
      </c>
      <c r="H4">
        <v>50</v>
      </c>
      <c r="I4" t="s">
        <v>1152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201</v>
      </c>
      <c r="P4" t="s">
        <v>531</v>
      </c>
      <c r="S4" t="s">
        <v>366</v>
      </c>
      <c r="T4" t="s">
        <v>380</v>
      </c>
      <c r="U4" t="s">
        <v>240</v>
      </c>
      <c r="V4" t="s">
        <v>350</v>
      </c>
      <c r="W4" t="s">
        <v>356</v>
      </c>
      <c r="X4" t="s">
        <v>240</v>
      </c>
      <c r="Y4">
        <v>13</v>
      </c>
      <c r="AA4" t="s">
        <v>67</v>
      </c>
      <c r="AB4" t="s">
        <v>366</v>
      </c>
      <c r="AC4">
        <v>2480</v>
      </c>
      <c r="AD4" t="s">
        <v>217</v>
      </c>
      <c r="AE4">
        <v>5</v>
      </c>
      <c r="AF4">
        <v>1</v>
      </c>
    </row>
    <row r="5" spans="1:32" x14ac:dyDescent="0.3">
      <c r="A5" t="s">
        <v>350</v>
      </c>
      <c r="B5" t="s">
        <v>45</v>
      </c>
      <c r="C5" t="s">
        <v>68</v>
      </c>
      <c r="D5" t="s">
        <v>310</v>
      </c>
      <c r="E5" t="s">
        <v>1153</v>
      </c>
      <c r="F5" s="15">
        <v>46218.662719907406</v>
      </c>
      <c r="G5" t="s">
        <v>428</v>
      </c>
      <c r="H5">
        <v>50</v>
      </c>
      <c r="I5" t="s">
        <v>1154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201</v>
      </c>
      <c r="P5" t="s">
        <v>531</v>
      </c>
      <c r="S5" t="s">
        <v>366</v>
      </c>
      <c r="T5" t="s">
        <v>380</v>
      </c>
      <c r="U5" t="s">
        <v>240</v>
      </c>
      <c r="V5" t="s">
        <v>350</v>
      </c>
      <c r="W5" t="s">
        <v>356</v>
      </c>
      <c r="X5" t="s">
        <v>240</v>
      </c>
      <c r="AA5" t="s">
        <v>67</v>
      </c>
      <c r="AB5" t="s">
        <v>366</v>
      </c>
      <c r="AC5">
        <v>2480</v>
      </c>
      <c r="AD5" t="s">
        <v>217</v>
      </c>
      <c r="AE5">
        <v>5</v>
      </c>
    </row>
    <row r="6" spans="1:32" x14ac:dyDescent="0.3">
      <c r="A6" t="s">
        <v>350</v>
      </c>
      <c r="B6" t="s">
        <v>48</v>
      </c>
      <c r="C6" t="s">
        <v>68</v>
      </c>
      <c r="D6" t="s">
        <v>310</v>
      </c>
      <c r="E6" t="s">
        <v>1155</v>
      </c>
      <c r="F6" s="15">
        <v>46156.383645833332</v>
      </c>
      <c r="G6" t="s">
        <v>412</v>
      </c>
      <c r="H6">
        <v>1</v>
      </c>
      <c r="I6" t="s">
        <v>1156</v>
      </c>
      <c r="J6" s="15">
        <v>46226.400000000001</v>
      </c>
      <c r="K6" s="15">
        <v>46230.438194444447</v>
      </c>
      <c r="L6" s="15"/>
      <c r="M6">
        <v>1</v>
      </c>
      <c r="O6" t="s">
        <v>201</v>
      </c>
      <c r="P6" t="s">
        <v>531</v>
      </c>
      <c r="S6" t="s">
        <v>366</v>
      </c>
      <c r="T6" t="s">
        <v>380</v>
      </c>
      <c r="U6" t="s">
        <v>240</v>
      </c>
      <c r="V6" t="s">
        <v>350</v>
      </c>
      <c r="W6" t="s">
        <v>356</v>
      </c>
      <c r="X6" t="s">
        <v>240</v>
      </c>
      <c r="Y6">
        <v>13</v>
      </c>
      <c r="AA6" t="s">
        <v>90</v>
      </c>
      <c r="AB6" t="s">
        <v>366</v>
      </c>
      <c r="AC6">
        <v>2480</v>
      </c>
      <c r="AD6" t="s">
        <v>217</v>
      </c>
      <c r="AE6">
        <v>1</v>
      </c>
      <c r="AF6">
        <v>1</v>
      </c>
    </row>
    <row r="7" spans="1:32" x14ac:dyDescent="0.3">
      <c r="A7" t="s">
        <v>351</v>
      </c>
      <c r="B7" t="s">
        <v>43</v>
      </c>
      <c r="C7" t="s">
        <v>105</v>
      </c>
      <c r="D7" t="s">
        <v>310</v>
      </c>
      <c r="E7" t="s">
        <v>1015</v>
      </c>
      <c r="F7" s="15">
        <v>46246.307928240742</v>
      </c>
      <c r="G7" t="s">
        <v>411</v>
      </c>
      <c r="H7">
        <v>1</v>
      </c>
      <c r="I7" t="s">
        <v>1016</v>
      </c>
      <c r="J7" s="15">
        <v>46246.375</v>
      </c>
      <c r="K7" s="15">
        <v>46247.461805555555</v>
      </c>
      <c r="L7" s="15"/>
      <c r="M7">
        <v>1</v>
      </c>
      <c r="O7" t="s">
        <v>201</v>
      </c>
      <c r="P7" t="s">
        <v>532</v>
      </c>
      <c r="S7" t="s">
        <v>363</v>
      </c>
      <c r="T7" t="s">
        <v>378</v>
      </c>
      <c r="U7" t="s">
        <v>239</v>
      </c>
      <c r="V7" t="s">
        <v>351</v>
      </c>
      <c r="W7" t="s">
        <v>378</v>
      </c>
      <c r="X7" t="s">
        <v>239</v>
      </c>
      <c r="Y7">
        <v>0</v>
      </c>
      <c r="AA7" t="s">
        <v>67</v>
      </c>
      <c r="AB7" t="s">
        <v>363</v>
      </c>
      <c r="AC7">
        <v>101</v>
      </c>
      <c r="AD7" t="s">
        <v>217</v>
      </c>
      <c r="AE7">
        <v>1</v>
      </c>
      <c r="AF7">
        <v>1</v>
      </c>
    </row>
    <row r="8" spans="1:32" x14ac:dyDescent="0.3">
      <c r="A8" t="s">
        <v>351</v>
      </c>
      <c r="B8" t="s">
        <v>43</v>
      </c>
      <c r="C8" t="s">
        <v>105</v>
      </c>
      <c r="D8" t="s">
        <v>310</v>
      </c>
      <c r="E8" t="s">
        <v>1017</v>
      </c>
      <c r="F8" s="15">
        <v>46244.651597222219</v>
      </c>
      <c r="G8" t="s">
        <v>411</v>
      </c>
      <c r="H8">
        <v>2</v>
      </c>
      <c r="I8" t="s">
        <v>1018</v>
      </c>
      <c r="J8" s="15">
        <v>46245.385416666664</v>
      </c>
      <c r="K8" s="15">
        <v>46246.481944444444</v>
      </c>
      <c r="L8" s="15"/>
      <c r="M8">
        <v>2</v>
      </c>
      <c r="O8" t="s">
        <v>201</v>
      </c>
      <c r="P8" t="s">
        <v>532</v>
      </c>
      <c r="S8" t="s">
        <v>363</v>
      </c>
      <c r="T8" t="s">
        <v>378</v>
      </c>
      <c r="U8" t="s">
        <v>239</v>
      </c>
      <c r="V8" t="s">
        <v>351</v>
      </c>
      <c r="W8" t="s">
        <v>378</v>
      </c>
      <c r="X8" t="s">
        <v>239</v>
      </c>
      <c r="Y8">
        <v>0</v>
      </c>
      <c r="AA8" t="s">
        <v>67</v>
      </c>
      <c r="AB8" t="s">
        <v>363</v>
      </c>
      <c r="AC8">
        <v>101</v>
      </c>
      <c r="AD8" t="s">
        <v>217</v>
      </c>
      <c r="AE8">
        <v>1</v>
      </c>
      <c r="AF8">
        <v>1</v>
      </c>
    </row>
    <row r="9" spans="1:32" x14ac:dyDescent="0.3">
      <c r="A9" t="s">
        <v>351</v>
      </c>
      <c r="B9" t="s">
        <v>43</v>
      </c>
      <c r="C9" t="s">
        <v>105</v>
      </c>
      <c r="D9" t="s">
        <v>310</v>
      </c>
      <c r="E9" t="s">
        <v>1019</v>
      </c>
      <c r="F9" s="15">
        <v>46241.373356481483</v>
      </c>
      <c r="G9" t="s">
        <v>411</v>
      </c>
      <c r="H9">
        <v>2</v>
      </c>
      <c r="I9" t="s">
        <v>1020</v>
      </c>
      <c r="J9" s="15">
        <v>46241.399305555555</v>
      </c>
      <c r="K9" s="15">
        <v>46244.479166666664</v>
      </c>
      <c r="L9" s="15"/>
      <c r="M9">
        <v>2</v>
      </c>
      <c r="O9" t="s">
        <v>201</v>
      </c>
      <c r="P9" t="s">
        <v>532</v>
      </c>
      <c r="S9" t="s">
        <v>363</v>
      </c>
      <c r="T9" t="s">
        <v>378</v>
      </c>
      <c r="U9" t="s">
        <v>239</v>
      </c>
      <c r="V9" t="s">
        <v>351</v>
      </c>
      <c r="W9" t="s">
        <v>378</v>
      </c>
      <c r="X9" t="s">
        <v>239</v>
      </c>
      <c r="Y9">
        <v>0</v>
      </c>
      <c r="AA9" t="s">
        <v>67</v>
      </c>
      <c r="AB9" t="s">
        <v>363</v>
      </c>
      <c r="AC9">
        <v>101</v>
      </c>
      <c r="AD9" t="s">
        <v>217</v>
      </c>
      <c r="AE9">
        <v>1</v>
      </c>
      <c r="AF9">
        <v>1</v>
      </c>
    </row>
    <row r="10" spans="1:32" x14ac:dyDescent="0.3">
      <c r="A10" t="s">
        <v>351</v>
      </c>
      <c r="B10" t="s">
        <v>43</v>
      </c>
      <c r="C10" t="s">
        <v>105</v>
      </c>
      <c r="D10" t="s">
        <v>310</v>
      </c>
      <c r="E10" t="s">
        <v>1021</v>
      </c>
      <c r="F10" s="15">
        <v>46239.511006944442</v>
      </c>
      <c r="G10" t="s">
        <v>411</v>
      </c>
      <c r="H10">
        <v>3</v>
      </c>
      <c r="I10" t="s">
        <v>1022</v>
      </c>
      <c r="J10" s="15">
        <v>46239.690972222219</v>
      </c>
      <c r="K10" s="15">
        <v>46240.486805555556</v>
      </c>
      <c r="L10" s="15"/>
      <c r="M10">
        <v>3</v>
      </c>
      <c r="O10" t="s">
        <v>201</v>
      </c>
      <c r="P10" t="s">
        <v>532</v>
      </c>
      <c r="S10" t="s">
        <v>363</v>
      </c>
      <c r="T10" t="s">
        <v>378</v>
      </c>
      <c r="U10" t="s">
        <v>239</v>
      </c>
      <c r="V10" t="s">
        <v>351</v>
      </c>
      <c r="W10" t="s">
        <v>378</v>
      </c>
      <c r="X10" t="s">
        <v>239</v>
      </c>
      <c r="Y10">
        <v>0</v>
      </c>
      <c r="AA10" t="s">
        <v>67</v>
      </c>
      <c r="AB10" t="s">
        <v>363</v>
      </c>
      <c r="AC10">
        <v>101</v>
      </c>
      <c r="AD10" t="s">
        <v>217</v>
      </c>
      <c r="AE10">
        <v>1</v>
      </c>
      <c r="AF10">
        <v>1</v>
      </c>
    </row>
    <row r="11" spans="1:32" x14ac:dyDescent="0.3">
      <c r="A11" t="s">
        <v>351</v>
      </c>
      <c r="B11" t="s">
        <v>45</v>
      </c>
      <c r="C11" t="s">
        <v>68</v>
      </c>
      <c r="D11" t="s">
        <v>310</v>
      </c>
      <c r="E11" t="s">
        <v>912</v>
      </c>
      <c r="F11" s="15">
        <v>46238.581493055557</v>
      </c>
      <c r="G11" t="s">
        <v>411</v>
      </c>
      <c r="H11">
        <v>9</v>
      </c>
      <c r="I11" t="s">
        <v>913</v>
      </c>
      <c r="J11" s="15">
        <v>46239.600694444445</v>
      </c>
      <c r="K11" s="15">
        <v>46240.479166666664</v>
      </c>
      <c r="L11" s="15"/>
      <c r="M11">
        <v>9</v>
      </c>
      <c r="O11" t="s">
        <v>201</v>
      </c>
      <c r="P11" t="s">
        <v>532</v>
      </c>
      <c r="S11" t="s">
        <v>363</v>
      </c>
      <c r="T11" t="s">
        <v>378</v>
      </c>
      <c r="U11" t="s">
        <v>239</v>
      </c>
      <c r="V11" t="s">
        <v>351</v>
      </c>
      <c r="W11" t="s">
        <v>378</v>
      </c>
      <c r="X11" t="s">
        <v>239</v>
      </c>
      <c r="AA11" t="s">
        <v>67</v>
      </c>
      <c r="AB11" t="s">
        <v>363</v>
      </c>
      <c r="AC11">
        <v>101</v>
      </c>
      <c r="AD11" t="s">
        <v>217</v>
      </c>
      <c r="AE11">
        <v>1</v>
      </c>
    </row>
    <row r="12" spans="1:32" x14ac:dyDescent="0.3">
      <c r="A12" t="s">
        <v>351</v>
      </c>
      <c r="B12" t="s">
        <v>47</v>
      </c>
      <c r="C12" t="s">
        <v>68</v>
      </c>
      <c r="D12" t="s">
        <v>310</v>
      </c>
      <c r="E12" t="s">
        <v>914</v>
      </c>
      <c r="F12" s="15">
        <v>46239.471967592595</v>
      </c>
      <c r="G12" t="s">
        <v>411</v>
      </c>
      <c r="H12">
        <v>1</v>
      </c>
      <c r="I12" t="s">
        <v>915</v>
      </c>
      <c r="J12" s="15">
        <v>46239.673611111109</v>
      </c>
      <c r="K12" s="15">
        <v>46240.488194444442</v>
      </c>
      <c r="L12" s="15"/>
      <c r="M12">
        <v>1</v>
      </c>
      <c r="O12" t="s">
        <v>146</v>
      </c>
      <c r="P12" t="s">
        <v>532</v>
      </c>
      <c r="S12" t="s">
        <v>363</v>
      </c>
      <c r="T12" t="s">
        <v>378</v>
      </c>
      <c r="U12" t="s">
        <v>239</v>
      </c>
      <c r="V12" t="s">
        <v>351</v>
      </c>
      <c r="W12" t="s">
        <v>378</v>
      </c>
      <c r="X12" t="s">
        <v>239</v>
      </c>
      <c r="Y12">
        <v>0</v>
      </c>
      <c r="AA12" t="s">
        <v>90</v>
      </c>
      <c r="AB12" t="s">
        <v>363</v>
      </c>
      <c r="AC12">
        <v>101</v>
      </c>
      <c r="AD12" t="s">
        <v>218</v>
      </c>
      <c r="AE12">
        <v>1</v>
      </c>
    </row>
    <row r="13" spans="1:32" x14ac:dyDescent="0.3">
      <c r="A13" t="s">
        <v>351</v>
      </c>
      <c r="B13" t="s">
        <v>47</v>
      </c>
      <c r="C13" t="s">
        <v>68</v>
      </c>
      <c r="D13" t="s">
        <v>310</v>
      </c>
      <c r="E13" t="s">
        <v>1185</v>
      </c>
      <c r="F13" s="15">
        <v>46239.466099537036</v>
      </c>
      <c r="G13" t="s">
        <v>411</v>
      </c>
      <c r="H13">
        <v>1</v>
      </c>
      <c r="I13" t="s">
        <v>1186</v>
      </c>
      <c r="J13" s="15">
        <v>46239.635162037041</v>
      </c>
      <c r="K13" s="15">
        <v>46240.467361111114</v>
      </c>
      <c r="L13" s="15"/>
      <c r="M13">
        <v>1</v>
      </c>
      <c r="O13" t="s">
        <v>146</v>
      </c>
      <c r="P13" t="s">
        <v>532</v>
      </c>
      <c r="S13" t="s">
        <v>363</v>
      </c>
      <c r="T13" t="s">
        <v>378</v>
      </c>
      <c r="U13" t="s">
        <v>239</v>
      </c>
      <c r="V13" t="s">
        <v>351</v>
      </c>
      <c r="W13" t="s">
        <v>378</v>
      </c>
      <c r="X13" t="s">
        <v>239</v>
      </c>
      <c r="AA13" t="s">
        <v>90</v>
      </c>
      <c r="AB13" t="s">
        <v>363</v>
      </c>
      <c r="AC13">
        <v>101</v>
      </c>
      <c r="AD13" t="s">
        <v>218</v>
      </c>
      <c r="AE13">
        <v>1</v>
      </c>
    </row>
    <row r="14" spans="1:32" x14ac:dyDescent="0.3">
      <c r="A14" t="s">
        <v>351</v>
      </c>
      <c r="B14" t="s">
        <v>43</v>
      </c>
      <c r="C14" t="s">
        <v>105</v>
      </c>
      <c r="D14" t="s">
        <v>310</v>
      </c>
      <c r="E14" t="s">
        <v>1031</v>
      </c>
      <c r="F14" s="15">
        <v>46232.641296296293</v>
      </c>
      <c r="G14" t="s">
        <v>411</v>
      </c>
      <c r="H14">
        <v>3</v>
      </c>
      <c r="I14" t="s">
        <v>1032</v>
      </c>
      <c r="J14" s="15">
        <v>46232.691562499997</v>
      </c>
      <c r="K14" s="15">
        <v>46233.513888888891</v>
      </c>
      <c r="L14" s="15"/>
      <c r="M14">
        <v>3</v>
      </c>
      <c r="O14" t="s">
        <v>201</v>
      </c>
      <c r="P14" t="s">
        <v>532</v>
      </c>
      <c r="S14" t="s">
        <v>363</v>
      </c>
      <c r="T14" t="s">
        <v>378</v>
      </c>
      <c r="U14" t="s">
        <v>239</v>
      </c>
      <c r="V14" t="s">
        <v>351</v>
      </c>
      <c r="W14" t="s">
        <v>378</v>
      </c>
      <c r="X14" t="s">
        <v>239</v>
      </c>
      <c r="Y14">
        <v>0</v>
      </c>
      <c r="AA14" t="s">
        <v>67</v>
      </c>
      <c r="AB14" t="s">
        <v>363</v>
      </c>
      <c r="AC14">
        <v>101</v>
      </c>
      <c r="AD14" t="s">
        <v>217</v>
      </c>
      <c r="AE14">
        <v>1</v>
      </c>
      <c r="AF14">
        <v>1</v>
      </c>
    </row>
    <row r="15" spans="1:32" x14ac:dyDescent="0.3">
      <c r="A15" t="s">
        <v>351</v>
      </c>
      <c r="B15" t="s">
        <v>43</v>
      </c>
      <c r="C15" t="s">
        <v>105</v>
      </c>
      <c r="D15" t="s">
        <v>310</v>
      </c>
      <c r="E15" t="s">
        <v>1067</v>
      </c>
      <c r="F15" s="15">
        <v>46220.487835648149</v>
      </c>
      <c r="G15" t="s">
        <v>411</v>
      </c>
      <c r="H15">
        <v>3</v>
      </c>
      <c r="I15" t="s">
        <v>1068</v>
      </c>
      <c r="J15" s="15">
        <v>46220.6875</v>
      </c>
      <c r="K15" s="15">
        <v>46224.423611111109</v>
      </c>
      <c r="L15" s="15"/>
      <c r="M15">
        <v>3</v>
      </c>
      <c r="O15" t="s">
        <v>201</v>
      </c>
      <c r="P15" t="s">
        <v>532</v>
      </c>
      <c r="S15" t="s">
        <v>363</v>
      </c>
      <c r="T15" t="s">
        <v>378</v>
      </c>
      <c r="U15" t="s">
        <v>239</v>
      </c>
      <c r="V15" t="s">
        <v>351</v>
      </c>
      <c r="W15" t="s">
        <v>378</v>
      </c>
      <c r="X15" t="s">
        <v>239</v>
      </c>
      <c r="Y15">
        <v>0</v>
      </c>
      <c r="AA15" t="s">
        <v>67</v>
      </c>
      <c r="AB15" t="s">
        <v>363</v>
      </c>
      <c r="AC15">
        <v>101</v>
      </c>
      <c r="AD15" t="s">
        <v>217</v>
      </c>
      <c r="AE15">
        <v>1</v>
      </c>
      <c r="AF15">
        <v>1</v>
      </c>
    </row>
    <row r="16" spans="1:32" x14ac:dyDescent="0.3">
      <c r="A16" t="s">
        <v>351</v>
      </c>
      <c r="B16" t="s">
        <v>47</v>
      </c>
      <c r="C16" t="s">
        <v>68</v>
      </c>
      <c r="D16" t="s">
        <v>310</v>
      </c>
      <c r="E16" t="s">
        <v>1012</v>
      </c>
      <c r="F16" s="15">
        <v>46233.500243055554</v>
      </c>
      <c r="G16" t="s">
        <v>411</v>
      </c>
      <c r="H16">
        <v>2</v>
      </c>
      <c r="I16" t="s">
        <v>1013</v>
      </c>
      <c r="J16" s="15">
        <v>46233.712500000001</v>
      </c>
      <c r="K16" s="15">
        <v>46234.449305555558</v>
      </c>
      <c r="L16" s="15"/>
      <c r="M16">
        <v>2</v>
      </c>
      <c r="O16" t="s">
        <v>146</v>
      </c>
      <c r="P16" t="s">
        <v>532</v>
      </c>
      <c r="S16" t="s">
        <v>363</v>
      </c>
      <c r="T16" t="s">
        <v>378</v>
      </c>
      <c r="U16" t="s">
        <v>239</v>
      </c>
      <c r="V16" t="s">
        <v>351</v>
      </c>
      <c r="W16" t="s">
        <v>378</v>
      </c>
      <c r="X16" t="s">
        <v>239</v>
      </c>
      <c r="Y16">
        <v>0</v>
      </c>
      <c r="AA16" t="s">
        <v>90</v>
      </c>
      <c r="AB16" t="s">
        <v>363</v>
      </c>
      <c r="AC16">
        <v>101</v>
      </c>
      <c r="AD16" t="s">
        <v>218</v>
      </c>
      <c r="AE16">
        <v>1</v>
      </c>
      <c r="AF16">
        <v>1</v>
      </c>
    </row>
    <row r="17" spans="1:32" x14ac:dyDescent="0.3">
      <c r="A17" t="s">
        <v>351</v>
      </c>
      <c r="B17" t="s">
        <v>48</v>
      </c>
      <c r="C17" t="s">
        <v>68</v>
      </c>
      <c r="D17" t="s">
        <v>310</v>
      </c>
      <c r="E17" t="s">
        <v>1053</v>
      </c>
      <c r="F17" s="15">
        <v>46224.393900462965</v>
      </c>
      <c r="G17" t="s">
        <v>411</v>
      </c>
      <c r="H17">
        <v>1</v>
      </c>
      <c r="I17" t="s">
        <v>1054</v>
      </c>
      <c r="J17" s="15">
        <v>46233.604861111111</v>
      </c>
      <c r="K17" s="15">
        <v>46234.497916666667</v>
      </c>
      <c r="L17" s="15"/>
      <c r="M17">
        <v>1</v>
      </c>
      <c r="O17" t="s">
        <v>201</v>
      </c>
      <c r="P17" t="s">
        <v>532</v>
      </c>
      <c r="S17" t="s">
        <v>363</v>
      </c>
      <c r="T17" t="s">
        <v>378</v>
      </c>
      <c r="U17" t="s">
        <v>239</v>
      </c>
      <c r="V17" t="s">
        <v>351</v>
      </c>
      <c r="W17" t="s">
        <v>378</v>
      </c>
      <c r="X17" t="s">
        <v>239</v>
      </c>
      <c r="Y17">
        <v>0</v>
      </c>
      <c r="AA17" t="s">
        <v>90</v>
      </c>
      <c r="AB17" t="s">
        <v>363</v>
      </c>
      <c r="AC17">
        <v>101</v>
      </c>
      <c r="AD17" t="s">
        <v>217</v>
      </c>
      <c r="AE17">
        <v>1</v>
      </c>
    </row>
    <row r="18" spans="1:32" x14ac:dyDescent="0.3">
      <c r="A18" t="s">
        <v>351</v>
      </c>
      <c r="B18" t="s">
        <v>47</v>
      </c>
      <c r="C18" t="s">
        <v>68</v>
      </c>
      <c r="D18" t="s">
        <v>310</v>
      </c>
      <c r="E18" t="s">
        <v>1014</v>
      </c>
      <c r="F18" s="15">
        <v>46240.53496527778</v>
      </c>
      <c r="G18" t="s">
        <v>411</v>
      </c>
      <c r="H18">
        <v>1</v>
      </c>
      <c r="I18" t="s">
        <v>963</v>
      </c>
      <c r="J18" s="15">
        <v>46240.617361111108</v>
      </c>
      <c r="K18" s="15">
        <v>46241.430555555555</v>
      </c>
      <c r="L18" s="15"/>
      <c r="M18">
        <v>1</v>
      </c>
      <c r="O18" t="s">
        <v>146</v>
      </c>
      <c r="P18" t="s">
        <v>532</v>
      </c>
      <c r="S18" t="s">
        <v>363</v>
      </c>
      <c r="T18" t="s">
        <v>378</v>
      </c>
      <c r="U18" t="s">
        <v>239</v>
      </c>
      <c r="V18" t="s">
        <v>351</v>
      </c>
      <c r="W18" t="s">
        <v>378</v>
      </c>
      <c r="X18" t="s">
        <v>239</v>
      </c>
      <c r="Y18">
        <v>0</v>
      </c>
      <c r="AA18" t="s">
        <v>90</v>
      </c>
      <c r="AB18" t="s">
        <v>363</v>
      </c>
      <c r="AC18">
        <v>101</v>
      </c>
      <c r="AD18" t="s">
        <v>218</v>
      </c>
      <c r="AE18">
        <v>1</v>
      </c>
      <c r="AF18">
        <v>1</v>
      </c>
    </row>
    <row r="19" spans="1:32" x14ac:dyDescent="0.3">
      <c r="A19" t="s">
        <v>351</v>
      </c>
      <c r="B19" t="s">
        <v>48</v>
      </c>
      <c r="C19" t="s">
        <v>68</v>
      </c>
      <c r="D19" t="s">
        <v>310</v>
      </c>
      <c r="E19" t="s">
        <v>978</v>
      </c>
      <c r="F19" s="15">
        <v>46246.518310185187</v>
      </c>
      <c r="G19" t="s">
        <v>411</v>
      </c>
      <c r="H19">
        <v>1</v>
      </c>
      <c r="I19" t="s">
        <v>979</v>
      </c>
      <c r="J19" s="15">
        <v>46252.508333333331</v>
      </c>
      <c r="K19" s="15">
        <v>46254.573611111111</v>
      </c>
      <c r="L19" s="15"/>
      <c r="M19">
        <v>1</v>
      </c>
      <c r="O19" t="s">
        <v>201</v>
      </c>
      <c r="P19" t="s">
        <v>531</v>
      </c>
      <c r="S19" t="s">
        <v>363</v>
      </c>
      <c r="T19" t="s">
        <v>378</v>
      </c>
      <c r="U19" t="s">
        <v>239</v>
      </c>
      <c r="V19" t="s">
        <v>351</v>
      </c>
      <c r="W19" t="s">
        <v>378</v>
      </c>
      <c r="X19" t="s">
        <v>239</v>
      </c>
      <c r="Y19">
        <v>0</v>
      </c>
      <c r="AA19" t="s">
        <v>90</v>
      </c>
      <c r="AB19" t="s">
        <v>363</v>
      </c>
      <c r="AC19">
        <v>101</v>
      </c>
      <c r="AD19" t="s">
        <v>217</v>
      </c>
      <c r="AE19">
        <v>1</v>
      </c>
      <c r="AF19">
        <v>1</v>
      </c>
    </row>
    <row r="20" spans="1:32" x14ac:dyDescent="0.3">
      <c r="A20" t="s">
        <v>351</v>
      </c>
      <c r="B20" t="s">
        <v>48</v>
      </c>
      <c r="C20" t="s">
        <v>68</v>
      </c>
      <c r="D20" t="s">
        <v>310</v>
      </c>
      <c r="E20" t="s">
        <v>980</v>
      </c>
      <c r="F20" s="15">
        <v>46251.526550925926</v>
      </c>
      <c r="G20" t="s">
        <v>411</v>
      </c>
      <c r="H20">
        <v>1</v>
      </c>
      <c r="I20" t="s">
        <v>981</v>
      </c>
      <c r="J20" s="15">
        <v>46252.671527777777</v>
      </c>
      <c r="K20" s="15">
        <v>46254.573611111111</v>
      </c>
      <c r="L20" s="15"/>
      <c r="M20">
        <v>1</v>
      </c>
      <c r="O20" t="s">
        <v>201</v>
      </c>
      <c r="P20" t="s">
        <v>531</v>
      </c>
      <c r="S20" t="s">
        <v>363</v>
      </c>
      <c r="T20" t="s">
        <v>378</v>
      </c>
      <c r="U20" t="s">
        <v>239</v>
      </c>
      <c r="V20" t="s">
        <v>351</v>
      </c>
      <c r="W20" t="s">
        <v>378</v>
      </c>
      <c r="X20" t="s">
        <v>239</v>
      </c>
      <c r="AA20" t="s">
        <v>90</v>
      </c>
      <c r="AB20" t="s">
        <v>363</v>
      </c>
      <c r="AC20">
        <v>101</v>
      </c>
      <c r="AD20" t="s">
        <v>217</v>
      </c>
      <c r="AE20">
        <v>1</v>
      </c>
    </row>
    <row r="21" spans="1:32" x14ac:dyDescent="0.3">
      <c r="A21" t="s">
        <v>351</v>
      </c>
      <c r="B21" t="s">
        <v>48</v>
      </c>
      <c r="C21" t="s">
        <v>68</v>
      </c>
      <c r="D21" t="s">
        <v>310</v>
      </c>
      <c r="E21" t="s">
        <v>980</v>
      </c>
      <c r="F21" s="15">
        <v>46251.620995370373</v>
      </c>
      <c r="G21" t="s">
        <v>411</v>
      </c>
      <c r="H21">
        <v>2</v>
      </c>
      <c r="I21" t="s">
        <v>982</v>
      </c>
      <c r="J21" s="15">
        <v>46252.650694444441</v>
      </c>
      <c r="K21" s="15">
        <v>46254.573611111111</v>
      </c>
      <c r="L21" s="15"/>
      <c r="M21">
        <v>2</v>
      </c>
      <c r="O21" t="s">
        <v>201</v>
      </c>
      <c r="P21" t="s">
        <v>531</v>
      </c>
      <c r="S21" t="s">
        <v>363</v>
      </c>
      <c r="T21" t="s">
        <v>378</v>
      </c>
      <c r="U21" t="s">
        <v>239</v>
      </c>
      <c r="V21" t="s">
        <v>351</v>
      </c>
      <c r="W21" t="s">
        <v>378</v>
      </c>
      <c r="X21" t="s">
        <v>239</v>
      </c>
      <c r="AA21" t="s">
        <v>90</v>
      </c>
      <c r="AB21" t="s">
        <v>363</v>
      </c>
      <c r="AC21">
        <v>101</v>
      </c>
      <c r="AD21" t="s">
        <v>217</v>
      </c>
      <c r="AE21">
        <v>1</v>
      </c>
    </row>
    <row r="22" spans="1:32" x14ac:dyDescent="0.3">
      <c r="A22" t="s">
        <v>351</v>
      </c>
      <c r="B22" t="s">
        <v>48</v>
      </c>
      <c r="C22" t="s">
        <v>68</v>
      </c>
      <c r="D22" t="s">
        <v>310</v>
      </c>
      <c r="E22" t="s">
        <v>983</v>
      </c>
      <c r="F22" s="15">
        <v>46254.383645833332</v>
      </c>
      <c r="G22" t="s">
        <v>411</v>
      </c>
      <c r="H22">
        <v>1</v>
      </c>
      <c r="I22" t="s">
        <v>984</v>
      </c>
      <c r="J22" s="15">
        <v>46255.375694444447</v>
      </c>
      <c r="K22" s="15">
        <v>46258.484027777777</v>
      </c>
      <c r="L22" s="15"/>
      <c r="M22">
        <v>1</v>
      </c>
      <c r="O22" t="s">
        <v>201</v>
      </c>
      <c r="P22" t="s">
        <v>531</v>
      </c>
      <c r="S22" t="s">
        <v>363</v>
      </c>
      <c r="T22" t="s">
        <v>378</v>
      </c>
      <c r="U22" t="s">
        <v>239</v>
      </c>
      <c r="V22" t="s">
        <v>351</v>
      </c>
      <c r="W22" t="s">
        <v>378</v>
      </c>
      <c r="X22" t="s">
        <v>239</v>
      </c>
      <c r="Y22">
        <v>0</v>
      </c>
      <c r="AA22" t="s">
        <v>90</v>
      </c>
      <c r="AB22" t="s">
        <v>363</v>
      </c>
      <c r="AC22">
        <v>101</v>
      </c>
      <c r="AD22" t="s">
        <v>217</v>
      </c>
      <c r="AE22">
        <v>1</v>
      </c>
      <c r="AF22">
        <v>1</v>
      </c>
    </row>
    <row r="23" spans="1:32" x14ac:dyDescent="0.3">
      <c r="A23" t="s">
        <v>351</v>
      </c>
      <c r="B23" t="s">
        <v>48</v>
      </c>
      <c r="C23" t="s">
        <v>68</v>
      </c>
      <c r="D23" t="s">
        <v>310</v>
      </c>
      <c r="E23" t="s">
        <v>985</v>
      </c>
      <c r="F23" s="15">
        <v>46246.459398148145</v>
      </c>
      <c r="G23" t="s">
        <v>411</v>
      </c>
      <c r="H23">
        <v>1</v>
      </c>
      <c r="I23" t="s">
        <v>986</v>
      </c>
      <c r="J23" s="15">
        <v>46255.427777777775</v>
      </c>
      <c r="K23" s="15">
        <v>46258.484027777777</v>
      </c>
      <c r="L23" s="15"/>
      <c r="M23">
        <v>1</v>
      </c>
      <c r="O23" t="s">
        <v>201</v>
      </c>
      <c r="P23" t="s">
        <v>531</v>
      </c>
      <c r="S23" t="s">
        <v>363</v>
      </c>
      <c r="T23" t="s">
        <v>378</v>
      </c>
      <c r="U23" t="s">
        <v>239</v>
      </c>
      <c r="V23" t="s">
        <v>351</v>
      </c>
      <c r="W23" t="s">
        <v>378</v>
      </c>
      <c r="X23" t="s">
        <v>239</v>
      </c>
      <c r="AA23" t="s">
        <v>90</v>
      </c>
      <c r="AB23" t="s">
        <v>363</v>
      </c>
      <c r="AC23">
        <v>101</v>
      </c>
      <c r="AD23" t="s">
        <v>217</v>
      </c>
      <c r="AE23">
        <v>1</v>
      </c>
    </row>
    <row r="24" spans="1:32" x14ac:dyDescent="0.3">
      <c r="A24" t="s">
        <v>351</v>
      </c>
      <c r="B24" t="s">
        <v>48</v>
      </c>
      <c r="C24" t="s">
        <v>68</v>
      </c>
      <c r="D24" t="s">
        <v>310</v>
      </c>
      <c r="E24" t="s">
        <v>987</v>
      </c>
      <c r="F24" s="15">
        <v>46245.580497685187</v>
      </c>
      <c r="G24" t="s">
        <v>411</v>
      </c>
      <c r="H24">
        <v>1</v>
      </c>
      <c r="I24" t="s">
        <v>986</v>
      </c>
      <c r="J24" s="15">
        <v>46255.427777777775</v>
      </c>
      <c r="K24" s="15">
        <v>46258.484027777777</v>
      </c>
      <c r="L24" s="15"/>
      <c r="M24">
        <v>1</v>
      </c>
      <c r="O24" t="s">
        <v>201</v>
      </c>
      <c r="P24" t="s">
        <v>531</v>
      </c>
      <c r="S24" t="s">
        <v>363</v>
      </c>
      <c r="T24" t="s">
        <v>378</v>
      </c>
      <c r="U24" t="s">
        <v>239</v>
      </c>
      <c r="V24" t="s">
        <v>351</v>
      </c>
      <c r="W24" t="s">
        <v>378</v>
      </c>
      <c r="X24" t="s">
        <v>239</v>
      </c>
      <c r="AA24" t="s">
        <v>90</v>
      </c>
      <c r="AB24" t="s">
        <v>363</v>
      </c>
      <c r="AC24">
        <v>101</v>
      </c>
      <c r="AD24" t="s">
        <v>217</v>
      </c>
      <c r="AE24">
        <v>1</v>
      </c>
    </row>
    <row r="25" spans="1:32" x14ac:dyDescent="0.3">
      <c r="A25" t="s">
        <v>351</v>
      </c>
      <c r="B25" t="s">
        <v>48</v>
      </c>
      <c r="C25" t="s">
        <v>68</v>
      </c>
      <c r="D25" t="s">
        <v>310</v>
      </c>
      <c r="E25" t="s">
        <v>988</v>
      </c>
      <c r="F25" s="15">
        <v>46253.381192129629</v>
      </c>
      <c r="G25" t="s">
        <v>411</v>
      </c>
      <c r="H25">
        <v>1</v>
      </c>
      <c r="I25" t="s">
        <v>989</v>
      </c>
      <c r="J25" s="15">
        <v>46254.517361111109</v>
      </c>
      <c r="K25" s="15">
        <v>46255.386805555558</v>
      </c>
      <c r="L25" s="15"/>
      <c r="M25">
        <v>1</v>
      </c>
      <c r="O25" t="s">
        <v>201</v>
      </c>
      <c r="P25" t="s">
        <v>532</v>
      </c>
      <c r="S25" t="s">
        <v>363</v>
      </c>
      <c r="T25" t="s">
        <v>378</v>
      </c>
      <c r="U25" t="s">
        <v>239</v>
      </c>
      <c r="V25" t="s">
        <v>351</v>
      </c>
      <c r="W25" t="s">
        <v>378</v>
      </c>
      <c r="X25" t="s">
        <v>239</v>
      </c>
      <c r="Y25">
        <v>0</v>
      </c>
      <c r="AA25" t="s">
        <v>90</v>
      </c>
      <c r="AB25" t="s">
        <v>363</v>
      </c>
      <c r="AC25">
        <v>101</v>
      </c>
      <c r="AD25" t="s">
        <v>217</v>
      </c>
      <c r="AE25">
        <v>1</v>
      </c>
      <c r="AF25">
        <v>1</v>
      </c>
    </row>
    <row r="26" spans="1:32" x14ac:dyDescent="0.3">
      <c r="A26" t="s">
        <v>351</v>
      </c>
      <c r="B26" t="s">
        <v>48</v>
      </c>
      <c r="C26" t="s">
        <v>68</v>
      </c>
      <c r="D26" t="s">
        <v>310</v>
      </c>
      <c r="E26" t="s">
        <v>990</v>
      </c>
      <c r="F26" s="15">
        <v>46237.501354166663</v>
      </c>
      <c r="G26" t="s">
        <v>411</v>
      </c>
      <c r="H26">
        <v>1</v>
      </c>
      <c r="I26" t="s">
        <v>991</v>
      </c>
      <c r="J26" s="15">
        <v>46237.692361111112</v>
      </c>
      <c r="K26" s="15">
        <v>46239.477777777778</v>
      </c>
      <c r="L26" s="15"/>
      <c r="M26">
        <v>1</v>
      </c>
      <c r="O26" t="s">
        <v>201</v>
      </c>
      <c r="P26" t="s">
        <v>531</v>
      </c>
      <c r="S26" t="s">
        <v>363</v>
      </c>
      <c r="T26" t="s">
        <v>378</v>
      </c>
      <c r="U26" t="s">
        <v>239</v>
      </c>
      <c r="V26" t="s">
        <v>351</v>
      </c>
      <c r="W26" t="s">
        <v>378</v>
      </c>
      <c r="X26" t="s">
        <v>239</v>
      </c>
      <c r="Y26">
        <v>0</v>
      </c>
      <c r="AA26" t="s">
        <v>90</v>
      </c>
      <c r="AB26" t="s">
        <v>363</v>
      </c>
      <c r="AC26">
        <v>101</v>
      </c>
      <c r="AD26" t="s">
        <v>217</v>
      </c>
      <c r="AE26">
        <v>1</v>
      </c>
      <c r="AF26">
        <v>1</v>
      </c>
    </row>
    <row r="27" spans="1:32" x14ac:dyDescent="0.3">
      <c r="A27" t="s">
        <v>351</v>
      </c>
      <c r="B27" t="s">
        <v>48</v>
      </c>
      <c r="C27" t="s">
        <v>68</v>
      </c>
      <c r="D27" t="s">
        <v>310</v>
      </c>
      <c r="E27" t="s">
        <v>1097</v>
      </c>
      <c r="F27" s="15">
        <v>46237.522916666669</v>
      </c>
      <c r="G27" t="s">
        <v>411</v>
      </c>
      <c r="H27">
        <v>2</v>
      </c>
      <c r="I27" t="s">
        <v>1098</v>
      </c>
      <c r="J27" s="15">
        <v>46237.661747685182</v>
      </c>
      <c r="K27" s="15">
        <v>46239.477777777778</v>
      </c>
      <c r="L27" s="15"/>
      <c r="M27">
        <v>2</v>
      </c>
      <c r="O27" t="s">
        <v>201</v>
      </c>
      <c r="P27" t="s">
        <v>531</v>
      </c>
      <c r="S27" t="s">
        <v>363</v>
      </c>
      <c r="T27" t="s">
        <v>378</v>
      </c>
      <c r="U27" t="s">
        <v>239</v>
      </c>
      <c r="V27" t="s">
        <v>351</v>
      </c>
      <c r="W27" t="s">
        <v>378</v>
      </c>
      <c r="X27" t="s">
        <v>239</v>
      </c>
      <c r="AA27" t="s">
        <v>90</v>
      </c>
      <c r="AB27" t="s">
        <v>363</v>
      </c>
      <c r="AC27">
        <v>101</v>
      </c>
      <c r="AD27" t="s">
        <v>217</v>
      </c>
      <c r="AE27">
        <v>1</v>
      </c>
    </row>
    <row r="28" spans="1:32" x14ac:dyDescent="0.3">
      <c r="A28" t="s">
        <v>351</v>
      </c>
      <c r="B28" t="s">
        <v>48</v>
      </c>
      <c r="C28" t="s">
        <v>68</v>
      </c>
      <c r="D28" t="s">
        <v>310</v>
      </c>
      <c r="E28" t="s">
        <v>1047</v>
      </c>
      <c r="F28" s="15">
        <v>46226.405069444445</v>
      </c>
      <c r="G28" t="s">
        <v>411</v>
      </c>
      <c r="H28">
        <v>2</v>
      </c>
      <c r="I28" t="s">
        <v>1048</v>
      </c>
      <c r="J28" s="15">
        <v>46226.479988425926</v>
      </c>
      <c r="K28" s="15">
        <v>46230.652777777781</v>
      </c>
      <c r="L28" s="15"/>
      <c r="M28">
        <v>2</v>
      </c>
      <c r="O28" t="s">
        <v>201</v>
      </c>
      <c r="P28" t="s">
        <v>531</v>
      </c>
      <c r="S28" t="s">
        <v>363</v>
      </c>
      <c r="T28" t="s">
        <v>378</v>
      </c>
      <c r="U28" t="s">
        <v>239</v>
      </c>
      <c r="V28" t="s">
        <v>351</v>
      </c>
      <c r="W28" t="s">
        <v>378</v>
      </c>
      <c r="X28" t="s">
        <v>239</v>
      </c>
      <c r="Y28">
        <v>0</v>
      </c>
      <c r="AA28" t="s">
        <v>90</v>
      </c>
      <c r="AB28" t="s">
        <v>363</v>
      </c>
      <c r="AC28">
        <v>101</v>
      </c>
      <c r="AD28" t="s">
        <v>217</v>
      </c>
      <c r="AE28">
        <v>1</v>
      </c>
      <c r="AF28">
        <v>1</v>
      </c>
    </row>
    <row r="29" spans="1:32" x14ac:dyDescent="0.3">
      <c r="A29" t="s">
        <v>351</v>
      </c>
      <c r="B29" t="s">
        <v>43</v>
      </c>
      <c r="C29" t="s">
        <v>105</v>
      </c>
      <c r="D29" t="s">
        <v>310</v>
      </c>
      <c r="E29" t="s">
        <v>1025</v>
      </c>
      <c r="F29" s="15">
        <v>46244.369768518518</v>
      </c>
      <c r="G29" t="s">
        <v>412</v>
      </c>
      <c r="H29">
        <v>4</v>
      </c>
      <c r="I29" t="s">
        <v>1026</v>
      </c>
      <c r="J29" s="15">
        <v>46244.668749999997</v>
      </c>
      <c r="K29" s="15">
        <v>46246.443055555559</v>
      </c>
      <c r="L29" s="15"/>
      <c r="M29">
        <v>4</v>
      </c>
      <c r="O29" t="s">
        <v>201</v>
      </c>
      <c r="P29" t="s">
        <v>532</v>
      </c>
      <c r="S29" t="s">
        <v>360</v>
      </c>
      <c r="T29" t="s">
        <v>378</v>
      </c>
      <c r="U29" t="s">
        <v>239</v>
      </c>
      <c r="V29" t="s">
        <v>351</v>
      </c>
      <c r="W29" t="s">
        <v>378</v>
      </c>
      <c r="X29" t="s">
        <v>239</v>
      </c>
      <c r="Y29">
        <v>0</v>
      </c>
      <c r="AA29" t="s">
        <v>67</v>
      </c>
      <c r="AB29" t="s">
        <v>360</v>
      </c>
      <c r="AC29">
        <v>50</v>
      </c>
      <c r="AD29" t="s">
        <v>217</v>
      </c>
      <c r="AE29">
        <v>1</v>
      </c>
      <c r="AF29">
        <v>1</v>
      </c>
    </row>
    <row r="30" spans="1:32" x14ac:dyDescent="0.3">
      <c r="A30" t="s">
        <v>351</v>
      </c>
      <c r="B30" t="s">
        <v>48</v>
      </c>
      <c r="C30" t="s">
        <v>68</v>
      </c>
      <c r="D30" t="s">
        <v>310</v>
      </c>
      <c r="E30" t="s">
        <v>1181</v>
      </c>
      <c r="F30" s="15">
        <v>46244.381539351853</v>
      </c>
      <c r="G30" t="s">
        <v>412</v>
      </c>
      <c r="H30">
        <v>1</v>
      </c>
      <c r="I30" t="s">
        <v>1182</v>
      </c>
      <c r="J30" s="15">
        <v>46244.708368055559</v>
      </c>
      <c r="K30" s="15">
        <v>46246.443055555559</v>
      </c>
      <c r="L30" s="15"/>
      <c r="M30">
        <v>1</v>
      </c>
      <c r="O30" t="s">
        <v>201</v>
      </c>
      <c r="P30" t="s">
        <v>531</v>
      </c>
      <c r="S30" t="s">
        <v>360</v>
      </c>
      <c r="T30" t="s">
        <v>378</v>
      </c>
      <c r="U30" t="s">
        <v>239</v>
      </c>
      <c r="V30" t="s">
        <v>351</v>
      </c>
      <c r="W30" t="s">
        <v>378</v>
      </c>
      <c r="X30" t="s">
        <v>239</v>
      </c>
      <c r="AA30" t="s">
        <v>90</v>
      </c>
      <c r="AB30" t="s">
        <v>360</v>
      </c>
      <c r="AC30">
        <v>50</v>
      </c>
      <c r="AD30" t="s">
        <v>217</v>
      </c>
      <c r="AE30">
        <v>1</v>
      </c>
    </row>
    <row r="31" spans="1:32" x14ac:dyDescent="0.3">
      <c r="A31" t="s">
        <v>351</v>
      </c>
      <c r="B31" t="s">
        <v>43</v>
      </c>
      <c r="C31" t="s">
        <v>105</v>
      </c>
      <c r="D31" t="s">
        <v>310</v>
      </c>
      <c r="E31" t="s">
        <v>1037</v>
      </c>
      <c r="F31" s="15">
        <v>46227.579050925924</v>
      </c>
      <c r="G31" t="s">
        <v>412</v>
      </c>
      <c r="H31">
        <v>2</v>
      </c>
      <c r="I31" t="s">
        <v>1038</v>
      </c>
      <c r="J31" s="15">
        <v>46227.624965277777</v>
      </c>
      <c r="K31" s="15">
        <v>46231.416666666664</v>
      </c>
      <c r="L31" s="15"/>
      <c r="M31">
        <v>2</v>
      </c>
      <c r="O31" t="s">
        <v>201</v>
      </c>
      <c r="P31" t="s">
        <v>532</v>
      </c>
      <c r="S31" t="s">
        <v>360</v>
      </c>
      <c r="T31" t="s">
        <v>378</v>
      </c>
      <c r="U31" t="s">
        <v>239</v>
      </c>
      <c r="V31" t="s">
        <v>351</v>
      </c>
      <c r="W31" t="s">
        <v>378</v>
      </c>
      <c r="X31" t="s">
        <v>239</v>
      </c>
      <c r="Y31">
        <v>0</v>
      </c>
      <c r="AA31" t="s">
        <v>67</v>
      </c>
      <c r="AB31" t="s">
        <v>360</v>
      </c>
      <c r="AC31">
        <v>50</v>
      </c>
      <c r="AD31" t="s">
        <v>217</v>
      </c>
      <c r="AE31">
        <v>1</v>
      </c>
      <c r="AF31">
        <v>1</v>
      </c>
    </row>
    <row r="32" spans="1:32" x14ac:dyDescent="0.3">
      <c r="A32" t="s">
        <v>351</v>
      </c>
      <c r="B32" t="s">
        <v>47</v>
      </c>
      <c r="C32" t="s">
        <v>68</v>
      </c>
      <c r="D32" t="s">
        <v>310</v>
      </c>
      <c r="E32" t="s">
        <v>962</v>
      </c>
      <c r="F32" s="15">
        <v>46240.53496527778</v>
      </c>
      <c r="G32" t="s">
        <v>411</v>
      </c>
      <c r="H32">
        <v>1</v>
      </c>
      <c r="I32" t="s">
        <v>963</v>
      </c>
      <c r="J32" s="15">
        <v>46240.617361111108</v>
      </c>
      <c r="K32" s="15">
        <v>46241.430555555555</v>
      </c>
      <c r="L32" s="15"/>
      <c r="M32">
        <v>2</v>
      </c>
      <c r="O32" t="s">
        <v>146</v>
      </c>
      <c r="P32" t="s">
        <v>532</v>
      </c>
      <c r="S32" t="s">
        <v>360</v>
      </c>
      <c r="T32" t="s">
        <v>378</v>
      </c>
      <c r="U32" t="s">
        <v>239</v>
      </c>
      <c r="V32" t="s">
        <v>351</v>
      </c>
      <c r="W32" t="s">
        <v>378</v>
      </c>
      <c r="X32" t="s">
        <v>239</v>
      </c>
      <c r="Y32">
        <v>0</v>
      </c>
      <c r="AA32" t="s">
        <v>90</v>
      </c>
      <c r="AB32" t="s">
        <v>360</v>
      </c>
      <c r="AC32">
        <v>50</v>
      </c>
      <c r="AD32" t="s">
        <v>218</v>
      </c>
      <c r="AE32">
        <v>1</v>
      </c>
      <c r="AF32">
        <v>1</v>
      </c>
    </row>
    <row r="33" spans="1:32" x14ac:dyDescent="0.3">
      <c r="A33" t="s">
        <v>351</v>
      </c>
      <c r="B33" t="s">
        <v>45</v>
      </c>
      <c r="C33" t="s">
        <v>68</v>
      </c>
      <c r="D33" t="s">
        <v>310</v>
      </c>
      <c r="E33" t="s">
        <v>954</v>
      </c>
      <c r="F33" s="15">
        <v>46238.415856481479</v>
      </c>
      <c r="G33" t="s">
        <v>419</v>
      </c>
      <c r="H33">
        <v>3</v>
      </c>
      <c r="I33" t="s">
        <v>955</v>
      </c>
      <c r="J33" s="15">
        <v>46238.662499999999</v>
      </c>
      <c r="K33" s="15">
        <v>46240.430555555555</v>
      </c>
      <c r="L33" s="15"/>
      <c r="M33">
        <v>3</v>
      </c>
      <c r="O33" t="s">
        <v>201</v>
      </c>
      <c r="P33" t="s">
        <v>531</v>
      </c>
      <c r="S33" t="s">
        <v>360</v>
      </c>
      <c r="T33" t="s">
        <v>378</v>
      </c>
      <c r="U33" t="s">
        <v>239</v>
      </c>
      <c r="V33" t="s">
        <v>351</v>
      </c>
      <c r="W33" t="s">
        <v>378</v>
      </c>
      <c r="X33" t="s">
        <v>239</v>
      </c>
      <c r="Y33">
        <v>0</v>
      </c>
      <c r="AA33" t="s">
        <v>67</v>
      </c>
      <c r="AB33" t="s">
        <v>360</v>
      </c>
      <c r="AC33">
        <v>50</v>
      </c>
      <c r="AD33" t="s">
        <v>217</v>
      </c>
      <c r="AE33">
        <v>1</v>
      </c>
      <c r="AF33">
        <v>1</v>
      </c>
    </row>
    <row r="34" spans="1:32" x14ac:dyDescent="0.3">
      <c r="A34" t="s">
        <v>351</v>
      </c>
      <c r="B34" t="s">
        <v>45</v>
      </c>
      <c r="C34" t="s">
        <v>68</v>
      </c>
      <c r="D34" t="s">
        <v>310</v>
      </c>
      <c r="E34" t="s">
        <v>956</v>
      </c>
      <c r="F34" s="15">
        <v>46238.416307870371</v>
      </c>
      <c r="G34" t="s">
        <v>419</v>
      </c>
      <c r="H34">
        <v>10</v>
      </c>
      <c r="I34" t="s">
        <v>957</v>
      </c>
      <c r="J34" s="15">
        <v>46238.654166666667</v>
      </c>
      <c r="K34" s="15">
        <v>46240.430555555555</v>
      </c>
      <c r="L34" s="15"/>
      <c r="M34">
        <v>10</v>
      </c>
      <c r="O34" t="s">
        <v>201</v>
      </c>
      <c r="P34" t="s">
        <v>531</v>
      </c>
      <c r="S34" t="s">
        <v>360</v>
      </c>
      <c r="T34" t="s">
        <v>378</v>
      </c>
      <c r="U34" t="s">
        <v>239</v>
      </c>
      <c r="V34" t="s">
        <v>351</v>
      </c>
      <c r="W34" t="s">
        <v>378</v>
      </c>
      <c r="X34" t="s">
        <v>239</v>
      </c>
      <c r="AA34" t="s">
        <v>67</v>
      </c>
      <c r="AB34" t="s">
        <v>360</v>
      </c>
      <c r="AC34">
        <v>50</v>
      </c>
      <c r="AD34" t="s">
        <v>217</v>
      </c>
      <c r="AE34">
        <v>1</v>
      </c>
    </row>
    <row r="35" spans="1:32" x14ac:dyDescent="0.3">
      <c r="A35" t="s">
        <v>351</v>
      </c>
      <c r="B35" t="s">
        <v>45</v>
      </c>
      <c r="C35" t="s">
        <v>68</v>
      </c>
      <c r="D35" t="s">
        <v>310</v>
      </c>
      <c r="E35" t="s">
        <v>958</v>
      </c>
      <c r="F35" s="15">
        <v>46238.415497685186</v>
      </c>
      <c r="G35" t="s">
        <v>419</v>
      </c>
      <c r="H35">
        <v>9</v>
      </c>
      <c r="I35" t="s">
        <v>959</v>
      </c>
      <c r="J35" s="15">
        <v>46238.628472222219</v>
      </c>
      <c r="K35" s="15">
        <v>46240.430555555555</v>
      </c>
      <c r="L35" s="15"/>
      <c r="M35">
        <v>9</v>
      </c>
      <c r="O35" t="s">
        <v>201</v>
      </c>
      <c r="P35" t="s">
        <v>531</v>
      </c>
      <c r="S35" t="s">
        <v>360</v>
      </c>
      <c r="T35" t="s">
        <v>378</v>
      </c>
      <c r="U35" t="s">
        <v>239</v>
      </c>
      <c r="V35" t="s">
        <v>351</v>
      </c>
      <c r="W35" t="s">
        <v>378</v>
      </c>
      <c r="X35" t="s">
        <v>239</v>
      </c>
      <c r="AA35" t="s">
        <v>67</v>
      </c>
      <c r="AB35" t="s">
        <v>360</v>
      </c>
      <c r="AC35">
        <v>50</v>
      </c>
      <c r="AD35" t="s">
        <v>217</v>
      </c>
      <c r="AE35">
        <v>1</v>
      </c>
    </row>
    <row r="36" spans="1:32" x14ac:dyDescent="0.3">
      <c r="A36" t="s">
        <v>351</v>
      </c>
      <c r="B36" t="s">
        <v>45</v>
      </c>
      <c r="C36" t="s">
        <v>68</v>
      </c>
      <c r="D36" t="s">
        <v>310</v>
      </c>
      <c r="E36" t="s">
        <v>960</v>
      </c>
      <c r="F36" s="15">
        <v>46237.469942129632</v>
      </c>
      <c r="G36" t="s">
        <v>412</v>
      </c>
      <c r="H36">
        <v>1</v>
      </c>
      <c r="I36" t="s">
        <v>961</v>
      </c>
      <c r="J36" s="15">
        <v>46240.430555555555</v>
      </c>
      <c r="K36" s="15">
        <v>46240.388888888891</v>
      </c>
      <c r="L36" s="15"/>
      <c r="M36">
        <v>1</v>
      </c>
      <c r="O36" t="s">
        <v>201</v>
      </c>
      <c r="P36" t="s">
        <v>532</v>
      </c>
      <c r="S36" t="s">
        <v>360</v>
      </c>
      <c r="T36" t="s">
        <v>378</v>
      </c>
      <c r="U36" t="s">
        <v>239</v>
      </c>
      <c r="V36" t="s">
        <v>351</v>
      </c>
      <c r="W36" t="s">
        <v>378</v>
      </c>
      <c r="X36" t="s">
        <v>239</v>
      </c>
      <c r="Y36">
        <v>0</v>
      </c>
      <c r="AA36" t="s">
        <v>67</v>
      </c>
      <c r="AB36" t="s">
        <v>360</v>
      </c>
      <c r="AC36">
        <v>50</v>
      </c>
      <c r="AD36" t="s">
        <v>217</v>
      </c>
      <c r="AE36">
        <v>1</v>
      </c>
    </row>
    <row r="37" spans="1:32" x14ac:dyDescent="0.3">
      <c r="A37" t="s">
        <v>351</v>
      </c>
      <c r="B37" t="s">
        <v>48</v>
      </c>
      <c r="C37" t="s">
        <v>68</v>
      </c>
      <c r="D37" t="s">
        <v>310</v>
      </c>
      <c r="E37" t="s">
        <v>1002</v>
      </c>
      <c r="F37" s="15">
        <v>46233.385277777779</v>
      </c>
      <c r="G37" t="s">
        <v>412</v>
      </c>
      <c r="H37">
        <v>1</v>
      </c>
      <c r="I37" t="s">
        <v>1003</v>
      </c>
      <c r="J37" s="15">
        <v>46239.651388888888</v>
      </c>
      <c r="K37" s="15">
        <v>46240.420138888891</v>
      </c>
      <c r="L37" s="15"/>
      <c r="M37">
        <v>1</v>
      </c>
      <c r="O37" t="s">
        <v>201</v>
      </c>
      <c r="P37" t="s">
        <v>532</v>
      </c>
      <c r="S37" t="s">
        <v>360</v>
      </c>
      <c r="T37" t="s">
        <v>378</v>
      </c>
      <c r="U37" t="s">
        <v>239</v>
      </c>
      <c r="V37" t="s">
        <v>351</v>
      </c>
      <c r="W37" t="s">
        <v>378</v>
      </c>
      <c r="X37" t="s">
        <v>239</v>
      </c>
      <c r="Y37">
        <v>0</v>
      </c>
      <c r="AA37" t="s">
        <v>90</v>
      </c>
      <c r="AB37" t="s">
        <v>360</v>
      </c>
      <c r="AC37">
        <v>50</v>
      </c>
      <c r="AD37" t="s">
        <v>217</v>
      </c>
      <c r="AE37">
        <v>1</v>
      </c>
    </row>
    <row r="38" spans="1:32" x14ac:dyDescent="0.3">
      <c r="A38" t="s">
        <v>351</v>
      </c>
      <c r="B38" t="s">
        <v>45</v>
      </c>
      <c r="C38" t="s">
        <v>68</v>
      </c>
      <c r="D38" t="s">
        <v>310</v>
      </c>
      <c r="E38" t="s">
        <v>1061</v>
      </c>
      <c r="F38" s="15">
        <v>46225.311331018522</v>
      </c>
      <c r="G38" t="s">
        <v>409</v>
      </c>
      <c r="H38">
        <v>3</v>
      </c>
      <c r="I38" t="s">
        <v>1062</v>
      </c>
      <c r="J38" s="15">
        <v>46225.67083333333</v>
      </c>
      <c r="K38" s="15">
        <v>46227.42291666667</v>
      </c>
      <c r="L38" s="15"/>
      <c r="M38">
        <v>3</v>
      </c>
      <c r="O38" t="s">
        <v>201</v>
      </c>
      <c r="P38" t="s">
        <v>531</v>
      </c>
      <c r="S38" t="s">
        <v>360</v>
      </c>
      <c r="T38" t="s">
        <v>378</v>
      </c>
      <c r="U38" t="s">
        <v>239</v>
      </c>
      <c r="V38" t="s">
        <v>351</v>
      </c>
      <c r="W38" t="s">
        <v>378</v>
      </c>
      <c r="X38" t="s">
        <v>239</v>
      </c>
      <c r="Y38">
        <v>0</v>
      </c>
      <c r="AA38" t="s">
        <v>67</v>
      </c>
      <c r="AB38" t="s">
        <v>360</v>
      </c>
      <c r="AC38">
        <v>50</v>
      </c>
      <c r="AD38" t="s">
        <v>217</v>
      </c>
      <c r="AE38">
        <v>1</v>
      </c>
      <c r="AF38">
        <v>1</v>
      </c>
    </row>
    <row r="39" spans="1:32" x14ac:dyDescent="0.3">
      <c r="A39" t="s">
        <v>351</v>
      </c>
      <c r="B39" t="s">
        <v>45</v>
      </c>
      <c r="C39" t="s">
        <v>68</v>
      </c>
      <c r="D39" t="s">
        <v>310</v>
      </c>
      <c r="E39" t="s">
        <v>1063</v>
      </c>
      <c r="F39" s="15">
        <v>46225.310555555552</v>
      </c>
      <c r="G39" t="s">
        <v>409</v>
      </c>
      <c r="H39">
        <v>4</v>
      </c>
      <c r="I39" t="s">
        <v>1062</v>
      </c>
      <c r="J39" s="15">
        <v>46225.67083333333</v>
      </c>
      <c r="K39" s="15">
        <v>46227.42291666667</v>
      </c>
      <c r="L39" s="15"/>
      <c r="M39">
        <v>4</v>
      </c>
      <c r="O39" t="s">
        <v>201</v>
      </c>
      <c r="P39" t="s">
        <v>531</v>
      </c>
      <c r="S39" t="s">
        <v>360</v>
      </c>
      <c r="T39" t="s">
        <v>378</v>
      </c>
      <c r="U39" t="s">
        <v>239</v>
      </c>
      <c r="V39" t="s">
        <v>351</v>
      </c>
      <c r="W39" t="s">
        <v>378</v>
      </c>
      <c r="X39" t="s">
        <v>239</v>
      </c>
      <c r="AA39" t="s">
        <v>67</v>
      </c>
      <c r="AB39" t="s">
        <v>360</v>
      </c>
      <c r="AC39">
        <v>50</v>
      </c>
      <c r="AD39" t="s">
        <v>217</v>
      </c>
      <c r="AE39">
        <v>1</v>
      </c>
    </row>
    <row r="40" spans="1:32" x14ac:dyDescent="0.3">
      <c r="A40" t="s">
        <v>351</v>
      </c>
      <c r="B40" t="s">
        <v>48</v>
      </c>
      <c r="C40" t="s">
        <v>68</v>
      </c>
      <c r="D40" t="s">
        <v>310</v>
      </c>
      <c r="E40" t="s">
        <v>1093</v>
      </c>
      <c r="F40" s="15">
        <v>46225.384560185186</v>
      </c>
      <c r="G40" t="s">
        <v>412</v>
      </c>
      <c r="H40">
        <v>1</v>
      </c>
      <c r="I40" t="s">
        <v>1094</v>
      </c>
      <c r="J40" s="15">
        <v>46225.698611111111</v>
      </c>
      <c r="K40" s="15">
        <v>46227.40347222222</v>
      </c>
      <c r="L40" s="15"/>
      <c r="M40">
        <v>1</v>
      </c>
      <c r="O40" t="s">
        <v>201</v>
      </c>
      <c r="P40" t="s">
        <v>531</v>
      </c>
      <c r="S40" t="s">
        <v>360</v>
      </c>
      <c r="T40" t="s">
        <v>378</v>
      </c>
      <c r="U40" t="s">
        <v>239</v>
      </c>
      <c r="V40" t="s">
        <v>351</v>
      </c>
      <c r="W40" t="s">
        <v>378</v>
      </c>
      <c r="X40" t="s">
        <v>239</v>
      </c>
      <c r="AA40" t="s">
        <v>90</v>
      </c>
      <c r="AB40" t="s">
        <v>360</v>
      </c>
      <c r="AC40">
        <v>50</v>
      </c>
      <c r="AD40" t="s">
        <v>217</v>
      </c>
      <c r="AE40">
        <v>1</v>
      </c>
    </row>
    <row r="41" spans="1:32" x14ac:dyDescent="0.3">
      <c r="A41" t="s">
        <v>351</v>
      </c>
      <c r="B41" t="s">
        <v>48</v>
      </c>
      <c r="C41" t="s">
        <v>68</v>
      </c>
      <c r="D41" t="s">
        <v>310</v>
      </c>
      <c r="E41" t="s">
        <v>1070</v>
      </c>
      <c r="F41" s="15">
        <v>46225.554189814815</v>
      </c>
      <c r="G41" t="s">
        <v>412</v>
      </c>
      <c r="H41">
        <v>1</v>
      </c>
      <c r="I41" t="s">
        <v>1071</v>
      </c>
      <c r="J41" s="15">
        <v>46225.708333333336</v>
      </c>
      <c r="K41" s="15">
        <v>46227.40347222222</v>
      </c>
      <c r="L41" s="15"/>
      <c r="M41">
        <v>1</v>
      </c>
      <c r="O41" t="s">
        <v>201</v>
      </c>
      <c r="P41" t="s">
        <v>531</v>
      </c>
      <c r="S41" t="s">
        <v>360</v>
      </c>
      <c r="T41" t="s">
        <v>378</v>
      </c>
      <c r="U41" t="s">
        <v>239</v>
      </c>
      <c r="V41" t="s">
        <v>351</v>
      </c>
      <c r="W41" t="s">
        <v>378</v>
      </c>
      <c r="X41" t="s">
        <v>239</v>
      </c>
      <c r="AA41" t="s">
        <v>90</v>
      </c>
      <c r="AB41" t="s">
        <v>360</v>
      </c>
      <c r="AC41">
        <v>50</v>
      </c>
      <c r="AD41" t="s">
        <v>217</v>
      </c>
      <c r="AE41">
        <v>1</v>
      </c>
    </row>
    <row r="42" spans="1:32" x14ac:dyDescent="0.3">
      <c r="A42" t="s">
        <v>351</v>
      </c>
      <c r="B42" t="s">
        <v>43</v>
      </c>
      <c r="C42" t="s">
        <v>105</v>
      </c>
      <c r="D42" t="s">
        <v>310</v>
      </c>
      <c r="E42" t="s">
        <v>1091</v>
      </c>
      <c r="F42" s="15">
        <v>46226.328611111108</v>
      </c>
      <c r="G42" t="s">
        <v>412</v>
      </c>
      <c r="H42">
        <v>6</v>
      </c>
      <c r="I42" t="s">
        <v>1092</v>
      </c>
      <c r="J42" s="15">
        <v>46226.431250000001</v>
      </c>
      <c r="K42" s="15">
        <v>46227.40347222222</v>
      </c>
      <c r="L42" s="15"/>
      <c r="M42">
        <v>6</v>
      </c>
      <c r="O42" t="s">
        <v>201</v>
      </c>
      <c r="P42" t="s">
        <v>532</v>
      </c>
      <c r="S42" t="s">
        <v>360</v>
      </c>
      <c r="T42" t="s">
        <v>378</v>
      </c>
      <c r="U42" t="s">
        <v>239</v>
      </c>
      <c r="V42" t="s">
        <v>351</v>
      </c>
      <c r="W42" t="s">
        <v>378</v>
      </c>
      <c r="X42" t="s">
        <v>239</v>
      </c>
      <c r="AA42" t="s">
        <v>67</v>
      </c>
      <c r="AB42" t="s">
        <v>360</v>
      </c>
      <c r="AC42">
        <v>50</v>
      </c>
      <c r="AD42" t="s">
        <v>217</v>
      </c>
      <c r="AE42">
        <v>1</v>
      </c>
    </row>
    <row r="43" spans="1:32" x14ac:dyDescent="0.3">
      <c r="A43" t="s">
        <v>351</v>
      </c>
      <c r="B43" t="s">
        <v>48</v>
      </c>
      <c r="C43" t="s">
        <v>68</v>
      </c>
      <c r="D43" t="s">
        <v>310</v>
      </c>
      <c r="E43" t="s">
        <v>995</v>
      </c>
      <c r="F43" s="15">
        <v>46252.400995370372</v>
      </c>
      <c r="G43" t="s">
        <v>412</v>
      </c>
      <c r="H43">
        <v>1</v>
      </c>
      <c r="I43" t="s">
        <v>996</v>
      </c>
      <c r="J43" s="15">
        <v>46253.65</v>
      </c>
      <c r="K43" s="15">
        <v>46254.420138888891</v>
      </c>
      <c r="L43" s="15"/>
      <c r="M43">
        <v>1</v>
      </c>
      <c r="O43" t="s">
        <v>201</v>
      </c>
      <c r="P43" t="s">
        <v>532</v>
      </c>
      <c r="S43" t="s">
        <v>360</v>
      </c>
      <c r="T43" t="s">
        <v>378</v>
      </c>
      <c r="U43" t="s">
        <v>239</v>
      </c>
      <c r="V43" t="s">
        <v>351</v>
      </c>
      <c r="W43" t="s">
        <v>378</v>
      </c>
      <c r="X43" t="s">
        <v>239</v>
      </c>
      <c r="Y43">
        <v>0</v>
      </c>
      <c r="AA43" t="s">
        <v>90</v>
      </c>
      <c r="AB43" t="s">
        <v>360</v>
      </c>
      <c r="AC43">
        <v>50</v>
      </c>
      <c r="AD43" t="s">
        <v>217</v>
      </c>
      <c r="AE43">
        <v>1</v>
      </c>
      <c r="AF43">
        <v>1</v>
      </c>
    </row>
    <row r="44" spans="1:32" x14ac:dyDescent="0.3">
      <c r="A44" t="s">
        <v>351</v>
      </c>
      <c r="B44" t="s">
        <v>48</v>
      </c>
      <c r="C44" t="s">
        <v>68</v>
      </c>
      <c r="D44" t="s">
        <v>310</v>
      </c>
      <c r="E44" t="s">
        <v>995</v>
      </c>
      <c r="F44" s="15">
        <v>46252.400995370372</v>
      </c>
      <c r="G44" t="s">
        <v>412</v>
      </c>
      <c r="H44">
        <v>1</v>
      </c>
      <c r="I44" t="s">
        <v>997</v>
      </c>
      <c r="J44" s="15">
        <v>46253.374305555553</v>
      </c>
      <c r="K44" s="15">
        <v>46254.420138888891</v>
      </c>
      <c r="L44" s="15"/>
      <c r="M44">
        <v>1</v>
      </c>
      <c r="O44" t="s">
        <v>201</v>
      </c>
      <c r="P44" t="s">
        <v>531</v>
      </c>
      <c r="S44" t="s">
        <v>360</v>
      </c>
      <c r="T44" t="s">
        <v>378</v>
      </c>
      <c r="U44" t="s">
        <v>239</v>
      </c>
      <c r="V44" t="s">
        <v>351</v>
      </c>
      <c r="W44" t="s">
        <v>378</v>
      </c>
      <c r="X44" t="s">
        <v>239</v>
      </c>
      <c r="AA44" t="s">
        <v>90</v>
      </c>
      <c r="AB44" t="s">
        <v>360</v>
      </c>
      <c r="AC44">
        <v>50</v>
      </c>
      <c r="AD44" t="s">
        <v>217</v>
      </c>
      <c r="AE44">
        <v>1</v>
      </c>
    </row>
    <row r="45" spans="1:32" x14ac:dyDescent="0.3">
      <c r="A45" t="s">
        <v>351</v>
      </c>
      <c r="B45" t="s">
        <v>48</v>
      </c>
      <c r="C45" t="s">
        <v>68</v>
      </c>
      <c r="D45" t="s">
        <v>310</v>
      </c>
      <c r="E45" t="s">
        <v>998</v>
      </c>
      <c r="F45" s="15">
        <v>46251.60728009259</v>
      </c>
      <c r="G45" t="s">
        <v>412</v>
      </c>
      <c r="H45">
        <v>1</v>
      </c>
      <c r="I45" t="s">
        <v>999</v>
      </c>
      <c r="J45" s="15">
        <v>46252.679166666669</v>
      </c>
      <c r="K45" s="15">
        <v>46254.420138888891</v>
      </c>
      <c r="L45" s="15"/>
      <c r="M45">
        <v>1</v>
      </c>
      <c r="O45" t="s">
        <v>201</v>
      </c>
      <c r="P45" t="s">
        <v>531</v>
      </c>
      <c r="S45" t="s">
        <v>360</v>
      </c>
      <c r="T45" t="s">
        <v>378</v>
      </c>
      <c r="U45" t="s">
        <v>239</v>
      </c>
      <c r="V45" t="s">
        <v>351</v>
      </c>
      <c r="W45" t="s">
        <v>378</v>
      </c>
      <c r="X45" t="s">
        <v>239</v>
      </c>
      <c r="Y45">
        <v>0</v>
      </c>
      <c r="AA45" t="s">
        <v>90</v>
      </c>
      <c r="AB45" t="s">
        <v>360</v>
      </c>
      <c r="AC45">
        <v>50</v>
      </c>
      <c r="AD45" t="s">
        <v>217</v>
      </c>
      <c r="AE45">
        <v>1</v>
      </c>
    </row>
    <row r="46" spans="1:32" x14ac:dyDescent="0.3">
      <c r="A46" t="s">
        <v>351</v>
      </c>
      <c r="B46" t="s">
        <v>48</v>
      </c>
      <c r="C46" t="s">
        <v>68</v>
      </c>
      <c r="D46" t="s">
        <v>310</v>
      </c>
      <c r="E46" t="s">
        <v>1000</v>
      </c>
      <c r="F46" s="15">
        <v>46237.403981481482</v>
      </c>
      <c r="G46" t="s">
        <v>412</v>
      </c>
      <c r="H46">
        <v>1</v>
      </c>
      <c r="I46" t="s">
        <v>1001</v>
      </c>
      <c r="J46" s="15">
        <v>46237.502083333333</v>
      </c>
      <c r="K46" s="15">
        <v>46239.458333333336</v>
      </c>
      <c r="L46" s="15"/>
      <c r="M46">
        <v>1</v>
      </c>
      <c r="O46" t="s">
        <v>201</v>
      </c>
      <c r="P46" t="s">
        <v>531</v>
      </c>
      <c r="S46" t="s">
        <v>360</v>
      </c>
      <c r="T46" t="s">
        <v>378</v>
      </c>
      <c r="U46" t="s">
        <v>239</v>
      </c>
      <c r="V46" t="s">
        <v>351</v>
      </c>
      <c r="W46" t="s">
        <v>378</v>
      </c>
      <c r="X46" t="s">
        <v>239</v>
      </c>
      <c r="Y46">
        <v>0</v>
      </c>
      <c r="AA46" t="s">
        <v>90</v>
      </c>
      <c r="AB46" t="s">
        <v>360</v>
      </c>
      <c r="AC46">
        <v>50</v>
      </c>
      <c r="AD46" t="s">
        <v>217</v>
      </c>
      <c r="AE46">
        <v>1</v>
      </c>
      <c r="AF46">
        <v>1</v>
      </c>
    </row>
    <row r="47" spans="1:32" x14ac:dyDescent="0.3">
      <c r="A47" t="s">
        <v>351</v>
      </c>
      <c r="B47" t="s">
        <v>48</v>
      </c>
      <c r="C47" t="s">
        <v>68</v>
      </c>
      <c r="D47" t="s">
        <v>310</v>
      </c>
      <c r="E47" t="s">
        <v>1004</v>
      </c>
      <c r="F47" s="15">
        <v>46245.504618055558</v>
      </c>
      <c r="G47" t="s">
        <v>412</v>
      </c>
      <c r="H47">
        <v>1</v>
      </c>
      <c r="I47" t="s">
        <v>1005</v>
      </c>
      <c r="J47" s="15">
        <v>46251.37777777778</v>
      </c>
      <c r="K47" s="15">
        <v>46252.390972222223</v>
      </c>
      <c r="L47" s="15"/>
      <c r="M47">
        <v>1</v>
      </c>
      <c r="O47" t="s">
        <v>201</v>
      </c>
      <c r="P47" t="s">
        <v>531</v>
      </c>
      <c r="S47" t="s">
        <v>360</v>
      </c>
      <c r="T47" t="s">
        <v>378</v>
      </c>
      <c r="U47" t="s">
        <v>239</v>
      </c>
      <c r="V47" t="s">
        <v>351</v>
      </c>
      <c r="W47" t="s">
        <v>378</v>
      </c>
      <c r="X47" t="s">
        <v>239</v>
      </c>
      <c r="Y47">
        <v>0</v>
      </c>
      <c r="AA47" t="s">
        <v>90</v>
      </c>
      <c r="AB47" t="s">
        <v>360</v>
      </c>
      <c r="AC47">
        <v>50</v>
      </c>
      <c r="AD47" t="s">
        <v>217</v>
      </c>
      <c r="AE47">
        <v>1</v>
      </c>
      <c r="AF47">
        <v>1</v>
      </c>
    </row>
    <row r="48" spans="1:32" x14ac:dyDescent="0.3">
      <c r="A48" t="s">
        <v>351</v>
      </c>
      <c r="B48" t="s">
        <v>48</v>
      </c>
      <c r="C48" t="s">
        <v>68</v>
      </c>
      <c r="D48" t="s">
        <v>310</v>
      </c>
      <c r="E48" t="s">
        <v>1051</v>
      </c>
      <c r="F48" s="15">
        <v>46224.674085648148</v>
      </c>
      <c r="G48" t="s">
        <v>412</v>
      </c>
      <c r="H48">
        <v>1</v>
      </c>
      <c r="I48" t="s">
        <v>1052</v>
      </c>
      <c r="J48" s="15">
        <v>46226.561562499999</v>
      </c>
      <c r="K48" s="15">
        <v>46230.489583333336</v>
      </c>
      <c r="L48" s="15"/>
      <c r="M48">
        <v>1</v>
      </c>
      <c r="O48" t="s">
        <v>201</v>
      </c>
      <c r="P48" t="s">
        <v>531</v>
      </c>
      <c r="S48" t="s">
        <v>360</v>
      </c>
      <c r="T48" t="s">
        <v>378</v>
      </c>
      <c r="U48" t="s">
        <v>239</v>
      </c>
      <c r="V48" t="s">
        <v>351</v>
      </c>
      <c r="W48" t="s">
        <v>378</v>
      </c>
      <c r="X48" t="s">
        <v>239</v>
      </c>
      <c r="Y48">
        <v>0</v>
      </c>
      <c r="AA48" t="s">
        <v>90</v>
      </c>
      <c r="AB48" t="s">
        <v>360</v>
      </c>
      <c r="AC48">
        <v>50</v>
      </c>
      <c r="AD48" t="s">
        <v>217</v>
      </c>
      <c r="AE48">
        <v>1</v>
      </c>
      <c r="AF48">
        <v>1</v>
      </c>
    </row>
    <row r="49" spans="1:32" x14ac:dyDescent="0.3">
      <c r="A49" t="s">
        <v>351</v>
      </c>
      <c r="B49" t="s">
        <v>48</v>
      </c>
      <c r="C49" t="s">
        <v>68</v>
      </c>
      <c r="D49" t="s">
        <v>310</v>
      </c>
      <c r="E49" t="s">
        <v>1057</v>
      </c>
      <c r="F49" s="15">
        <v>46220.546053240738</v>
      </c>
      <c r="G49" t="s">
        <v>412</v>
      </c>
      <c r="H49">
        <v>1</v>
      </c>
      <c r="I49" t="s">
        <v>1058</v>
      </c>
      <c r="J49" s="15">
        <v>46224.709398148145</v>
      </c>
      <c r="K49" s="15">
        <v>46226.411805555559</v>
      </c>
      <c r="L49" s="15"/>
      <c r="M49">
        <v>1</v>
      </c>
      <c r="O49" t="s">
        <v>201</v>
      </c>
      <c r="P49" t="s">
        <v>531</v>
      </c>
      <c r="S49" t="s">
        <v>360</v>
      </c>
      <c r="T49" t="s">
        <v>378</v>
      </c>
      <c r="U49" t="s">
        <v>239</v>
      </c>
      <c r="V49" t="s">
        <v>351</v>
      </c>
      <c r="W49" t="s">
        <v>378</v>
      </c>
      <c r="X49" t="s">
        <v>239</v>
      </c>
      <c r="Y49">
        <v>0</v>
      </c>
      <c r="AA49" t="s">
        <v>90</v>
      </c>
      <c r="AB49" t="s">
        <v>360</v>
      </c>
      <c r="AC49">
        <v>50</v>
      </c>
      <c r="AD49" t="s">
        <v>217</v>
      </c>
      <c r="AE49">
        <v>1</v>
      </c>
      <c r="AF49">
        <v>1</v>
      </c>
    </row>
    <row r="50" spans="1:32" x14ac:dyDescent="0.3">
      <c r="A50" t="s">
        <v>351</v>
      </c>
      <c r="B50" t="s">
        <v>51</v>
      </c>
      <c r="C50" t="s">
        <v>258</v>
      </c>
      <c r="D50" t="s">
        <v>310</v>
      </c>
      <c r="E50" t="s">
        <v>854</v>
      </c>
      <c r="F50" s="15">
        <v>46232.614351851851</v>
      </c>
      <c r="G50" t="s">
        <v>412</v>
      </c>
      <c r="H50">
        <v>50</v>
      </c>
      <c r="I50" t="s">
        <v>855</v>
      </c>
      <c r="J50" s="15">
        <v>46232.63958333333</v>
      </c>
      <c r="K50" s="15">
        <v>46233.408333333333</v>
      </c>
      <c r="L50" s="15"/>
      <c r="M50">
        <v>50</v>
      </c>
      <c r="O50" t="s">
        <v>201</v>
      </c>
      <c r="P50" t="s">
        <v>532</v>
      </c>
      <c r="S50" t="s">
        <v>361</v>
      </c>
      <c r="T50" t="s">
        <v>378</v>
      </c>
      <c r="U50" t="s">
        <v>239</v>
      </c>
      <c r="V50" t="s">
        <v>7</v>
      </c>
      <c r="W50" t="s">
        <v>7</v>
      </c>
      <c r="X50" t="s">
        <v>7</v>
      </c>
      <c r="AA50" t="s">
        <v>238</v>
      </c>
      <c r="AB50" t="s">
        <v>361</v>
      </c>
      <c r="AC50">
        <v>2200</v>
      </c>
      <c r="AD50" t="s">
        <v>7</v>
      </c>
      <c r="AF50">
        <v>0</v>
      </c>
    </row>
    <row r="51" spans="1:32" x14ac:dyDescent="0.3">
      <c r="A51" t="s">
        <v>351</v>
      </c>
      <c r="B51" t="s">
        <v>51</v>
      </c>
      <c r="C51" t="s">
        <v>258</v>
      </c>
      <c r="D51" t="s">
        <v>310</v>
      </c>
      <c r="E51" t="s">
        <v>850</v>
      </c>
      <c r="F51" s="15">
        <v>46252.483842592592</v>
      </c>
      <c r="G51" t="s">
        <v>412</v>
      </c>
      <c r="H51">
        <v>50</v>
      </c>
      <c r="I51" t="s">
        <v>851</v>
      </c>
      <c r="J51" s="15">
        <v>46253.598611111112</v>
      </c>
      <c r="K51" s="15">
        <v>46254.503472222219</v>
      </c>
      <c r="L51" s="15"/>
      <c r="M51">
        <v>50</v>
      </c>
      <c r="O51" t="s">
        <v>201</v>
      </c>
      <c r="P51" t="s">
        <v>532</v>
      </c>
      <c r="S51" t="s">
        <v>361</v>
      </c>
      <c r="T51" t="s">
        <v>378</v>
      </c>
      <c r="U51" t="s">
        <v>239</v>
      </c>
      <c r="V51" t="s">
        <v>7</v>
      </c>
      <c r="W51" t="s">
        <v>7</v>
      </c>
      <c r="X51" t="s">
        <v>7</v>
      </c>
      <c r="AA51" t="s">
        <v>238</v>
      </c>
      <c r="AB51" t="s">
        <v>361</v>
      </c>
      <c r="AC51">
        <v>2200</v>
      </c>
      <c r="AD51" t="s">
        <v>7</v>
      </c>
      <c r="AF51">
        <v>0</v>
      </c>
    </row>
    <row r="52" spans="1:32" x14ac:dyDescent="0.3">
      <c r="A52" t="s">
        <v>351</v>
      </c>
      <c r="B52" t="s">
        <v>51</v>
      </c>
      <c r="C52" t="s">
        <v>258</v>
      </c>
      <c r="D52" t="s">
        <v>310</v>
      </c>
      <c r="E52" t="s">
        <v>853</v>
      </c>
      <c r="F52" s="15">
        <v>46252.480428240742</v>
      </c>
      <c r="G52" t="s">
        <v>412</v>
      </c>
      <c r="H52">
        <v>50</v>
      </c>
      <c r="I52" t="s">
        <v>851</v>
      </c>
      <c r="J52" s="15">
        <v>46253.598611111112</v>
      </c>
      <c r="K52" s="15">
        <v>46254.503472222219</v>
      </c>
      <c r="L52" s="15"/>
      <c r="M52">
        <v>50</v>
      </c>
      <c r="O52" t="s">
        <v>201</v>
      </c>
      <c r="P52" t="s">
        <v>532</v>
      </c>
      <c r="S52" t="s">
        <v>361</v>
      </c>
      <c r="T52" t="s">
        <v>378</v>
      </c>
      <c r="U52" t="s">
        <v>239</v>
      </c>
      <c r="V52" t="s">
        <v>7</v>
      </c>
      <c r="W52" t="s">
        <v>7</v>
      </c>
      <c r="X52" t="s">
        <v>7</v>
      </c>
      <c r="AA52" t="s">
        <v>238</v>
      </c>
      <c r="AB52" t="s">
        <v>361</v>
      </c>
      <c r="AC52">
        <v>2200</v>
      </c>
      <c r="AD52" t="s">
        <v>7</v>
      </c>
    </row>
    <row r="53" spans="1:32" x14ac:dyDescent="0.3">
      <c r="A53" t="s">
        <v>351</v>
      </c>
      <c r="B53" t="s">
        <v>51</v>
      </c>
      <c r="C53" t="s">
        <v>258</v>
      </c>
      <c r="D53" t="s">
        <v>310</v>
      </c>
      <c r="E53" t="s">
        <v>852</v>
      </c>
      <c r="F53" s="15">
        <v>46252.482303240744</v>
      </c>
      <c r="G53" t="s">
        <v>412</v>
      </c>
      <c r="H53">
        <v>50</v>
      </c>
      <c r="I53" t="s">
        <v>851</v>
      </c>
      <c r="J53" s="15">
        <v>46253.598611111112</v>
      </c>
      <c r="K53" s="15">
        <v>46254.503472222219</v>
      </c>
      <c r="L53" s="15"/>
      <c r="M53">
        <v>50</v>
      </c>
      <c r="O53" t="s">
        <v>201</v>
      </c>
      <c r="P53" t="s">
        <v>532</v>
      </c>
      <c r="S53" t="s">
        <v>361</v>
      </c>
      <c r="T53" t="s">
        <v>378</v>
      </c>
      <c r="U53" t="s">
        <v>239</v>
      </c>
      <c r="V53" t="s">
        <v>7</v>
      </c>
      <c r="W53" t="s">
        <v>7</v>
      </c>
      <c r="X53" t="s">
        <v>7</v>
      </c>
      <c r="AA53" t="s">
        <v>238</v>
      </c>
      <c r="AB53" t="s">
        <v>361</v>
      </c>
      <c r="AC53">
        <v>2200</v>
      </c>
      <c r="AD53" t="s">
        <v>7</v>
      </c>
    </row>
    <row r="54" spans="1:32" x14ac:dyDescent="0.3">
      <c r="A54" t="s">
        <v>351</v>
      </c>
      <c r="B54" t="s">
        <v>51</v>
      </c>
      <c r="C54" t="s">
        <v>258</v>
      </c>
      <c r="D54" t="s">
        <v>310</v>
      </c>
      <c r="E54" t="s">
        <v>862</v>
      </c>
      <c r="F54" s="15">
        <v>46227.419386574074</v>
      </c>
      <c r="G54" t="s">
        <v>412</v>
      </c>
      <c r="H54">
        <v>100</v>
      </c>
      <c r="I54" t="s">
        <v>863</v>
      </c>
      <c r="J54" s="15">
        <v>46227.607638888891</v>
      </c>
      <c r="K54" s="15">
        <v>46231.386805555558</v>
      </c>
      <c r="L54" s="15"/>
      <c r="M54">
        <v>100</v>
      </c>
      <c r="O54" t="s">
        <v>201</v>
      </c>
      <c r="P54" t="s">
        <v>531</v>
      </c>
      <c r="S54" t="s">
        <v>360</v>
      </c>
      <c r="T54" t="s">
        <v>378</v>
      </c>
      <c r="U54" t="s">
        <v>239</v>
      </c>
      <c r="V54" t="s">
        <v>7</v>
      </c>
      <c r="W54" t="s">
        <v>7</v>
      </c>
      <c r="X54" t="s">
        <v>7</v>
      </c>
      <c r="AA54" t="s">
        <v>238</v>
      </c>
      <c r="AB54" t="s">
        <v>360</v>
      </c>
      <c r="AC54">
        <v>50</v>
      </c>
      <c r="AD54" t="s">
        <v>7</v>
      </c>
      <c r="AF54">
        <v>0</v>
      </c>
    </row>
    <row r="55" spans="1:32" x14ac:dyDescent="0.3">
      <c r="A55" t="s">
        <v>351</v>
      </c>
      <c r="B55" t="s">
        <v>51</v>
      </c>
      <c r="C55" t="s">
        <v>258</v>
      </c>
      <c r="D55" t="s">
        <v>310</v>
      </c>
      <c r="E55" t="s">
        <v>864</v>
      </c>
      <c r="F55" s="15">
        <v>46225.586296296293</v>
      </c>
      <c r="G55" t="s">
        <v>865</v>
      </c>
      <c r="H55">
        <v>5</v>
      </c>
      <c r="I55" t="s">
        <v>866</v>
      </c>
      <c r="J55" s="15">
        <v>46225.654861111114</v>
      </c>
      <c r="K55" s="15">
        <v>46230.291666666664</v>
      </c>
      <c r="L55" s="15"/>
      <c r="M55">
        <v>5</v>
      </c>
      <c r="O55" t="s">
        <v>201</v>
      </c>
      <c r="P55" t="s">
        <v>531</v>
      </c>
      <c r="S55" t="s">
        <v>360</v>
      </c>
      <c r="T55" t="s">
        <v>378</v>
      </c>
      <c r="U55" t="s">
        <v>239</v>
      </c>
      <c r="V55" t="s">
        <v>7</v>
      </c>
      <c r="W55" t="s">
        <v>7</v>
      </c>
      <c r="X55" t="s">
        <v>7</v>
      </c>
      <c r="AA55" t="s">
        <v>238</v>
      </c>
      <c r="AB55" t="s">
        <v>360</v>
      </c>
      <c r="AC55">
        <v>50</v>
      </c>
      <c r="AD55" t="s">
        <v>7</v>
      </c>
      <c r="AF55">
        <v>0</v>
      </c>
    </row>
    <row r="56" spans="1:32" x14ac:dyDescent="0.3">
      <c r="A56" t="s">
        <v>351</v>
      </c>
      <c r="B56" t="s">
        <v>51</v>
      </c>
      <c r="C56" t="s">
        <v>258</v>
      </c>
      <c r="D56" t="s">
        <v>310</v>
      </c>
      <c r="E56" t="s">
        <v>909</v>
      </c>
      <c r="F56" s="15">
        <v>46225.464629629627</v>
      </c>
      <c r="G56" t="s">
        <v>910</v>
      </c>
      <c r="H56">
        <v>18</v>
      </c>
      <c r="I56" t="s">
        <v>911</v>
      </c>
      <c r="J56" s="15">
        <v>46225.601388888892</v>
      </c>
      <c r="K56" s="15">
        <v>46231.378472222219</v>
      </c>
      <c r="L56" s="15"/>
      <c r="M56">
        <v>18</v>
      </c>
      <c r="O56" t="s">
        <v>201</v>
      </c>
      <c r="P56" t="s">
        <v>531</v>
      </c>
      <c r="S56" t="s">
        <v>362</v>
      </c>
      <c r="T56" t="s">
        <v>378</v>
      </c>
      <c r="U56" t="s">
        <v>239</v>
      </c>
      <c r="V56" t="s">
        <v>7</v>
      </c>
      <c r="W56" t="s">
        <v>7</v>
      </c>
      <c r="X56" t="s">
        <v>7</v>
      </c>
      <c r="AA56" t="s">
        <v>238</v>
      </c>
      <c r="AB56" t="s">
        <v>362</v>
      </c>
      <c r="AC56">
        <v>109</v>
      </c>
      <c r="AD56" t="s">
        <v>7</v>
      </c>
      <c r="AF56">
        <v>0</v>
      </c>
    </row>
    <row r="57" spans="1:32" x14ac:dyDescent="0.3">
      <c r="A57" t="s">
        <v>350</v>
      </c>
      <c r="B57" t="s">
        <v>51</v>
      </c>
      <c r="C57" t="s">
        <v>258</v>
      </c>
      <c r="D57" t="s">
        <v>310</v>
      </c>
      <c r="E57" t="s">
        <v>1147</v>
      </c>
      <c r="F57" s="15">
        <v>46232.64707175926</v>
      </c>
      <c r="G57" t="s">
        <v>1145</v>
      </c>
      <c r="H57">
        <v>150</v>
      </c>
      <c r="I57" t="s">
        <v>1148</v>
      </c>
      <c r="J57" s="15">
        <v>46233.367361111108</v>
      </c>
      <c r="K57" s="15">
        <v>46234.420138888891</v>
      </c>
      <c r="L57" s="15"/>
      <c r="M57">
        <v>150</v>
      </c>
      <c r="O57" t="s">
        <v>201</v>
      </c>
      <c r="P57" t="s">
        <v>532</v>
      </c>
      <c r="S57" t="s">
        <v>366</v>
      </c>
      <c r="T57" t="s">
        <v>380</v>
      </c>
      <c r="U57" t="s">
        <v>240</v>
      </c>
      <c r="V57" t="s">
        <v>7</v>
      </c>
      <c r="W57" t="s">
        <v>7</v>
      </c>
      <c r="X57" t="s">
        <v>7</v>
      </c>
      <c r="AA57" t="s">
        <v>238</v>
      </c>
      <c r="AB57" t="s">
        <v>366</v>
      </c>
      <c r="AC57">
        <v>2480</v>
      </c>
      <c r="AD57" t="s">
        <v>7</v>
      </c>
      <c r="AF57">
        <v>0</v>
      </c>
    </row>
    <row r="58" spans="1:32" x14ac:dyDescent="0.3">
      <c r="A58" t="s">
        <v>350</v>
      </c>
      <c r="B58" t="s">
        <v>51</v>
      </c>
      <c r="C58" t="s">
        <v>258</v>
      </c>
      <c r="D58" t="s">
        <v>310</v>
      </c>
      <c r="E58" t="s">
        <v>1144</v>
      </c>
      <c r="F58" s="15">
        <v>46232.645833333336</v>
      </c>
      <c r="G58" t="s">
        <v>1145</v>
      </c>
      <c r="H58">
        <v>150</v>
      </c>
      <c r="I58" t="s">
        <v>1146</v>
      </c>
      <c r="J58" s="15">
        <v>46232.686111111114</v>
      </c>
      <c r="K58" s="15">
        <v>46234.420138888891</v>
      </c>
      <c r="L58" s="15"/>
      <c r="M58">
        <v>150</v>
      </c>
      <c r="O58" t="s">
        <v>201</v>
      </c>
      <c r="P58" t="s">
        <v>532</v>
      </c>
      <c r="S58" t="s">
        <v>366</v>
      </c>
      <c r="T58" t="s">
        <v>380</v>
      </c>
      <c r="U58" t="s">
        <v>240</v>
      </c>
      <c r="V58" t="s">
        <v>7</v>
      </c>
      <c r="W58" t="s">
        <v>7</v>
      </c>
      <c r="X58" t="s">
        <v>7</v>
      </c>
      <c r="AA58" t="s">
        <v>238</v>
      </c>
      <c r="AB58" t="s">
        <v>366</v>
      </c>
      <c r="AC58">
        <v>2480</v>
      </c>
      <c r="AD58" t="s">
        <v>7</v>
      </c>
    </row>
    <row r="59" spans="1:32" x14ac:dyDescent="0.3">
      <c r="A59" t="s">
        <v>351</v>
      </c>
      <c r="B59" t="s">
        <v>45</v>
      </c>
      <c r="C59" t="s">
        <v>68</v>
      </c>
      <c r="D59" t="s">
        <v>310</v>
      </c>
      <c r="E59" t="s">
        <v>970</v>
      </c>
      <c r="F59" s="15">
        <v>46255.309004629627</v>
      </c>
      <c r="G59" t="s">
        <v>412</v>
      </c>
      <c r="H59">
        <v>9</v>
      </c>
      <c r="I59" t="s">
        <v>971</v>
      </c>
      <c r="J59" s="15">
        <v>46255.447222222225</v>
      </c>
      <c r="K59" s="15">
        <v>46258.458333333336</v>
      </c>
      <c r="L59" s="15"/>
      <c r="M59">
        <v>9</v>
      </c>
      <c r="O59" t="s">
        <v>201</v>
      </c>
      <c r="P59" t="s">
        <v>531</v>
      </c>
      <c r="S59" t="s">
        <v>361</v>
      </c>
      <c r="T59" t="s">
        <v>378</v>
      </c>
      <c r="U59" t="s">
        <v>239</v>
      </c>
      <c r="V59" t="s">
        <v>351</v>
      </c>
      <c r="W59" t="s">
        <v>378</v>
      </c>
      <c r="X59" t="s">
        <v>239</v>
      </c>
      <c r="Y59">
        <v>0</v>
      </c>
      <c r="AA59" t="s">
        <v>67</v>
      </c>
      <c r="AB59" t="s">
        <v>361</v>
      </c>
      <c r="AC59">
        <v>2200</v>
      </c>
      <c r="AD59" t="s">
        <v>217</v>
      </c>
      <c r="AE59">
        <v>1</v>
      </c>
      <c r="AF59">
        <v>1</v>
      </c>
    </row>
    <row r="60" spans="1:32" x14ac:dyDescent="0.3">
      <c r="A60" t="s">
        <v>351</v>
      </c>
      <c r="B60" t="s">
        <v>45</v>
      </c>
      <c r="C60" t="s">
        <v>68</v>
      </c>
      <c r="D60" t="s">
        <v>310</v>
      </c>
      <c r="E60" t="s">
        <v>972</v>
      </c>
      <c r="F60" s="15">
        <v>46254.394618055558</v>
      </c>
      <c r="G60" t="s">
        <v>412</v>
      </c>
      <c r="H60">
        <v>3</v>
      </c>
      <c r="I60" t="s">
        <v>973</v>
      </c>
      <c r="J60" s="15">
        <v>46254.607638888891</v>
      </c>
      <c r="K60" s="15">
        <v>46255.493055555555</v>
      </c>
      <c r="L60" s="15"/>
      <c r="M60">
        <v>3</v>
      </c>
      <c r="O60" t="s">
        <v>201</v>
      </c>
      <c r="P60" t="s">
        <v>532</v>
      </c>
      <c r="S60" t="s">
        <v>361</v>
      </c>
      <c r="T60" t="s">
        <v>378</v>
      </c>
      <c r="U60" t="s">
        <v>239</v>
      </c>
      <c r="V60" t="s">
        <v>351</v>
      </c>
      <c r="W60" t="s">
        <v>378</v>
      </c>
      <c r="X60" t="s">
        <v>239</v>
      </c>
      <c r="Y60">
        <v>0</v>
      </c>
      <c r="AA60" t="s">
        <v>67</v>
      </c>
      <c r="AB60" t="s">
        <v>361</v>
      </c>
      <c r="AC60">
        <v>2200</v>
      </c>
      <c r="AD60" t="s">
        <v>217</v>
      </c>
      <c r="AE60">
        <v>1</v>
      </c>
      <c r="AF60">
        <v>1</v>
      </c>
    </row>
    <row r="61" spans="1:32" x14ac:dyDescent="0.3">
      <c r="A61" t="s">
        <v>351</v>
      </c>
      <c r="B61" t="s">
        <v>45</v>
      </c>
      <c r="C61" t="s">
        <v>68</v>
      </c>
      <c r="D61" t="s">
        <v>310</v>
      </c>
      <c r="E61" t="s">
        <v>974</v>
      </c>
      <c r="F61" s="15">
        <v>46254.395497685182</v>
      </c>
      <c r="G61" t="s">
        <v>412</v>
      </c>
      <c r="H61">
        <v>7</v>
      </c>
      <c r="I61" t="s">
        <v>973</v>
      </c>
      <c r="J61" s="15">
        <v>46254.607638888891</v>
      </c>
      <c r="K61" s="15">
        <v>46255.493055555555</v>
      </c>
      <c r="L61" s="15"/>
      <c r="M61">
        <v>7</v>
      </c>
      <c r="O61" t="s">
        <v>201</v>
      </c>
      <c r="P61" t="s">
        <v>532</v>
      </c>
      <c r="S61" t="s">
        <v>361</v>
      </c>
      <c r="T61" t="s">
        <v>378</v>
      </c>
      <c r="U61" t="s">
        <v>239</v>
      </c>
      <c r="V61" t="s">
        <v>351</v>
      </c>
      <c r="W61" t="s">
        <v>378</v>
      </c>
      <c r="X61" t="s">
        <v>239</v>
      </c>
      <c r="AA61" t="s">
        <v>67</v>
      </c>
      <c r="AB61" t="s">
        <v>361</v>
      </c>
      <c r="AC61">
        <v>2200</v>
      </c>
      <c r="AD61" t="s">
        <v>217</v>
      </c>
      <c r="AE61">
        <v>1</v>
      </c>
    </row>
    <row r="62" spans="1:32" x14ac:dyDescent="0.3">
      <c r="A62" t="s">
        <v>351</v>
      </c>
      <c r="B62" t="s">
        <v>45</v>
      </c>
      <c r="C62" t="s">
        <v>68</v>
      </c>
      <c r="D62" t="s">
        <v>310</v>
      </c>
      <c r="E62" t="s">
        <v>975</v>
      </c>
      <c r="F62" s="15">
        <v>46254.396273148152</v>
      </c>
      <c r="G62" t="s">
        <v>412</v>
      </c>
      <c r="H62">
        <v>6</v>
      </c>
      <c r="I62" t="s">
        <v>973</v>
      </c>
      <c r="J62" s="15">
        <v>46254.607638888891</v>
      </c>
      <c r="K62" s="15">
        <v>46255.493055555555</v>
      </c>
      <c r="L62" s="15"/>
      <c r="M62">
        <v>6</v>
      </c>
      <c r="O62" t="s">
        <v>201</v>
      </c>
      <c r="P62" t="s">
        <v>532</v>
      </c>
      <c r="S62" t="s">
        <v>361</v>
      </c>
      <c r="T62" t="s">
        <v>378</v>
      </c>
      <c r="U62" t="s">
        <v>239</v>
      </c>
      <c r="V62" t="s">
        <v>351</v>
      </c>
      <c r="W62" t="s">
        <v>378</v>
      </c>
      <c r="X62" t="s">
        <v>239</v>
      </c>
      <c r="AA62" t="s">
        <v>67</v>
      </c>
      <c r="AB62" t="s">
        <v>361</v>
      </c>
      <c r="AC62">
        <v>2200</v>
      </c>
      <c r="AD62" t="s">
        <v>217</v>
      </c>
      <c r="AE62">
        <v>1</v>
      </c>
    </row>
    <row r="63" spans="1:32" x14ac:dyDescent="0.3">
      <c r="A63" t="s">
        <v>351</v>
      </c>
      <c r="B63" t="s">
        <v>45</v>
      </c>
      <c r="C63" t="s">
        <v>68</v>
      </c>
      <c r="D63" t="s">
        <v>310</v>
      </c>
      <c r="E63" t="s">
        <v>1074</v>
      </c>
      <c r="F63" s="15">
        <v>46231.659247685187</v>
      </c>
      <c r="G63" t="s">
        <v>1075</v>
      </c>
      <c r="H63">
        <v>13</v>
      </c>
      <c r="I63" t="s">
        <v>1076</v>
      </c>
      <c r="J63" s="15">
        <v>46231.713194444441</v>
      </c>
      <c r="K63" s="15">
        <v>46233.416666666664</v>
      </c>
      <c r="L63" s="15"/>
      <c r="M63">
        <v>13</v>
      </c>
      <c r="O63" t="s">
        <v>201</v>
      </c>
      <c r="P63" t="s">
        <v>531</v>
      </c>
      <c r="S63" t="s">
        <v>361</v>
      </c>
      <c r="T63" t="s">
        <v>378</v>
      </c>
      <c r="U63" t="s">
        <v>239</v>
      </c>
      <c r="V63" t="s">
        <v>351</v>
      </c>
      <c r="W63" t="s">
        <v>378</v>
      </c>
      <c r="X63" t="s">
        <v>239</v>
      </c>
      <c r="Y63">
        <v>0</v>
      </c>
      <c r="AA63" t="s">
        <v>67</v>
      </c>
      <c r="AB63" t="s">
        <v>361</v>
      </c>
      <c r="AC63">
        <v>2200</v>
      </c>
      <c r="AD63" t="s">
        <v>217</v>
      </c>
      <c r="AE63">
        <v>1.3</v>
      </c>
      <c r="AF63">
        <v>1</v>
      </c>
    </row>
    <row r="64" spans="1:32" x14ac:dyDescent="0.3">
      <c r="A64" t="s">
        <v>351</v>
      </c>
      <c r="B64" t="s">
        <v>45</v>
      </c>
      <c r="C64" t="s">
        <v>68</v>
      </c>
      <c r="D64" t="s">
        <v>310</v>
      </c>
      <c r="E64" t="s">
        <v>1077</v>
      </c>
      <c r="F64" s="15">
        <v>46231.635254629633</v>
      </c>
      <c r="G64" t="s">
        <v>1075</v>
      </c>
      <c r="H64">
        <v>6</v>
      </c>
      <c r="I64" t="s">
        <v>1076</v>
      </c>
      <c r="J64" s="15">
        <v>46231.713194444441</v>
      </c>
      <c r="K64" s="15">
        <v>46233.416666666664</v>
      </c>
      <c r="L64" s="15"/>
      <c r="M64">
        <v>6</v>
      </c>
      <c r="O64" t="s">
        <v>201</v>
      </c>
      <c r="P64" t="s">
        <v>531</v>
      </c>
      <c r="S64" t="s">
        <v>361</v>
      </c>
      <c r="T64" t="s">
        <v>378</v>
      </c>
      <c r="U64" t="s">
        <v>239</v>
      </c>
      <c r="V64" t="s">
        <v>351</v>
      </c>
      <c r="W64" t="s">
        <v>378</v>
      </c>
      <c r="X64" t="s">
        <v>239</v>
      </c>
      <c r="AA64" t="s">
        <v>67</v>
      </c>
      <c r="AB64" t="s">
        <v>361</v>
      </c>
      <c r="AC64">
        <v>2200</v>
      </c>
      <c r="AD64" t="s">
        <v>217</v>
      </c>
      <c r="AE64">
        <v>1</v>
      </c>
    </row>
    <row r="65" spans="1:32" x14ac:dyDescent="0.3">
      <c r="A65" t="s">
        <v>351</v>
      </c>
      <c r="B65" t="s">
        <v>45</v>
      </c>
      <c r="C65" t="s">
        <v>68</v>
      </c>
      <c r="D65" t="s">
        <v>310</v>
      </c>
      <c r="E65" t="s">
        <v>1078</v>
      </c>
      <c r="F65" s="15">
        <v>46231.634583333333</v>
      </c>
      <c r="G65" t="s">
        <v>1075</v>
      </c>
      <c r="H65">
        <v>4</v>
      </c>
      <c r="I65" t="s">
        <v>1076</v>
      </c>
      <c r="J65" s="15">
        <v>46231.713194444441</v>
      </c>
      <c r="K65" s="15">
        <v>46233.416666666664</v>
      </c>
      <c r="L65" s="15"/>
      <c r="M65">
        <v>4</v>
      </c>
      <c r="O65" t="s">
        <v>201</v>
      </c>
      <c r="P65" t="s">
        <v>531</v>
      </c>
      <c r="S65" t="s">
        <v>361</v>
      </c>
      <c r="T65" t="s">
        <v>378</v>
      </c>
      <c r="U65" t="s">
        <v>239</v>
      </c>
      <c r="V65" t="s">
        <v>351</v>
      </c>
      <c r="W65" t="s">
        <v>378</v>
      </c>
      <c r="X65" t="s">
        <v>239</v>
      </c>
      <c r="AA65" t="s">
        <v>67</v>
      </c>
      <c r="AB65" t="s">
        <v>361</v>
      </c>
      <c r="AC65">
        <v>2200</v>
      </c>
      <c r="AD65" t="s">
        <v>217</v>
      </c>
      <c r="AE65">
        <v>1</v>
      </c>
    </row>
    <row r="66" spans="1:32" x14ac:dyDescent="0.3">
      <c r="A66" t="s">
        <v>351</v>
      </c>
      <c r="B66" t="s">
        <v>45</v>
      </c>
      <c r="C66" t="s">
        <v>68</v>
      </c>
      <c r="D66" t="s">
        <v>310</v>
      </c>
      <c r="E66" t="s">
        <v>1079</v>
      </c>
      <c r="F66" s="15">
        <v>46231.633784722224</v>
      </c>
      <c r="G66" t="s">
        <v>1075</v>
      </c>
      <c r="H66">
        <v>4</v>
      </c>
      <c r="I66" t="s">
        <v>1076</v>
      </c>
      <c r="J66" s="15">
        <v>46231.713194444441</v>
      </c>
      <c r="K66" s="15">
        <v>46233.416666666664</v>
      </c>
      <c r="L66" s="15"/>
      <c r="M66">
        <v>4</v>
      </c>
      <c r="O66" t="s">
        <v>201</v>
      </c>
      <c r="P66" t="s">
        <v>531</v>
      </c>
      <c r="S66" t="s">
        <v>361</v>
      </c>
      <c r="T66" t="s">
        <v>378</v>
      </c>
      <c r="U66" t="s">
        <v>239</v>
      </c>
      <c r="V66" t="s">
        <v>351</v>
      </c>
      <c r="W66" t="s">
        <v>378</v>
      </c>
      <c r="X66" t="s">
        <v>239</v>
      </c>
      <c r="AA66" t="s">
        <v>67</v>
      </c>
      <c r="AB66" t="s">
        <v>361</v>
      </c>
      <c r="AC66">
        <v>2200</v>
      </c>
      <c r="AD66" t="s">
        <v>217</v>
      </c>
      <c r="AE66">
        <v>1</v>
      </c>
    </row>
    <row r="67" spans="1:32" x14ac:dyDescent="0.3">
      <c r="A67" t="s">
        <v>351</v>
      </c>
      <c r="B67" t="s">
        <v>45</v>
      </c>
      <c r="C67" t="s">
        <v>68</v>
      </c>
      <c r="D67" t="s">
        <v>310</v>
      </c>
      <c r="E67" t="s">
        <v>1080</v>
      </c>
      <c r="F67" s="15">
        <v>46231.632465277777</v>
      </c>
      <c r="G67" t="s">
        <v>1075</v>
      </c>
      <c r="H67">
        <v>1</v>
      </c>
      <c r="I67" t="s">
        <v>1076</v>
      </c>
      <c r="J67" s="15">
        <v>46231.713194444441</v>
      </c>
      <c r="K67" s="15">
        <v>46233.416666666664</v>
      </c>
      <c r="L67" s="15"/>
      <c r="M67">
        <v>1</v>
      </c>
      <c r="O67" t="s">
        <v>201</v>
      </c>
      <c r="P67" t="s">
        <v>531</v>
      </c>
      <c r="S67" t="s">
        <v>361</v>
      </c>
      <c r="T67" t="s">
        <v>378</v>
      </c>
      <c r="U67" t="s">
        <v>239</v>
      </c>
      <c r="V67" t="s">
        <v>351</v>
      </c>
      <c r="W67" t="s">
        <v>378</v>
      </c>
      <c r="X67" t="s">
        <v>239</v>
      </c>
      <c r="AA67" t="s">
        <v>67</v>
      </c>
      <c r="AB67" t="s">
        <v>361</v>
      </c>
      <c r="AC67">
        <v>2200</v>
      </c>
      <c r="AD67" t="s">
        <v>217</v>
      </c>
      <c r="AE67">
        <v>1</v>
      </c>
    </row>
    <row r="68" spans="1:32" x14ac:dyDescent="0.3">
      <c r="A68" t="s">
        <v>351</v>
      </c>
      <c r="B68" t="s">
        <v>45</v>
      </c>
      <c r="C68" t="s">
        <v>68</v>
      </c>
      <c r="D68" t="s">
        <v>310</v>
      </c>
      <c r="E68" t="s">
        <v>1081</v>
      </c>
      <c r="F68" s="15">
        <v>46231.631620370368</v>
      </c>
      <c r="G68" t="s">
        <v>412</v>
      </c>
      <c r="H68">
        <v>1</v>
      </c>
      <c r="I68" t="s">
        <v>1082</v>
      </c>
      <c r="J68" s="15">
        <v>46231.706250000003</v>
      </c>
      <c r="K68" s="15">
        <v>46233.416666666664</v>
      </c>
      <c r="L68" s="15"/>
      <c r="M68">
        <v>1</v>
      </c>
      <c r="O68" t="s">
        <v>201</v>
      </c>
      <c r="P68" t="s">
        <v>531</v>
      </c>
      <c r="S68" t="s">
        <v>361</v>
      </c>
      <c r="T68" t="s">
        <v>378</v>
      </c>
      <c r="U68" t="s">
        <v>239</v>
      </c>
      <c r="V68" t="s">
        <v>351</v>
      </c>
      <c r="W68" t="s">
        <v>378</v>
      </c>
      <c r="X68" t="s">
        <v>239</v>
      </c>
      <c r="AA68" t="s">
        <v>67</v>
      </c>
      <c r="AB68" t="s">
        <v>361</v>
      </c>
      <c r="AC68">
        <v>2200</v>
      </c>
      <c r="AD68" t="s">
        <v>217</v>
      </c>
      <c r="AE68">
        <v>1</v>
      </c>
    </row>
    <row r="69" spans="1:32" x14ac:dyDescent="0.3">
      <c r="A69" t="s">
        <v>351</v>
      </c>
      <c r="B69" t="s">
        <v>48</v>
      </c>
      <c r="C69" t="s">
        <v>68</v>
      </c>
      <c r="D69" t="s">
        <v>310</v>
      </c>
      <c r="E69" t="s">
        <v>992</v>
      </c>
      <c r="F69" s="15">
        <v>46245.434259259258</v>
      </c>
      <c r="G69" t="s">
        <v>412</v>
      </c>
      <c r="H69">
        <v>3</v>
      </c>
      <c r="I69" t="s">
        <v>994</v>
      </c>
      <c r="J69" s="15">
        <v>46246.470138888886</v>
      </c>
      <c r="K69" s="15">
        <v>46247.425694444442</v>
      </c>
      <c r="L69" s="15"/>
      <c r="M69">
        <v>3</v>
      </c>
      <c r="O69" t="s">
        <v>201</v>
      </c>
      <c r="P69" t="s">
        <v>532</v>
      </c>
      <c r="S69" t="s">
        <v>361</v>
      </c>
      <c r="T69" t="s">
        <v>378</v>
      </c>
      <c r="U69" t="s">
        <v>239</v>
      </c>
      <c r="V69" t="s">
        <v>351</v>
      </c>
      <c r="W69" t="s">
        <v>378</v>
      </c>
      <c r="X69" t="s">
        <v>239</v>
      </c>
      <c r="Y69">
        <v>0</v>
      </c>
      <c r="AA69" t="s">
        <v>90</v>
      </c>
      <c r="AB69" t="s">
        <v>361</v>
      </c>
      <c r="AC69">
        <v>2200</v>
      </c>
      <c r="AD69" t="s">
        <v>217</v>
      </c>
      <c r="AE69">
        <v>1</v>
      </c>
      <c r="AF69">
        <v>1</v>
      </c>
    </row>
    <row r="70" spans="1:32" x14ac:dyDescent="0.3">
      <c r="A70" t="s">
        <v>351</v>
      </c>
      <c r="B70" t="s">
        <v>48</v>
      </c>
      <c r="C70" t="s">
        <v>68</v>
      </c>
      <c r="D70" t="s">
        <v>310</v>
      </c>
      <c r="E70" t="s">
        <v>992</v>
      </c>
      <c r="F70" s="15">
        <v>46245.434259259258</v>
      </c>
      <c r="G70" t="s">
        <v>412</v>
      </c>
      <c r="H70">
        <v>1</v>
      </c>
      <c r="I70" t="s">
        <v>993</v>
      </c>
      <c r="J70" s="15">
        <v>46252.685416666667</v>
      </c>
      <c r="K70" s="15">
        <v>46254.503472222219</v>
      </c>
      <c r="L70" s="15"/>
      <c r="M70">
        <v>1</v>
      </c>
      <c r="O70" t="s">
        <v>201</v>
      </c>
      <c r="P70" t="s">
        <v>531</v>
      </c>
      <c r="S70" t="s">
        <v>361</v>
      </c>
      <c r="T70" t="s">
        <v>378</v>
      </c>
      <c r="U70" t="s">
        <v>239</v>
      </c>
      <c r="V70" t="s">
        <v>351</v>
      </c>
      <c r="W70" t="s">
        <v>378</v>
      </c>
      <c r="X70" t="s">
        <v>239</v>
      </c>
      <c r="Y70">
        <v>0</v>
      </c>
      <c r="AA70" t="s">
        <v>90</v>
      </c>
      <c r="AB70" t="s">
        <v>361</v>
      </c>
      <c r="AC70">
        <v>2200</v>
      </c>
      <c r="AD70" t="s">
        <v>217</v>
      </c>
      <c r="AE70">
        <v>1</v>
      </c>
      <c r="AF70">
        <v>1</v>
      </c>
    </row>
    <row r="71" spans="1:32" x14ac:dyDescent="0.3">
      <c r="A71" t="s">
        <v>351</v>
      </c>
      <c r="B71" t="s">
        <v>48</v>
      </c>
      <c r="C71" t="s">
        <v>68</v>
      </c>
      <c r="D71" t="s">
        <v>310</v>
      </c>
      <c r="E71" t="s">
        <v>1045</v>
      </c>
      <c r="F71" s="15">
        <v>46213.750648148147</v>
      </c>
      <c r="G71" t="s">
        <v>412</v>
      </c>
      <c r="H71">
        <v>5</v>
      </c>
      <c r="I71" t="s">
        <v>1046</v>
      </c>
      <c r="J71" s="15">
        <v>46230.428946759261</v>
      </c>
      <c r="K71" s="15">
        <v>46231.397222222222</v>
      </c>
      <c r="L71" s="15"/>
      <c r="M71">
        <v>5</v>
      </c>
      <c r="O71" t="s">
        <v>201</v>
      </c>
      <c r="P71" t="s">
        <v>532</v>
      </c>
      <c r="S71" t="s">
        <v>361</v>
      </c>
      <c r="T71" t="s">
        <v>378</v>
      </c>
      <c r="U71" t="s">
        <v>239</v>
      </c>
      <c r="V71" t="s">
        <v>351</v>
      </c>
      <c r="W71" t="s">
        <v>378</v>
      </c>
      <c r="X71" t="s">
        <v>239</v>
      </c>
      <c r="Y71">
        <v>0</v>
      </c>
      <c r="AA71" t="s">
        <v>90</v>
      </c>
      <c r="AB71" t="s">
        <v>361</v>
      </c>
      <c r="AC71">
        <v>2200</v>
      </c>
      <c r="AD71" t="s">
        <v>217</v>
      </c>
      <c r="AE71">
        <v>1</v>
      </c>
      <c r="AF71">
        <v>1</v>
      </c>
    </row>
    <row r="72" spans="1:32" x14ac:dyDescent="0.3">
      <c r="A72" t="s">
        <v>351</v>
      </c>
      <c r="B72" t="s">
        <v>45</v>
      </c>
      <c r="C72" t="s">
        <v>68</v>
      </c>
      <c r="D72" t="s">
        <v>310</v>
      </c>
      <c r="E72" t="s">
        <v>968</v>
      </c>
      <c r="F72" s="15">
        <v>46251.387743055559</v>
      </c>
      <c r="G72" t="s">
        <v>413</v>
      </c>
      <c r="H72">
        <v>15</v>
      </c>
      <c r="I72" t="s">
        <v>969</v>
      </c>
      <c r="J72" s="15">
        <v>46251.49722222222</v>
      </c>
      <c r="K72" s="15">
        <v>46252.638888888891</v>
      </c>
      <c r="L72" s="15"/>
      <c r="M72">
        <v>15</v>
      </c>
      <c r="O72" t="s">
        <v>201</v>
      </c>
      <c r="P72" t="s">
        <v>531</v>
      </c>
      <c r="S72" t="s">
        <v>362</v>
      </c>
      <c r="T72" t="s">
        <v>378</v>
      </c>
      <c r="U72" t="s">
        <v>239</v>
      </c>
      <c r="V72" t="s">
        <v>351</v>
      </c>
      <c r="W72" t="s">
        <v>378</v>
      </c>
      <c r="X72" t="s">
        <v>239</v>
      </c>
      <c r="Y72">
        <v>0</v>
      </c>
      <c r="AA72" t="s">
        <v>67</v>
      </c>
      <c r="AB72" t="s">
        <v>362</v>
      </c>
      <c r="AC72">
        <v>109</v>
      </c>
      <c r="AD72" t="s">
        <v>217</v>
      </c>
      <c r="AE72">
        <v>1.5</v>
      </c>
      <c r="AF72">
        <v>1</v>
      </c>
    </row>
    <row r="73" spans="1:32" x14ac:dyDescent="0.3">
      <c r="A73" t="s">
        <v>351</v>
      </c>
      <c r="B73" t="s">
        <v>45</v>
      </c>
      <c r="C73" t="s">
        <v>68</v>
      </c>
      <c r="D73" t="s">
        <v>310</v>
      </c>
      <c r="E73" t="s">
        <v>1027</v>
      </c>
      <c r="F73" s="15">
        <v>46230.391215277778</v>
      </c>
      <c r="G73" t="s">
        <v>413</v>
      </c>
      <c r="H73">
        <v>15</v>
      </c>
      <c r="I73" t="s">
        <v>1028</v>
      </c>
      <c r="J73" s="15">
        <v>46230.46465277778</v>
      </c>
      <c r="K73" s="15">
        <v>46231.458333333336</v>
      </c>
      <c r="L73" s="15"/>
      <c r="M73">
        <v>15</v>
      </c>
      <c r="O73" t="s">
        <v>201</v>
      </c>
      <c r="P73" t="s">
        <v>532</v>
      </c>
      <c r="S73" t="s">
        <v>362</v>
      </c>
      <c r="T73" t="s">
        <v>378</v>
      </c>
      <c r="U73" t="s">
        <v>239</v>
      </c>
      <c r="V73" t="s">
        <v>351</v>
      </c>
      <c r="W73" t="s">
        <v>378</v>
      </c>
      <c r="X73" t="s">
        <v>239</v>
      </c>
      <c r="Y73">
        <v>0</v>
      </c>
      <c r="AA73" t="s">
        <v>67</v>
      </c>
      <c r="AB73" t="s">
        <v>362</v>
      </c>
      <c r="AC73">
        <v>109</v>
      </c>
      <c r="AD73" t="s">
        <v>217</v>
      </c>
      <c r="AE73">
        <v>1.5</v>
      </c>
      <c r="AF73">
        <v>1</v>
      </c>
    </row>
    <row r="74" spans="1:32" x14ac:dyDescent="0.3">
      <c r="A74" t="s">
        <v>351</v>
      </c>
      <c r="B74" t="s">
        <v>45</v>
      </c>
      <c r="C74" t="s">
        <v>68</v>
      </c>
      <c r="D74" t="s">
        <v>310</v>
      </c>
      <c r="E74" t="s">
        <v>1085</v>
      </c>
      <c r="F74" s="15">
        <v>46230.398877314816</v>
      </c>
      <c r="G74" t="s">
        <v>413</v>
      </c>
      <c r="H74">
        <v>10</v>
      </c>
      <c r="I74" t="s">
        <v>1086</v>
      </c>
      <c r="J74" s="15">
        <v>46230.632638888892</v>
      </c>
      <c r="K74" s="15">
        <v>46232.696527777778</v>
      </c>
      <c r="L74" s="15"/>
      <c r="M74">
        <v>10</v>
      </c>
      <c r="O74" t="s">
        <v>201</v>
      </c>
      <c r="P74" t="s">
        <v>531</v>
      </c>
      <c r="S74" t="s">
        <v>362</v>
      </c>
      <c r="T74" t="s">
        <v>378</v>
      </c>
      <c r="U74" t="s">
        <v>239</v>
      </c>
      <c r="V74" t="s">
        <v>351</v>
      </c>
      <c r="W74" t="s">
        <v>378</v>
      </c>
      <c r="X74" t="s">
        <v>239</v>
      </c>
      <c r="AA74" t="s">
        <v>67</v>
      </c>
      <c r="AB74" t="s">
        <v>362</v>
      </c>
      <c r="AC74">
        <v>109</v>
      </c>
      <c r="AD74" t="s">
        <v>217</v>
      </c>
      <c r="AE74">
        <v>1</v>
      </c>
      <c r="AF74">
        <v>1</v>
      </c>
    </row>
    <row r="75" spans="1:32" x14ac:dyDescent="0.3">
      <c r="A75" t="s">
        <v>351</v>
      </c>
      <c r="B75" t="s">
        <v>48</v>
      </c>
      <c r="C75" t="s">
        <v>68</v>
      </c>
      <c r="D75" t="s">
        <v>310</v>
      </c>
      <c r="E75" t="s">
        <v>1006</v>
      </c>
      <c r="F75" s="15">
        <v>46252.576365740744</v>
      </c>
      <c r="G75" t="s">
        <v>905</v>
      </c>
      <c r="H75">
        <v>25</v>
      </c>
      <c r="I75" t="s">
        <v>1007</v>
      </c>
      <c r="J75" s="15">
        <v>46253.647222222222</v>
      </c>
      <c r="K75" s="15">
        <v>46255.477083333331</v>
      </c>
      <c r="L75" s="15"/>
      <c r="M75">
        <v>25</v>
      </c>
      <c r="O75" t="s">
        <v>201</v>
      </c>
      <c r="P75" t="s">
        <v>531</v>
      </c>
      <c r="S75" t="s">
        <v>362</v>
      </c>
      <c r="T75" t="s">
        <v>378</v>
      </c>
      <c r="U75" t="s">
        <v>239</v>
      </c>
      <c r="V75" t="s">
        <v>351</v>
      </c>
      <c r="W75" t="s">
        <v>378</v>
      </c>
      <c r="X75" t="s">
        <v>239</v>
      </c>
      <c r="Y75">
        <v>0</v>
      </c>
      <c r="AA75" t="s">
        <v>90</v>
      </c>
      <c r="AB75" t="s">
        <v>362</v>
      </c>
      <c r="AC75">
        <v>109</v>
      </c>
      <c r="AD75" t="s">
        <v>217</v>
      </c>
      <c r="AE75">
        <v>2.5</v>
      </c>
      <c r="AF75">
        <v>1</v>
      </c>
    </row>
    <row r="76" spans="1:32" x14ac:dyDescent="0.3">
      <c r="A76" t="s">
        <v>351</v>
      </c>
      <c r="B76" t="s">
        <v>48</v>
      </c>
      <c r="C76" t="s">
        <v>68</v>
      </c>
      <c r="D76" t="s">
        <v>310</v>
      </c>
      <c r="E76" t="s">
        <v>1008</v>
      </c>
      <c r="F76" s="15">
        <v>46252.581203703703</v>
      </c>
      <c r="G76" t="s">
        <v>905</v>
      </c>
      <c r="H76">
        <v>15</v>
      </c>
      <c r="I76" t="s">
        <v>1009</v>
      </c>
      <c r="J76" s="15">
        <v>46254.392361111109</v>
      </c>
      <c r="K76" s="15">
        <v>46255.477083333331</v>
      </c>
      <c r="L76" s="15"/>
      <c r="M76">
        <v>15</v>
      </c>
      <c r="O76" t="s">
        <v>201</v>
      </c>
      <c r="P76" t="s">
        <v>531</v>
      </c>
      <c r="S76" t="s">
        <v>362</v>
      </c>
      <c r="T76" t="s">
        <v>378</v>
      </c>
      <c r="U76" t="s">
        <v>239</v>
      </c>
      <c r="V76" t="s">
        <v>351</v>
      </c>
      <c r="W76" t="s">
        <v>378</v>
      </c>
      <c r="X76" t="s">
        <v>239</v>
      </c>
      <c r="Y76">
        <v>0</v>
      </c>
      <c r="AA76" t="s">
        <v>90</v>
      </c>
      <c r="AB76" t="s">
        <v>362</v>
      </c>
      <c r="AC76">
        <v>109</v>
      </c>
      <c r="AD76" t="s">
        <v>217</v>
      </c>
      <c r="AE76">
        <v>1.5</v>
      </c>
    </row>
    <row r="77" spans="1:32" x14ac:dyDescent="0.3">
      <c r="A77" t="s">
        <v>351</v>
      </c>
      <c r="B77" t="s">
        <v>48</v>
      </c>
      <c r="C77" t="s">
        <v>68</v>
      </c>
      <c r="D77" t="s">
        <v>310</v>
      </c>
      <c r="E77" t="s">
        <v>1034</v>
      </c>
      <c r="F77" s="15">
        <v>46231.625231481485</v>
      </c>
      <c r="G77" t="s">
        <v>1035</v>
      </c>
      <c r="H77">
        <v>10</v>
      </c>
      <c r="I77" t="s">
        <v>1036</v>
      </c>
      <c r="J77" s="15">
        <v>46234.652581018519</v>
      </c>
      <c r="K77" s="15">
        <v>46238.509722222225</v>
      </c>
      <c r="L77" s="15"/>
      <c r="M77">
        <v>10</v>
      </c>
      <c r="O77" t="s">
        <v>201</v>
      </c>
      <c r="P77" t="s">
        <v>531</v>
      </c>
      <c r="S77" t="s">
        <v>362</v>
      </c>
      <c r="T77" t="s">
        <v>378</v>
      </c>
      <c r="U77" t="s">
        <v>239</v>
      </c>
      <c r="V77" t="s">
        <v>351</v>
      </c>
      <c r="W77" t="s">
        <v>378</v>
      </c>
      <c r="X77" t="s">
        <v>239</v>
      </c>
      <c r="Y77">
        <v>0</v>
      </c>
      <c r="AA77" t="s">
        <v>90</v>
      </c>
      <c r="AB77" t="s">
        <v>362</v>
      </c>
      <c r="AC77">
        <v>109</v>
      </c>
      <c r="AD77" t="s">
        <v>217</v>
      </c>
      <c r="AE77">
        <v>1</v>
      </c>
      <c r="AF77">
        <v>1</v>
      </c>
    </row>
    <row r="78" spans="1:32" x14ac:dyDescent="0.3">
      <c r="A78" t="s">
        <v>351</v>
      </c>
      <c r="B78" t="s">
        <v>48</v>
      </c>
      <c r="C78" t="s">
        <v>68</v>
      </c>
      <c r="D78" t="s">
        <v>310</v>
      </c>
      <c r="E78" t="s">
        <v>1029</v>
      </c>
      <c r="F78" s="15">
        <v>46227.725787037038</v>
      </c>
      <c r="G78" t="s">
        <v>413</v>
      </c>
      <c r="H78">
        <v>16</v>
      </c>
      <c r="I78" t="s">
        <v>1030</v>
      </c>
      <c r="J78" s="15">
        <v>46232.603437500002</v>
      </c>
      <c r="K78" s="15">
        <v>46234.413194444445</v>
      </c>
      <c r="L78" s="15"/>
      <c r="M78">
        <v>16</v>
      </c>
      <c r="O78" t="s">
        <v>201</v>
      </c>
      <c r="P78" t="s">
        <v>531</v>
      </c>
      <c r="S78" t="s">
        <v>362</v>
      </c>
      <c r="T78" t="s">
        <v>378</v>
      </c>
      <c r="U78" t="s">
        <v>239</v>
      </c>
      <c r="V78" t="s">
        <v>351</v>
      </c>
      <c r="W78" t="s">
        <v>378</v>
      </c>
      <c r="X78" t="s">
        <v>239</v>
      </c>
      <c r="Y78">
        <v>0</v>
      </c>
      <c r="AA78" t="s">
        <v>90</v>
      </c>
      <c r="AB78" t="s">
        <v>362</v>
      </c>
      <c r="AC78">
        <v>109</v>
      </c>
      <c r="AD78" t="s">
        <v>217</v>
      </c>
      <c r="AE78">
        <v>1.6</v>
      </c>
      <c r="AF78">
        <v>1</v>
      </c>
    </row>
    <row r="79" spans="1:32" x14ac:dyDescent="0.3">
      <c r="A79" t="s">
        <v>351</v>
      </c>
      <c r="B79" t="s">
        <v>45</v>
      </c>
      <c r="C79" t="s">
        <v>68</v>
      </c>
      <c r="D79" t="s">
        <v>310</v>
      </c>
      <c r="E79" t="s">
        <v>964</v>
      </c>
      <c r="F79" s="15">
        <v>46245.50304398148</v>
      </c>
      <c r="G79" t="s">
        <v>420</v>
      </c>
      <c r="H79">
        <v>5</v>
      </c>
      <c r="I79" t="s">
        <v>965</v>
      </c>
      <c r="J79" s="15">
        <v>46245.540277777778</v>
      </c>
      <c r="K79" s="15">
        <v>46247.46875</v>
      </c>
      <c r="L79" s="15"/>
      <c r="M79">
        <v>5</v>
      </c>
      <c r="O79" t="s">
        <v>201</v>
      </c>
      <c r="P79" t="s">
        <v>531</v>
      </c>
      <c r="S79" t="s">
        <v>486</v>
      </c>
      <c r="T79" t="s">
        <v>378</v>
      </c>
      <c r="U79" t="s">
        <v>239</v>
      </c>
      <c r="V79" t="s">
        <v>351</v>
      </c>
      <c r="W79" t="s">
        <v>378</v>
      </c>
      <c r="X79" t="s">
        <v>239</v>
      </c>
      <c r="AA79" t="s">
        <v>67</v>
      </c>
      <c r="AB79" t="s">
        <v>486</v>
      </c>
      <c r="AC79">
        <v>288</v>
      </c>
      <c r="AD79" t="s">
        <v>217</v>
      </c>
      <c r="AE79">
        <v>1</v>
      </c>
      <c r="AF79">
        <v>1</v>
      </c>
    </row>
    <row r="80" spans="1:32" x14ac:dyDescent="0.3">
      <c r="A80" t="s">
        <v>351</v>
      </c>
      <c r="B80" t="s">
        <v>45</v>
      </c>
      <c r="C80" t="s">
        <v>68</v>
      </c>
      <c r="D80" t="s">
        <v>310</v>
      </c>
      <c r="E80" t="s">
        <v>966</v>
      </c>
      <c r="F80" s="15">
        <v>46245.502650462964</v>
      </c>
      <c r="G80" t="s">
        <v>420</v>
      </c>
      <c r="H80">
        <v>11</v>
      </c>
      <c r="I80" t="s">
        <v>967</v>
      </c>
      <c r="J80" s="15">
        <v>46245.53125</v>
      </c>
      <c r="K80" s="15">
        <v>46247.46875</v>
      </c>
      <c r="L80" s="15"/>
      <c r="M80">
        <v>11</v>
      </c>
      <c r="O80" t="s">
        <v>201</v>
      </c>
      <c r="P80" t="s">
        <v>531</v>
      </c>
      <c r="S80" t="s">
        <v>486</v>
      </c>
      <c r="T80" t="s">
        <v>378</v>
      </c>
      <c r="U80" t="s">
        <v>239</v>
      </c>
      <c r="V80" t="s">
        <v>351</v>
      </c>
      <c r="W80" t="s">
        <v>378</v>
      </c>
      <c r="X80" t="s">
        <v>239</v>
      </c>
      <c r="AA80" t="s">
        <v>67</v>
      </c>
      <c r="AB80" t="s">
        <v>486</v>
      </c>
      <c r="AC80">
        <v>288</v>
      </c>
      <c r="AD80" t="s">
        <v>217</v>
      </c>
      <c r="AE80">
        <v>1.1000000000000001</v>
      </c>
    </row>
    <row r="81" spans="1:32" x14ac:dyDescent="0.3">
      <c r="A81" t="s">
        <v>351</v>
      </c>
      <c r="B81" t="s">
        <v>48</v>
      </c>
      <c r="C81" t="s">
        <v>68</v>
      </c>
      <c r="D81" t="s">
        <v>310</v>
      </c>
      <c r="E81" t="s">
        <v>1010</v>
      </c>
      <c r="F81" s="15">
        <v>46252.486481481479</v>
      </c>
      <c r="G81" t="s">
        <v>420</v>
      </c>
      <c r="H81">
        <v>5</v>
      </c>
      <c r="I81" t="s">
        <v>1011</v>
      </c>
      <c r="J81" s="15">
        <v>46253.540277777778</v>
      </c>
      <c r="K81" s="15">
        <v>46254.458333333336</v>
      </c>
      <c r="L81" s="15"/>
      <c r="M81">
        <v>5</v>
      </c>
      <c r="O81" t="s">
        <v>201</v>
      </c>
      <c r="P81" t="s">
        <v>532</v>
      </c>
      <c r="S81" t="s">
        <v>486</v>
      </c>
      <c r="T81" t="s">
        <v>378</v>
      </c>
      <c r="U81" t="s">
        <v>239</v>
      </c>
      <c r="V81" t="s">
        <v>351</v>
      </c>
      <c r="W81" t="s">
        <v>378</v>
      </c>
      <c r="X81" t="s">
        <v>239</v>
      </c>
      <c r="AA81" t="s">
        <v>90</v>
      </c>
      <c r="AB81" t="s">
        <v>486</v>
      </c>
      <c r="AC81">
        <v>288</v>
      </c>
      <c r="AD81" t="s">
        <v>217</v>
      </c>
      <c r="AE81">
        <v>1</v>
      </c>
      <c r="AF81">
        <v>1</v>
      </c>
    </row>
    <row r="82" spans="1:32" x14ac:dyDescent="0.3">
      <c r="A82" t="s">
        <v>351</v>
      </c>
      <c r="B82" t="s">
        <v>48</v>
      </c>
      <c r="C82" t="s">
        <v>68</v>
      </c>
      <c r="D82" t="s">
        <v>310</v>
      </c>
      <c r="E82" t="s">
        <v>1072</v>
      </c>
      <c r="F82" s="15">
        <v>46231.743472222224</v>
      </c>
      <c r="G82" t="s">
        <v>412</v>
      </c>
      <c r="H82">
        <v>1</v>
      </c>
      <c r="I82" t="s">
        <v>1073</v>
      </c>
      <c r="J82" s="15">
        <v>46239.520138888889</v>
      </c>
      <c r="K82" s="15">
        <v>46240.513194444444</v>
      </c>
      <c r="L82" s="15"/>
      <c r="M82">
        <v>1</v>
      </c>
      <c r="O82" t="s">
        <v>201</v>
      </c>
      <c r="P82" t="s">
        <v>531</v>
      </c>
      <c r="S82" t="s">
        <v>361</v>
      </c>
      <c r="T82" t="s">
        <v>378</v>
      </c>
      <c r="U82" t="s">
        <v>239</v>
      </c>
      <c r="V82" t="s">
        <v>351</v>
      </c>
      <c r="W82" t="s">
        <v>378</v>
      </c>
      <c r="X82" t="s">
        <v>239</v>
      </c>
      <c r="Y82">
        <v>0</v>
      </c>
      <c r="AA82" t="s">
        <v>90</v>
      </c>
      <c r="AB82" t="s">
        <v>361</v>
      </c>
      <c r="AC82">
        <v>2200</v>
      </c>
      <c r="AD82" t="s">
        <v>217</v>
      </c>
      <c r="AE82">
        <v>1</v>
      </c>
      <c r="AF82">
        <v>1</v>
      </c>
    </row>
    <row r="83" spans="1:32" x14ac:dyDescent="0.3">
      <c r="A83" t="s">
        <v>351</v>
      </c>
      <c r="B83" t="s">
        <v>48</v>
      </c>
      <c r="C83" t="s">
        <v>68</v>
      </c>
      <c r="D83" t="s">
        <v>310</v>
      </c>
      <c r="E83" t="s">
        <v>1083</v>
      </c>
      <c r="F83" s="15">
        <v>46231.307928240742</v>
      </c>
      <c r="G83" t="s">
        <v>411</v>
      </c>
      <c r="H83">
        <v>1</v>
      </c>
      <c r="I83" t="s">
        <v>1084</v>
      </c>
      <c r="J83" s="15">
        <v>46231.367361111108</v>
      </c>
      <c r="K83" s="15">
        <v>46232.486111111109</v>
      </c>
      <c r="L83" s="15"/>
      <c r="M83">
        <v>1</v>
      </c>
      <c r="O83" t="s">
        <v>201</v>
      </c>
      <c r="P83" t="s">
        <v>531</v>
      </c>
      <c r="S83" t="s">
        <v>363</v>
      </c>
      <c r="T83" t="s">
        <v>378</v>
      </c>
      <c r="U83" t="s">
        <v>239</v>
      </c>
      <c r="V83" t="s">
        <v>351</v>
      </c>
      <c r="W83" t="s">
        <v>378</v>
      </c>
      <c r="X83" t="s">
        <v>239</v>
      </c>
      <c r="Y83">
        <v>0</v>
      </c>
      <c r="AA83" t="s">
        <v>90</v>
      </c>
      <c r="AB83" t="s">
        <v>363</v>
      </c>
      <c r="AC83">
        <v>101</v>
      </c>
      <c r="AD83" t="s">
        <v>217</v>
      </c>
      <c r="AE83">
        <v>1</v>
      </c>
      <c r="AF83">
        <v>1</v>
      </c>
    </row>
    <row r="84" spans="1:32" x14ac:dyDescent="0.3">
      <c r="A84" t="s">
        <v>351</v>
      </c>
      <c r="B84" t="s">
        <v>48</v>
      </c>
      <c r="C84" t="s">
        <v>68</v>
      </c>
      <c r="D84" t="s">
        <v>310</v>
      </c>
      <c r="E84" t="s">
        <v>1087</v>
      </c>
      <c r="F84" s="15">
        <v>46227.576932870368</v>
      </c>
      <c r="G84" t="s">
        <v>412</v>
      </c>
      <c r="H84">
        <v>1</v>
      </c>
      <c r="I84" t="s">
        <v>1088</v>
      </c>
      <c r="J84" s="15">
        <v>46233.393819444442</v>
      </c>
      <c r="K84" s="15">
        <v>46234.439583333333</v>
      </c>
      <c r="L84" s="15"/>
      <c r="M84">
        <v>1</v>
      </c>
      <c r="O84" t="s">
        <v>201</v>
      </c>
      <c r="P84" t="s">
        <v>531</v>
      </c>
      <c r="S84" t="s">
        <v>360</v>
      </c>
      <c r="T84" t="s">
        <v>378</v>
      </c>
      <c r="U84" t="s">
        <v>239</v>
      </c>
      <c r="V84" t="s">
        <v>351</v>
      </c>
      <c r="W84" t="s">
        <v>378</v>
      </c>
      <c r="X84" t="s">
        <v>239</v>
      </c>
      <c r="Y84">
        <v>0</v>
      </c>
      <c r="AA84" t="s">
        <v>90</v>
      </c>
      <c r="AB84" t="s">
        <v>360</v>
      </c>
      <c r="AC84">
        <v>50</v>
      </c>
      <c r="AD84" t="s">
        <v>217</v>
      </c>
      <c r="AE84">
        <v>1</v>
      </c>
      <c r="AF84">
        <v>1</v>
      </c>
    </row>
    <row r="85" spans="1:32" x14ac:dyDescent="0.3">
      <c r="A85" t="s">
        <v>351</v>
      </c>
      <c r="B85" t="s">
        <v>57</v>
      </c>
      <c r="C85" t="s">
        <v>117</v>
      </c>
      <c r="D85" t="s">
        <v>310</v>
      </c>
      <c r="E85" t="s">
        <v>838</v>
      </c>
      <c r="F85" s="15">
        <v>46248.437847222223</v>
      </c>
      <c r="G85" t="s">
        <v>411</v>
      </c>
      <c r="H85">
        <v>1</v>
      </c>
      <c r="I85" t="s">
        <v>839</v>
      </c>
      <c r="J85" s="15">
        <v>46248.662499999999</v>
      </c>
      <c r="K85" s="15">
        <v>46253.628472222219</v>
      </c>
      <c r="L85" s="15"/>
      <c r="M85">
        <v>1</v>
      </c>
      <c r="O85" t="s">
        <v>201</v>
      </c>
      <c r="P85" t="s">
        <v>532</v>
      </c>
      <c r="S85" t="s">
        <v>363</v>
      </c>
      <c r="T85" t="s">
        <v>378</v>
      </c>
      <c r="U85" t="s">
        <v>239</v>
      </c>
      <c r="V85" t="s">
        <v>7</v>
      </c>
      <c r="W85" t="s">
        <v>7</v>
      </c>
      <c r="X85" t="s">
        <v>7</v>
      </c>
      <c r="AA85" t="s">
        <v>127</v>
      </c>
      <c r="AB85" t="s">
        <v>363</v>
      </c>
      <c r="AC85">
        <v>101</v>
      </c>
      <c r="AD85" t="s">
        <v>233</v>
      </c>
      <c r="AE85">
        <v>1</v>
      </c>
      <c r="AF85">
        <v>1</v>
      </c>
    </row>
    <row r="86" spans="1:32" x14ac:dyDescent="0.3">
      <c r="A86" t="s">
        <v>351</v>
      </c>
      <c r="B86" t="s">
        <v>279</v>
      </c>
      <c r="C86" t="s">
        <v>192</v>
      </c>
      <c r="D86" t="s">
        <v>310</v>
      </c>
      <c r="E86" t="s">
        <v>838</v>
      </c>
      <c r="F86" s="15">
        <v>46248.437847222223</v>
      </c>
      <c r="G86" t="s">
        <v>411</v>
      </c>
      <c r="H86">
        <v>8</v>
      </c>
      <c r="I86" t="s">
        <v>839</v>
      </c>
      <c r="J86" s="15">
        <v>46248.662499999999</v>
      </c>
      <c r="K86" s="15">
        <v>46253.628472222219</v>
      </c>
      <c r="L86" s="15"/>
      <c r="M86">
        <v>8</v>
      </c>
      <c r="O86" t="s">
        <v>201</v>
      </c>
      <c r="P86" t="s">
        <v>532</v>
      </c>
      <c r="S86" t="s">
        <v>363</v>
      </c>
      <c r="T86" t="s">
        <v>378</v>
      </c>
      <c r="U86" t="s">
        <v>239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363</v>
      </c>
      <c r="AC86">
        <v>101</v>
      </c>
      <c r="AD86" t="s">
        <v>232</v>
      </c>
      <c r="AE86">
        <v>8</v>
      </c>
    </row>
    <row r="87" spans="1:32" x14ac:dyDescent="0.3">
      <c r="A87" t="s">
        <v>351</v>
      </c>
      <c r="B87" t="s">
        <v>57</v>
      </c>
      <c r="C87" t="s">
        <v>117</v>
      </c>
      <c r="D87" t="s">
        <v>310</v>
      </c>
      <c r="E87" t="s">
        <v>840</v>
      </c>
      <c r="F87" s="15">
        <v>46239.634884259256</v>
      </c>
      <c r="G87" t="s">
        <v>411</v>
      </c>
      <c r="H87">
        <v>1</v>
      </c>
      <c r="I87" t="s">
        <v>841</v>
      </c>
      <c r="J87" s="15">
        <v>46240.408333333333</v>
      </c>
      <c r="K87" s="15">
        <v>46246.645833333336</v>
      </c>
      <c r="L87" s="15"/>
      <c r="M87">
        <v>1</v>
      </c>
      <c r="O87" t="s">
        <v>201</v>
      </c>
      <c r="P87" t="s">
        <v>532</v>
      </c>
      <c r="S87" t="s">
        <v>363</v>
      </c>
      <c r="T87" t="s">
        <v>378</v>
      </c>
      <c r="U87" t="s">
        <v>239</v>
      </c>
      <c r="V87" t="s">
        <v>7</v>
      </c>
      <c r="W87" t="s">
        <v>7</v>
      </c>
      <c r="X87" t="s">
        <v>7</v>
      </c>
      <c r="AA87" t="s">
        <v>127</v>
      </c>
      <c r="AB87" t="s">
        <v>363</v>
      </c>
      <c r="AC87">
        <v>101</v>
      </c>
      <c r="AD87" t="s">
        <v>233</v>
      </c>
      <c r="AE87">
        <v>1</v>
      </c>
      <c r="AF87">
        <v>35.200000000000003</v>
      </c>
    </row>
    <row r="88" spans="1:32" x14ac:dyDescent="0.3">
      <c r="A88" t="s">
        <v>351</v>
      </c>
      <c r="B88" t="s">
        <v>279</v>
      </c>
      <c r="C88" t="s">
        <v>192</v>
      </c>
      <c r="D88" t="s">
        <v>310</v>
      </c>
      <c r="E88" t="s">
        <v>840</v>
      </c>
      <c r="F88" s="15">
        <v>46239.634884259256</v>
      </c>
      <c r="G88" t="s">
        <v>411</v>
      </c>
      <c r="H88">
        <v>350</v>
      </c>
      <c r="I88" t="s">
        <v>841</v>
      </c>
      <c r="J88" s="15">
        <v>46240.408333333333</v>
      </c>
      <c r="K88" s="15">
        <v>46246.645833333336</v>
      </c>
      <c r="L88" s="15"/>
      <c r="M88">
        <v>350</v>
      </c>
      <c r="O88" t="s">
        <v>201</v>
      </c>
      <c r="P88" t="s">
        <v>531</v>
      </c>
      <c r="S88" t="s">
        <v>363</v>
      </c>
      <c r="T88" t="s">
        <v>378</v>
      </c>
      <c r="U88" t="s">
        <v>239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363</v>
      </c>
      <c r="AC88">
        <v>101</v>
      </c>
      <c r="AD88" t="s">
        <v>232</v>
      </c>
      <c r="AE88">
        <v>350</v>
      </c>
    </row>
    <row r="89" spans="1:32" x14ac:dyDescent="0.3">
      <c r="A89" t="s">
        <v>351</v>
      </c>
      <c r="B89" t="s">
        <v>57</v>
      </c>
      <c r="C89" t="s">
        <v>117</v>
      </c>
      <c r="D89" t="s">
        <v>310</v>
      </c>
      <c r="E89" t="s">
        <v>842</v>
      </c>
      <c r="F89" s="15">
        <v>46245.601261574076</v>
      </c>
      <c r="G89" t="s">
        <v>417</v>
      </c>
      <c r="H89">
        <v>1</v>
      </c>
      <c r="I89" t="s">
        <v>843</v>
      </c>
      <c r="J89" s="15">
        <v>46246.638194444444</v>
      </c>
      <c r="K89" s="15">
        <v>46252.386805555558</v>
      </c>
      <c r="L89" s="15"/>
      <c r="M89">
        <v>1</v>
      </c>
      <c r="O89" t="s">
        <v>201</v>
      </c>
      <c r="P89" t="s">
        <v>532</v>
      </c>
      <c r="S89" t="s">
        <v>361</v>
      </c>
      <c r="T89" t="s">
        <v>378</v>
      </c>
      <c r="U89" t="s">
        <v>239</v>
      </c>
      <c r="V89" t="s">
        <v>7</v>
      </c>
      <c r="W89" t="s">
        <v>7</v>
      </c>
      <c r="X89" t="s">
        <v>7</v>
      </c>
      <c r="AA89" t="s">
        <v>127</v>
      </c>
      <c r="AB89" t="s">
        <v>361</v>
      </c>
      <c r="AC89">
        <v>2200</v>
      </c>
      <c r="AD89" t="s">
        <v>233</v>
      </c>
      <c r="AE89">
        <v>1</v>
      </c>
      <c r="AF89">
        <v>47.3</v>
      </c>
    </row>
    <row r="90" spans="1:32" x14ac:dyDescent="0.3">
      <c r="A90" t="s">
        <v>351</v>
      </c>
      <c r="B90" t="s">
        <v>279</v>
      </c>
      <c r="C90" t="s">
        <v>192</v>
      </c>
      <c r="D90" t="s">
        <v>310</v>
      </c>
      <c r="E90" t="s">
        <v>842</v>
      </c>
      <c r="F90" s="15">
        <v>46245.601261574076</v>
      </c>
      <c r="G90" t="s">
        <v>417</v>
      </c>
      <c r="H90">
        <v>471</v>
      </c>
      <c r="I90" t="s">
        <v>843</v>
      </c>
      <c r="J90" s="15">
        <v>46246.638194444444</v>
      </c>
      <c r="K90" s="15">
        <v>46252.386805555558</v>
      </c>
      <c r="L90" s="15"/>
      <c r="M90">
        <v>471</v>
      </c>
      <c r="O90" t="s">
        <v>201</v>
      </c>
      <c r="P90" t="s">
        <v>531</v>
      </c>
      <c r="S90" t="s">
        <v>361</v>
      </c>
      <c r="T90" t="s">
        <v>378</v>
      </c>
      <c r="U90" t="s">
        <v>239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361</v>
      </c>
      <c r="AC90">
        <v>2200</v>
      </c>
      <c r="AD90" t="s">
        <v>232</v>
      </c>
      <c r="AE90">
        <v>471</v>
      </c>
    </row>
    <row r="91" spans="1:32" x14ac:dyDescent="0.3">
      <c r="A91" t="s">
        <v>351</v>
      </c>
      <c r="B91" t="s">
        <v>57</v>
      </c>
      <c r="C91" t="s">
        <v>117</v>
      </c>
      <c r="D91" t="s">
        <v>310</v>
      </c>
      <c r="E91" t="s">
        <v>844</v>
      </c>
      <c r="F91" s="15">
        <v>46245.375648148147</v>
      </c>
      <c r="G91" t="s">
        <v>412</v>
      </c>
      <c r="H91">
        <v>5</v>
      </c>
      <c r="I91" t="s">
        <v>845</v>
      </c>
      <c r="J91" s="15">
        <v>46246.395138888889</v>
      </c>
      <c r="K91" s="15">
        <v>46248.681250000001</v>
      </c>
      <c r="L91" s="15"/>
      <c r="M91">
        <v>5</v>
      </c>
      <c r="O91" t="s">
        <v>201</v>
      </c>
      <c r="P91" t="s">
        <v>532</v>
      </c>
      <c r="S91" t="s">
        <v>361</v>
      </c>
      <c r="T91" t="s">
        <v>378</v>
      </c>
      <c r="U91" t="s">
        <v>239</v>
      </c>
      <c r="V91" t="s">
        <v>7</v>
      </c>
      <c r="W91" t="s">
        <v>7</v>
      </c>
      <c r="X91" t="s">
        <v>7</v>
      </c>
      <c r="AA91" t="s">
        <v>127</v>
      </c>
      <c r="AB91" t="s">
        <v>361</v>
      </c>
      <c r="AC91">
        <v>2200</v>
      </c>
      <c r="AD91" t="s">
        <v>233</v>
      </c>
      <c r="AE91">
        <v>1</v>
      </c>
      <c r="AF91">
        <v>181.1</v>
      </c>
    </row>
    <row r="92" spans="1:32" x14ac:dyDescent="0.3">
      <c r="A92" t="s">
        <v>351</v>
      </c>
      <c r="B92" t="s">
        <v>279</v>
      </c>
      <c r="C92" t="s">
        <v>192</v>
      </c>
      <c r="D92" t="s">
        <v>310</v>
      </c>
      <c r="E92" t="s">
        <v>844</v>
      </c>
      <c r="F92" s="15">
        <v>46245.375648148147</v>
      </c>
      <c r="G92" t="s">
        <v>412</v>
      </c>
      <c r="H92">
        <v>1805</v>
      </c>
      <c r="I92" t="s">
        <v>845</v>
      </c>
      <c r="J92" s="15">
        <v>46246.395138888889</v>
      </c>
      <c r="K92" s="15">
        <v>46248.681250000001</v>
      </c>
      <c r="L92" s="15"/>
      <c r="M92">
        <v>1805</v>
      </c>
      <c r="O92" t="s">
        <v>201</v>
      </c>
      <c r="P92" t="s">
        <v>532</v>
      </c>
      <c r="S92" t="s">
        <v>361</v>
      </c>
      <c r="T92" t="s">
        <v>378</v>
      </c>
      <c r="U92" t="s">
        <v>239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361</v>
      </c>
      <c r="AC92">
        <v>2200</v>
      </c>
      <c r="AD92" t="s">
        <v>232</v>
      </c>
      <c r="AE92">
        <v>1805</v>
      </c>
    </row>
    <row r="93" spans="1:32" x14ac:dyDescent="0.3">
      <c r="A93" t="s">
        <v>351</v>
      </c>
      <c r="B93" t="s">
        <v>57</v>
      </c>
      <c r="C93" t="s">
        <v>117</v>
      </c>
      <c r="D93" t="s">
        <v>310</v>
      </c>
      <c r="E93" t="s">
        <v>846</v>
      </c>
      <c r="F93" s="15">
        <v>46239.715613425928</v>
      </c>
      <c r="G93" t="s">
        <v>412</v>
      </c>
      <c r="H93">
        <v>3</v>
      </c>
      <c r="I93" t="s">
        <v>847</v>
      </c>
      <c r="J93" s="15">
        <v>46241.71597222222</v>
      </c>
      <c r="K93" s="15">
        <v>46246.671527777777</v>
      </c>
      <c r="L93" s="15"/>
      <c r="M93">
        <v>3</v>
      </c>
      <c r="O93" t="s">
        <v>201</v>
      </c>
      <c r="P93" t="s">
        <v>532</v>
      </c>
      <c r="S93" t="s">
        <v>361</v>
      </c>
      <c r="T93" t="s">
        <v>378</v>
      </c>
      <c r="U93" t="s">
        <v>239</v>
      </c>
      <c r="V93" t="s">
        <v>7</v>
      </c>
      <c r="W93" t="s">
        <v>7</v>
      </c>
      <c r="X93" t="s">
        <v>7</v>
      </c>
      <c r="AA93" t="s">
        <v>127</v>
      </c>
      <c r="AB93" t="s">
        <v>361</v>
      </c>
      <c r="AC93">
        <v>2200</v>
      </c>
      <c r="AD93" t="s">
        <v>233</v>
      </c>
      <c r="AE93">
        <v>1</v>
      </c>
      <c r="AF93">
        <v>283.2</v>
      </c>
    </row>
    <row r="94" spans="1:32" x14ac:dyDescent="0.3">
      <c r="A94" t="s">
        <v>351</v>
      </c>
      <c r="B94" t="s">
        <v>279</v>
      </c>
      <c r="C94" t="s">
        <v>192</v>
      </c>
      <c r="D94" t="s">
        <v>310</v>
      </c>
      <c r="E94" t="s">
        <v>846</v>
      </c>
      <c r="F94" s="15">
        <v>46239.715613425928</v>
      </c>
      <c r="G94" t="s">
        <v>412</v>
      </c>
      <c r="H94">
        <v>1580</v>
      </c>
      <c r="I94" t="s">
        <v>847</v>
      </c>
      <c r="J94" s="15">
        <v>46241.71597222222</v>
      </c>
      <c r="K94" s="15">
        <v>46246.671527777777</v>
      </c>
      <c r="L94" s="15"/>
      <c r="M94">
        <v>1580</v>
      </c>
      <c r="O94" t="s">
        <v>201</v>
      </c>
      <c r="P94" t="s">
        <v>532</v>
      </c>
      <c r="S94" t="s">
        <v>361</v>
      </c>
      <c r="T94" t="s">
        <v>378</v>
      </c>
      <c r="U94" t="s">
        <v>239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361</v>
      </c>
      <c r="AC94">
        <v>2200</v>
      </c>
      <c r="AD94" t="s">
        <v>232</v>
      </c>
      <c r="AE94">
        <v>1580</v>
      </c>
    </row>
    <row r="95" spans="1:32" x14ac:dyDescent="0.3">
      <c r="A95" t="s">
        <v>351</v>
      </c>
      <c r="B95" t="s">
        <v>57</v>
      </c>
      <c r="C95" t="s">
        <v>117</v>
      </c>
      <c r="D95" t="s">
        <v>310</v>
      </c>
      <c r="E95" t="s">
        <v>848</v>
      </c>
      <c r="F95" s="15">
        <v>46238.474398148152</v>
      </c>
      <c r="G95" t="s">
        <v>412</v>
      </c>
      <c r="H95">
        <v>1</v>
      </c>
      <c r="I95" t="s">
        <v>849</v>
      </c>
      <c r="J95" s="15">
        <v>46238.659722222219</v>
      </c>
      <c r="K95" s="15">
        <v>46241.456944444442</v>
      </c>
      <c r="L95" s="15"/>
      <c r="M95">
        <v>1</v>
      </c>
      <c r="O95" t="s">
        <v>201</v>
      </c>
      <c r="P95" t="s">
        <v>532</v>
      </c>
      <c r="S95" t="s">
        <v>361</v>
      </c>
      <c r="T95" t="s">
        <v>378</v>
      </c>
      <c r="U95" t="s">
        <v>239</v>
      </c>
      <c r="V95" t="s">
        <v>7</v>
      </c>
      <c r="W95" t="s">
        <v>7</v>
      </c>
      <c r="X95" t="s">
        <v>7</v>
      </c>
      <c r="AA95" t="s">
        <v>127</v>
      </c>
      <c r="AB95" t="s">
        <v>361</v>
      </c>
      <c r="AC95">
        <v>2200</v>
      </c>
      <c r="AD95" t="s">
        <v>233</v>
      </c>
      <c r="AE95">
        <v>1</v>
      </c>
      <c r="AF95">
        <v>1.5</v>
      </c>
    </row>
    <row r="96" spans="1:32" x14ac:dyDescent="0.3">
      <c r="A96" t="s">
        <v>351</v>
      </c>
      <c r="B96" t="s">
        <v>279</v>
      </c>
      <c r="C96" t="s">
        <v>192</v>
      </c>
      <c r="D96" t="s">
        <v>310</v>
      </c>
      <c r="E96" t="s">
        <v>848</v>
      </c>
      <c r="F96" s="15">
        <v>46238.474398148152</v>
      </c>
      <c r="G96" t="s">
        <v>412</v>
      </c>
      <c r="H96">
        <v>13</v>
      </c>
      <c r="I96" t="s">
        <v>849</v>
      </c>
      <c r="J96" s="15">
        <v>46238.659722222219</v>
      </c>
      <c r="K96" s="15">
        <v>46241.456944444442</v>
      </c>
      <c r="L96" s="15"/>
      <c r="M96">
        <v>13</v>
      </c>
      <c r="O96" t="s">
        <v>201</v>
      </c>
      <c r="P96" t="s">
        <v>532</v>
      </c>
      <c r="S96" t="s">
        <v>361</v>
      </c>
      <c r="T96" t="s">
        <v>378</v>
      </c>
      <c r="U96" t="s">
        <v>239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361</v>
      </c>
      <c r="AC96">
        <v>2200</v>
      </c>
      <c r="AD96" t="s">
        <v>232</v>
      </c>
      <c r="AE96">
        <v>13</v>
      </c>
    </row>
    <row r="97" spans="1:32" x14ac:dyDescent="0.3">
      <c r="A97" t="s">
        <v>351</v>
      </c>
      <c r="B97" t="s">
        <v>57</v>
      </c>
      <c r="C97" t="s">
        <v>117</v>
      </c>
      <c r="D97" t="s">
        <v>310</v>
      </c>
      <c r="E97" t="s">
        <v>856</v>
      </c>
      <c r="F97" s="15">
        <v>46244.43917824074</v>
      </c>
      <c r="G97" t="s">
        <v>419</v>
      </c>
      <c r="H97">
        <v>1</v>
      </c>
      <c r="I97" t="s">
        <v>857</v>
      </c>
      <c r="J97" s="15">
        <v>46245.671527777777</v>
      </c>
      <c r="K97" s="15">
        <v>46251.602083333331</v>
      </c>
      <c r="L97" s="15"/>
      <c r="M97">
        <v>1</v>
      </c>
      <c r="O97" t="s">
        <v>201</v>
      </c>
      <c r="P97" t="s">
        <v>532</v>
      </c>
      <c r="S97" t="s">
        <v>360</v>
      </c>
      <c r="T97" t="s">
        <v>378</v>
      </c>
      <c r="U97" t="s">
        <v>239</v>
      </c>
      <c r="V97" t="s">
        <v>7</v>
      </c>
      <c r="W97" t="s">
        <v>7</v>
      </c>
      <c r="X97" t="s">
        <v>7</v>
      </c>
      <c r="AA97" t="s">
        <v>127</v>
      </c>
      <c r="AB97" t="s">
        <v>360</v>
      </c>
      <c r="AC97">
        <v>50</v>
      </c>
      <c r="AD97" t="s">
        <v>233</v>
      </c>
      <c r="AE97">
        <v>1</v>
      </c>
      <c r="AF97">
        <v>1748.2</v>
      </c>
    </row>
    <row r="98" spans="1:32" x14ac:dyDescent="0.3">
      <c r="A98" t="s">
        <v>351</v>
      </c>
      <c r="B98" t="s">
        <v>57</v>
      </c>
      <c r="C98" t="s">
        <v>117</v>
      </c>
      <c r="D98" t="s">
        <v>310</v>
      </c>
      <c r="E98" t="s">
        <v>856</v>
      </c>
      <c r="F98" s="15">
        <v>46244.43917824074</v>
      </c>
      <c r="G98" t="s">
        <v>419</v>
      </c>
      <c r="H98">
        <v>2</v>
      </c>
      <c r="I98" t="s">
        <v>857</v>
      </c>
      <c r="J98" s="15">
        <v>46245.671527777777</v>
      </c>
      <c r="K98" s="15">
        <v>46251.602083333331</v>
      </c>
      <c r="L98" s="15"/>
      <c r="M98">
        <v>2</v>
      </c>
      <c r="O98" t="s">
        <v>529</v>
      </c>
      <c r="S98" t="s">
        <v>360</v>
      </c>
      <c r="T98" t="s">
        <v>378</v>
      </c>
      <c r="U98" t="s">
        <v>239</v>
      </c>
      <c r="V98" t="s">
        <v>7</v>
      </c>
      <c r="W98" t="s">
        <v>7</v>
      </c>
      <c r="X98" t="s">
        <v>7</v>
      </c>
      <c r="AA98" t="s">
        <v>127</v>
      </c>
      <c r="AB98" t="s">
        <v>360</v>
      </c>
      <c r="AC98">
        <v>50</v>
      </c>
      <c r="AD98" t="s">
        <v>233</v>
      </c>
      <c r="AE98">
        <v>1</v>
      </c>
    </row>
    <row r="99" spans="1:32" x14ac:dyDescent="0.3">
      <c r="A99" t="s">
        <v>351</v>
      </c>
      <c r="B99" t="s">
        <v>57</v>
      </c>
      <c r="C99" t="s">
        <v>117</v>
      </c>
      <c r="D99" t="s">
        <v>310</v>
      </c>
      <c r="E99" t="s">
        <v>856</v>
      </c>
      <c r="F99" s="15">
        <v>46244.43917824074</v>
      </c>
      <c r="G99" t="s">
        <v>419</v>
      </c>
      <c r="H99">
        <v>4</v>
      </c>
      <c r="I99" t="s">
        <v>857</v>
      </c>
      <c r="J99" s="15">
        <v>46245.671527777777</v>
      </c>
      <c r="K99" s="15">
        <v>46251.602083333331</v>
      </c>
      <c r="L99" s="15"/>
      <c r="M99">
        <v>4</v>
      </c>
      <c r="O99" t="s">
        <v>529</v>
      </c>
      <c r="S99" t="s">
        <v>360</v>
      </c>
      <c r="T99" t="s">
        <v>378</v>
      </c>
      <c r="U99" t="s">
        <v>239</v>
      </c>
      <c r="V99" t="s">
        <v>7</v>
      </c>
      <c r="W99" t="s">
        <v>7</v>
      </c>
      <c r="X99" t="s">
        <v>7</v>
      </c>
      <c r="AA99" t="s">
        <v>127</v>
      </c>
      <c r="AB99" t="s">
        <v>360</v>
      </c>
      <c r="AC99">
        <v>50</v>
      </c>
      <c r="AD99" t="s">
        <v>233</v>
      </c>
      <c r="AE99">
        <v>1</v>
      </c>
    </row>
    <row r="100" spans="1:32" x14ac:dyDescent="0.3">
      <c r="A100" t="s">
        <v>351</v>
      </c>
      <c r="B100" t="s">
        <v>57</v>
      </c>
      <c r="C100" t="s">
        <v>117</v>
      </c>
      <c r="D100" t="s">
        <v>310</v>
      </c>
      <c r="E100" t="s">
        <v>856</v>
      </c>
      <c r="F100" s="15">
        <v>46244.43917824074</v>
      </c>
      <c r="G100" t="s">
        <v>419</v>
      </c>
      <c r="H100">
        <v>1</v>
      </c>
      <c r="I100" t="s">
        <v>857</v>
      </c>
      <c r="J100" s="15">
        <v>46245.671527777777</v>
      </c>
      <c r="K100" s="15">
        <v>46251.602083333331</v>
      </c>
      <c r="L100" s="15"/>
      <c r="M100">
        <v>1</v>
      </c>
      <c r="O100" t="s">
        <v>529</v>
      </c>
      <c r="S100" t="s">
        <v>360</v>
      </c>
      <c r="T100" t="s">
        <v>378</v>
      </c>
      <c r="U100" t="s">
        <v>239</v>
      </c>
      <c r="V100" t="s">
        <v>7</v>
      </c>
      <c r="W100" t="s">
        <v>7</v>
      </c>
      <c r="X100" t="s">
        <v>7</v>
      </c>
      <c r="AA100" t="s">
        <v>127</v>
      </c>
      <c r="AB100" t="s">
        <v>360</v>
      </c>
      <c r="AC100">
        <v>50</v>
      </c>
      <c r="AD100" t="s">
        <v>233</v>
      </c>
      <c r="AE100">
        <v>1</v>
      </c>
    </row>
    <row r="101" spans="1:32" x14ac:dyDescent="0.3">
      <c r="A101" t="s">
        <v>351</v>
      </c>
      <c r="B101" t="s">
        <v>57</v>
      </c>
      <c r="C101" t="s">
        <v>117</v>
      </c>
      <c r="D101" t="s">
        <v>310</v>
      </c>
      <c r="E101" t="s">
        <v>856</v>
      </c>
      <c r="F101" s="15">
        <v>46244.43917824074</v>
      </c>
      <c r="G101" t="s">
        <v>419</v>
      </c>
      <c r="H101">
        <v>3</v>
      </c>
      <c r="I101" t="s">
        <v>857</v>
      </c>
      <c r="J101" s="15">
        <v>46245.671527777777</v>
      </c>
      <c r="K101" s="15">
        <v>46251.602083333331</v>
      </c>
      <c r="L101" s="15"/>
      <c r="M101">
        <v>3</v>
      </c>
      <c r="O101" t="s">
        <v>529</v>
      </c>
      <c r="S101" t="s">
        <v>360</v>
      </c>
      <c r="T101" t="s">
        <v>378</v>
      </c>
      <c r="U101" t="s">
        <v>239</v>
      </c>
      <c r="V101" t="s">
        <v>7</v>
      </c>
      <c r="W101" t="s">
        <v>7</v>
      </c>
      <c r="X101" t="s">
        <v>7</v>
      </c>
      <c r="AA101" t="s">
        <v>127</v>
      </c>
      <c r="AB101" t="s">
        <v>360</v>
      </c>
      <c r="AC101">
        <v>50</v>
      </c>
      <c r="AD101" t="s">
        <v>233</v>
      </c>
      <c r="AE101">
        <v>1</v>
      </c>
    </row>
    <row r="102" spans="1:32" x14ac:dyDescent="0.3">
      <c r="A102" t="s">
        <v>351</v>
      </c>
      <c r="B102" t="s">
        <v>57</v>
      </c>
      <c r="C102" t="s">
        <v>117</v>
      </c>
      <c r="D102" t="s">
        <v>310</v>
      </c>
      <c r="E102" t="s">
        <v>856</v>
      </c>
      <c r="F102" s="15">
        <v>46244.43917824074</v>
      </c>
      <c r="G102" t="s">
        <v>419</v>
      </c>
      <c r="H102">
        <v>4</v>
      </c>
      <c r="I102" t="s">
        <v>857</v>
      </c>
      <c r="J102" s="15">
        <v>46245.671527777777</v>
      </c>
      <c r="K102" s="15">
        <v>46251.602083333331</v>
      </c>
      <c r="L102" s="15"/>
      <c r="M102">
        <v>4</v>
      </c>
      <c r="O102" t="s">
        <v>529</v>
      </c>
      <c r="S102" t="s">
        <v>360</v>
      </c>
      <c r="T102" t="s">
        <v>378</v>
      </c>
      <c r="U102" t="s">
        <v>239</v>
      </c>
      <c r="V102" t="s">
        <v>7</v>
      </c>
      <c r="W102" t="s">
        <v>7</v>
      </c>
      <c r="X102" t="s">
        <v>7</v>
      </c>
      <c r="AA102" t="s">
        <v>127</v>
      </c>
      <c r="AB102" t="s">
        <v>360</v>
      </c>
      <c r="AC102">
        <v>50</v>
      </c>
      <c r="AD102" t="s">
        <v>233</v>
      </c>
      <c r="AE102">
        <v>1</v>
      </c>
    </row>
    <row r="103" spans="1:32" x14ac:dyDescent="0.3">
      <c r="A103" t="s">
        <v>351</v>
      </c>
      <c r="B103" t="s">
        <v>57</v>
      </c>
      <c r="C103" t="s">
        <v>117</v>
      </c>
      <c r="D103" t="s">
        <v>310</v>
      </c>
      <c r="E103" t="s">
        <v>856</v>
      </c>
      <c r="F103" s="15">
        <v>46244.43917824074</v>
      </c>
      <c r="G103" t="s">
        <v>419</v>
      </c>
      <c r="H103">
        <v>2</v>
      </c>
      <c r="I103" t="s">
        <v>857</v>
      </c>
      <c r="J103" s="15">
        <v>46245.671527777777</v>
      </c>
      <c r="K103" s="15">
        <v>46251.602083333331</v>
      </c>
      <c r="L103" s="15"/>
      <c r="M103">
        <v>2</v>
      </c>
      <c r="O103" t="s">
        <v>529</v>
      </c>
      <c r="S103" t="s">
        <v>360</v>
      </c>
      <c r="T103" t="s">
        <v>378</v>
      </c>
      <c r="U103" t="s">
        <v>239</v>
      </c>
      <c r="V103" t="s">
        <v>7</v>
      </c>
      <c r="W103" t="s">
        <v>7</v>
      </c>
      <c r="X103" t="s">
        <v>7</v>
      </c>
      <c r="AA103" t="s">
        <v>127</v>
      </c>
      <c r="AB103" t="s">
        <v>360</v>
      </c>
      <c r="AC103">
        <v>50</v>
      </c>
      <c r="AD103" t="s">
        <v>233</v>
      </c>
      <c r="AE103">
        <v>1</v>
      </c>
    </row>
    <row r="104" spans="1:32" x14ac:dyDescent="0.3">
      <c r="A104" t="s">
        <v>351</v>
      </c>
      <c r="B104" t="s">
        <v>57</v>
      </c>
      <c r="C104" t="s">
        <v>117</v>
      </c>
      <c r="D104" t="s">
        <v>310</v>
      </c>
      <c r="E104" t="s">
        <v>856</v>
      </c>
      <c r="F104" s="15">
        <v>46244.43917824074</v>
      </c>
      <c r="G104" t="s">
        <v>419</v>
      </c>
      <c r="H104">
        <v>2</v>
      </c>
      <c r="I104" t="s">
        <v>857</v>
      </c>
      <c r="J104" s="15">
        <v>46245.671527777777</v>
      </c>
      <c r="K104" s="15">
        <v>46251.602083333331</v>
      </c>
      <c r="L104" s="15"/>
      <c r="M104">
        <v>2</v>
      </c>
      <c r="O104" t="s">
        <v>529</v>
      </c>
      <c r="S104" t="s">
        <v>360</v>
      </c>
      <c r="T104" t="s">
        <v>378</v>
      </c>
      <c r="U104" t="s">
        <v>239</v>
      </c>
      <c r="V104" t="s">
        <v>7</v>
      </c>
      <c r="W104" t="s">
        <v>7</v>
      </c>
      <c r="X104" t="s">
        <v>7</v>
      </c>
      <c r="AA104" t="s">
        <v>127</v>
      </c>
      <c r="AB104" t="s">
        <v>360</v>
      </c>
      <c r="AC104">
        <v>50</v>
      </c>
      <c r="AD104" t="s">
        <v>233</v>
      </c>
      <c r="AE104">
        <v>1</v>
      </c>
    </row>
    <row r="105" spans="1:32" x14ac:dyDescent="0.3">
      <c r="A105" t="s">
        <v>351</v>
      </c>
      <c r="B105" t="s">
        <v>57</v>
      </c>
      <c r="C105" t="s">
        <v>117</v>
      </c>
      <c r="D105" t="s">
        <v>310</v>
      </c>
      <c r="E105" t="s">
        <v>856</v>
      </c>
      <c r="F105" s="15">
        <v>46244.43917824074</v>
      </c>
      <c r="G105" t="s">
        <v>419</v>
      </c>
      <c r="H105">
        <v>2</v>
      </c>
      <c r="I105" t="s">
        <v>857</v>
      </c>
      <c r="J105" s="15">
        <v>46245.671527777777</v>
      </c>
      <c r="K105" s="15">
        <v>46251.602083333331</v>
      </c>
      <c r="L105" s="15"/>
      <c r="M105">
        <v>2</v>
      </c>
      <c r="O105" t="s">
        <v>529</v>
      </c>
      <c r="S105" t="s">
        <v>360</v>
      </c>
      <c r="T105" t="s">
        <v>378</v>
      </c>
      <c r="U105" t="s">
        <v>239</v>
      </c>
      <c r="V105" t="s">
        <v>7</v>
      </c>
      <c r="W105" t="s">
        <v>7</v>
      </c>
      <c r="X105" t="s">
        <v>7</v>
      </c>
      <c r="AA105" t="s">
        <v>127</v>
      </c>
      <c r="AB105" t="s">
        <v>360</v>
      </c>
      <c r="AC105">
        <v>50</v>
      </c>
      <c r="AD105" t="s">
        <v>233</v>
      </c>
      <c r="AE105">
        <v>1</v>
      </c>
    </row>
    <row r="106" spans="1:32" x14ac:dyDescent="0.3">
      <c r="A106" t="s">
        <v>351</v>
      </c>
      <c r="B106" t="s">
        <v>279</v>
      </c>
      <c r="C106" t="s">
        <v>192</v>
      </c>
      <c r="D106" t="s">
        <v>310</v>
      </c>
      <c r="E106" t="s">
        <v>856</v>
      </c>
      <c r="F106" s="15">
        <v>46244.43917824074</v>
      </c>
      <c r="G106" t="s">
        <v>419</v>
      </c>
      <c r="H106">
        <v>1096</v>
      </c>
      <c r="I106" t="s">
        <v>857</v>
      </c>
      <c r="J106" s="15">
        <v>46245.671527777777</v>
      </c>
      <c r="K106" s="15">
        <v>46251.602083333331</v>
      </c>
      <c r="L106" s="15"/>
      <c r="M106">
        <v>1096</v>
      </c>
      <c r="O106" t="s">
        <v>201</v>
      </c>
      <c r="P106" t="s">
        <v>531</v>
      </c>
      <c r="S106" t="s">
        <v>360</v>
      </c>
      <c r="T106" t="s">
        <v>378</v>
      </c>
      <c r="U106" t="s">
        <v>239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360</v>
      </c>
      <c r="AC106">
        <v>50</v>
      </c>
      <c r="AD106" t="s">
        <v>232</v>
      </c>
      <c r="AE106">
        <v>1096</v>
      </c>
    </row>
    <row r="107" spans="1:32" x14ac:dyDescent="0.3">
      <c r="A107" t="s">
        <v>351</v>
      </c>
      <c r="B107" t="s">
        <v>279</v>
      </c>
      <c r="C107" t="s">
        <v>192</v>
      </c>
      <c r="D107" t="s">
        <v>310</v>
      </c>
      <c r="E107" t="s">
        <v>856</v>
      </c>
      <c r="F107" s="15">
        <v>46244.43917824074</v>
      </c>
      <c r="G107" t="s">
        <v>419</v>
      </c>
      <c r="H107">
        <v>2343</v>
      </c>
      <c r="I107" t="s">
        <v>857</v>
      </c>
      <c r="J107" s="15">
        <v>46245.671527777777</v>
      </c>
      <c r="K107" s="15">
        <v>46251.602083333331</v>
      </c>
      <c r="L107" s="15"/>
      <c r="M107">
        <v>2343</v>
      </c>
      <c r="O107" t="s">
        <v>529</v>
      </c>
      <c r="S107" t="s">
        <v>360</v>
      </c>
      <c r="T107" t="s">
        <v>378</v>
      </c>
      <c r="U107" t="s">
        <v>239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360</v>
      </c>
      <c r="AC107">
        <v>50</v>
      </c>
      <c r="AD107" t="s">
        <v>232</v>
      </c>
      <c r="AE107">
        <v>2343</v>
      </c>
    </row>
    <row r="108" spans="1:32" x14ac:dyDescent="0.3">
      <c r="A108" t="s">
        <v>351</v>
      </c>
      <c r="B108" t="s">
        <v>279</v>
      </c>
      <c r="C108" t="s">
        <v>192</v>
      </c>
      <c r="D108" t="s">
        <v>310</v>
      </c>
      <c r="E108" t="s">
        <v>856</v>
      </c>
      <c r="F108" s="15">
        <v>46244.43917824074</v>
      </c>
      <c r="G108" t="s">
        <v>419</v>
      </c>
      <c r="H108">
        <v>2913</v>
      </c>
      <c r="I108" t="s">
        <v>857</v>
      </c>
      <c r="J108" s="15">
        <v>46245.671527777777</v>
      </c>
      <c r="K108" s="15">
        <v>46251.602083333331</v>
      </c>
      <c r="L108" s="15"/>
      <c r="M108">
        <v>2913</v>
      </c>
      <c r="O108" t="s">
        <v>529</v>
      </c>
      <c r="S108" t="s">
        <v>360</v>
      </c>
      <c r="T108" t="s">
        <v>378</v>
      </c>
      <c r="U108" t="s">
        <v>239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360</v>
      </c>
      <c r="AC108">
        <v>50</v>
      </c>
      <c r="AD108" t="s">
        <v>232</v>
      </c>
      <c r="AE108">
        <v>2913</v>
      </c>
    </row>
    <row r="109" spans="1:32" x14ac:dyDescent="0.3">
      <c r="A109" t="s">
        <v>351</v>
      </c>
      <c r="B109" t="s">
        <v>57</v>
      </c>
      <c r="C109" t="s">
        <v>117</v>
      </c>
      <c r="D109" t="s">
        <v>310</v>
      </c>
      <c r="E109" t="s">
        <v>858</v>
      </c>
      <c r="F109" s="15">
        <v>46244.468541666669</v>
      </c>
      <c r="G109" t="s">
        <v>409</v>
      </c>
      <c r="H109">
        <v>1</v>
      </c>
      <c r="I109" t="s">
        <v>859</v>
      </c>
      <c r="J109" s="15">
        <v>46244.694444444445</v>
      </c>
      <c r="K109" s="15">
        <v>46248.702777777777</v>
      </c>
      <c r="L109" s="15"/>
      <c r="M109">
        <v>1</v>
      </c>
      <c r="O109" t="s">
        <v>201</v>
      </c>
      <c r="P109" t="s">
        <v>532</v>
      </c>
      <c r="S109" t="s">
        <v>360</v>
      </c>
      <c r="T109" t="s">
        <v>378</v>
      </c>
      <c r="U109" t="s">
        <v>239</v>
      </c>
      <c r="V109" t="s">
        <v>7</v>
      </c>
      <c r="W109" t="s">
        <v>7</v>
      </c>
      <c r="X109" t="s">
        <v>7</v>
      </c>
      <c r="AA109" t="s">
        <v>127</v>
      </c>
      <c r="AB109" t="s">
        <v>360</v>
      </c>
      <c r="AC109">
        <v>50</v>
      </c>
      <c r="AD109" t="s">
        <v>233</v>
      </c>
      <c r="AE109">
        <v>1</v>
      </c>
      <c r="AF109">
        <v>58.2</v>
      </c>
    </row>
    <row r="110" spans="1:32" x14ac:dyDescent="0.3">
      <c r="A110" t="s">
        <v>351</v>
      </c>
      <c r="B110" t="s">
        <v>57</v>
      </c>
      <c r="C110" t="s">
        <v>117</v>
      </c>
      <c r="D110" t="s">
        <v>310</v>
      </c>
      <c r="E110" t="s">
        <v>860</v>
      </c>
      <c r="F110" s="15">
        <v>46244.466851851852</v>
      </c>
      <c r="G110" t="s">
        <v>409</v>
      </c>
      <c r="H110">
        <v>1</v>
      </c>
      <c r="I110" t="s">
        <v>861</v>
      </c>
      <c r="J110" s="15">
        <v>46247.593055555553</v>
      </c>
      <c r="K110" s="15">
        <v>46252.873611111114</v>
      </c>
      <c r="L110" s="15"/>
      <c r="M110">
        <v>1</v>
      </c>
      <c r="O110" t="s">
        <v>201</v>
      </c>
      <c r="P110" t="s">
        <v>532</v>
      </c>
      <c r="S110" t="s">
        <v>360</v>
      </c>
      <c r="T110" t="s">
        <v>378</v>
      </c>
      <c r="U110" t="s">
        <v>239</v>
      </c>
      <c r="V110" t="s">
        <v>7</v>
      </c>
      <c r="W110" t="s">
        <v>7</v>
      </c>
      <c r="X110" t="s">
        <v>7</v>
      </c>
      <c r="AA110" t="s">
        <v>127</v>
      </c>
      <c r="AB110" t="s">
        <v>360</v>
      </c>
      <c r="AC110">
        <v>50</v>
      </c>
      <c r="AD110" t="s">
        <v>233</v>
      </c>
      <c r="AE110">
        <v>1</v>
      </c>
      <c r="AF110">
        <v>15.8</v>
      </c>
    </row>
    <row r="111" spans="1:32" x14ac:dyDescent="0.3">
      <c r="A111" t="s">
        <v>351</v>
      </c>
      <c r="B111" t="s">
        <v>57</v>
      </c>
      <c r="C111" t="s">
        <v>117</v>
      </c>
      <c r="D111" t="s">
        <v>310</v>
      </c>
      <c r="E111" t="s">
        <v>904</v>
      </c>
      <c r="F111" s="15">
        <v>46241.40283564815</v>
      </c>
      <c r="G111" t="s">
        <v>905</v>
      </c>
      <c r="H111">
        <v>1</v>
      </c>
      <c r="I111" t="s">
        <v>906</v>
      </c>
      <c r="J111" s="15">
        <v>46241.429861111108</v>
      </c>
      <c r="K111" s="15">
        <v>46246.593055555553</v>
      </c>
      <c r="L111" s="15"/>
      <c r="M111">
        <v>1</v>
      </c>
      <c r="O111" t="s">
        <v>201</v>
      </c>
      <c r="P111" t="s">
        <v>532</v>
      </c>
      <c r="S111" t="s">
        <v>362</v>
      </c>
      <c r="T111" t="s">
        <v>378</v>
      </c>
      <c r="U111" t="s">
        <v>239</v>
      </c>
      <c r="V111" t="s">
        <v>7</v>
      </c>
      <c r="W111" t="s">
        <v>7</v>
      </c>
      <c r="X111" t="s">
        <v>7</v>
      </c>
      <c r="AA111" t="s">
        <v>127</v>
      </c>
      <c r="AB111" t="s">
        <v>362</v>
      </c>
      <c r="AC111">
        <v>109</v>
      </c>
      <c r="AD111" t="s">
        <v>233</v>
      </c>
      <c r="AE111">
        <v>1</v>
      </c>
      <c r="AF111">
        <v>74.3</v>
      </c>
    </row>
    <row r="112" spans="1:32" x14ac:dyDescent="0.3">
      <c r="A112" t="s">
        <v>351</v>
      </c>
      <c r="B112" t="s">
        <v>57</v>
      </c>
      <c r="C112" t="s">
        <v>117</v>
      </c>
      <c r="D112" t="s">
        <v>310</v>
      </c>
      <c r="E112" t="s">
        <v>437</v>
      </c>
      <c r="F112" s="15">
        <v>46202.512337962966</v>
      </c>
      <c r="G112" t="s">
        <v>436</v>
      </c>
      <c r="H112">
        <v>2</v>
      </c>
      <c r="I112" t="s">
        <v>1041</v>
      </c>
      <c r="J112" s="15">
        <v>46241.424259259256</v>
      </c>
      <c r="K112" s="15">
        <v>46248.483460648145</v>
      </c>
      <c r="L112" s="15"/>
      <c r="M112">
        <v>2</v>
      </c>
      <c r="O112" t="s">
        <v>201</v>
      </c>
      <c r="P112" t="s">
        <v>532</v>
      </c>
      <c r="S112" t="s">
        <v>362</v>
      </c>
      <c r="T112" t="s">
        <v>378</v>
      </c>
      <c r="U112" t="s">
        <v>239</v>
      </c>
      <c r="V112" t="s">
        <v>7</v>
      </c>
      <c r="W112" t="s">
        <v>7</v>
      </c>
      <c r="X112" t="s">
        <v>7</v>
      </c>
      <c r="AA112" t="s">
        <v>127</v>
      </c>
      <c r="AB112" t="s">
        <v>362</v>
      </c>
      <c r="AC112">
        <v>109</v>
      </c>
      <c r="AD112" t="s">
        <v>233</v>
      </c>
      <c r="AE112">
        <v>1</v>
      </c>
      <c r="AF112">
        <v>64.400000000000006</v>
      </c>
    </row>
    <row r="113" spans="1:32" x14ac:dyDescent="0.3">
      <c r="A113" t="s">
        <v>351</v>
      </c>
      <c r="B113" t="s">
        <v>57</v>
      </c>
      <c r="C113" t="s">
        <v>117</v>
      </c>
      <c r="D113" t="s">
        <v>310</v>
      </c>
      <c r="E113" t="s">
        <v>907</v>
      </c>
      <c r="F113" s="15">
        <v>46230.40084490741</v>
      </c>
      <c r="G113" t="s">
        <v>424</v>
      </c>
      <c r="H113">
        <v>6</v>
      </c>
      <c r="I113" t="s">
        <v>908</v>
      </c>
      <c r="J113" s="15">
        <v>46233.454386574071</v>
      </c>
      <c r="K113" s="15">
        <v>46238.481249999997</v>
      </c>
      <c r="L113" s="15"/>
      <c r="M113">
        <v>6</v>
      </c>
      <c r="O113" t="s">
        <v>201</v>
      </c>
      <c r="P113" t="s">
        <v>532</v>
      </c>
      <c r="S113" t="s">
        <v>362</v>
      </c>
      <c r="T113" t="s">
        <v>378</v>
      </c>
      <c r="U113" t="s">
        <v>239</v>
      </c>
      <c r="V113" t="s">
        <v>7</v>
      </c>
      <c r="W113" t="s">
        <v>7</v>
      </c>
      <c r="X113" t="s">
        <v>7</v>
      </c>
      <c r="AA113" t="s">
        <v>127</v>
      </c>
      <c r="AB113" t="s">
        <v>362</v>
      </c>
      <c r="AC113">
        <v>109</v>
      </c>
      <c r="AD113" t="s">
        <v>233</v>
      </c>
      <c r="AE113">
        <v>1</v>
      </c>
      <c r="AF113">
        <v>1586.5</v>
      </c>
    </row>
    <row r="114" spans="1:32" x14ac:dyDescent="0.3">
      <c r="A114" t="s">
        <v>351</v>
      </c>
      <c r="B114" t="s">
        <v>57</v>
      </c>
      <c r="C114" t="s">
        <v>117</v>
      </c>
      <c r="D114" t="s">
        <v>310</v>
      </c>
      <c r="E114" t="s">
        <v>907</v>
      </c>
      <c r="F114" s="15">
        <v>46230.40084490741</v>
      </c>
      <c r="G114" t="s">
        <v>424</v>
      </c>
      <c r="H114">
        <v>4</v>
      </c>
      <c r="I114" t="s">
        <v>908</v>
      </c>
      <c r="J114" s="15">
        <v>46233.454386574071</v>
      </c>
      <c r="K114" s="15">
        <v>46238.481249999997</v>
      </c>
      <c r="L114" s="15"/>
      <c r="M114">
        <v>4</v>
      </c>
      <c r="O114" t="s">
        <v>529</v>
      </c>
      <c r="S114" t="s">
        <v>362</v>
      </c>
      <c r="T114" t="s">
        <v>378</v>
      </c>
      <c r="U114" t="s">
        <v>239</v>
      </c>
      <c r="V114" t="s">
        <v>7</v>
      </c>
      <c r="W114" t="s">
        <v>7</v>
      </c>
      <c r="X114" t="s">
        <v>7</v>
      </c>
      <c r="AA114" t="s">
        <v>127</v>
      </c>
      <c r="AB114" t="s">
        <v>362</v>
      </c>
      <c r="AC114">
        <v>109</v>
      </c>
      <c r="AD114" t="s">
        <v>233</v>
      </c>
      <c r="AE114">
        <v>1</v>
      </c>
    </row>
    <row r="115" spans="1:32" x14ac:dyDescent="0.3">
      <c r="A115" t="s">
        <v>351</v>
      </c>
      <c r="B115" t="s">
        <v>57</v>
      </c>
      <c r="C115" t="s">
        <v>117</v>
      </c>
      <c r="D115" t="s">
        <v>310</v>
      </c>
      <c r="E115" t="s">
        <v>907</v>
      </c>
      <c r="F115" s="15">
        <v>46230.40084490741</v>
      </c>
      <c r="G115" t="s">
        <v>424</v>
      </c>
      <c r="H115">
        <v>5</v>
      </c>
      <c r="I115" t="s">
        <v>908</v>
      </c>
      <c r="J115" s="15">
        <v>46233.454386574071</v>
      </c>
      <c r="K115" s="15">
        <v>46238.481249999997</v>
      </c>
      <c r="L115" s="15"/>
      <c r="M115">
        <v>5</v>
      </c>
      <c r="O115" t="s">
        <v>529</v>
      </c>
      <c r="S115" t="s">
        <v>362</v>
      </c>
      <c r="T115" t="s">
        <v>378</v>
      </c>
      <c r="U115" t="s">
        <v>239</v>
      </c>
      <c r="V115" t="s">
        <v>7</v>
      </c>
      <c r="W115" t="s">
        <v>7</v>
      </c>
      <c r="X115" t="s">
        <v>7</v>
      </c>
      <c r="AA115" t="s">
        <v>127</v>
      </c>
      <c r="AB115" t="s">
        <v>362</v>
      </c>
      <c r="AC115">
        <v>109</v>
      </c>
      <c r="AD115" t="s">
        <v>233</v>
      </c>
      <c r="AE115">
        <v>1</v>
      </c>
    </row>
    <row r="116" spans="1:32" x14ac:dyDescent="0.3">
      <c r="A116" t="s">
        <v>351</v>
      </c>
      <c r="B116" t="s">
        <v>57</v>
      </c>
      <c r="C116" t="s">
        <v>117</v>
      </c>
      <c r="D116" t="s">
        <v>310</v>
      </c>
      <c r="E116" t="s">
        <v>907</v>
      </c>
      <c r="F116" s="15">
        <v>46230.40084490741</v>
      </c>
      <c r="G116" t="s">
        <v>424</v>
      </c>
      <c r="H116">
        <v>6</v>
      </c>
      <c r="I116" t="s">
        <v>908</v>
      </c>
      <c r="J116" s="15">
        <v>46233.454386574071</v>
      </c>
      <c r="K116" s="15">
        <v>46238.481249999997</v>
      </c>
      <c r="L116" s="15"/>
      <c r="M116">
        <v>6</v>
      </c>
      <c r="O116" t="s">
        <v>529</v>
      </c>
      <c r="S116" t="s">
        <v>362</v>
      </c>
      <c r="T116" t="s">
        <v>378</v>
      </c>
      <c r="U116" t="s">
        <v>239</v>
      </c>
      <c r="V116" t="s">
        <v>7</v>
      </c>
      <c r="W116" t="s">
        <v>7</v>
      </c>
      <c r="X116" t="s">
        <v>7</v>
      </c>
      <c r="AA116" t="s">
        <v>127</v>
      </c>
      <c r="AB116" t="s">
        <v>362</v>
      </c>
      <c r="AC116">
        <v>109</v>
      </c>
      <c r="AD116" t="s">
        <v>233</v>
      </c>
      <c r="AE116">
        <v>1</v>
      </c>
    </row>
    <row r="117" spans="1:32" x14ac:dyDescent="0.3">
      <c r="A117" t="s">
        <v>351</v>
      </c>
      <c r="B117" t="s">
        <v>57</v>
      </c>
      <c r="C117" t="s">
        <v>117</v>
      </c>
      <c r="D117" t="s">
        <v>310</v>
      </c>
      <c r="E117" t="s">
        <v>907</v>
      </c>
      <c r="F117" s="15">
        <v>46230.40084490741</v>
      </c>
      <c r="G117" t="s">
        <v>424</v>
      </c>
      <c r="H117">
        <v>4</v>
      </c>
      <c r="I117" t="s">
        <v>908</v>
      </c>
      <c r="J117" s="15">
        <v>46233.454386574071</v>
      </c>
      <c r="K117" s="15">
        <v>46238.481249999997</v>
      </c>
      <c r="L117" s="15"/>
      <c r="M117">
        <v>4</v>
      </c>
      <c r="O117" t="s">
        <v>529</v>
      </c>
      <c r="S117" t="s">
        <v>362</v>
      </c>
      <c r="T117" t="s">
        <v>378</v>
      </c>
      <c r="U117" t="s">
        <v>239</v>
      </c>
      <c r="V117" t="s">
        <v>7</v>
      </c>
      <c r="W117" t="s">
        <v>7</v>
      </c>
      <c r="X117" t="s">
        <v>7</v>
      </c>
      <c r="AA117" t="s">
        <v>127</v>
      </c>
      <c r="AB117" t="s">
        <v>362</v>
      </c>
      <c r="AC117">
        <v>109</v>
      </c>
      <c r="AD117" t="s">
        <v>233</v>
      </c>
      <c r="AE117">
        <v>1</v>
      </c>
    </row>
    <row r="118" spans="1:32" x14ac:dyDescent="0.3">
      <c r="A118" t="s">
        <v>351</v>
      </c>
      <c r="B118" t="s">
        <v>57</v>
      </c>
      <c r="C118" t="s">
        <v>117</v>
      </c>
      <c r="D118" t="s">
        <v>310</v>
      </c>
      <c r="E118" t="s">
        <v>907</v>
      </c>
      <c r="F118" s="15">
        <v>46230.40084490741</v>
      </c>
      <c r="G118" t="s">
        <v>424</v>
      </c>
      <c r="H118">
        <v>5</v>
      </c>
      <c r="I118" t="s">
        <v>908</v>
      </c>
      <c r="J118" s="15">
        <v>46233.454386574071</v>
      </c>
      <c r="K118" s="15">
        <v>46238.481249999997</v>
      </c>
      <c r="L118" s="15"/>
      <c r="M118">
        <v>5</v>
      </c>
      <c r="O118" t="s">
        <v>529</v>
      </c>
      <c r="S118" t="s">
        <v>362</v>
      </c>
      <c r="T118" t="s">
        <v>378</v>
      </c>
      <c r="U118" t="s">
        <v>239</v>
      </c>
      <c r="V118" t="s">
        <v>7</v>
      </c>
      <c r="W118" t="s">
        <v>7</v>
      </c>
      <c r="X118" t="s">
        <v>7</v>
      </c>
      <c r="AA118" t="s">
        <v>127</v>
      </c>
      <c r="AB118" t="s">
        <v>362</v>
      </c>
      <c r="AC118">
        <v>109</v>
      </c>
      <c r="AD118" t="s">
        <v>233</v>
      </c>
      <c r="AE118">
        <v>1</v>
      </c>
    </row>
    <row r="119" spans="1:32" x14ac:dyDescent="0.3">
      <c r="A119" t="s">
        <v>351</v>
      </c>
      <c r="B119" t="s">
        <v>57</v>
      </c>
      <c r="C119" t="s">
        <v>117</v>
      </c>
      <c r="D119" t="s">
        <v>310</v>
      </c>
      <c r="E119" t="s">
        <v>907</v>
      </c>
      <c r="F119" s="15">
        <v>46230.40084490741</v>
      </c>
      <c r="G119" t="s">
        <v>424</v>
      </c>
      <c r="H119">
        <v>6</v>
      </c>
      <c r="I119" t="s">
        <v>908</v>
      </c>
      <c r="J119" s="15">
        <v>46233.454386574071</v>
      </c>
      <c r="K119" s="15">
        <v>46238.481249999997</v>
      </c>
      <c r="L119" s="15"/>
      <c r="M119">
        <v>6</v>
      </c>
      <c r="O119" t="s">
        <v>529</v>
      </c>
      <c r="S119" t="s">
        <v>362</v>
      </c>
      <c r="T119" t="s">
        <v>378</v>
      </c>
      <c r="U119" t="s">
        <v>239</v>
      </c>
      <c r="V119" t="s">
        <v>7</v>
      </c>
      <c r="W119" t="s">
        <v>7</v>
      </c>
      <c r="X119" t="s">
        <v>7</v>
      </c>
      <c r="AA119" t="s">
        <v>127</v>
      </c>
      <c r="AB119" t="s">
        <v>362</v>
      </c>
      <c r="AC119">
        <v>109</v>
      </c>
      <c r="AD119" t="s">
        <v>233</v>
      </c>
      <c r="AE119">
        <v>1</v>
      </c>
    </row>
    <row r="120" spans="1:32" x14ac:dyDescent="0.3">
      <c r="A120" t="s">
        <v>351</v>
      </c>
      <c r="B120" t="s">
        <v>57</v>
      </c>
      <c r="C120" t="s">
        <v>117</v>
      </c>
      <c r="D120" t="s">
        <v>310</v>
      </c>
      <c r="E120" t="s">
        <v>907</v>
      </c>
      <c r="F120" s="15">
        <v>46230.40084490741</v>
      </c>
      <c r="G120" t="s">
        <v>424</v>
      </c>
      <c r="H120">
        <v>6</v>
      </c>
      <c r="I120" t="s">
        <v>908</v>
      </c>
      <c r="J120" s="15">
        <v>46233.454386574071</v>
      </c>
      <c r="K120" s="15">
        <v>46238.481249999997</v>
      </c>
      <c r="L120" s="15"/>
      <c r="M120">
        <v>6</v>
      </c>
      <c r="O120" t="s">
        <v>529</v>
      </c>
      <c r="S120" t="s">
        <v>362</v>
      </c>
      <c r="T120" t="s">
        <v>378</v>
      </c>
      <c r="U120" t="s">
        <v>239</v>
      </c>
      <c r="V120" t="s">
        <v>7</v>
      </c>
      <c r="W120" t="s">
        <v>7</v>
      </c>
      <c r="X120" t="s">
        <v>7</v>
      </c>
      <c r="AA120" t="s">
        <v>127</v>
      </c>
      <c r="AB120" t="s">
        <v>362</v>
      </c>
      <c r="AC120">
        <v>109</v>
      </c>
      <c r="AD120" t="s">
        <v>233</v>
      </c>
      <c r="AE120">
        <v>1</v>
      </c>
    </row>
    <row r="121" spans="1:32" x14ac:dyDescent="0.3">
      <c r="A121" t="s">
        <v>351</v>
      </c>
      <c r="B121" t="s">
        <v>57</v>
      </c>
      <c r="C121" t="s">
        <v>117</v>
      </c>
      <c r="D121" t="s">
        <v>310</v>
      </c>
      <c r="E121" t="s">
        <v>907</v>
      </c>
      <c r="F121" s="15">
        <v>46230.40084490741</v>
      </c>
      <c r="G121" t="s">
        <v>424</v>
      </c>
      <c r="H121">
        <v>3</v>
      </c>
      <c r="I121" t="s">
        <v>908</v>
      </c>
      <c r="J121" s="15">
        <v>46233.454386574071</v>
      </c>
      <c r="K121" s="15">
        <v>46238.481249999997</v>
      </c>
      <c r="L121" s="15"/>
      <c r="M121">
        <v>3</v>
      </c>
      <c r="O121" t="s">
        <v>529</v>
      </c>
      <c r="S121" t="s">
        <v>362</v>
      </c>
      <c r="T121" t="s">
        <v>378</v>
      </c>
      <c r="U121" t="s">
        <v>239</v>
      </c>
      <c r="V121" t="s">
        <v>7</v>
      </c>
      <c r="W121" t="s">
        <v>7</v>
      </c>
      <c r="X121" t="s">
        <v>7</v>
      </c>
      <c r="AA121" t="s">
        <v>127</v>
      </c>
      <c r="AB121" t="s">
        <v>362</v>
      </c>
      <c r="AC121">
        <v>109</v>
      </c>
      <c r="AD121" t="s">
        <v>233</v>
      </c>
      <c r="AE121">
        <v>1</v>
      </c>
    </row>
    <row r="122" spans="1:32" x14ac:dyDescent="0.3">
      <c r="A122" t="s">
        <v>351</v>
      </c>
      <c r="B122" t="s">
        <v>57</v>
      </c>
      <c r="C122" t="s">
        <v>117</v>
      </c>
      <c r="D122" t="s">
        <v>310</v>
      </c>
      <c r="E122" t="s">
        <v>907</v>
      </c>
      <c r="F122" s="15">
        <v>46230.40084490741</v>
      </c>
      <c r="G122" t="s">
        <v>424</v>
      </c>
      <c r="H122">
        <v>5</v>
      </c>
      <c r="I122" t="s">
        <v>908</v>
      </c>
      <c r="J122" s="15">
        <v>46233.454386574071</v>
      </c>
      <c r="K122" s="15">
        <v>46238.481249999997</v>
      </c>
      <c r="L122" s="15"/>
      <c r="M122">
        <v>5</v>
      </c>
      <c r="O122" t="s">
        <v>529</v>
      </c>
      <c r="S122" t="s">
        <v>362</v>
      </c>
      <c r="T122" t="s">
        <v>378</v>
      </c>
      <c r="U122" t="s">
        <v>239</v>
      </c>
      <c r="V122" t="s">
        <v>7</v>
      </c>
      <c r="W122" t="s">
        <v>7</v>
      </c>
      <c r="X122" t="s">
        <v>7</v>
      </c>
      <c r="AA122" t="s">
        <v>127</v>
      </c>
      <c r="AB122" t="s">
        <v>362</v>
      </c>
      <c r="AC122">
        <v>109</v>
      </c>
      <c r="AD122" t="s">
        <v>233</v>
      </c>
      <c r="AE122">
        <v>1</v>
      </c>
    </row>
    <row r="123" spans="1:32" x14ac:dyDescent="0.3">
      <c r="A123" t="s">
        <v>351</v>
      </c>
      <c r="B123" t="s">
        <v>57</v>
      </c>
      <c r="C123" t="s">
        <v>117</v>
      </c>
      <c r="D123" t="s">
        <v>310</v>
      </c>
      <c r="E123" t="s">
        <v>797</v>
      </c>
      <c r="F123" s="15">
        <v>46232.31826388889</v>
      </c>
      <c r="G123" t="s">
        <v>411</v>
      </c>
      <c r="H123">
        <v>1</v>
      </c>
      <c r="I123" t="s">
        <v>1033</v>
      </c>
      <c r="J123" s="15">
        <v>46232.407094907408</v>
      </c>
      <c r="K123" s="15">
        <v>46238.423611111109</v>
      </c>
      <c r="L123" s="15"/>
      <c r="M123">
        <v>1</v>
      </c>
      <c r="O123" t="s">
        <v>201</v>
      </c>
      <c r="P123" t="s">
        <v>532</v>
      </c>
      <c r="S123" t="s">
        <v>363</v>
      </c>
      <c r="T123" t="s">
        <v>378</v>
      </c>
      <c r="U123" t="s">
        <v>239</v>
      </c>
      <c r="V123" t="s">
        <v>7</v>
      </c>
      <c r="W123" t="s">
        <v>7</v>
      </c>
      <c r="X123" t="s">
        <v>7</v>
      </c>
      <c r="AA123" t="s">
        <v>127</v>
      </c>
      <c r="AB123" t="s">
        <v>363</v>
      </c>
      <c r="AC123">
        <v>101</v>
      </c>
      <c r="AD123" t="s">
        <v>233</v>
      </c>
      <c r="AE123">
        <v>1</v>
      </c>
      <c r="AF123">
        <v>1</v>
      </c>
    </row>
    <row r="124" spans="1:32" x14ac:dyDescent="0.3">
      <c r="A124" t="s">
        <v>351</v>
      </c>
      <c r="B124" t="s">
        <v>57</v>
      </c>
      <c r="C124" t="s">
        <v>117</v>
      </c>
      <c r="D124" t="s">
        <v>310</v>
      </c>
      <c r="E124" t="s">
        <v>438</v>
      </c>
      <c r="F124" s="15">
        <v>46212.717303240737</v>
      </c>
      <c r="G124" t="s">
        <v>412</v>
      </c>
      <c r="H124">
        <v>2</v>
      </c>
      <c r="I124" t="s">
        <v>1039</v>
      </c>
      <c r="J124" s="15">
        <v>46231.477627314816</v>
      </c>
      <c r="K124" s="15">
        <v>46238.444444444445</v>
      </c>
      <c r="L124" s="15"/>
      <c r="M124">
        <v>2</v>
      </c>
      <c r="O124" t="s">
        <v>201</v>
      </c>
      <c r="P124" t="s">
        <v>532</v>
      </c>
      <c r="S124" t="s">
        <v>361</v>
      </c>
      <c r="T124" t="s">
        <v>378</v>
      </c>
      <c r="U124" t="s">
        <v>239</v>
      </c>
      <c r="V124" t="s">
        <v>7</v>
      </c>
      <c r="W124" t="s">
        <v>7</v>
      </c>
      <c r="X124" t="s">
        <v>7</v>
      </c>
      <c r="AA124" t="s">
        <v>127</v>
      </c>
      <c r="AB124" t="s">
        <v>361</v>
      </c>
      <c r="AC124">
        <v>2200</v>
      </c>
      <c r="AD124" t="s">
        <v>233</v>
      </c>
      <c r="AE124">
        <v>1</v>
      </c>
      <c r="AF124">
        <v>134.9</v>
      </c>
    </row>
    <row r="125" spans="1:32" x14ac:dyDescent="0.3">
      <c r="A125" t="s">
        <v>351</v>
      </c>
      <c r="B125" t="s">
        <v>57</v>
      </c>
      <c r="C125" t="s">
        <v>117</v>
      </c>
      <c r="D125" t="s">
        <v>310</v>
      </c>
      <c r="E125" t="s">
        <v>438</v>
      </c>
      <c r="F125" s="15">
        <v>46212.717303240737</v>
      </c>
      <c r="G125" t="s">
        <v>412</v>
      </c>
      <c r="H125">
        <v>2</v>
      </c>
      <c r="I125" t="s">
        <v>1039</v>
      </c>
      <c r="J125" s="15">
        <v>46231.477627314816</v>
      </c>
      <c r="K125" s="15">
        <v>46238.444444444445</v>
      </c>
      <c r="L125" s="15"/>
      <c r="M125">
        <v>2</v>
      </c>
      <c r="O125" t="s">
        <v>529</v>
      </c>
      <c r="S125" t="s">
        <v>361</v>
      </c>
      <c r="T125" t="s">
        <v>378</v>
      </c>
      <c r="U125" t="s">
        <v>239</v>
      </c>
      <c r="V125" t="s">
        <v>7</v>
      </c>
      <c r="W125" t="s">
        <v>7</v>
      </c>
      <c r="X125" t="s">
        <v>7</v>
      </c>
      <c r="AA125" t="s">
        <v>127</v>
      </c>
      <c r="AB125" t="s">
        <v>361</v>
      </c>
      <c r="AC125">
        <v>2200</v>
      </c>
      <c r="AD125" t="s">
        <v>233</v>
      </c>
      <c r="AE125">
        <v>1</v>
      </c>
    </row>
    <row r="126" spans="1:32" x14ac:dyDescent="0.3">
      <c r="A126" t="s">
        <v>351</v>
      </c>
      <c r="B126" t="s">
        <v>57</v>
      </c>
      <c r="C126" t="s">
        <v>117</v>
      </c>
      <c r="D126" t="s">
        <v>310</v>
      </c>
      <c r="E126" t="s">
        <v>1055</v>
      </c>
      <c r="F126" s="15">
        <v>46223.754212962966</v>
      </c>
      <c r="G126" t="s">
        <v>412</v>
      </c>
      <c r="H126">
        <v>1</v>
      </c>
      <c r="I126" t="s">
        <v>1056</v>
      </c>
      <c r="J126" s="15">
        <v>46232.484236111108</v>
      </c>
      <c r="K126" s="15">
        <v>46238.427083333336</v>
      </c>
      <c r="L126" s="15"/>
      <c r="M126">
        <v>1</v>
      </c>
      <c r="O126" t="s">
        <v>201</v>
      </c>
      <c r="P126" t="s">
        <v>532</v>
      </c>
      <c r="S126" t="s">
        <v>361</v>
      </c>
      <c r="T126" t="s">
        <v>378</v>
      </c>
      <c r="U126" t="s">
        <v>239</v>
      </c>
      <c r="V126" t="s">
        <v>7</v>
      </c>
      <c r="W126" t="s">
        <v>7</v>
      </c>
      <c r="X126" t="s">
        <v>7</v>
      </c>
      <c r="AA126" t="s">
        <v>127</v>
      </c>
      <c r="AB126" t="s">
        <v>361</v>
      </c>
      <c r="AC126">
        <v>2200</v>
      </c>
      <c r="AD126" t="s">
        <v>233</v>
      </c>
      <c r="AE126">
        <v>1</v>
      </c>
    </row>
    <row r="127" spans="1:32" x14ac:dyDescent="0.3">
      <c r="A127" t="s">
        <v>351</v>
      </c>
      <c r="B127" t="s">
        <v>57</v>
      </c>
      <c r="C127" t="s">
        <v>117</v>
      </c>
      <c r="D127" t="s">
        <v>310</v>
      </c>
      <c r="E127" t="s">
        <v>1059</v>
      </c>
      <c r="F127" s="15">
        <v>46233.719895833332</v>
      </c>
      <c r="G127" t="s">
        <v>439</v>
      </c>
      <c r="H127">
        <v>6</v>
      </c>
      <c r="I127" t="s">
        <v>1060</v>
      </c>
      <c r="J127" s="15">
        <v>46234.410682870373</v>
      </c>
      <c r="K127" s="15">
        <v>46238.434027777781</v>
      </c>
      <c r="L127" s="15"/>
      <c r="M127">
        <v>6</v>
      </c>
      <c r="O127" t="s">
        <v>201</v>
      </c>
      <c r="P127" t="s">
        <v>532</v>
      </c>
      <c r="S127" t="s">
        <v>361</v>
      </c>
      <c r="T127" t="s">
        <v>378</v>
      </c>
      <c r="U127" t="s">
        <v>239</v>
      </c>
      <c r="V127" t="s">
        <v>7</v>
      </c>
      <c r="W127" t="s">
        <v>7</v>
      </c>
      <c r="X127" t="s">
        <v>7</v>
      </c>
      <c r="AA127" t="s">
        <v>127</v>
      </c>
      <c r="AB127" t="s">
        <v>361</v>
      </c>
      <c r="AC127">
        <v>2200</v>
      </c>
      <c r="AD127" t="s">
        <v>233</v>
      </c>
      <c r="AE127">
        <v>1</v>
      </c>
    </row>
    <row r="128" spans="1:32" x14ac:dyDescent="0.3">
      <c r="A128" t="s">
        <v>351</v>
      </c>
      <c r="B128" t="s">
        <v>57</v>
      </c>
      <c r="C128" t="s">
        <v>117</v>
      </c>
      <c r="D128" t="s">
        <v>310</v>
      </c>
      <c r="E128" t="s">
        <v>1059</v>
      </c>
      <c r="F128" s="15">
        <v>46233.719895833332</v>
      </c>
      <c r="G128" t="s">
        <v>439</v>
      </c>
      <c r="H128">
        <v>2</v>
      </c>
      <c r="I128" t="s">
        <v>1101</v>
      </c>
      <c r="J128" s="15">
        <v>46234.408483796295</v>
      </c>
      <c r="K128" s="15">
        <v>46238.436805555553</v>
      </c>
      <c r="L128" s="15"/>
      <c r="M128">
        <v>2</v>
      </c>
      <c r="O128" t="s">
        <v>201</v>
      </c>
      <c r="P128" t="s">
        <v>532</v>
      </c>
      <c r="S128" t="s">
        <v>361</v>
      </c>
      <c r="T128" t="s">
        <v>378</v>
      </c>
      <c r="U128" t="s">
        <v>239</v>
      </c>
      <c r="V128" t="s">
        <v>7</v>
      </c>
      <c r="W128" t="s">
        <v>7</v>
      </c>
      <c r="X128" t="s">
        <v>7</v>
      </c>
      <c r="AA128" t="s">
        <v>127</v>
      </c>
      <c r="AB128" t="s">
        <v>361</v>
      </c>
      <c r="AC128">
        <v>2200</v>
      </c>
      <c r="AD128" t="s">
        <v>233</v>
      </c>
      <c r="AE128">
        <v>1</v>
      </c>
    </row>
    <row r="129" spans="1:32" x14ac:dyDescent="0.3">
      <c r="A129" t="s">
        <v>351</v>
      </c>
      <c r="B129" t="s">
        <v>57</v>
      </c>
      <c r="C129" t="s">
        <v>117</v>
      </c>
      <c r="D129" t="s">
        <v>310</v>
      </c>
      <c r="E129" t="s">
        <v>1059</v>
      </c>
      <c r="F129" s="15">
        <v>46233.719895833332</v>
      </c>
      <c r="G129" t="s">
        <v>439</v>
      </c>
      <c r="H129">
        <v>6</v>
      </c>
      <c r="I129" t="s">
        <v>1060</v>
      </c>
      <c r="J129" s="15">
        <v>46234.410682870373</v>
      </c>
      <c r="K129" s="15">
        <v>46238.434027777781</v>
      </c>
      <c r="L129" s="15"/>
      <c r="M129">
        <v>6</v>
      </c>
      <c r="O129" t="s">
        <v>529</v>
      </c>
      <c r="S129" t="s">
        <v>361</v>
      </c>
      <c r="T129" t="s">
        <v>378</v>
      </c>
      <c r="U129" t="s">
        <v>239</v>
      </c>
      <c r="V129" t="s">
        <v>7</v>
      </c>
      <c r="W129" t="s">
        <v>7</v>
      </c>
      <c r="X129" t="s">
        <v>7</v>
      </c>
      <c r="AA129" t="s">
        <v>127</v>
      </c>
      <c r="AB129" t="s">
        <v>361</v>
      </c>
      <c r="AC129">
        <v>2200</v>
      </c>
      <c r="AD129" t="s">
        <v>233</v>
      </c>
      <c r="AE129">
        <v>1</v>
      </c>
    </row>
    <row r="130" spans="1:32" x14ac:dyDescent="0.3">
      <c r="A130" t="s">
        <v>351</v>
      </c>
      <c r="B130" t="s">
        <v>57</v>
      </c>
      <c r="C130" t="s">
        <v>117</v>
      </c>
      <c r="D130" t="s">
        <v>310</v>
      </c>
      <c r="E130" t="s">
        <v>437</v>
      </c>
      <c r="F130" s="15">
        <v>46202.512337962966</v>
      </c>
      <c r="G130" t="s">
        <v>436</v>
      </c>
      <c r="H130">
        <v>1</v>
      </c>
      <c r="I130" t="s">
        <v>1040</v>
      </c>
      <c r="J130" s="15">
        <v>46203.361828703702</v>
      </c>
      <c r="K130" s="15">
        <v>46212.739201388889</v>
      </c>
      <c r="L130" s="15"/>
      <c r="M130">
        <v>26</v>
      </c>
      <c r="O130" t="s">
        <v>201</v>
      </c>
      <c r="P130" t="s">
        <v>532</v>
      </c>
      <c r="S130" t="s">
        <v>362</v>
      </c>
      <c r="T130" t="s">
        <v>378</v>
      </c>
      <c r="U130" t="s">
        <v>239</v>
      </c>
      <c r="V130" t="s">
        <v>7</v>
      </c>
      <c r="W130" t="s">
        <v>7</v>
      </c>
      <c r="X130" t="s">
        <v>7</v>
      </c>
      <c r="AA130" t="s">
        <v>127</v>
      </c>
      <c r="AB130" t="s">
        <v>362</v>
      </c>
      <c r="AC130">
        <v>109</v>
      </c>
      <c r="AD130" t="s">
        <v>233</v>
      </c>
      <c r="AE130">
        <v>2.6</v>
      </c>
      <c r="AF130">
        <v>83.89</v>
      </c>
    </row>
    <row r="131" spans="1:32" x14ac:dyDescent="0.3">
      <c r="A131" t="s">
        <v>351</v>
      </c>
      <c r="B131" t="s">
        <v>57</v>
      </c>
      <c r="C131" t="s">
        <v>117</v>
      </c>
      <c r="D131" t="s">
        <v>310</v>
      </c>
      <c r="E131" t="s">
        <v>437</v>
      </c>
      <c r="F131" s="15">
        <v>46202.512337962966</v>
      </c>
      <c r="G131" t="s">
        <v>436</v>
      </c>
      <c r="H131">
        <v>1</v>
      </c>
      <c r="I131" t="s">
        <v>1040</v>
      </c>
      <c r="J131" s="15">
        <v>46203.361828703702</v>
      </c>
      <c r="K131" s="15">
        <v>46212.739201388889</v>
      </c>
      <c r="L131" s="15"/>
      <c r="M131">
        <v>13</v>
      </c>
      <c r="O131" t="s">
        <v>529</v>
      </c>
      <c r="S131" t="s">
        <v>362</v>
      </c>
      <c r="T131" t="s">
        <v>378</v>
      </c>
      <c r="U131" t="s">
        <v>239</v>
      </c>
      <c r="V131" t="s">
        <v>7</v>
      </c>
      <c r="W131" t="s">
        <v>7</v>
      </c>
      <c r="X131" t="s">
        <v>7</v>
      </c>
      <c r="AA131" t="s">
        <v>127</v>
      </c>
      <c r="AB131" t="s">
        <v>362</v>
      </c>
      <c r="AC131">
        <v>109</v>
      </c>
      <c r="AD131" t="s">
        <v>233</v>
      </c>
      <c r="AE131">
        <v>1.3</v>
      </c>
    </row>
    <row r="132" spans="1:32" x14ac:dyDescent="0.3">
      <c r="A132" t="s">
        <v>351</v>
      </c>
      <c r="B132" t="s">
        <v>57</v>
      </c>
      <c r="C132" t="s">
        <v>117</v>
      </c>
      <c r="D132" t="s">
        <v>310</v>
      </c>
      <c r="E132" t="s">
        <v>437</v>
      </c>
      <c r="F132" s="15">
        <v>46202.512337962966</v>
      </c>
      <c r="G132" t="s">
        <v>436</v>
      </c>
      <c r="H132">
        <v>30</v>
      </c>
      <c r="I132" t="s">
        <v>1042</v>
      </c>
      <c r="J132" s="15">
        <v>46239.591469907406</v>
      </c>
      <c r="K132" s="15">
        <v>46241.497916666667</v>
      </c>
      <c r="L132" s="15"/>
      <c r="M132">
        <v>30</v>
      </c>
      <c r="O132" t="s">
        <v>201</v>
      </c>
      <c r="P132" t="s">
        <v>532</v>
      </c>
      <c r="S132" t="s">
        <v>362</v>
      </c>
      <c r="T132" t="s">
        <v>378</v>
      </c>
      <c r="U132" t="s">
        <v>239</v>
      </c>
      <c r="V132" t="s">
        <v>7</v>
      </c>
      <c r="W132" t="s">
        <v>7</v>
      </c>
      <c r="X132" t="s">
        <v>7</v>
      </c>
      <c r="AA132" t="s">
        <v>127</v>
      </c>
      <c r="AB132" t="s">
        <v>362</v>
      </c>
      <c r="AC132">
        <v>109</v>
      </c>
      <c r="AD132" t="s">
        <v>233</v>
      </c>
      <c r="AE132">
        <v>3</v>
      </c>
      <c r="AF132">
        <v>51.3</v>
      </c>
    </row>
    <row r="133" spans="1:32" x14ac:dyDescent="0.3">
      <c r="A133" t="s">
        <v>351</v>
      </c>
      <c r="B133" t="s">
        <v>57</v>
      </c>
      <c r="C133" t="s">
        <v>117</v>
      </c>
      <c r="D133" t="s">
        <v>310</v>
      </c>
      <c r="E133" t="s">
        <v>1043</v>
      </c>
      <c r="F133" s="15">
        <v>46253.45040509259</v>
      </c>
      <c r="G133" t="s">
        <v>412</v>
      </c>
      <c r="H133">
        <v>1</v>
      </c>
      <c r="I133" t="s">
        <v>1044</v>
      </c>
      <c r="J133" s="15">
        <v>46255.393750000003</v>
      </c>
      <c r="K133" s="15">
        <v>46258.414583333331</v>
      </c>
      <c r="L133" s="15"/>
      <c r="M133">
        <v>1</v>
      </c>
      <c r="O133" t="s">
        <v>201</v>
      </c>
      <c r="P133" t="s">
        <v>532</v>
      </c>
      <c r="S133" t="s">
        <v>361</v>
      </c>
      <c r="T133" t="s">
        <v>378</v>
      </c>
      <c r="U133" t="s">
        <v>239</v>
      </c>
      <c r="V133" t="s">
        <v>7</v>
      </c>
      <c r="W133" t="s">
        <v>7</v>
      </c>
      <c r="X133" t="s">
        <v>7</v>
      </c>
      <c r="AA133" t="s">
        <v>127</v>
      </c>
      <c r="AB133" t="s">
        <v>361</v>
      </c>
      <c r="AC133">
        <v>2200</v>
      </c>
      <c r="AD133" t="s">
        <v>233</v>
      </c>
      <c r="AE133">
        <v>1</v>
      </c>
      <c r="AF133">
        <v>57</v>
      </c>
    </row>
    <row r="134" spans="1:32" x14ac:dyDescent="0.3">
      <c r="A134" t="s">
        <v>351</v>
      </c>
      <c r="B134" t="s">
        <v>57</v>
      </c>
      <c r="C134" t="s">
        <v>117</v>
      </c>
      <c r="D134" t="s">
        <v>310</v>
      </c>
      <c r="E134" t="s">
        <v>1049</v>
      </c>
      <c r="F134" s="15">
        <v>46225.356817129628</v>
      </c>
      <c r="G134" t="s">
        <v>409</v>
      </c>
      <c r="H134">
        <v>1</v>
      </c>
      <c r="I134" t="s">
        <v>1050</v>
      </c>
      <c r="J134" s="15">
        <v>46233.380069444444</v>
      </c>
      <c r="K134" s="15">
        <v>46238.463194444441</v>
      </c>
      <c r="L134" s="15"/>
      <c r="M134">
        <v>1</v>
      </c>
      <c r="O134" t="s">
        <v>201</v>
      </c>
      <c r="P134" t="s">
        <v>532</v>
      </c>
      <c r="S134" t="s">
        <v>360</v>
      </c>
      <c r="T134" t="s">
        <v>378</v>
      </c>
      <c r="U134" t="s">
        <v>239</v>
      </c>
      <c r="V134" t="s">
        <v>7</v>
      </c>
      <c r="W134" t="s">
        <v>7</v>
      </c>
      <c r="X134" t="s">
        <v>7</v>
      </c>
      <c r="AA134" t="s">
        <v>127</v>
      </c>
      <c r="AB134" t="s">
        <v>360</v>
      </c>
      <c r="AC134">
        <v>50</v>
      </c>
      <c r="AD134" t="s">
        <v>233</v>
      </c>
      <c r="AE134">
        <v>1</v>
      </c>
      <c r="AF134">
        <v>19.3</v>
      </c>
    </row>
    <row r="135" spans="1:32" x14ac:dyDescent="0.3">
      <c r="A135" t="s">
        <v>351</v>
      </c>
      <c r="B135" t="s">
        <v>57</v>
      </c>
      <c r="C135" t="s">
        <v>117</v>
      </c>
      <c r="D135" t="s">
        <v>310</v>
      </c>
      <c r="E135" t="s">
        <v>1064</v>
      </c>
      <c r="F135" s="15">
        <v>46223.623645833337</v>
      </c>
      <c r="G135" t="s">
        <v>412</v>
      </c>
      <c r="H135">
        <v>1</v>
      </c>
      <c r="I135" t="s">
        <v>1065</v>
      </c>
      <c r="J135" s="15">
        <v>46224.351388888892</v>
      </c>
      <c r="K135" s="15">
        <v>46227.68472222222</v>
      </c>
      <c r="L135" s="15">
        <v>46234.655555555553</v>
      </c>
      <c r="M135">
        <v>1</v>
      </c>
      <c r="O135" t="s">
        <v>201</v>
      </c>
      <c r="P135" t="s">
        <v>532</v>
      </c>
      <c r="S135" t="s">
        <v>361</v>
      </c>
      <c r="T135" t="s">
        <v>378</v>
      </c>
      <c r="U135" t="s">
        <v>239</v>
      </c>
      <c r="V135" t="s">
        <v>7</v>
      </c>
      <c r="W135" t="s">
        <v>7</v>
      </c>
      <c r="X135" t="s">
        <v>7</v>
      </c>
      <c r="AA135" t="s">
        <v>127</v>
      </c>
      <c r="AB135" t="s">
        <v>361</v>
      </c>
      <c r="AC135">
        <v>2200</v>
      </c>
      <c r="AD135" t="s">
        <v>233</v>
      </c>
      <c r="AE135">
        <v>1</v>
      </c>
      <c r="AF135">
        <v>374.1</v>
      </c>
    </row>
    <row r="136" spans="1:32" x14ac:dyDescent="0.3">
      <c r="A136" t="s">
        <v>351</v>
      </c>
      <c r="B136" t="s">
        <v>57</v>
      </c>
      <c r="C136" t="s">
        <v>117</v>
      </c>
      <c r="D136" t="s">
        <v>310</v>
      </c>
      <c r="E136" t="s">
        <v>1064</v>
      </c>
      <c r="F136" s="15">
        <v>46223.623645833337</v>
      </c>
      <c r="G136" t="s">
        <v>412</v>
      </c>
      <c r="H136">
        <v>1</v>
      </c>
      <c r="I136" t="s">
        <v>1065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529</v>
      </c>
      <c r="S136" t="s">
        <v>361</v>
      </c>
      <c r="T136" t="s">
        <v>378</v>
      </c>
      <c r="U136" t="s">
        <v>239</v>
      </c>
      <c r="V136" t="s">
        <v>7</v>
      </c>
      <c r="W136" t="s">
        <v>7</v>
      </c>
      <c r="X136" t="s">
        <v>7</v>
      </c>
      <c r="AA136" t="s">
        <v>127</v>
      </c>
      <c r="AB136" t="s">
        <v>361</v>
      </c>
      <c r="AC136">
        <v>2200</v>
      </c>
      <c r="AD136" t="s">
        <v>233</v>
      </c>
      <c r="AE136">
        <v>1</v>
      </c>
    </row>
    <row r="137" spans="1:32" x14ac:dyDescent="0.3">
      <c r="A137" t="s">
        <v>351</v>
      </c>
      <c r="B137" t="s">
        <v>57</v>
      </c>
      <c r="C137" t="s">
        <v>117</v>
      </c>
      <c r="D137" t="s">
        <v>310</v>
      </c>
      <c r="E137" t="s">
        <v>1064</v>
      </c>
      <c r="F137" s="15">
        <v>46223.623645833337</v>
      </c>
      <c r="G137" t="s">
        <v>412</v>
      </c>
      <c r="H137">
        <v>3</v>
      </c>
      <c r="I137" t="s">
        <v>1066</v>
      </c>
      <c r="J137" s="15">
        <v>46224.351388888892</v>
      </c>
      <c r="K137" s="15">
        <v>46227.68472222222</v>
      </c>
      <c r="L137" s="15"/>
      <c r="M137">
        <v>3</v>
      </c>
      <c r="O137" t="s">
        <v>201</v>
      </c>
      <c r="P137" t="s">
        <v>532</v>
      </c>
      <c r="S137" t="s">
        <v>361</v>
      </c>
      <c r="T137" t="s">
        <v>378</v>
      </c>
      <c r="U137" t="s">
        <v>239</v>
      </c>
      <c r="V137" t="s">
        <v>7</v>
      </c>
      <c r="W137" t="s">
        <v>7</v>
      </c>
      <c r="X137" t="s">
        <v>7</v>
      </c>
      <c r="AA137" t="s">
        <v>127</v>
      </c>
      <c r="AB137" t="s">
        <v>361</v>
      </c>
      <c r="AC137">
        <v>2200</v>
      </c>
      <c r="AD137" t="s">
        <v>233</v>
      </c>
      <c r="AE137">
        <v>1</v>
      </c>
    </row>
    <row r="138" spans="1:32" x14ac:dyDescent="0.3">
      <c r="A138" t="s">
        <v>351</v>
      </c>
      <c r="B138" t="s">
        <v>57</v>
      </c>
      <c r="C138" t="s">
        <v>117</v>
      </c>
      <c r="D138" t="s">
        <v>310</v>
      </c>
      <c r="E138" t="s">
        <v>443</v>
      </c>
      <c r="F138" s="15">
        <v>46217.60359953704</v>
      </c>
      <c r="G138" t="s">
        <v>439</v>
      </c>
      <c r="H138">
        <v>1</v>
      </c>
      <c r="I138" t="s">
        <v>1069</v>
      </c>
      <c r="J138" s="15">
        <v>46220.352083333331</v>
      </c>
      <c r="K138" s="15">
        <v>46227.702777777777</v>
      </c>
      <c r="L138" s="15"/>
      <c r="M138">
        <v>1</v>
      </c>
      <c r="O138" t="s">
        <v>201</v>
      </c>
      <c r="P138" t="s">
        <v>532</v>
      </c>
      <c r="S138" t="s">
        <v>363</v>
      </c>
      <c r="T138" t="s">
        <v>378</v>
      </c>
      <c r="U138" t="s">
        <v>239</v>
      </c>
      <c r="V138" t="s">
        <v>7</v>
      </c>
      <c r="W138" t="s">
        <v>7</v>
      </c>
      <c r="X138" t="s">
        <v>7</v>
      </c>
      <c r="AA138" t="s">
        <v>127</v>
      </c>
      <c r="AB138" t="s">
        <v>363</v>
      </c>
      <c r="AC138">
        <v>101</v>
      </c>
      <c r="AD138" t="s">
        <v>233</v>
      </c>
      <c r="AE138">
        <v>1</v>
      </c>
      <c r="AF138">
        <v>2.5</v>
      </c>
    </row>
    <row r="139" spans="1:32" x14ac:dyDescent="0.3">
      <c r="A139" t="s">
        <v>351</v>
      </c>
      <c r="B139" t="s">
        <v>57</v>
      </c>
      <c r="C139" t="s">
        <v>117</v>
      </c>
      <c r="D139" t="s">
        <v>310</v>
      </c>
      <c r="E139" t="s">
        <v>443</v>
      </c>
      <c r="F139" s="15">
        <v>46217.60359953704</v>
      </c>
      <c r="G139" t="s">
        <v>439</v>
      </c>
      <c r="H139">
        <v>4</v>
      </c>
      <c r="I139" t="s">
        <v>1069</v>
      </c>
      <c r="J139" s="15">
        <v>46220.352083333331</v>
      </c>
      <c r="K139" s="15">
        <v>46227.702777777777</v>
      </c>
      <c r="L139" s="15"/>
      <c r="M139">
        <v>4</v>
      </c>
      <c r="O139" t="s">
        <v>529</v>
      </c>
      <c r="S139" t="s">
        <v>363</v>
      </c>
      <c r="T139" t="s">
        <v>378</v>
      </c>
      <c r="U139" t="s">
        <v>239</v>
      </c>
      <c r="V139" t="s">
        <v>7</v>
      </c>
      <c r="W139" t="s">
        <v>7</v>
      </c>
      <c r="X139" t="s">
        <v>7</v>
      </c>
      <c r="AA139" t="s">
        <v>127</v>
      </c>
      <c r="AB139" t="s">
        <v>363</v>
      </c>
      <c r="AC139">
        <v>101</v>
      </c>
      <c r="AD139" t="s">
        <v>233</v>
      </c>
      <c r="AE139">
        <v>1</v>
      </c>
    </row>
    <row r="140" spans="1:32" x14ac:dyDescent="0.3">
      <c r="A140" t="s">
        <v>351</v>
      </c>
      <c r="B140" t="s">
        <v>57</v>
      </c>
      <c r="C140" t="s">
        <v>117</v>
      </c>
      <c r="D140" t="s">
        <v>310</v>
      </c>
      <c r="E140" t="s">
        <v>443</v>
      </c>
      <c r="F140" s="15">
        <v>46217.60359953704</v>
      </c>
      <c r="G140" t="s">
        <v>439</v>
      </c>
      <c r="H140">
        <v>1</v>
      </c>
      <c r="I140" t="s">
        <v>1069</v>
      </c>
      <c r="J140" s="15">
        <v>46220.352083333331</v>
      </c>
      <c r="K140" s="15">
        <v>46227.702777777777</v>
      </c>
      <c r="L140" s="15"/>
      <c r="M140">
        <v>1</v>
      </c>
      <c r="O140" t="s">
        <v>529</v>
      </c>
      <c r="S140" t="s">
        <v>363</v>
      </c>
      <c r="T140" t="s">
        <v>378</v>
      </c>
      <c r="U140" t="s">
        <v>239</v>
      </c>
      <c r="V140" t="s">
        <v>7</v>
      </c>
      <c r="W140" t="s">
        <v>7</v>
      </c>
      <c r="X140" t="s">
        <v>7</v>
      </c>
      <c r="AA140" t="s">
        <v>127</v>
      </c>
      <c r="AB140" t="s">
        <v>363</v>
      </c>
      <c r="AC140">
        <v>101</v>
      </c>
      <c r="AD140" t="s">
        <v>233</v>
      </c>
      <c r="AE140">
        <v>1</v>
      </c>
    </row>
    <row r="141" spans="1:32" x14ac:dyDescent="0.3">
      <c r="A141" t="s">
        <v>351</v>
      </c>
      <c r="B141" t="s">
        <v>279</v>
      </c>
      <c r="C141" t="s">
        <v>192</v>
      </c>
      <c r="D141" t="s">
        <v>310</v>
      </c>
      <c r="E141" t="s">
        <v>856</v>
      </c>
      <c r="F141" s="15">
        <v>46244.43917824074</v>
      </c>
      <c r="G141" t="s">
        <v>419</v>
      </c>
      <c r="H141">
        <v>1562</v>
      </c>
      <c r="I141" t="s">
        <v>857</v>
      </c>
      <c r="J141" s="15">
        <v>46245.671527777777</v>
      </c>
      <c r="K141" s="15">
        <v>46251.602083333331</v>
      </c>
      <c r="L141" s="15"/>
      <c r="M141">
        <v>1562</v>
      </c>
      <c r="O141" t="s">
        <v>529</v>
      </c>
      <c r="S141" t="s">
        <v>360</v>
      </c>
      <c r="T141" t="s">
        <v>378</v>
      </c>
      <c r="U141" t="s">
        <v>239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360</v>
      </c>
      <c r="AC141">
        <v>50</v>
      </c>
      <c r="AD141" t="s">
        <v>232</v>
      </c>
      <c r="AE141">
        <v>1562</v>
      </c>
    </row>
    <row r="142" spans="1:32" x14ac:dyDescent="0.3">
      <c r="A142" t="s">
        <v>351</v>
      </c>
      <c r="B142" t="s">
        <v>279</v>
      </c>
      <c r="C142" t="s">
        <v>192</v>
      </c>
      <c r="D142" t="s">
        <v>310</v>
      </c>
      <c r="E142" t="s">
        <v>856</v>
      </c>
      <c r="F142" s="15">
        <v>46244.43917824074</v>
      </c>
      <c r="G142" t="s">
        <v>419</v>
      </c>
      <c r="H142">
        <v>1816</v>
      </c>
      <c r="I142" t="s">
        <v>857</v>
      </c>
      <c r="J142" s="15">
        <v>46245.671527777777</v>
      </c>
      <c r="K142" s="15">
        <v>46251.602083333331</v>
      </c>
      <c r="L142" s="15"/>
      <c r="M142">
        <v>1816</v>
      </c>
      <c r="O142" t="s">
        <v>529</v>
      </c>
      <c r="S142" t="s">
        <v>360</v>
      </c>
      <c r="T142" t="s">
        <v>378</v>
      </c>
      <c r="U142" t="s">
        <v>239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360</v>
      </c>
      <c r="AC142">
        <v>50</v>
      </c>
      <c r="AD142" t="s">
        <v>232</v>
      </c>
      <c r="AE142">
        <v>1816</v>
      </c>
    </row>
    <row r="143" spans="1:32" x14ac:dyDescent="0.3">
      <c r="A143" t="s">
        <v>351</v>
      </c>
      <c r="B143" t="s">
        <v>279</v>
      </c>
      <c r="C143" t="s">
        <v>192</v>
      </c>
      <c r="D143" t="s">
        <v>310</v>
      </c>
      <c r="E143" t="s">
        <v>856</v>
      </c>
      <c r="F143" s="15">
        <v>46244.43917824074</v>
      </c>
      <c r="G143" t="s">
        <v>419</v>
      </c>
      <c r="H143">
        <v>1842</v>
      </c>
      <c r="I143" t="s">
        <v>857</v>
      </c>
      <c r="J143" s="15">
        <v>46245.671527777777</v>
      </c>
      <c r="K143" s="15">
        <v>46251.602083333331</v>
      </c>
      <c r="L143" s="15"/>
      <c r="M143">
        <v>1842</v>
      </c>
      <c r="O143" t="s">
        <v>529</v>
      </c>
      <c r="S143" t="s">
        <v>360</v>
      </c>
      <c r="T143" t="s">
        <v>378</v>
      </c>
      <c r="U143" t="s">
        <v>239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360</v>
      </c>
      <c r="AC143">
        <v>50</v>
      </c>
      <c r="AD143" t="s">
        <v>232</v>
      </c>
      <c r="AE143">
        <v>1842</v>
      </c>
    </row>
    <row r="144" spans="1:32" x14ac:dyDescent="0.3">
      <c r="A144" t="s">
        <v>351</v>
      </c>
      <c r="B144" t="s">
        <v>279</v>
      </c>
      <c r="C144" t="s">
        <v>192</v>
      </c>
      <c r="D144" t="s">
        <v>310</v>
      </c>
      <c r="E144" t="s">
        <v>856</v>
      </c>
      <c r="F144" s="15">
        <v>46244.43917824074</v>
      </c>
      <c r="G144" t="s">
        <v>419</v>
      </c>
      <c r="H144">
        <v>2221</v>
      </c>
      <c r="I144" t="s">
        <v>857</v>
      </c>
      <c r="J144" s="15">
        <v>46245.671527777777</v>
      </c>
      <c r="K144" s="15">
        <v>46251.602083333331</v>
      </c>
      <c r="L144" s="15"/>
      <c r="M144">
        <v>2221</v>
      </c>
      <c r="O144" t="s">
        <v>529</v>
      </c>
      <c r="S144" t="s">
        <v>360</v>
      </c>
      <c r="T144" t="s">
        <v>378</v>
      </c>
      <c r="U144" t="s">
        <v>239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360</v>
      </c>
      <c r="AC144">
        <v>50</v>
      </c>
      <c r="AD144" t="s">
        <v>232</v>
      </c>
      <c r="AE144">
        <v>2221</v>
      </c>
    </row>
    <row r="145" spans="1:31" x14ac:dyDescent="0.3">
      <c r="A145" t="s">
        <v>351</v>
      </c>
      <c r="B145" t="s">
        <v>279</v>
      </c>
      <c r="C145" t="s">
        <v>192</v>
      </c>
      <c r="D145" t="s">
        <v>310</v>
      </c>
      <c r="E145" t="s">
        <v>856</v>
      </c>
      <c r="F145" s="15">
        <v>46244.43917824074</v>
      </c>
      <c r="G145" t="s">
        <v>419</v>
      </c>
      <c r="H145">
        <v>1702</v>
      </c>
      <c r="I145" t="s">
        <v>857</v>
      </c>
      <c r="J145" s="15">
        <v>46245.671527777777</v>
      </c>
      <c r="K145" s="15">
        <v>46251.602083333331</v>
      </c>
      <c r="L145" s="15"/>
      <c r="M145">
        <v>1702</v>
      </c>
      <c r="O145" t="s">
        <v>529</v>
      </c>
      <c r="S145" t="s">
        <v>360</v>
      </c>
      <c r="T145" t="s">
        <v>378</v>
      </c>
      <c r="U145" t="s">
        <v>239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360</v>
      </c>
      <c r="AC145">
        <v>50</v>
      </c>
      <c r="AD145" t="s">
        <v>232</v>
      </c>
      <c r="AE145">
        <v>1702</v>
      </c>
    </row>
    <row r="146" spans="1:31" x14ac:dyDescent="0.3">
      <c r="A146" t="s">
        <v>351</v>
      </c>
      <c r="B146" t="s">
        <v>279</v>
      </c>
      <c r="C146" t="s">
        <v>192</v>
      </c>
      <c r="D146" t="s">
        <v>310</v>
      </c>
      <c r="E146" t="s">
        <v>856</v>
      </c>
      <c r="F146" s="15">
        <v>46244.43917824074</v>
      </c>
      <c r="G146" t="s">
        <v>419</v>
      </c>
      <c r="H146">
        <v>1957</v>
      </c>
      <c r="I146" t="s">
        <v>857</v>
      </c>
      <c r="J146" s="15">
        <v>46245.671527777777</v>
      </c>
      <c r="K146" s="15">
        <v>46251.602083333331</v>
      </c>
      <c r="L146" s="15"/>
      <c r="M146">
        <v>1957</v>
      </c>
      <c r="O146" t="s">
        <v>529</v>
      </c>
      <c r="S146" t="s">
        <v>360</v>
      </c>
      <c r="T146" t="s">
        <v>378</v>
      </c>
      <c r="U146" t="s">
        <v>239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360</v>
      </c>
      <c r="AC146">
        <v>50</v>
      </c>
      <c r="AD146" t="s">
        <v>232</v>
      </c>
      <c r="AE146">
        <v>1957</v>
      </c>
    </row>
    <row r="147" spans="1:31" x14ac:dyDescent="0.3">
      <c r="A147" t="s">
        <v>351</v>
      </c>
      <c r="B147" t="s">
        <v>279</v>
      </c>
      <c r="C147" t="s">
        <v>192</v>
      </c>
      <c r="D147" t="s">
        <v>310</v>
      </c>
      <c r="E147" t="s">
        <v>858</v>
      </c>
      <c r="F147" s="15">
        <v>46244.468541666669</v>
      </c>
      <c r="G147" t="s">
        <v>409</v>
      </c>
      <c r="H147">
        <v>580</v>
      </c>
      <c r="I147" t="s">
        <v>859</v>
      </c>
      <c r="J147" s="15">
        <v>46244.694444444445</v>
      </c>
      <c r="K147" s="15">
        <v>46248.702777777777</v>
      </c>
      <c r="L147" s="15"/>
      <c r="M147">
        <v>580</v>
      </c>
      <c r="O147" t="s">
        <v>201</v>
      </c>
      <c r="P147" t="s">
        <v>531</v>
      </c>
      <c r="S147" t="s">
        <v>360</v>
      </c>
      <c r="T147" t="s">
        <v>378</v>
      </c>
      <c r="U147" t="s">
        <v>239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360</v>
      </c>
      <c r="AC147">
        <v>50</v>
      </c>
      <c r="AD147" t="s">
        <v>232</v>
      </c>
      <c r="AE147">
        <v>580</v>
      </c>
    </row>
    <row r="148" spans="1:31" x14ac:dyDescent="0.3">
      <c r="A148" t="s">
        <v>351</v>
      </c>
      <c r="B148" t="s">
        <v>279</v>
      </c>
      <c r="C148" t="s">
        <v>192</v>
      </c>
      <c r="D148" t="s">
        <v>310</v>
      </c>
      <c r="E148" t="s">
        <v>860</v>
      </c>
      <c r="F148" s="15">
        <v>46244.466851851852</v>
      </c>
      <c r="G148" t="s">
        <v>409</v>
      </c>
      <c r="H148">
        <v>156</v>
      </c>
      <c r="I148" t="s">
        <v>861</v>
      </c>
      <c r="J148" s="15">
        <v>46247.593055555553</v>
      </c>
      <c r="K148" s="15">
        <v>46252.873611111114</v>
      </c>
      <c r="L148" s="15"/>
      <c r="M148">
        <v>156</v>
      </c>
      <c r="O148" t="s">
        <v>201</v>
      </c>
      <c r="P148" t="s">
        <v>531</v>
      </c>
      <c r="S148" t="s">
        <v>360</v>
      </c>
      <c r="T148" t="s">
        <v>378</v>
      </c>
      <c r="U148" t="s">
        <v>239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360</v>
      </c>
      <c r="AC148">
        <v>50</v>
      </c>
      <c r="AD148" t="s">
        <v>232</v>
      </c>
      <c r="AE148">
        <v>156</v>
      </c>
    </row>
    <row r="149" spans="1:31" x14ac:dyDescent="0.3">
      <c r="A149" t="s">
        <v>351</v>
      </c>
      <c r="B149" t="s">
        <v>279</v>
      </c>
      <c r="C149" t="s">
        <v>192</v>
      </c>
      <c r="D149" t="s">
        <v>310</v>
      </c>
      <c r="E149" t="s">
        <v>904</v>
      </c>
      <c r="F149" s="15">
        <v>46241.40283564815</v>
      </c>
      <c r="G149" t="s">
        <v>905</v>
      </c>
      <c r="H149">
        <v>741</v>
      </c>
      <c r="I149" t="s">
        <v>906</v>
      </c>
      <c r="J149" s="15">
        <v>46241.429861111108</v>
      </c>
      <c r="K149" s="15">
        <v>46246.593055555553</v>
      </c>
      <c r="L149" s="15"/>
      <c r="M149">
        <v>741</v>
      </c>
      <c r="O149" t="s">
        <v>201</v>
      </c>
      <c r="P149" t="s">
        <v>531</v>
      </c>
      <c r="S149" t="s">
        <v>362</v>
      </c>
      <c r="T149" t="s">
        <v>378</v>
      </c>
      <c r="U149" t="s">
        <v>239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362</v>
      </c>
      <c r="AC149">
        <v>109</v>
      </c>
      <c r="AD149" t="s">
        <v>232</v>
      </c>
      <c r="AE149">
        <v>741</v>
      </c>
    </row>
    <row r="150" spans="1:31" x14ac:dyDescent="0.3">
      <c r="A150" t="s">
        <v>351</v>
      </c>
      <c r="B150" t="s">
        <v>279</v>
      </c>
      <c r="C150" t="s">
        <v>192</v>
      </c>
      <c r="D150" t="s">
        <v>310</v>
      </c>
      <c r="E150" t="s">
        <v>437</v>
      </c>
      <c r="F150" s="15">
        <v>46202.512337962966</v>
      </c>
      <c r="G150" t="s">
        <v>436</v>
      </c>
      <c r="H150">
        <v>641</v>
      </c>
      <c r="I150" t="s">
        <v>1041</v>
      </c>
      <c r="J150" s="15">
        <v>46241.424259259256</v>
      </c>
      <c r="K150" s="15">
        <v>46248.483460648145</v>
      </c>
      <c r="L150" s="15"/>
      <c r="M150">
        <v>641</v>
      </c>
      <c r="O150" t="s">
        <v>201</v>
      </c>
      <c r="P150" t="s">
        <v>531</v>
      </c>
      <c r="S150" t="s">
        <v>362</v>
      </c>
      <c r="T150" t="s">
        <v>378</v>
      </c>
      <c r="U150" t="s">
        <v>239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362</v>
      </c>
      <c r="AC150">
        <v>109</v>
      </c>
      <c r="AD150" t="s">
        <v>232</v>
      </c>
      <c r="AE150">
        <v>641</v>
      </c>
    </row>
    <row r="151" spans="1:31" x14ac:dyDescent="0.3">
      <c r="A151" t="s">
        <v>351</v>
      </c>
      <c r="B151" t="s">
        <v>279</v>
      </c>
      <c r="C151" t="s">
        <v>192</v>
      </c>
      <c r="D151" t="s">
        <v>310</v>
      </c>
      <c r="E151" t="s">
        <v>907</v>
      </c>
      <c r="F151" s="15">
        <v>46230.40084490741</v>
      </c>
      <c r="G151" t="s">
        <v>424</v>
      </c>
      <c r="H151">
        <v>3027</v>
      </c>
      <c r="I151" t="s">
        <v>908</v>
      </c>
      <c r="J151" s="15">
        <v>46233.454386574071</v>
      </c>
      <c r="K151" s="15">
        <v>46238.481249999997</v>
      </c>
      <c r="L151" s="15"/>
      <c r="M151">
        <v>3027</v>
      </c>
      <c r="O151" t="s">
        <v>201</v>
      </c>
      <c r="P151" t="s">
        <v>531</v>
      </c>
      <c r="S151" t="s">
        <v>362</v>
      </c>
      <c r="T151" t="s">
        <v>378</v>
      </c>
      <c r="U151" t="s">
        <v>239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362</v>
      </c>
      <c r="AC151">
        <v>109</v>
      </c>
      <c r="AD151" t="s">
        <v>232</v>
      </c>
      <c r="AE151">
        <v>3027</v>
      </c>
    </row>
    <row r="152" spans="1:31" x14ac:dyDescent="0.3">
      <c r="A152" t="s">
        <v>351</v>
      </c>
      <c r="B152" t="s">
        <v>279</v>
      </c>
      <c r="C152" t="s">
        <v>192</v>
      </c>
      <c r="D152" t="s">
        <v>310</v>
      </c>
      <c r="E152" t="s">
        <v>907</v>
      </c>
      <c r="F152" s="15">
        <v>46230.40084490741</v>
      </c>
      <c r="G152" t="s">
        <v>424</v>
      </c>
      <c r="H152">
        <v>687</v>
      </c>
      <c r="I152" t="s">
        <v>908</v>
      </c>
      <c r="J152" s="15">
        <v>46233.454386574071</v>
      </c>
      <c r="K152" s="15">
        <v>46238.481249999997</v>
      </c>
      <c r="L152" s="15"/>
      <c r="M152">
        <v>687</v>
      </c>
      <c r="O152" t="s">
        <v>529</v>
      </c>
      <c r="S152" t="s">
        <v>362</v>
      </c>
      <c r="T152" t="s">
        <v>378</v>
      </c>
      <c r="U152" t="s">
        <v>239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362</v>
      </c>
      <c r="AC152">
        <v>109</v>
      </c>
      <c r="AD152" t="s">
        <v>232</v>
      </c>
      <c r="AE152">
        <v>687</v>
      </c>
    </row>
    <row r="153" spans="1:31" x14ac:dyDescent="0.3">
      <c r="A153" t="s">
        <v>351</v>
      </c>
      <c r="B153" t="s">
        <v>279</v>
      </c>
      <c r="C153" t="s">
        <v>192</v>
      </c>
      <c r="D153" t="s">
        <v>310</v>
      </c>
      <c r="E153" t="s">
        <v>907</v>
      </c>
      <c r="F153" s="15">
        <v>46230.40084490741</v>
      </c>
      <c r="G153" t="s">
        <v>424</v>
      </c>
      <c r="H153">
        <v>1378</v>
      </c>
      <c r="I153" t="s">
        <v>908</v>
      </c>
      <c r="J153" s="15">
        <v>46233.454386574071</v>
      </c>
      <c r="K153" s="15">
        <v>46238.481249999997</v>
      </c>
      <c r="L153" s="15"/>
      <c r="M153">
        <v>1378</v>
      </c>
      <c r="O153" t="s">
        <v>529</v>
      </c>
      <c r="S153" t="s">
        <v>362</v>
      </c>
      <c r="T153" t="s">
        <v>378</v>
      </c>
      <c r="U153" t="s">
        <v>239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362</v>
      </c>
      <c r="AC153">
        <v>109</v>
      </c>
      <c r="AD153" t="s">
        <v>232</v>
      </c>
      <c r="AE153">
        <v>1378</v>
      </c>
    </row>
    <row r="154" spans="1:31" x14ac:dyDescent="0.3">
      <c r="A154" t="s">
        <v>351</v>
      </c>
      <c r="B154" t="s">
        <v>279</v>
      </c>
      <c r="C154" t="s">
        <v>192</v>
      </c>
      <c r="D154" t="s">
        <v>310</v>
      </c>
      <c r="E154" t="s">
        <v>907</v>
      </c>
      <c r="F154" s="15">
        <v>46230.40084490741</v>
      </c>
      <c r="G154" t="s">
        <v>424</v>
      </c>
      <c r="H154">
        <v>1789</v>
      </c>
      <c r="I154" t="s">
        <v>908</v>
      </c>
      <c r="J154" s="15">
        <v>46233.454386574071</v>
      </c>
      <c r="K154" s="15">
        <v>46238.481249999997</v>
      </c>
      <c r="L154" s="15"/>
      <c r="M154">
        <v>1789</v>
      </c>
      <c r="O154" t="s">
        <v>529</v>
      </c>
      <c r="S154" t="s">
        <v>362</v>
      </c>
      <c r="T154" t="s">
        <v>378</v>
      </c>
      <c r="U154" t="s">
        <v>239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362</v>
      </c>
      <c r="AC154">
        <v>109</v>
      </c>
      <c r="AD154" t="s">
        <v>232</v>
      </c>
      <c r="AE154">
        <v>1789</v>
      </c>
    </row>
    <row r="155" spans="1:31" x14ac:dyDescent="0.3">
      <c r="A155" t="s">
        <v>351</v>
      </c>
      <c r="B155" t="s">
        <v>279</v>
      </c>
      <c r="C155" t="s">
        <v>192</v>
      </c>
      <c r="D155" t="s">
        <v>310</v>
      </c>
      <c r="E155" t="s">
        <v>907</v>
      </c>
      <c r="F155" s="15">
        <v>46230.40084490741</v>
      </c>
      <c r="G155" t="s">
        <v>424</v>
      </c>
      <c r="H155">
        <v>1710</v>
      </c>
      <c r="I155" t="s">
        <v>908</v>
      </c>
      <c r="J155" s="15">
        <v>46233.454386574071</v>
      </c>
      <c r="K155" s="15">
        <v>46238.481249999997</v>
      </c>
      <c r="L155" s="15"/>
      <c r="M155">
        <v>1710</v>
      </c>
      <c r="O155" t="s">
        <v>529</v>
      </c>
      <c r="S155" t="s">
        <v>362</v>
      </c>
      <c r="T155" t="s">
        <v>378</v>
      </c>
      <c r="U155" t="s">
        <v>239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362</v>
      </c>
      <c r="AC155">
        <v>109</v>
      </c>
      <c r="AD155" t="s">
        <v>232</v>
      </c>
      <c r="AE155">
        <v>1710</v>
      </c>
    </row>
    <row r="156" spans="1:31" x14ac:dyDescent="0.3">
      <c r="A156" t="s">
        <v>351</v>
      </c>
      <c r="B156" t="s">
        <v>279</v>
      </c>
      <c r="C156" t="s">
        <v>192</v>
      </c>
      <c r="D156" t="s">
        <v>310</v>
      </c>
      <c r="E156" t="s">
        <v>907</v>
      </c>
      <c r="F156" s="15">
        <v>46230.40084490741</v>
      </c>
      <c r="G156" t="s">
        <v>424</v>
      </c>
      <c r="H156">
        <v>1421</v>
      </c>
      <c r="I156" t="s">
        <v>908</v>
      </c>
      <c r="J156" s="15">
        <v>46233.454386574071</v>
      </c>
      <c r="K156" s="15">
        <v>46238.481249999997</v>
      </c>
      <c r="L156" s="15"/>
      <c r="M156">
        <v>1421</v>
      </c>
      <c r="O156" t="s">
        <v>529</v>
      </c>
      <c r="S156" t="s">
        <v>362</v>
      </c>
      <c r="T156" t="s">
        <v>378</v>
      </c>
      <c r="U156" t="s">
        <v>239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362</v>
      </c>
      <c r="AC156">
        <v>109</v>
      </c>
      <c r="AD156" t="s">
        <v>232</v>
      </c>
      <c r="AE156">
        <v>1421</v>
      </c>
    </row>
    <row r="157" spans="1:31" x14ac:dyDescent="0.3">
      <c r="A157" t="s">
        <v>351</v>
      </c>
      <c r="B157" t="s">
        <v>279</v>
      </c>
      <c r="C157" t="s">
        <v>192</v>
      </c>
      <c r="D157" t="s">
        <v>310</v>
      </c>
      <c r="E157" t="s">
        <v>907</v>
      </c>
      <c r="F157" s="15">
        <v>46230.40084490741</v>
      </c>
      <c r="G157" t="s">
        <v>424</v>
      </c>
      <c r="H157">
        <v>1299</v>
      </c>
      <c r="I157" t="s">
        <v>908</v>
      </c>
      <c r="J157" s="15">
        <v>46233.454386574071</v>
      </c>
      <c r="K157" s="15">
        <v>46238.481249999997</v>
      </c>
      <c r="L157" s="15"/>
      <c r="M157">
        <v>1299</v>
      </c>
      <c r="O157" t="s">
        <v>529</v>
      </c>
      <c r="S157" t="s">
        <v>362</v>
      </c>
      <c r="T157" t="s">
        <v>378</v>
      </c>
      <c r="U157" t="s">
        <v>239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362</v>
      </c>
      <c r="AC157">
        <v>109</v>
      </c>
      <c r="AD157" t="s">
        <v>232</v>
      </c>
      <c r="AE157">
        <v>1299</v>
      </c>
    </row>
    <row r="158" spans="1:31" x14ac:dyDescent="0.3">
      <c r="A158" t="s">
        <v>351</v>
      </c>
      <c r="B158" t="s">
        <v>279</v>
      </c>
      <c r="C158" t="s">
        <v>192</v>
      </c>
      <c r="D158" t="s">
        <v>310</v>
      </c>
      <c r="E158" t="s">
        <v>907</v>
      </c>
      <c r="F158" s="15">
        <v>46230.40084490741</v>
      </c>
      <c r="G158" t="s">
        <v>424</v>
      </c>
      <c r="H158">
        <v>1459</v>
      </c>
      <c r="I158" t="s">
        <v>908</v>
      </c>
      <c r="J158" s="15">
        <v>46233.454386574071</v>
      </c>
      <c r="K158" s="15">
        <v>46238.481249999997</v>
      </c>
      <c r="L158" s="15"/>
      <c r="M158">
        <v>1459</v>
      </c>
      <c r="O158" t="s">
        <v>529</v>
      </c>
      <c r="S158" t="s">
        <v>362</v>
      </c>
      <c r="T158" t="s">
        <v>378</v>
      </c>
      <c r="U158" t="s">
        <v>239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362</v>
      </c>
      <c r="AC158">
        <v>109</v>
      </c>
      <c r="AD158" t="s">
        <v>232</v>
      </c>
      <c r="AE158">
        <v>1459</v>
      </c>
    </row>
    <row r="159" spans="1:31" x14ac:dyDescent="0.3">
      <c r="A159" t="s">
        <v>351</v>
      </c>
      <c r="B159" t="s">
        <v>279</v>
      </c>
      <c r="C159" t="s">
        <v>192</v>
      </c>
      <c r="D159" t="s">
        <v>310</v>
      </c>
      <c r="E159" t="s">
        <v>907</v>
      </c>
      <c r="F159" s="15">
        <v>46230.40084490741</v>
      </c>
      <c r="G159" t="s">
        <v>424</v>
      </c>
      <c r="H159">
        <v>1476</v>
      </c>
      <c r="I159" t="s">
        <v>908</v>
      </c>
      <c r="J159" s="15">
        <v>46233.454386574071</v>
      </c>
      <c r="K159" s="15">
        <v>46238.481249999997</v>
      </c>
      <c r="L159" s="15"/>
      <c r="M159">
        <v>1476</v>
      </c>
      <c r="O159" t="s">
        <v>529</v>
      </c>
      <c r="S159" t="s">
        <v>362</v>
      </c>
      <c r="T159" t="s">
        <v>378</v>
      </c>
      <c r="U159" t="s">
        <v>239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362</v>
      </c>
      <c r="AC159">
        <v>109</v>
      </c>
      <c r="AD159" t="s">
        <v>232</v>
      </c>
      <c r="AE159">
        <v>1476</v>
      </c>
    </row>
    <row r="160" spans="1:31" x14ac:dyDescent="0.3">
      <c r="A160" t="s">
        <v>351</v>
      </c>
      <c r="B160" t="s">
        <v>279</v>
      </c>
      <c r="C160" t="s">
        <v>192</v>
      </c>
      <c r="D160" t="s">
        <v>310</v>
      </c>
      <c r="E160" t="s">
        <v>907</v>
      </c>
      <c r="F160" s="15">
        <v>46230.40084490741</v>
      </c>
      <c r="G160" t="s">
        <v>424</v>
      </c>
      <c r="H160">
        <v>1559</v>
      </c>
      <c r="I160" t="s">
        <v>908</v>
      </c>
      <c r="J160" s="15">
        <v>46233.454386574071</v>
      </c>
      <c r="K160" s="15">
        <v>46238.481249999997</v>
      </c>
      <c r="L160" s="15"/>
      <c r="M160">
        <v>1559</v>
      </c>
      <c r="O160" t="s">
        <v>529</v>
      </c>
      <c r="S160" t="s">
        <v>362</v>
      </c>
      <c r="T160" t="s">
        <v>378</v>
      </c>
      <c r="U160" t="s">
        <v>239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362</v>
      </c>
      <c r="AC160">
        <v>109</v>
      </c>
      <c r="AD160" t="s">
        <v>232</v>
      </c>
      <c r="AE160">
        <v>1559</v>
      </c>
    </row>
    <row r="161" spans="1:31" x14ac:dyDescent="0.3">
      <c r="A161" t="s">
        <v>351</v>
      </c>
      <c r="B161" t="s">
        <v>279</v>
      </c>
      <c r="C161" t="s">
        <v>192</v>
      </c>
      <c r="D161" t="s">
        <v>310</v>
      </c>
      <c r="E161" t="s">
        <v>797</v>
      </c>
      <c r="F161" s="15">
        <v>46232.31826388889</v>
      </c>
      <c r="G161" t="s">
        <v>411</v>
      </c>
      <c r="H161">
        <v>6</v>
      </c>
      <c r="I161" t="s">
        <v>1033</v>
      </c>
      <c r="J161" s="15">
        <v>46232.407094907408</v>
      </c>
      <c r="K161" s="15">
        <v>46238.423611111109</v>
      </c>
      <c r="L161" s="15"/>
      <c r="M161">
        <v>6</v>
      </c>
      <c r="O161" t="s">
        <v>201</v>
      </c>
      <c r="P161" t="s">
        <v>531</v>
      </c>
      <c r="S161" t="s">
        <v>363</v>
      </c>
      <c r="T161" t="s">
        <v>378</v>
      </c>
      <c r="U161" t="s">
        <v>239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363</v>
      </c>
      <c r="AC161">
        <v>101</v>
      </c>
      <c r="AD161" t="s">
        <v>232</v>
      </c>
      <c r="AE161">
        <v>6</v>
      </c>
    </row>
    <row r="162" spans="1:31" x14ac:dyDescent="0.3">
      <c r="A162" t="s">
        <v>351</v>
      </c>
      <c r="B162" t="s">
        <v>279</v>
      </c>
      <c r="C162" t="s">
        <v>192</v>
      </c>
      <c r="D162" t="s">
        <v>310</v>
      </c>
      <c r="E162" t="s">
        <v>1043</v>
      </c>
      <c r="F162" s="15">
        <v>46253.45040509259</v>
      </c>
      <c r="G162" t="s">
        <v>412</v>
      </c>
      <c r="H162">
        <v>568</v>
      </c>
      <c r="I162" t="s">
        <v>1044</v>
      </c>
      <c r="J162" s="15">
        <v>46255.393750000003</v>
      </c>
      <c r="K162" s="15">
        <v>46258.414583333331</v>
      </c>
      <c r="L162" s="15"/>
      <c r="M162">
        <v>568</v>
      </c>
      <c r="O162" t="s">
        <v>201</v>
      </c>
      <c r="P162" t="s">
        <v>532</v>
      </c>
      <c r="S162" t="s">
        <v>361</v>
      </c>
      <c r="T162" t="s">
        <v>378</v>
      </c>
      <c r="U162" t="s">
        <v>239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361</v>
      </c>
      <c r="AC162">
        <v>2200</v>
      </c>
      <c r="AD162" t="s">
        <v>232</v>
      </c>
      <c r="AE162">
        <v>568</v>
      </c>
    </row>
    <row r="163" spans="1:31" x14ac:dyDescent="0.3">
      <c r="A163" t="s">
        <v>351</v>
      </c>
      <c r="B163" t="s">
        <v>279</v>
      </c>
      <c r="C163" t="s">
        <v>192</v>
      </c>
      <c r="D163" t="s">
        <v>310</v>
      </c>
      <c r="E163" t="s">
        <v>1049</v>
      </c>
      <c r="F163" s="15">
        <v>46225.356817129628</v>
      </c>
      <c r="G163" t="s">
        <v>409</v>
      </c>
      <c r="H163">
        <v>191</v>
      </c>
      <c r="I163" t="s">
        <v>1050</v>
      </c>
      <c r="J163" s="15">
        <v>46233.380069444444</v>
      </c>
      <c r="K163" s="15">
        <v>46238.463194444441</v>
      </c>
      <c r="L163" s="15"/>
      <c r="M163">
        <v>191</v>
      </c>
      <c r="O163" t="s">
        <v>201</v>
      </c>
      <c r="P163" t="s">
        <v>531</v>
      </c>
      <c r="S163" t="s">
        <v>360</v>
      </c>
      <c r="T163" t="s">
        <v>378</v>
      </c>
      <c r="U163" t="s">
        <v>239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360</v>
      </c>
      <c r="AC163">
        <v>50</v>
      </c>
      <c r="AD163" t="s">
        <v>232</v>
      </c>
      <c r="AE163">
        <v>191</v>
      </c>
    </row>
    <row r="164" spans="1:31" x14ac:dyDescent="0.3">
      <c r="A164" t="s">
        <v>351</v>
      </c>
      <c r="B164" t="s">
        <v>279</v>
      </c>
      <c r="C164" t="s">
        <v>192</v>
      </c>
      <c r="D164" t="s">
        <v>310</v>
      </c>
      <c r="E164" t="s">
        <v>1055</v>
      </c>
      <c r="F164" s="15">
        <v>46223.754212962966</v>
      </c>
      <c r="G164" t="s">
        <v>412</v>
      </c>
      <c r="H164">
        <v>42</v>
      </c>
      <c r="I164" t="s">
        <v>1056</v>
      </c>
      <c r="J164" s="15">
        <v>46232.484236111108</v>
      </c>
      <c r="K164" s="15">
        <v>46238.427083333336</v>
      </c>
      <c r="L164" s="15"/>
      <c r="M164">
        <v>42</v>
      </c>
      <c r="O164" t="s">
        <v>201</v>
      </c>
      <c r="P164" t="s">
        <v>531</v>
      </c>
      <c r="S164" t="s">
        <v>361</v>
      </c>
      <c r="T164" t="s">
        <v>378</v>
      </c>
      <c r="U164" t="s">
        <v>239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361</v>
      </c>
      <c r="AC164">
        <v>2200</v>
      </c>
      <c r="AD164" t="s">
        <v>232</v>
      </c>
      <c r="AE164">
        <v>42</v>
      </c>
    </row>
    <row r="165" spans="1:31" x14ac:dyDescent="0.3">
      <c r="A165" t="s">
        <v>351</v>
      </c>
      <c r="B165" t="s">
        <v>279</v>
      </c>
      <c r="C165" t="s">
        <v>192</v>
      </c>
      <c r="D165" t="s">
        <v>310</v>
      </c>
      <c r="E165" t="s">
        <v>1064</v>
      </c>
      <c r="F165" s="15">
        <v>46223.623645833337</v>
      </c>
      <c r="G165" t="s">
        <v>412</v>
      </c>
      <c r="H165">
        <v>2</v>
      </c>
      <c r="I165" t="s">
        <v>1065</v>
      </c>
      <c r="J165" s="15">
        <v>46224.351388888892</v>
      </c>
      <c r="K165" s="15">
        <v>46227.68472222222</v>
      </c>
      <c r="L165" s="15">
        <v>46234.655555555553</v>
      </c>
      <c r="M165">
        <v>2</v>
      </c>
      <c r="O165" t="s">
        <v>201</v>
      </c>
      <c r="P165" t="s">
        <v>531</v>
      </c>
      <c r="S165" t="s">
        <v>361</v>
      </c>
      <c r="T165" t="s">
        <v>378</v>
      </c>
      <c r="U165" t="s">
        <v>239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361</v>
      </c>
      <c r="AC165">
        <v>2200</v>
      </c>
      <c r="AD165" t="s">
        <v>232</v>
      </c>
      <c r="AE165">
        <v>2</v>
      </c>
    </row>
    <row r="166" spans="1:31" x14ac:dyDescent="0.3">
      <c r="A166" t="s">
        <v>351</v>
      </c>
      <c r="B166" t="s">
        <v>279</v>
      </c>
      <c r="C166" t="s">
        <v>192</v>
      </c>
      <c r="D166" t="s">
        <v>310</v>
      </c>
      <c r="E166" t="s">
        <v>1064</v>
      </c>
      <c r="F166" s="15">
        <v>46223.623645833337</v>
      </c>
      <c r="G166" t="s">
        <v>412</v>
      </c>
      <c r="H166">
        <v>560</v>
      </c>
      <c r="I166" t="s">
        <v>1065</v>
      </c>
      <c r="J166" s="15">
        <v>46224.351388888892</v>
      </c>
      <c r="K166" s="15">
        <v>46227.68472222222</v>
      </c>
      <c r="L166" s="15">
        <v>46234.655555555553</v>
      </c>
      <c r="M166">
        <v>560</v>
      </c>
      <c r="O166" t="s">
        <v>529</v>
      </c>
      <c r="S166" t="s">
        <v>361</v>
      </c>
      <c r="T166" t="s">
        <v>378</v>
      </c>
      <c r="U166" t="s">
        <v>239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361</v>
      </c>
      <c r="AC166">
        <v>2200</v>
      </c>
      <c r="AD166" t="s">
        <v>232</v>
      </c>
      <c r="AE166">
        <v>560</v>
      </c>
    </row>
    <row r="167" spans="1:31" x14ac:dyDescent="0.3">
      <c r="A167" t="s">
        <v>351</v>
      </c>
      <c r="B167" t="s">
        <v>279</v>
      </c>
      <c r="C167" t="s">
        <v>192</v>
      </c>
      <c r="D167" t="s">
        <v>310</v>
      </c>
      <c r="E167" t="s">
        <v>1064</v>
      </c>
      <c r="F167" s="15">
        <v>46223.623645833337</v>
      </c>
      <c r="G167" t="s">
        <v>412</v>
      </c>
      <c r="H167">
        <v>3171</v>
      </c>
      <c r="I167" t="s">
        <v>1066</v>
      </c>
      <c r="J167" s="15">
        <v>46224.351388888892</v>
      </c>
      <c r="K167" s="15">
        <v>46227.68472222222</v>
      </c>
      <c r="L167" s="15"/>
      <c r="M167">
        <v>3171</v>
      </c>
      <c r="O167" t="s">
        <v>201</v>
      </c>
      <c r="P167" t="s">
        <v>531</v>
      </c>
      <c r="S167" t="s">
        <v>361</v>
      </c>
      <c r="T167" t="s">
        <v>378</v>
      </c>
      <c r="U167" t="s">
        <v>239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361</v>
      </c>
      <c r="AC167">
        <v>2200</v>
      </c>
      <c r="AD167" t="s">
        <v>232</v>
      </c>
      <c r="AE167">
        <v>3171</v>
      </c>
    </row>
    <row r="168" spans="1:31" x14ac:dyDescent="0.3">
      <c r="A168" t="s">
        <v>351</v>
      </c>
      <c r="B168" t="s">
        <v>63</v>
      </c>
      <c r="C168" t="s">
        <v>95</v>
      </c>
      <c r="D168" t="s">
        <v>310</v>
      </c>
      <c r="E168" t="s">
        <v>838</v>
      </c>
      <c r="F168" s="15">
        <v>46248.437847222223</v>
      </c>
      <c r="G168" t="s">
        <v>411</v>
      </c>
      <c r="H168">
        <v>1</v>
      </c>
      <c r="I168" t="s">
        <v>839</v>
      </c>
      <c r="J168" s="15">
        <v>46248.662499999999</v>
      </c>
      <c r="K168" s="15">
        <v>46253.628472222219</v>
      </c>
      <c r="L168" s="15"/>
      <c r="M168">
        <v>1</v>
      </c>
      <c r="O168" t="s">
        <v>201</v>
      </c>
      <c r="P168" t="s">
        <v>532</v>
      </c>
      <c r="S168" t="s">
        <v>363</v>
      </c>
      <c r="T168" t="s">
        <v>378</v>
      </c>
      <c r="U168" t="s">
        <v>239</v>
      </c>
      <c r="V168" t="s">
        <v>7</v>
      </c>
      <c r="W168" t="s">
        <v>7</v>
      </c>
      <c r="X168" t="s">
        <v>7</v>
      </c>
      <c r="AA168" t="s">
        <v>96</v>
      </c>
      <c r="AB168" t="s">
        <v>363</v>
      </c>
      <c r="AC168">
        <v>101</v>
      </c>
      <c r="AD168" t="s">
        <v>225</v>
      </c>
      <c r="AE168">
        <v>1</v>
      </c>
    </row>
    <row r="169" spans="1:31" x14ac:dyDescent="0.3">
      <c r="A169" t="s">
        <v>351</v>
      </c>
      <c r="B169" t="s">
        <v>63</v>
      </c>
      <c r="C169" t="s">
        <v>95</v>
      </c>
      <c r="D169" t="s">
        <v>310</v>
      </c>
      <c r="E169" t="s">
        <v>840</v>
      </c>
      <c r="F169" s="15">
        <v>46239.634884259256</v>
      </c>
      <c r="G169" t="s">
        <v>411</v>
      </c>
      <c r="H169">
        <v>1</v>
      </c>
      <c r="I169" t="s">
        <v>841</v>
      </c>
      <c r="J169" s="15">
        <v>46240.408333333333</v>
      </c>
      <c r="K169" s="15">
        <v>46246.645833333336</v>
      </c>
      <c r="L169" s="15"/>
      <c r="M169">
        <v>1</v>
      </c>
      <c r="O169" t="s">
        <v>201</v>
      </c>
      <c r="P169" t="s">
        <v>532</v>
      </c>
      <c r="S169" t="s">
        <v>363</v>
      </c>
      <c r="T169" t="s">
        <v>378</v>
      </c>
      <c r="U169" t="s">
        <v>239</v>
      </c>
      <c r="V169" t="s">
        <v>7</v>
      </c>
      <c r="W169" t="s">
        <v>7</v>
      </c>
      <c r="X169" t="s">
        <v>7</v>
      </c>
      <c r="AA169" t="s">
        <v>96</v>
      </c>
      <c r="AB169" t="s">
        <v>363</v>
      </c>
      <c r="AC169">
        <v>101</v>
      </c>
      <c r="AD169" t="s">
        <v>225</v>
      </c>
      <c r="AE169">
        <v>1</v>
      </c>
    </row>
    <row r="170" spans="1:31" x14ac:dyDescent="0.3">
      <c r="A170" t="s">
        <v>351</v>
      </c>
      <c r="B170" t="s">
        <v>63</v>
      </c>
      <c r="C170" t="s">
        <v>95</v>
      </c>
      <c r="D170" t="s">
        <v>310</v>
      </c>
      <c r="E170" t="s">
        <v>842</v>
      </c>
      <c r="F170" s="15">
        <v>46245.601261574076</v>
      </c>
      <c r="G170" t="s">
        <v>417</v>
      </c>
      <c r="H170">
        <v>1</v>
      </c>
      <c r="I170" t="s">
        <v>843</v>
      </c>
      <c r="J170" s="15">
        <v>46246.638194444444</v>
      </c>
      <c r="K170" s="15">
        <v>46252.386805555558</v>
      </c>
      <c r="L170" s="15"/>
      <c r="M170">
        <v>1</v>
      </c>
      <c r="O170" t="s">
        <v>201</v>
      </c>
      <c r="P170" t="s">
        <v>532</v>
      </c>
      <c r="S170" t="s">
        <v>361</v>
      </c>
      <c r="T170" t="s">
        <v>378</v>
      </c>
      <c r="U170" t="s">
        <v>239</v>
      </c>
      <c r="V170" t="s">
        <v>7</v>
      </c>
      <c r="W170" t="s">
        <v>7</v>
      </c>
      <c r="X170" t="s">
        <v>7</v>
      </c>
      <c r="AA170" t="s">
        <v>96</v>
      </c>
      <c r="AB170" t="s">
        <v>361</v>
      </c>
      <c r="AC170">
        <v>2200</v>
      </c>
      <c r="AD170" t="s">
        <v>225</v>
      </c>
      <c r="AE170">
        <v>1</v>
      </c>
    </row>
    <row r="171" spans="1:31" x14ac:dyDescent="0.3">
      <c r="A171" t="s">
        <v>351</v>
      </c>
      <c r="B171" t="s">
        <v>63</v>
      </c>
      <c r="C171" t="s">
        <v>95</v>
      </c>
      <c r="D171" t="s">
        <v>310</v>
      </c>
      <c r="E171" t="s">
        <v>844</v>
      </c>
      <c r="F171" s="15">
        <v>46245.375648148147</v>
      </c>
      <c r="G171" t="s">
        <v>412</v>
      </c>
      <c r="H171">
        <v>5</v>
      </c>
      <c r="I171" t="s">
        <v>845</v>
      </c>
      <c r="J171" s="15">
        <v>46246.395138888889</v>
      </c>
      <c r="K171" s="15">
        <v>46248.681250000001</v>
      </c>
      <c r="L171" s="15"/>
      <c r="M171">
        <v>5</v>
      </c>
      <c r="O171" t="s">
        <v>201</v>
      </c>
      <c r="P171" t="s">
        <v>532</v>
      </c>
      <c r="S171" t="s">
        <v>361</v>
      </c>
      <c r="T171" t="s">
        <v>378</v>
      </c>
      <c r="U171" t="s">
        <v>239</v>
      </c>
      <c r="V171" t="s">
        <v>7</v>
      </c>
      <c r="W171" t="s">
        <v>7</v>
      </c>
      <c r="X171" t="s">
        <v>7</v>
      </c>
      <c r="AA171" t="s">
        <v>96</v>
      </c>
      <c r="AB171" t="s">
        <v>361</v>
      </c>
      <c r="AC171">
        <v>2200</v>
      </c>
      <c r="AD171" t="s">
        <v>225</v>
      </c>
      <c r="AE171">
        <v>5</v>
      </c>
    </row>
    <row r="172" spans="1:31" x14ac:dyDescent="0.3">
      <c r="A172" t="s">
        <v>351</v>
      </c>
      <c r="B172" t="s">
        <v>63</v>
      </c>
      <c r="C172" t="s">
        <v>95</v>
      </c>
      <c r="D172" t="s">
        <v>310</v>
      </c>
      <c r="E172" t="s">
        <v>846</v>
      </c>
      <c r="F172" s="15">
        <v>46239.715613425928</v>
      </c>
      <c r="G172" t="s">
        <v>412</v>
      </c>
      <c r="H172">
        <v>3</v>
      </c>
      <c r="I172" t="s">
        <v>847</v>
      </c>
      <c r="J172" s="15">
        <v>46241.71597222222</v>
      </c>
      <c r="K172" s="15">
        <v>46246.671527777777</v>
      </c>
      <c r="L172" s="15"/>
      <c r="M172">
        <v>3</v>
      </c>
      <c r="O172" t="s">
        <v>201</v>
      </c>
      <c r="P172" t="s">
        <v>532</v>
      </c>
      <c r="S172" t="s">
        <v>361</v>
      </c>
      <c r="T172" t="s">
        <v>378</v>
      </c>
      <c r="U172" t="s">
        <v>239</v>
      </c>
      <c r="V172" t="s">
        <v>7</v>
      </c>
      <c r="W172" t="s">
        <v>7</v>
      </c>
      <c r="X172" t="s">
        <v>7</v>
      </c>
      <c r="AA172" t="s">
        <v>96</v>
      </c>
      <c r="AB172" t="s">
        <v>361</v>
      </c>
      <c r="AC172">
        <v>2200</v>
      </c>
      <c r="AD172" t="s">
        <v>225</v>
      </c>
      <c r="AE172">
        <v>3</v>
      </c>
    </row>
    <row r="173" spans="1:31" x14ac:dyDescent="0.3">
      <c r="A173" t="s">
        <v>351</v>
      </c>
      <c r="B173" t="s">
        <v>63</v>
      </c>
      <c r="C173" t="s">
        <v>95</v>
      </c>
      <c r="D173" t="s">
        <v>310</v>
      </c>
      <c r="E173" t="s">
        <v>848</v>
      </c>
      <c r="F173" s="15">
        <v>46238.474398148152</v>
      </c>
      <c r="G173" t="s">
        <v>412</v>
      </c>
      <c r="H173">
        <v>1</v>
      </c>
      <c r="I173" t="s">
        <v>849</v>
      </c>
      <c r="J173" s="15">
        <v>46238.659722222219</v>
      </c>
      <c r="K173" s="15">
        <v>46241.456944444442</v>
      </c>
      <c r="L173" s="15"/>
      <c r="M173">
        <v>1</v>
      </c>
      <c r="O173" t="s">
        <v>201</v>
      </c>
      <c r="P173" t="s">
        <v>532</v>
      </c>
      <c r="S173" t="s">
        <v>361</v>
      </c>
      <c r="T173" t="s">
        <v>378</v>
      </c>
      <c r="U173" t="s">
        <v>239</v>
      </c>
      <c r="V173" t="s">
        <v>7</v>
      </c>
      <c r="W173" t="s">
        <v>7</v>
      </c>
      <c r="X173" t="s">
        <v>7</v>
      </c>
      <c r="AA173" t="s">
        <v>96</v>
      </c>
      <c r="AB173" t="s">
        <v>361</v>
      </c>
      <c r="AC173">
        <v>2200</v>
      </c>
      <c r="AD173" t="s">
        <v>225</v>
      </c>
      <c r="AE173">
        <v>1</v>
      </c>
    </row>
    <row r="174" spans="1:31" x14ac:dyDescent="0.3">
      <c r="A174" t="s">
        <v>351</v>
      </c>
      <c r="B174" t="s">
        <v>63</v>
      </c>
      <c r="C174" t="s">
        <v>95</v>
      </c>
      <c r="D174" t="s">
        <v>310</v>
      </c>
      <c r="E174" t="s">
        <v>856</v>
      </c>
      <c r="F174" s="15">
        <v>46244.43917824074</v>
      </c>
      <c r="G174" t="s">
        <v>419</v>
      </c>
      <c r="H174">
        <v>1</v>
      </c>
      <c r="I174" t="s">
        <v>857</v>
      </c>
      <c r="J174" s="15">
        <v>46245.671527777777</v>
      </c>
      <c r="K174" s="15">
        <v>46251.602083333331</v>
      </c>
      <c r="L174" s="15"/>
      <c r="M174">
        <v>1</v>
      </c>
      <c r="O174" t="s">
        <v>201</v>
      </c>
      <c r="P174" t="s">
        <v>532</v>
      </c>
      <c r="S174" t="s">
        <v>360</v>
      </c>
      <c r="T174" t="s">
        <v>378</v>
      </c>
      <c r="U174" t="s">
        <v>239</v>
      </c>
      <c r="V174" t="s">
        <v>7</v>
      </c>
      <c r="W174" t="s">
        <v>7</v>
      </c>
      <c r="X174" t="s">
        <v>7</v>
      </c>
      <c r="AA174" t="s">
        <v>96</v>
      </c>
      <c r="AB174" t="s">
        <v>360</v>
      </c>
      <c r="AC174">
        <v>50</v>
      </c>
      <c r="AD174" t="s">
        <v>225</v>
      </c>
      <c r="AE174">
        <v>1</v>
      </c>
    </row>
    <row r="175" spans="1:31" x14ac:dyDescent="0.3">
      <c r="A175" t="s">
        <v>351</v>
      </c>
      <c r="B175" t="s">
        <v>63</v>
      </c>
      <c r="C175" t="s">
        <v>95</v>
      </c>
      <c r="D175" t="s">
        <v>310</v>
      </c>
      <c r="E175" t="s">
        <v>856</v>
      </c>
      <c r="F175" s="15">
        <v>46244.43917824074</v>
      </c>
      <c r="G175" t="s">
        <v>419</v>
      </c>
      <c r="H175">
        <v>2</v>
      </c>
      <c r="I175" t="s">
        <v>857</v>
      </c>
      <c r="J175" s="15">
        <v>46245.671527777777</v>
      </c>
      <c r="K175" s="15">
        <v>46251.602083333331</v>
      </c>
      <c r="L175" s="15"/>
      <c r="M175">
        <v>2</v>
      </c>
      <c r="O175" t="s">
        <v>529</v>
      </c>
      <c r="S175" t="s">
        <v>360</v>
      </c>
      <c r="T175" t="s">
        <v>378</v>
      </c>
      <c r="U175" t="s">
        <v>239</v>
      </c>
      <c r="V175" t="s">
        <v>7</v>
      </c>
      <c r="W175" t="s">
        <v>7</v>
      </c>
      <c r="X175" t="s">
        <v>7</v>
      </c>
      <c r="AA175" t="s">
        <v>96</v>
      </c>
      <c r="AB175" t="s">
        <v>360</v>
      </c>
      <c r="AC175">
        <v>50</v>
      </c>
      <c r="AD175" t="s">
        <v>225</v>
      </c>
      <c r="AE175">
        <v>2</v>
      </c>
    </row>
    <row r="176" spans="1:31" x14ac:dyDescent="0.3">
      <c r="A176" t="s">
        <v>351</v>
      </c>
      <c r="B176" t="s">
        <v>63</v>
      </c>
      <c r="C176" t="s">
        <v>95</v>
      </c>
      <c r="D176" t="s">
        <v>310</v>
      </c>
      <c r="E176" t="s">
        <v>856</v>
      </c>
      <c r="F176" s="15">
        <v>46244.43917824074</v>
      </c>
      <c r="G176" t="s">
        <v>419</v>
      </c>
      <c r="H176">
        <v>4</v>
      </c>
      <c r="I176" t="s">
        <v>857</v>
      </c>
      <c r="J176" s="15">
        <v>46245.671527777777</v>
      </c>
      <c r="K176" s="15">
        <v>46251.602083333331</v>
      </c>
      <c r="L176" s="15"/>
      <c r="M176">
        <v>4</v>
      </c>
      <c r="O176" t="s">
        <v>529</v>
      </c>
      <c r="S176" t="s">
        <v>360</v>
      </c>
      <c r="T176" t="s">
        <v>378</v>
      </c>
      <c r="U176" t="s">
        <v>239</v>
      </c>
      <c r="V176" t="s">
        <v>7</v>
      </c>
      <c r="W176" t="s">
        <v>7</v>
      </c>
      <c r="X176" t="s">
        <v>7</v>
      </c>
      <c r="AA176" t="s">
        <v>96</v>
      </c>
      <c r="AB176" t="s">
        <v>360</v>
      </c>
      <c r="AC176">
        <v>50</v>
      </c>
      <c r="AD176" t="s">
        <v>225</v>
      </c>
      <c r="AE176">
        <v>4</v>
      </c>
    </row>
    <row r="177" spans="1:31" x14ac:dyDescent="0.3">
      <c r="A177" t="s">
        <v>351</v>
      </c>
      <c r="B177" t="s">
        <v>63</v>
      </c>
      <c r="C177" t="s">
        <v>95</v>
      </c>
      <c r="D177" t="s">
        <v>310</v>
      </c>
      <c r="E177" t="s">
        <v>856</v>
      </c>
      <c r="F177" s="15">
        <v>46244.43917824074</v>
      </c>
      <c r="G177" t="s">
        <v>419</v>
      </c>
      <c r="H177">
        <v>1</v>
      </c>
      <c r="I177" t="s">
        <v>857</v>
      </c>
      <c r="J177" s="15">
        <v>46245.671527777777</v>
      </c>
      <c r="K177" s="15">
        <v>46251.602083333331</v>
      </c>
      <c r="L177" s="15"/>
      <c r="M177">
        <v>1</v>
      </c>
      <c r="O177" t="s">
        <v>529</v>
      </c>
      <c r="S177" t="s">
        <v>360</v>
      </c>
      <c r="T177" t="s">
        <v>378</v>
      </c>
      <c r="U177" t="s">
        <v>239</v>
      </c>
      <c r="V177" t="s">
        <v>7</v>
      </c>
      <c r="W177" t="s">
        <v>7</v>
      </c>
      <c r="X177" t="s">
        <v>7</v>
      </c>
      <c r="AA177" t="s">
        <v>96</v>
      </c>
      <c r="AB177" t="s">
        <v>360</v>
      </c>
      <c r="AC177">
        <v>50</v>
      </c>
      <c r="AD177" t="s">
        <v>225</v>
      </c>
      <c r="AE177">
        <v>1</v>
      </c>
    </row>
    <row r="178" spans="1:31" x14ac:dyDescent="0.3">
      <c r="A178" t="s">
        <v>351</v>
      </c>
      <c r="B178" t="s">
        <v>63</v>
      </c>
      <c r="C178" t="s">
        <v>95</v>
      </c>
      <c r="D178" t="s">
        <v>310</v>
      </c>
      <c r="E178" t="s">
        <v>856</v>
      </c>
      <c r="F178" s="15">
        <v>46244.43917824074</v>
      </c>
      <c r="G178" t="s">
        <v>419</v>
      </c>
      <c r="H178">
        <v>3</v>
      </c>
      <c r="I178" t="s">
        <v>857</v>
      </c>
      <c r="J178" s="15">
        <v>46245.671527777777</v>
      </c>
      <c r="K178" s="15">
        <v>46251.602083333331</v>
      </c>
      <c r="L178" s="15"/>
      <c r="M178">
        <v>3</v>
      </c>
      <c r="O178" t="s">
        <v>529</v>
      </c>
      <c r="S178" t="s">
        <v>360</v>
      </c>
      <c r="T178" t="s">
        <v>378</v>
      </c>
      <c r="U178" t="s">
        <v>239</v>
      </c>
      <c r="V178" t="s">
        <v>7</v>
      </c>
      <c r="W178" t="s">
        <v>7</v>
      </c>
      <c r="X178" t="s">
        <v>7</v>
      </c>
      <c r="AA178" t="s">
        <v>96</v>
      </c>
      <c r="AB178" t="s">
        <v>360</v>
      </c>
      <c r="AC178">
        <v>50</v>
      </c>
      <c r="AD178" t="s">
        <v>225</v>
      </c>
      <c r="AE178">
        <v>3</v>
      </c>
    </row>
    <row r="179" spans="1:31" x14ac:dyDescent="0.3">
      <c r="A179" t="s">
        <v>351</v>
      </c>
      <c r="B179" t="s">
        <v>63</v>
      </c>
      <c r="C179" t="s">
        <v>95</v>
      </c>
      <c r="D179" t="s">
        <v>310</v>
      </c>
      <c r="E179" t="s">
        <v>856</v>
      </c>
      <c r="F179" s="15">
        <v>46244.43917824074</v>
      </c>
      <c r="G179" t="s">
        <v>419</v>
      </c>
      <c r="H179">
        <v>4</v>
      </c>
      <c r="I179" t="s">
        <v>857</v>
      </c>
      <c r="J179" s="15">
        <v>46245.671527777777</v>
      </c>
      <c r="K179" s="15">
        <v>46251.602083333331</v>
      </c>
      <c r="L179" s="15"/>
      <c r="M179">
        <v>4</v>
      </c>
      <c r="O179" t="s">
        <v>529</v>
      </c>
      <c r="S179" t="s">
        <v>360</v>
      </c>
      <c r="T179" t="s">
        <v>378</v>
      </c>
      <c r="U179" t="s">
        <v>239</v>
      </c>
      <c r="V179" t="s">
        <v>7</v>
      </c>
      <c r="W179" t="s">
        <v>7</v>
      </c>
      <c r="X179" t="s">
        <v>7</v>
      </c>
      <c r="AA179" t="s">
        <v>96</v>
      </c>
      <c r="AB179" t="s">
        <v>360</v>
      </c>
      <c r="AC179">
        <v>50</v>
      </c>
      <c r="AD179" t="s">
        <v>225</v>
      </c>
      <c r="AE179">
        <v>4</v>
      </c>
    </row>
    <row r="180" spans="1:31" x14ac:dyDescent="0.3">
      <c r="A180" t="s">
        <v>351</v>
      </c>
      <c r="B180" t="s">
        <v>63</v>
      </c>
      <c r="C180" t="s">
        <v>95</v>
      </c>
      <c r="D180" t="s">
        <v>310</v>
      </c>
      <c r="E180" t="s">
        <v>856</v>
      </c>
      <c r="F180" s="15">
        <v>46244.43917824074</v>
      </c>
      <c r="G180" t="s">
        <v>419</v>
      </c>
      <c r="H180">
        <v>2</v>
      </c>
      <c r="I180" t="s">
        <v>857</v>
      </c>
      <c r="J180" s="15">
        <v>46245.671527777777</v>
      </c>
      <c r="K180" s="15">
        <v>46251.602083333331</v>
      </c>
      <c r="L180" s="15"/>
      <c r="M180">
        <v>2</v>
      </c>
      <c r="O180" t="s">
        <v>529</v>
      </c>
      <c r="S180" t="s">
        <v>360</v>
      </c>
      <c r="T180" t="s">
        <v>378</v>
      </c>
      <c r="U180" t="s">
        <v>239</v>
      </c>
      <c r="V180" t="s">
        <v>7</v>
      </c>
      <c r="W180" t="s">
        <v>7</v>
      </c>
      <c r="X180" t="s">
        <v>7</v>
      </c>
      <c r="AA180" t="s">
        <v>96</v>
      </c>
      <c r="AB180" t="s">
        <v>360</v>
      </c>
      <c r="AC180">
        <v>50</v>
      </c>
      <c r="AD180" t="s">
        <v>225</v>
      </c>
      <c r="AE180">
        <v>2</v>
      </c>
    </row>
    <row r="181" spans="1:31" x14ac:dyDescent="0.3">
      <c r="A181" t="s">
        <v>351</v>
      </c>
      <c r="B181" t="s">
        <v>63</v>
      </c>
      <c r="C181" t="s">
        <v>95</v>
      </c>
      <c r="D181" t="s">
        <v>310</v>
      </c>
      <c r="E181" t="s">
        <v>856</v>
      </c>
      <c r="F181" s="15">
        <v>46244.43917824074</v>
      </c>
      <c r="G181" t="s">
        <v>419</v>
      </c>
      <c r="H181">
        <v>2</v>
      </c>
      <c r="I181" t="s">
        <v>857</v>
      </c>
      <c r="J181" s="15">
        <v>46245.671527777777</v>
      </c>
      <c r="K181" s="15">
        <v>46251.602083333331</v>
      </c>
      <c r="L181" s="15"/>
      <c r="M181">
        <v>2</v>
      </c>
      <c r="O181" t="s">
        <v>529</v>
      </c>
      <c r="S181" t="s">
        <v>360</v>
      </c>
      <c r="T181" t="s">
        <v>378</v>
      </c>
      <c r="U181" t="s">
        <v>239</v>
      </c>
      <c r="V181" t="s">
        <v>7</v>
      </c>
      <c r="W181" t="s">
        <v>7</v>
      </c>
      <c r="X181" t="s">
        <v>7</v>
      </c>
      <c r="AA181" t="s">
        <v>96</v>
      </c>
      <c r="AB181" t="s">
        <v>360</v>
      </c>
      <c r="AC181">
        <v>50</v>
      </c>
      <c r="AD181" t="s">
        <v>225</v>
      </c>
      <c r="AE181">
        <v>2</v>
      </c>
    </row>
    <row r="182" spans="1:31" x14ac:dyDescent="0.3">
      <c r="A182" t="s">
        <v>351</v>
      </c>
      <c r="B182" t="s">
        <v>63</v>
      </c>
      <c r="C182" t="s">
        <v>95</v>
      </c>
      <c r="D182" t="s">
        <v>310</v>
      </c>
      <c r="E182" t="s">
        <v>856</v>
      </c>
      <c r="F182" s="15">
        <v>46244.43917824074</v>
      </c>
      <c r="G182" t="s">
        <v>419</v>
      </c>
      <c r="H182">
        <v>2</v>
      </c>
      <c r="I182" t="s">
        <v>857</v>
      </c>
      <c r="J182" s="15">
        <v>46245.671527777777</v>
      </c>
      <c r="K182" s="15">
        <v>46251.602083333331</v>
      </c>
      <c r="L182" s="15"/>
      <c r="M182">
        <v>2</v>
      </c>
      <c r="O182" t="s">
        <v>529</v>
      </c>
      <c r="S182" t="s">
        <v>360</v>
      </c>
      <c r="T182" t="s">
        <v>378</v>
      </c>
      <c r="U182" t="s">
        <v>239</v>
      </c>
      <c r="V182" t="s">
        <v>7</v>
      </c>
      <c r="W182" t="s">
        <v>7</v>
      </c>
      <c r="X182" t="s">
        <v>7</v>
      </c>
      <c r="AA182" t="s">
        <v>96</v>
      </c>
      <c r="AB182" t="s">
        <v>360</v>
      </c>
      <c r="AC182">
        <v>50</v>
      </c>
      <c r="AD182" t="s">
        <v>225</v>
      </c>
      <c r="AE182">
        <v>2</v>
      </c>
    </row>
    <row r="183" spans="1:31" x14ac:dyDescent="0.3">
      <c r="A183" t="s">
        <v>351</v>
      </c>
      <c r="B183" t="s">
        <v>63</v>
      </c>
      <c r="C183" t="s">
        <v>95</v>
      </c>
      <c r="D183" t="s">
        <v>310</v>
      </c>
      <c r="E183" t="s">
        <v>858</v>
      </c>
      <c r="F183" s="15">
        <v>46244.468541666669</v>
      </c>
      <c r="G183" t="s">
        <v>409</v>
      </c>
      <c r="H183">
        <v>1</v>
      </c>
      <c r="I183" t="s">
        <v>859</v>
      </c>
      <c r="J183" s="15">
        <v>46244.694444444445</v>
      </c>
      <c r="K183" s="15">
        <v>46248.702777777777</v>
      </c>
      <c r="L183" s="15"/>
      <c r="M183">
        <v>1</v>
      </c>
      <c r="O183" t="s">
        <v>201</v>
      </c>
      <c r="P183" t="s">
        <v>532</v>
      </c>
      <c r="S183" t="s">
        <v>360</v>
      </c>
      <c r="T183" t="s">
        <v>378</v>
      </c>
      <c r="U183" t="s">
        <v>239</v>
      </c>
      <c r="V183" t="s">
        <v>7</v>
      </c>
      <c r="W183" t="s">
        <v>7</v>
      </c>
      <c r="X183" t="s">
        <v>7</v>
      </c>
      <c r="AA183" t="s">
        <v>96</v>
      </c>
      <c r="AB183" t="s">
        <v>360</v>
      </c>
      <c r="AC183">
        <v>50</v>
      </c>
      <c r="AD183" t="s">
        <v>225</v>
      </c>
      <c r="AE183">
        <v>1</v>
      </c>
    </row>
    <row r="184" spans="1:31" x14ac:dyDescent="0.3">
      <c r="A184" t="s">
        <v>351</v>
      </c>
      <c r="B184" t="s">
        <v>63</v>
      </c>
      <c r="C184" t="s">
        <v>95</v>
      </c>
      <c r="D184" t="s">
        <v>310</v>
      </c>
      <c r="E184" t="s">
        <v>860</v>
      </c>
      <c r="F184" s="15">
        <v>46244.466851851852</v>
      </c>
      <c r="G184" t="s">
        <v>409</v>
      </c>
      <c r="H184">
        <v>1</v>
      </c>
      <c r="I184" t="s">
        <v>861</v>
      </c>
      <c r="J184" s="15">
        <v>46247.593055555553</v>
      </c>
      <c r="K184" s="15">
        <v>46252.873611111114</v>
      </c>
      <c r="L184" s="15"/>
      <c r="M184">
        <v>1</v>
      </c>
      <c r="O184" t="s">
        <v>201</v>
      </c>
      <c r="P184" t="s">
        <v>532</v>
      </c>
      <c r="S184" t="s">
        <v>360</v>
      </c>
      <c r="T184" t="s">
        <v>378</v>
      </c>
      <c r="U184" t="s">
        <v>239</v>
      </c>
      <c r="V184" t="s">
        <v>7</v>
      </c>
      <c r="W184" t="s">
        <v>7</v>
      </c>
      <c r="X184" t="s">
        <v>7</v>
      </c>
      <c r="AA184" t="s">
        <v>96</v>
      </c>
      <c r="AB184" t="s">
        <v>360</v>
      </c>
      <c r="AC184">
        <v>50</v>
      </c>
      <c r="AD184" t="s">
        <v>225</v>
      </c>
      <c r="AE184">
        <v>1</v>
      </c>
    </row>
    <row r="185" spans="1:31" x14ac:dyDescent="0.3">
      <c r="A185" t="s">
        <v>351</v>
      </c>
      <c r="B185" t="s">
        <v>63</v>
      </c>
      <c r="C185" t="s">
        <v>95</v>
      </c>
      <c r="D185" t="s">
        <v>310</v>
      </c>
      <c r="E185" t="s">
        <v>904</v>
      </c>
      <c r="F185" s="15">
        <v>46241.40283564815</v>
      </c>
      <c r="G185" t="s">
        <v>905</v>
      </c>
      <c r="H185">
        <v>1</v>
      </c>
      <c r="I185" t="s">
        <v>906</v>
      </c>
      <c r="J185" s="15">
        <v>46241.429861111108</v>
      </c>
      <c r="K185" s="15">
        <v>46246.593055555553</v>
      </c>
      <c r="L185" s="15"/>
      <c r="M185">
        <v>1</v>
      </c>
      <c r="O185" t="s">
        <v>201</v>
      </c>
      <c r="P185" t="s">
        <v>532</v>
      </c>
      <c r="S185" t="s">
        <v>362</v>
      </c>
      <c r="T185" t="s">
        <v>378</v>
      </c>
      <c r="U185" t="s">
        <v>239</v>
      </c>
      <c r="V185" t="s">
        <v>7</v>
      </c>
      <c r="W185" t="s">
        <v>7</v>
      </c>
      <c r="X185" t="s">
        <v>7</v>
      </c>
      <c r="AA185" t="s">
        <v>96</v>
      </c>
      <c r="AB185" t="s">
        <v>362</v>
      </c>
      <c r="AC185">
        <v>109</v>
      </c>
      <c r="AD185" t="s">
        <v>225</v>
      </c>
      <c r="AE185">
        <v>1</v>
      </c>
    </row>
    <row r="186" spans="1:31" x14ac:dyDescent="0.3">
      <c r="A186" t="s">
        <v>351</v>
      </c>
      <c r="B186" t="s">
        <v>63</v>
      </c>
      <c r="C186" t="s">
        <v>95</v>
      </c>
      <c r="D186" t="s">
        <v>310</v>
      </c>
      <c r="E186" t="s">
        <v>437</v>
      </c>
      <c r="F186" s="15">
        <v>46202.512337962966</v>
      </c>
      <c r="G186" t="s">
        <v>436</v>
      </c>
      <c r="H186">
        <v>2</v>
      </c>
      <c r="I186" t="s">
        <v>1041</v>
      </c>
      <c r="J186" s="15">
        <v>46241.424259259256</v>
      </c>
      <c r="K186" s="15">
        <v>46248.483460648145</v>
      </c>
      <c r="L186" s="15"/>
      <c r="M186">
        <v>2</v>
      </c>
      <c r="O186" t="s">
        <v>201</v>
      </c>
      <c r="P186" t="s">
        <v>532</v>
      </c>
      <c r="S186" t="s">
        <v>362</v>
      </c>
      <c r="T186" t="s">
        <v>378</v>
      </c>
      <c r="U186" t="s">
        <v>239</v>
      </c>
      <c r="V186" t="s">
        <v>7</v>
      </c>
      <c r="W186" t="s">
        <v>7</v>
      </c>
      <c r="X186" t="s">
        <v>7</v>
      </c>
      <c r="AA186" t="s">
        <v>96</v>
      </c>
      <c r="AB186" t="s">
        <v>362</v>
      </c>
      <c r="AC186">
        <v>109</v>
      </c>
      <c r="AD186" t="s">
        <v>225</v>
      </c>
      <c r="AE186">
        <v>2</v>
      </c>
    </row>
    <row r="187" spans="1:31" x14ac:dyDescent="0.3">
      <c r="A187" t="s">
        <v>351</v>
      </c>
      <c r="B187" t="s">
        <v>63</v>
      </c>
      <c r="C187" t="s">
        <v>95</v>
      </c>
      <c r="D187" t="s">
        <v>310</v>
      </c>
      <c r="E187" t="s">
        <v>907</v>
      </c>
      <c r="F187" s="15">
        <v>46230.40084490741</v>
      </c>
      <c r="G187" t="s">
        <v>424</v>
      </c>
      <c r="H187">
        <v>6</v>
      </c>
      <c r="I187" t="s">
        <v>908</v>
      </c>
      <c r="J187" s="15">
        <v>46233.454386574071</v>
      </c>
      <c r="K187" s="15">
        <v>46238.481249999997</v>
      </c>
      <c r="L187" s="15"/>
      <c r="M187">
        <v>6</v>
      </c>
      <c r="O187" t="s">
        <v>201</v>
      </c>
      <c r="P187" t="s">
        <v>532</v>
      </c>
      <c r="S187" t="s">
        <v>362</v>
      </c>
      <c r="T187" t="s">
        <v>378</v>
      </c>
      <c r="U187" t="s">
        <v>239</v>
      </c>
      <c r="V187" t="s">
        <v>7</v>
      </c>
      <c r="W187" t="s">
        <v>7</v>
      </c>
      <c r="X187" t="s">
        <v>7</v>
      </c>
      <c r="AA187" t="s">
        <v>96</v>
      </c>
      <c r="AB187" t="s">
        <v>362</v>
      </c>
      <c r="AC187">
        <v>109</v>
      </c>
      <c r="AD187" t="s">
        <v>225</v>
      </c>
      <c r="AE187">
        <v>6</v>
      </c>
    </row>
    <row r="188" spans="1:31" x14ac:dyDescent="0.3">
      <c r="A188" t="s">
        <v>351</v>
      </c>
      <c r="B188" t="s">
        <v>63</v>
      </c>
      <c r="C188" t="s">
        <v>95</v>
      </c>
      <c r="D188" t="s">
        <v>310</v>
      </c>
      <c r="E188" t="s">
        <v>907</v>
      </c>
      <c r="F188" s="15">
        <v>46230.40084490741</v>
      </c>
      <c r="G188" t="s">
        <v>424</v>
      </c>
      <c r="H188">
        <v>4</v>
      </c>
      <c r="I188" t="s">
        <v>908</v>
      </c>
      <c r="J188" s="15">
        <v>46233.454386574071</v>
      </c>
      <c r="K188" s="15">
        <v>46238.481249999997</v>
      </c>
      <c r="L188" s="15"/>
      <c r="M188">
        <v>4</v>
      </c>
      <c r="O188" t="s">
        <v>529</v>
      </c>
      <c r="S188" t="s">
        <v>362</v>
      </c>
      <c r="T188" t="s">
        <v>378</v>
      </c>
      <c r="U188" t="s">
        <v>239</v>
      </c>
      <c r="V188" t="s">
        <v>7</v>
      </c>
      <c r="W188" t="s">
        <v>7</v>
      </c>
      <c r="X188" t="s">
        <v>7</v>
      </c>
      <c r="AA188" t="s">
        <v>96</v>
      </c>
      <c r="AB188" t="s">
        <v>362</v>
      </c>
      <c r="AC188">
        <v>109</v>
      </c>
      <c r="AD188" t="s">
        <v>225</v>
      </c>
      <c r="AE188">
        <v>4</v>
      </c>
    </row>
    <row r="189" spans="1:31" x14ac:dyDescent="0.3">
      <c r="A189" t="s">
        <v>351</v>
      </c>
      <c r="B189" t="s">
        <v>63</v>
      </c>
      <c r="C189" t="s">
        <v>95</v>
      </c>
      <c r="D189" t="s">
        <v>310</v>
      </c>
      <c r="E189" t="s">
        <v>907</v>
      </c>
      <c r="F189" s="15">
        <v>46230.40084490741</v>
      </c>
      <c r="G189" t="s">
        <v>424</v>
      </c>
      <c r="H189">
        <v>5</v>
      </c>
      <c r="I189" t="s">
        <v>908</v>
      </c>
      <c r="J189" s="15">
        <v>46233.454386574071</v>
      </c>
      <c r="K189" s="15">
        <v>46238.481249999997</v>
      </c>
      <c r="L189" s="15"/>
      <c r="M189">
        <v>5</v>
      </c>
      <c r="O189" t="s">
        <v>529</v>
      </c>
      <c r="S189" t="s">
        <v>362</v>
      </c>
      <c r="T189" t="s">
        <v>378</v>
      </c>
      <c r="U189" t="s">
        <v>239</v>
      </c>
      <c r="V189" t="s">
        <v>7</v>
      </c>
      <c r="W189" t="s">
        <v>7</v>
      </c>
      <c r="X189" t="s">
        <v>7</v>
      </c>
      <c r="AA189" t="s">
        <v>96</v>
      </c>
      <c r="AB189" t="s">
        <v>362</v>
      </c>
      <c r="AC189">
        <v>109</v>
      </c>
      <c r="AD189" t="s">
        <v>225</v>
      </c>
      <c r="AE189">
        <v>5</v>
      </c>
    </row>
    <row r="190" spans="1:31" x14ac:dyDescent="0.3">
      <c r="A190" t="s">
        <v>351</v>
      </c>
      <c r="B190" t="s">
        <v>63</v>
      </c>
      <c r="C190" t="s">
        <v>95</v>
      </c>
      <c r="D190" t="s">
        <v>310</v>
      </c>
      <c r="E190" t="s">
        <v>907</v>
      </c>
      <c r="F190" s="15">
        <v>46230.40084490741</v>
      </c>
      <c r="G190" t="s">
        <v>424</v>
      </c>
      <c r="H190">
        <v>5</v>
      </c>
      <c r="I190" t="s">
        <v>908</v>
      </c>
      <c r="J190" s="15">
        <v>46233.454386574071</v>
      </c>
      <c r="K190" s="15">
        <v>46238.481249999997</v>
      </c>
      <c r="L190" s="15"/>
      <c r="M190">
        <v>5</v>
      </c>
      <c r="O190" t="s">
        <v>529</v>
      </c>
      <c r="S190" t="s">
        <v>362</v>
      </c>
      <c r="T190" t="s">
        <v>378</v>
      </c>
      <c r="U190" t="s">
        <v>239</v>
      </c>
      <c r="V190" t="s">
        <v>7</v>
      </c>
      <c r="W190" t="s">
        <v>7</v>
      </c>
      <c r="X190" t="s">
        <v>7</v>
      </c>
      <c r="AA190" t="s">
        <v>96</v>
      </c>
      <c r="AB190" t="s">
        <v>362</v>
      </c>
      <c r="AC190">
        <v>109</v>
      </c>
      <c r="AD190" t="s">
        <v>225</v>
      </c>
      <c r="AE190">
        <v>5</v>
      </c>
    </row>
    <row r="191" spans="1:31" x14ac:dyDescent="0.3">
      <c r="A191" t="s">
        <v>351</v>
      </c>
      <c r="B191" t="s">
        <v>63</v>
      </c>
      <c r="C191" t="s">
        <v>95</v>
      </c>
      <c r="D191" t="s">
        <v>310</v>
      </c>
      <c r="E191" t="s">
        <v>907</v>
      </c>
      <c r="F191" s="15">
        <v>46230.40084490741</v>
      </c>
      <c r="G191" t="s">
        <v>424</v>
      </c>
      <c r="H191">
        <v>6</v>
      </c>
      <c r="I191" t="s">
        <v>908</v>
      </c>
      <c r="J191" s="15">
        <v>46233.454386574071</v>
      </c>
      <c r="K191" s="15">
        <v>46238.481249999997</v>
      </c>
      <c r="L191" s="15"/>
      <c r="M191">
        <v>6</v>
      </c>
      <c r="O191" t="s">
        <v>529</v>
      </c>
      <c r="S191" t="s">
        <v>362</v>
      </c>
      <c r="T191" t="s">
        <v>378</v>
      </c>
      <c r="U191" t="s">
        <v>239</v>
      </c>
      <c r="V191" t="s">
        <v>7</v>
      </c>
      <c r="W191" t="s">
        <v>7</v>
      </c>
      <c r="X191" t="s">
        <v>7</v>
      </c>
      <c r="AA191" t="s">
        <v>96</v>
      </c>
      <c r="AB191" t="s">
        <v>362</v>
      </c>
      <c r="AC191">
        <v>109</v>
      </c>
      <c r="AD191" t="s">
        <v>225</v>
      </c>
      <c r="AE191">
        <v>6</v>
      </c>
    </row>
    <row r="192" spans="1:31" x14ac:dyDescent="0.3">
      <c r="A192" t="s">
        <v>351</v>
      </c>
      <c r="B192" t="s">
        <v>63</v>
      </c>
      <c r="C192" t="s">
        <v>95</v>
      </c>
      <c r="D192" t="s">
        <v>310</v>
      </c>
      <c r="E192" t="s">
        <v>907</v>
      </c>
      <c r="F192" s="15">
        <v>46230.40084490741</v>
      </c>
      <c r="G192" t="s">
        <v>424</v>
      </c>
      <c r="H192">
        <v>4</v>
      </c>
      <c r="I192" t="s">
        <v>908</v>
      </c>
      <c r="J192" s="15">
        <v>46233.454386574071</v>
      </c>
      <c r="K192" s="15">
        <v>46238.481249999997</v>
      </c>
      <c r="L192" s="15"/>
      <c r="M192">
        <v>4</v>
      </c>
      <c r="O192" t="s">
        <v>529</v>
      </c>
      <c r="S192" t="s">
        <v>362</v>
      </c>
      <c r="T192" t="s">
        <v>378</v>
      </c>
      <c r="U192" t="s">
        <v>239</v>
      </c>
      <c r="V192" t="s">
        <v>7</v>
      </c>
      <c r="W192" t="s">
        <v>7</v>
      </c>
      <c r="X192" t="s">
        <v>7</v>
      </c>
      <c r="AA192" t="s">
        <v>96</v>
      </c>
      <c r="AB192" t="s">
        <v>362</v>
      </c>
      <c r="AC192">
        <v>109</v>
      </c>
      <c r="AD192" t="s">
        <v>225</v>
      </c>
      <c r="AE192">
        <v>4</v>
      </c>
    </row>
    <row r="193" spans="1:31" x14ac:dyDescent="0.3">
      <c r="A193" t="s">
        <v>351</v>
      </c>
      <c r="B193" t="s">
        <v>63</v>
      </c>
      <c r="C193" t="s">
        <v>95</v>
      </c>
      <c r="D193" t="s">
        <v>310</v>
      </c>
      <c r="E193" t="s">
        <v>907</v>
      </c>
      <c r="F193" s="15">
        <v>46230.40084490741</v>
      </c>
      <c r="G193" t="s">
        <v>424</v>
      </c>
      <c r="H193">
        <v>6</v>
      </c>
      <c r="I193" t="s">
        <v>908</v>
      </c>
      <c r="J193" s="15">
        <v>46233.454386574071</v>
      </c>
      <c r="K193" s="15">
        <v>46238.481249999997</v>
      </c>
      <c r="L193" s="15"/>
      <c r="M193">
        <v>6</v>
      </c>
      <c r="O193" t="s">
        <v>529</v>
      </c>
      <c r="S193" t="s">
        <v>362</v>
      </c>
      <c r="T193" t="s">
        <v>378</v>
      </c>
      <c r="U193" t="s">
        <v>239</v>
      </c>
      <c r="V193" t="s">
        <v>7</v>
      </c>
      <c r="W193" t="s">
        <v>7</v>
      </c>
      <c r="X193" t="s">
        <v>7</v>
      </c>
      <c r="AA193" t="s">
        <v>96</v>
      </c>
      <c r="AB193" t="s">
        <v>362</v>
      </c>
      <c r="AC193">
        <v>109</v>
      </c>
      <c r="AD193" t="s">
        <v>225</v>
      </c>
      <c r="AE193">
        <v>6</v>
      </c>
    </row>
    <row r="194" spans="1:31" x14ac:dyDescent="0.3">
      <c r="A194" t="s">
        <v>351</v>
      </c>
      <c r="B194" t="s">
        <v>63</v>
      </c>
      <c r="C194" t="s">
        <v>95</v>
      </c>
      <c r="D194" t="s">
        <v>310</v>
      </c>
      <c r="E194" t="s">
        <v>907</v>
      </c>
      <c r="F194" s="15">
        <v>46230.40084490741</v>
      </c>
      <c r="G194" t="s">
        <v>424</v>
      </c>
      <c r="H194">
        <v>3</v>
      </c>
      <c r="I194" t="s">
        <v>908</v>
      </c>
      <c r="J194" s="15">
        <v>46233.454386574071</v>
      </c>
      <c r="K194" s="15">
        <v>46238.481249999997</v>
      </c>
      <c r="L194" s="15"/>
      <c r="M194">
        <v>3</v>
      </c>
      <c r="O194" t="s">
        <v>529</v>
      </c>
      <c r="S194" t="s">
        <v>362</v>
      </c>
      <c r="T194" t="s">
        <v>378</v>
      </c>
      <c r="U194" t="s">
        <v>239</v>
      </c>
      <c r="V194" t="s">
        <v>7</v>
      </c>
      <c r="W194" t="s">
        <v>7</v>
      </c>
      <c r="X194" t="s">
        <v>7</v>
      </c>
      <c r="AA194" t="s">
        <v>96</v>
      </c>
      <c r="AB194" t="s">
        <v>362</v>
      </c>
      <c r="AC194">
        <v>109</v>
      </c>
      <c r="AD194" t="s">
        <v>225</v>
      </c>
      <c r="AE194">
        <v>3</v>
      </c>
    </row>
    <row r="195" spans="1:31" x14ac:dyDescent="0.3">
      <c r="A195" t="s">
        <v>351</v>
      </c>
      <c r="B195" t="s">
        <v>63</v>
      </c>
      <c r="C195" t="s">
        <v>95</v>
      </c>
      <c r="D195" t="s">
        <v>310</v>
      </c>
      <c r="E195" t="s">
        <v>907</v>
      </c>
      <c r="F195" s="15">
        <v>46230.40084490741</v>
      </c>
      <c r="G195" t="s">
        <v>424</v>
      </c>
      <c r="H195">
        <v>5</v>
      </c>
      <c r="I195" t="s">
        <v>908</v>
      </c>
      <c r="J195" s="15">
        <v>46233.454386574071</v>
      </c>
      <c r="K195" s="15">
        <v>46238.481249999997</v>
      </c>
      <c r="L195" s="15"/>
      <c r="M195">
        <v>5</v>
      </c>
      <c r="O195" t="s">
        <v>529</v>
      </c>
      <c r="S195" t="s">
        <v>362</v>
      </c>
      <c r="T195" t="s">
        <v>378</v>
      </c>
      <c r="U195" t="s">
        <v>239</v>
      </c>
      <c r="V195" t="s">
        <v>7</v>
      </c>
      <c r="W195" t="s">
        <v>7</v>
      </c>
      <c r="X195" t="s">
        <v>7</v>
      </c>
      <c r="AA195" t="s">
        <v>96</v>
      </c>
      <c r="AB195" t="s">
        <v>362</v>
      </c>
      <c r="AC195">
        <v>109</v>
      </c>
      <c r="AD195" t="s">
        <v>225</v>
      </c>
      <c r="AE195">
        <v>5</v>
      </c>
    </row>
    <row r="196" spans="1:31" x14ac:dyDescent="0.3">
      <c r="A196" t="s">
        <v>351</v>
      </c>
      <c r="B196" t="s">
        <v>63</v>
      </c>
      <c r="C196" t="s">
        <v>95</v>
      </c>
      <c r="D196" t="s">
        <v>310</v>
      </c>
      <c r="E196" t="s">
        <v>907</v>
      </c>
      <c r="F196" s="15">
        <v>46230.40084490741</v>
      </c>
      <c r="G196" t="s">
        <v>424</v>
      </c>
      <c r="H196">
        <v>6</v>
      </c>
      <c r="I196" t="s">
        <v>908</v>
      </c>
      <c r="J196" s="15">
        <v>46233.454386574071</v>
      </c>
      <c r="K196" s="15">
        <v>46238.481249999997</v>
      </c>
      <c r="L196" s="15"/>
      <c r="M196">
        <v>6</v>
      </c>
      <c r="O196" t="s">
        <v>529</v>
      </c>
      <c r="S196" t="s">
        <v>362</v>
      </c>
      <c r="T196" t="s">
        <v>378</v>
      </c>
      <c r="U196" t="s">
        <v>239</v>
      </c>
      <c r="V196" t="s">
        <v>7</v>
      </c>
      <c r="W196" t="s">
        <v>7</v>
      </c>
      <c r="X196" t="s">
        <v>7</v>
      </c>
      <c r="AA196" t="s">
        <v>96</v>
      </c>
      <c r="AB196" t="s">
        <v>362</v>
      </c>
      <c r="AC196">
        <v>109</v>
      </c>
      <c r="AD196" t="s">
        <v>225</v>
      </c>
      <c r="AE196">
        <v>6</v>
      </c>
    </row>
    <row r="197" spans="1:31" x14ac:dyDescent="0.3">
      <c r="A197" t="s">
        <v>351</v>
      </c>
      <c r="B197" t="s">
        <v>63</v>
      </c>
      <c r="C197" t="s">
        <v>95</v>
      </c>
      <c r="D197" t="s">
        <v>310</v>
      </c>
      <c r="E197" t="s">
        <v>438</v>
      </c>
      <c r="F197" s="15">
        <v>46212.717303240737</v>
      </c>
      <c r="G197" t="s">
        <v>412</v>
      </c>
      <c r="H197">
        <v>2</v>
      </c>
      <c r="I197" t="s">
        <v>1039</v>
      </c>
      <c r="J197" s="15">
        <v>46231.477627314816</v>
      </c>
      <c r="K197" s="15">
        <v>46238.444444444445</v>
      </c>
      <c r="L197" s="15"/>
      <c r="M197">
        <v>2</v>
      </c>
      <c r="O197" t="s">
        <v>201</v>
      </c>
      <c r="P197" t="s">
        <v>532</v>
      </c>
      <c r="S197" t="s">
        <v>361</v>
      </c>
      <c r="T197" t="s">
        <v>378</v>
      </c>
      <c r="U197" t="s">
        <v>239</v>
      </c>
      <c r="V197" t="s">
        <v>7</v>
      </c>
      <c r="W197" t="s">
        <v>7</v>
      </c>
      <c r="X197" t="s">
        <v>7</v>
      </c>
      <c r="AA197" t="s">
        <v>96</v>
      </c>
      <c r="AB197" t="s">
        <v>361</v>
      </c>
      <c r="AC197">
        <v>2200</v>
      </c>
      <c r="AD197" t="s">
        <v>225</v>
      </c>
      <c r="AE197">
        <v>2</v>
      </c>
    </row>
    <row r="198" spans="1:31" x14ac:dyDescent="0.3">
      <c r="A198" t="s">
        <v>351</v>
      </c>
      <c r="B198" t="s">
        <v>63</v>
      </c>
      <c r="C198" t="s">
        <v>95</v>
      </c>
      <c r="D198" t="s">
        <v>310</v>
      </c>
      <c r="E198" t="s">
        <v>438</v>
      </c>
      <c r="F198" s="15">
        <v>46212.717303240737</v>
      </c>
      <c r="G198" t="s">
        <v>412</v>
      </c>
      <c r="H198">
        <v>2</v>
      </c>
      <c r="I198" t="s">
        <v>1039</v>
      </c>
      <c r="J198" s="15">
        <v>46231.477627314816</v>
      </c>
      <c r="K198" s="15">
        <v>46238.444444444445</v>
      </c>
      <c r="L198" s="15"/>
      <c r="M198">
        <v>2</v>
      </c>
      <c r="O198" t="s">
        <v>529</v>
      </c>
      <c r="S198" t="s">
        <v>361</v>
      </c>
      <c r="T198" t="s">
        <v>378</v>
      </c>
      <c r="U198" t="s">
        <v>239</v>
      </c>
      <c r="V198" t="s">
        <v>7</v>
      </c>
      <c r="W198" t="s">
        <v>7</v>
      </c>
      <c r="X198" t="s">
        <v>7</v>
      </c>
      <c r="AA198" t="s">
        <v>96</v>
      </c>
      <c r="AB198" t="s">
        <v>361</v>
      </c>
      <c r="AC198">
        <v>2200</v>
      </c>
      <c r="AD198" t="s">
        <v>225</v>
      </c>
      <c r="AE198">
        <v>2</v>
      </c>
    </row>
    <row r="199" spans="1:31" x14ac:dyDescent="0.3">
      <c r="A199" t="s">
        <v>351</v>
      </c>
      <c r="B199" t="s">
        <v>63</v>
      </c>
      <c r="C199" t="s">
        <v>95</v>
      </c>
      <c r="D199" t="s">
        <v>310</v>
      </c>
      <c r="E199" t="s">
        <v>437</v>
      </c>
      <c r="F199" s="15">
        <v>46202.512337962966</v>
      </c>
      <c r="G199" t="s">
        <v>436</v>
      </c>
      <c r="H199">
        <v>1</v>
      </c>
      <c r="I199" t="s">
        <v>1040</v>
      </c>
      <c r="J199" s="15">
        <v>46203.361828703702</v>
      </c>
      <c r="K199" s="15">
        <v>46212.739201388889</v>
      </c>
      <c r="L199" s="15"/>
      <c r="M199">
        <v>26</v>
      </c>
      <c r="O199" t="s">
        <v>201</v>
      </c>
      <c r="P199" t="s">
        <v>532</v>
      </c>
      <c r="S199" t="s">
        <v>362</v>
      </c>
      <c r="T199" t="s">
        <v>378</v>
      </c>
      <c r="U199" t="s">
        <v>239</v>
      </c>
      <c r="V199" t="s">
        <v>7</v>
      </c>
      <c r="W199" t="s">
        <v>7</v>
      </c>
      <c r="X199" t="s">
        <v>7</v>
      </c>
      <c r="AA199" t="s">
        <v>96</v>
      </c>
      <c r="AB199" t="s">
        <v>362</v>
      </c>
      <c r="AC199">
        <v>109</v>
      </c>
      <c r="AD199" t="s">
        <v>225</v>
      </c>
      <c r="AE199">
        <v>26</v>
      </c>
    </row>
    <row r="200" spans="1:31" x14ac:dyDescent="0.3">
      <c r="A200" t="s">
        <v>351</v>
      </c>
      <c r="B200" t="s">
        <v>63</v>
      </c>
      <c r="C200" t="s">
        <v>95</v>
      </c>
      <c r="D200" t="s">
        <v>310</v>
      </c>
      <c r="E200" t="s">
        <v>437</v>
      </c>
      <c r="F200" s="15">
        <v>46202.512337962966</v>
      </c>
      <c r="G200" t="s">
        <v>436</v>
      </c>
      <c r="H200">
        <v>1</v>
      </c>
      <c r="I200" t="s">
        <v>1040</v>
      </c>
      <c r="J200" s="15">
        <v>46203.361828703702</v>
      </c>
      <c r="K200" s="15">
        <v>46212.739201388889</v>
      </c>
      <c r="L200" s="15"/>
      <c r="M200">
        <v>13</v>
      </c>
      <c r="O200" t="s">
        <v>529</v>
      </c>
      <c r="S200" t="s">
        <v>362</v>
      </c>
      <c r="T200" t="s">
        <v>378</v>
      </c>
      <c r="U200" t="s">
        <v>239</v>
      </c>
      <c r="V200" t="s">
        <v>7</v>
      </c>
      <c r="W200" t="s">
        <v>7</v>
      </c>
      <c r="X200" t="s">
        <v>7</v>
      </c>
      <c r="AA200" t="s">
        <v>96</v>
      </c>
      <c r="AB200" t="s">
        <v>362</v>
      </c>
      <c r="AC200">
        <v>109</v>
      </c>
      <c r="AD200" t="s">
        <v>225</v>
      </c>
      <c r="AE200">
        <v>13</v>
      </c>
    </row>
    <row r="201" spans="1:31" x14ac:dyDescent="0.3">
      <c r="A201" t="s">
        <v>351</v>
      </c>
      <c r="B201" t="s">
        <v>63</v>
      </c>
      <c r="C201" t="s">
        <v>95</v>
      </c>
      <c r="D201" t="s">
        <v>310</v>
      </c>
      <c r="E201" t="s">
        <v>437</v>
      </c>
      <c r="F201" s="15">
        <v>46202.512337962966</v>
      </c>
      <c r="G201" t="s">
        <v>436</v>
      </c>
      <c r="H201">
        <v>30</v>
      </c>
      <c r="I201" t="s">
        <v>1042</v>
      </c>
      <c r="J201" s="15">
        <v>46239.591469907406</v>
      </c>
      <c r="K201" s="15">
        <v>46241.497916666667</v>
      </c>
      <c r="L201" s="15"/>
      <c r="M201">
        <v>30</v>
      </c>
      <c r="O201" t="s">
        <v>201</v>
      </c>
      <c r="P201" t="s">
        <v>532</v>
      </c>
      <c r="S201" t="s">
        <v>362</v>
      </c>
      <c r="T201" t="s">
        <v>378</v>
      </c>
      <c r="U201" t="s">
        <v>239</v>
      </c>
      <c r="V201" t="s">
        <v>7</v>
      </c>
      <c r="W201" t="s">
        <v>7</v>
      </c>
      <c r="X201" t="s">
        <v>7</v>
      </c>
      <c r="AA201" t="s">
        <v>96</v>
      </c>
      <c r="AB201" t="s">
        <v>362</v>
      </c>
      <c r="AC201">
        <v>109</v>
      </c>
      <c r="AD201" t="s">
        <v>225</v>
      </c>
      <c r="AE201">
        <v>30</v>
      </c>
    </row>
    <row r="202" spans="1:31" x14ac:dyDescent="0.3">
      <c r="A202" t="s">
        <v>351</v>
      </c>
      <c r="B202" t="s">
        <v>63</v>
      </c>
      <c r="C202" t="s">
        <v>95</v>
      </c>
      <c r="D202" t="s">
        <v>310</v>
      </c>
      <c r="E202" t="s">
        <v>1043</v>
      </c>
      <c r="F202" s="15">
        <v>46253.45040509259</v>
      </c>
      <c r="G202" t="s">
        <v>412</v>
      </c>
      <c r="H202">
        <v>1</v>
      </c>
      <c r="I202" t="s">
        <v>1044</v>
      </c>
      <c r="J202" s="15">
        <v>46255.393750000003</v>
      </c>
      <c r="K202" s="15">
        <v>46258.414583333331</v>
      </c>
      <c r="L202" s="15"/>
      <c r="M202">
        <v>1</v>
      </c>
      <c r="O202" t="s">
        <v>201</v>
      </c>
      <c r="P202" t="s">
        <v>532</v>
      </c>
      <c r="S202" t="s">
        <v>361</v>
      </c>
      <c r="T202" t="s">
        <v>378</v>
      </c>
      <c r="U202" t="s">
        <v>239</v>
      </c>
      <c r="V202" t="s">
        <v>7</v>
      </c>
      <c r="W202" t="s">
        <v>7</v>
      </c>
      <c r="X202" t="s">
        <v>7</v>
      </c>
      <c r="AA202" t="s">
        <v>96</v>
      </c>
      <c r="AB202" t="s">
        <v>361</v>
      </c>
      <c r="AC202">
        <v>2200</v>
      </c>
      <c r="AD202" t="s">
        <v>225</v>
      </c>
      <c r="AE202">
        <v>1</v>
      </c>
    </row>
    <row r="203" spans="1:31" x14ac:dyDescent="0.3">
      <c r="A203" t="s">
        <v>351</v>
      </c>
      <c r="B203" t="s">
        <v>63</v>
      </c>
      <c r="C203" t="s">
        <v>95</v>
      </c>
      <c r="D203" t="s">
        <v>310</v>
      </c>
      <c r="E203" t="s">
        <v>1049</v>
      </c>
      <c r="F203" s="15">
        <v>46225.356817129628</v>
      </c>
      <c r="G203" t="s">
        <v>409</v>
      </c>
      <c r="H203">
        <v>1</v>
      </c>
      <c r="I203" t="s">
        <v>1050</v>
      </c>
      <c r="J203" s="15">
        <v>46233.380069444444</v>
      </c>
      <c r="K203" s="15">
        <v>46238.463194444441</v>
      </c>
      <c r="L203" s="15"/>
      <c r="M203">
        <v>1</v>
      </c>
      <c r="O203" t="s">
        <v>201</v>
      </c>
      <c r="P203" t="s">
        <v>532</v>
      </c>
      <c r="S203" t="s">
        <v>360</v>
      </c>
      <c r="T203" t="s">
        <v>378</v>
      </c>
      <c r="U203" t="s">
        <v>239</v>
      </c>
      <c r="V203" t="s">
        <v>7</v>
      </c>
      <c r="W203" t="s">
        <v>7</v>
      </c>
      <c r="X203" t="s">
        <v>7</v>
      </c>
      <c r="AA203" t="s">
        <v>96</v>
      </c>
      <c r="AB203" t="s">
        <v>360</v>
      </c>
      <c r="AC203">
        <v>50</v>
      </c>
      <c r="AD203" t="s">
        <v>225</v>
      </c>
      <c r="AE203">
        <v>1</v>
      </c>
    </row>
    <row r="204" spans="1:31" x14ac:dyDescent="0.3">
      <c r="A204" t="s">
        <v>351</v>
      </c>
      <c r="B204" t="s">
        <v>63</v>
      </c>
      <c r="C204" t="s">
        <v>95</v>
      </c>
      <c r="D204" t="s">
        <v>310</v>
      </c>
      <c r="E204" t="s">
        <v>1055</v>
      </c>
      <c r="F204" s="15">
        <v>46223.754212962966</v>
      </c>
      <c r="G204" t="s">
        <v>412</v>
      </c>
      <c r="H204">
        <v>1</v>
      </c>
      <c r="I204" t="s">
        <v>1056</v>
      </c>
      <c r="J204" s="15">
        <v>46232.484236111108</v>
      </c>
      <c r="K204" s="15">
        <v>46238.427083333336</v>
      </c>
      <c r="L204" s="15"/>
      <c r="M204">
        <v>1</v>
      </c>
      <c r="O204" t="s">
        <v>201</v>
      </c>
      <c r="P204" t="s">
        <v>532</v>
      </c>
      <c r="S204" t="s">
        <v>361</v>
      </c>
      <c r="T204" t="s">
        <v>378</v>
      </c>
      <c r="U204" t="s">
        <v>239</v>
      </c>
      <c r="V204" t="s">
        <v>7</v>
      </c>
      <c r="W204" t="s">
        <v>7</v>
      </c>
      <c r="X204" t="s">
        <v>7</v>
      </c>
      <c r="AA204" t="s">
        <v>96</v>
      </c>
      <c r="AB204" t="s">
        <v>361</v>
      </c>
      <c r="AC204">
        <v>2200</v>
      </c>
      <c r="AD204" t="s">
        <v>225</v>
      </c>
      <c r="AE204">
        <v>1</v>
      </c>
    </row>
    <row r="205" spans="1:31" x14ac:dyDescent="0.3">
      <c r="A205" t="s">
        <v>351</v>
      </c>
      <c r="B205" t="s">
        <v>63</v>
      </c>
      <c r="C205" t="s">
        <v>95</v>
      </c>
      <c r="D205" t="s">
        <v>310</v>
      </c>
      <c r="E205" t="s">
        <v>797</v>
      </c>
      <c r="F205" s="15">
        <v>46232.31826388889</v>
      </c>
      <c r="G205" t="s">
        <v>411</v>
      </c>
      <c r="H205">
        <v>1</v>
      </c>
      <c r="I205" t="s">
        <v>1033</v>
      </c>
      <c r="J205" s="15">
        <v>46232.407094907408</v>
      </c>
      <c r="K205" s="15">
        <v>46238.423611111109</v>
      </c>
      <c r="L205" s="15"/>
      <c r="M205">
        <v>1</v>
      </c>
      <c r="O205" t="s">
        <v>201</v>
      </c>
      <c r="P205" t="s">
        <v>532</v>
      </c>
      <c r="S205" t="s">
        <v>363</v>
      </c>
      <c r="T205" t="s">
        <v>378</v>
      </c>
      <c r="U205" t="s">
        <v>239</v>
      </c>
      <c r="V205" t="s">
        <v>7</v>
      </c>
      <c r="W205" t="s">
        <v>7</v>
      </c>
      <c r="X205" t="s">
        <v>7</v>
      </c>
      <c r="AA205" t="s">
        <v>96</v>
      </c>
      <c r="AB205" t="s">
        <v>363</v>
      </c>
      <c r="AC205">
        <v>101</v>
      </c>
      <c r="AD205" t="s">
        <v>225</v>
      </c>
      <c r="AE205">
        <v>1</v>
      </c>
    </row>
    <row r="206" spans="1:31" x14ac:dyDescent="0.3">
      <c r="A206" t="s">
        <v>351</v>
      </c>
      <c r="B206" t="s">
        <v>63</v>
      </c>
      <c r="C206" t="s">
        <v>95</v>
      </c>
      <c r="D206" t="s">
        <v>310</v>
      </c>
      <c r="E206" t="s">
        <v>1064</v>
      </c>
      <c r="F206" s="15">
        <v>46223.623645833337</v>
      </c>
      <c r="G206" t="s">
        <v>412</v>
      </c>
      <c r="H206">
        <v>1</v>
      </c>
      <c r="I206" t="s">
        <v>1065</v>
      </c>
      <c r="J206" s="15">
        <v>46224.351388888892</v>
      </c>
      <c r="K206" s="15">
        <v>46227.68472222222</v>
      </c>
      <c r="L206" s="15">
        <v>46234.655555555553</v>
      </c>
      <c r="M206">
        <v>1</v>
      </c>
      <c r="O206" t="s">
        <v>201</v>
      </c>
      <c r="P206" t="s">
        <v>532</v>
      </c>
      <c r="S206" t="s">
        <v>361</v>
      </c>
      <c r="T206" t="s">
        <v>378</v>
      </c>
      <c r="U206" t="s">
        <v>239</v>
      </c>
      <c r="V206" t="s">
        <v>7</v>
      </c>
      <c r="W206" t="s">
        <v>7</v>
      </c>
      <c r="X206" t="s">
        <v>7</v>
      </c>
      <c r="AA206" t="s">
        <v>96</v>
      </c>
      <c r="AB206" t="s">
        <v>361</v>
      </c>
      <c r="AC206">
        <v>2200</v>
      </c>
      <c r="AD206" t="s">
        <v>225</v>
      </c>
      <c r="AE206">
        <v>1</v>
      </c>
    </row>
    <row r="207" spans="1:31" x14ac:dyDescent="0.3">
      <c r="A207" t="s">
        <v>351</v>
      </c>
      <c r="B207" t="s">
        <v>63</v>
      </c>
      <c r="C207" t="s">
        <v>95</v>
      </c>
      <c r="D207" t="s">
        <v>310</v>
      </c>
      <c r="E207" t="s">
        <v>1064</v>
      </c>
      <c r="F207" s="15">
        <v>46223.623645833337</v>
      </c>
      <c r="G207" t="s">
        <v>412</v>
      </c>
      <c r="H207">
        <v>1</v>
      </c>
      <c r="I207" t="s">
        <v>1065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529</v>
      </c>
      <c r="S207" t="s">
        <v>361</v>
      </c>
      <c r="T207" t="s">
        <v>378</v>
      </c>
      <c r="U207" t="s">
        <v>239</v>
      </c>
      <c r="V207" t="s">
        <v>7</v>
      </c>
      <c r="W207" t="s">
        <v>7</v>
      </c>
      <c r="X207" t="s">
        <v>7</v>
      </c>
      <c r="AA207" t="s">
        <v>96</v>
      </c>
      <c r="AB207" t="s">
        <v>361</v>
      </c>
      <c r="AC207">
        <v>2200</v>
      </c>
      <c r="AD207" t="s">
        <v>225</v>
      </c>
      <c r="AE207">
        <v>1</v>
      </c>
    </row>
    <row r="208" spans="1:31" x14ac:dyDescent="0.3">
      <c r="A208" t="s">
        <v>351</v>
      </c>
      <c r="B208" t="s">
        <v>63</v>
      </c>
      <c r="C208" t="s">
        <v>95</v>
      </c>
      <c r="D208" t="s">
        <v>310</v>
      </c>
      <c r="E208" t="s">
        <v>1064</v>
      </c>
      <c r="F208" s="15">
        <v>46223.623645833337</v>
      </c>
      <c r="G208" t="s">
        <v>412</v>
      </c>
      <c r="H208">
        <v>3</v>
      </c>
      <c r="I208" t="s">
        <v>1066</v>
      </c>
      <c r="J208" s="15">
        <v>46224.351388888892</v>
      </c>
      <c r="K208" s="15">
        <v>46227.68472222222</v>
      </c>
      <c r="L208" s="15"/>
      <c r="M208">
        <v>3</v>
      </c>
      <c r="O208" t="s">
        <v>201</v>
      </c>
      <c r="P208" t="s">
        <v>532</v>
      </c>
      <c r="S208" t="s">
        <v>361</v>
      </c>
      <c r="T208" t="s">
        <v>378</v>
      </c>
      <c r="U208" t="s">
        <v>239</v>
      </c>
      <c r="V208" t="s">
        <v>7</v>
      </c>
      <c r="W208" t="s">
        <v>7</v>
      </c>
      <c r="X208" t="s">
        <v>7</v>
      </c>
      <c r="AA208" t="s">
        <v>96</v>
      </c>
      <c r="AB208" t="s">
        <v>361</v>
      </c>
      <c r="AC208">
        <v>2200</v>
      </c>
      <c r="AD208" t="s">
        <v>225</v>
      </c>
      <c r="AE208">
        <v>3</v>
      </c>
    </row>
    <row r="209" spans="1:31" x14ac:dyDescent="0.3">
      <c r="A209" t="s">
        <v>351</v>
      </c>
      <c r="B209" t="s">
        <v>63</v>
      </c>
      <c r="C209" t="s">
        <v>95</v>
      </c>
      <c r="D209" t="s">
        <v>310</v>
      </c>
      <c r="E209" t="s">
        <v>443</v>
      </c>
      <c r="F209" s="15">
        <v>46217.60359953704</v>
      </c>
      <c r="G209" t="s">
        <v>439</v>
      </c>
      <c r="H209">
        <v>1</v>
      </c>
      <c r="I209" t="s">
        <v>1069</v>
      </c>
      <c r="J209" s="15">
        <v>46220.352083333331</v>
      </c>
      <c r="K209" s="15">
        <v>46227.702777777777</v>
      </c>
      <c r="L209" s="15"/>
      <c r="M209">
        <v>1</v>
      </c>
      <c r="O209" t="s">
        <v>201</v>
      </c>
      <c r="P209" t="s">
        <v>532</v>
      </c>
      <c r="S209" t="s">
        <v>363</v>
      </c>
      <c r="T209" t="s">
        <v>378</v>
      </c>
      <c r="U209" t="s">
        <v>239</v>
      </c>
      <c r="V209" t="s">
        <v>7</v>
      </c>
      <c r="W209" t="s">
        <v>7</v>
      </c>
      <c r="X209" t="s">
        <v>7</v>
      </c>
      <c r="AA209" t="s">
        <v>96</v>
      </c>
      <c r="AB209" t="s">
        <v>363</v>
      </c>
      <c r="AC209">
        <v>101</v>
      </c>
      <c r="AD209" t="s">
        <v>225</v>
      </c>
      <c r="AE209">
        <v>1</v>
      </c>
    </row>
    <row r="210" spans="1:31" x14ac:dyDescent="0.3">
      <c r="A210" t="s">
        <v>351</v>
      </c>
      <c r="B210" t="s">
        <v>63</v>
      </c>
      <c r="C210" t="s">
        <v>95</v>
      </c>
      <c r="D210" t="s">
        <v>310</v>
      </c>
      <c r="E210" t="s">
        <v>443</v>
      </c>
      <c r="F210" s="15">
        <v>46217.60359953704</v>
      </c>
      <c r="G210" t="s">
        <v>439</v>
      </c>
      <c r="H210">
        <v>4</v>
      </c>
      <c r="I210" t="s">
        <v>1069</v>
      </c>
      <c r="J210" s="15">
        <v>46220.352083333331</v>
      </c>
      <c r="K210" s="15">
        <v>46227.702777777777</v>
      </c>
      <c r="L210" s="15"/>
      <c r="M210">
        <v>4</v>
      </c>
      <c r="O210" t="s">
        <v>529</v>
      </c>
      <c r="S210" t="s">
        <v>363</v>
      </c>
      <c r="T210" t="s">
        <v>378</v>
      </c>
      <c r="U210" t="s">
        <v>239</v>
      </c>
      <c r="V210" t="s">
        <v>7</v>
      </c>
      <c r="W210" t="s">
        <v>7</v>
      </c>
      <c r="X210" t="s">
        <v>7</v>
      </c>
      <c r="AA210" t="s">
        <v>96</v>
      </c>
      <c r="AB210" t="s">
        <v>363</v>
      </c>
      <c r="AC210">
        <v>101</v>
      </c>
      <c r="AD210" t="s">
        <v>225</v>
      </c>
      <c r="AE210">
        <v>4</v>
      </c>
    </row>
    <row r="211" spans="1:31" x14ac:dyDescent="0.3">
      <c r="A211" t="s">
        <v>351</v>
      </c>
      <c r="B211" t="s">
        <v>63</v>
      </c>
      <c r="C211" t="s">
        <v>95</v>
      </c>
      <c r="D211" t="s">
        <v>310</v>
      </c>
      <c r="E211" t="s">
        <v>443</v>
      </c>
      <c r="F211" s="15">
        <v>46217.60359953704</v>
      </c>
      <c r="G211" t="s">
        <v>439</v>
      </c>
      <c r="H211">
        <v>1</v>
      </c>
      <c r="I211" t="s">
        <v>1069</v>
      </c>
      <c r="J211" s="15">
        <v>46220.352083333331</v>
      </c>
      <c r="K211" s="15">
        <v>46227.702777777777</v>
      </c>
      <c r="L211" s="15"/>
      <c r="M211">
        <v>1</v>
      </c>
      <c r="O211" t="s">
        <v>529</v>
      </c>
      <c r="S211" t="s">
        <v>363</v>
      </c>
      <c r="T211" t="s">
        <v>378</v>
      </c>
      <c r="U211" t="s">
        <v>239</v>
      </c>
      <c r="V211" t="s">
        <v>7</v>
      </c>
      <c r="W211" t="s">
        <v>7</v>
      </c>
      <c r="X211" t="s">
        <v>7</v>
      </c>
      <c r="AA211" t="s">
        <v>96</v>
      </c>
      <c r="AB211" t="s">
        <v>363</v>
      </c>
      <c r="AC211">
        <v>101</v>
      </c>
      <c r="AD211" t="s">
        <v>225</v>
      </c>
      <c r="AE211">
        <v>1</v>
      </c>
    </row>
    <row r="212" spans="1:31" x14ac:dyDescent="0.3">
      <c r="A212" t="s">
        <v>351</v>
      </c>
      <c r="B212" t="s">
        <v>63</v>
      </c>
      <c r="C212" t="s">
        <v>95</v>
      </c>
      <c r="D212" t="s">
        <v>310</v>
      </c>
      <c r="E212" t="s">
        <v>1059</v>
      </c>
      <c r="F212" s="15">
        <v>46233.719895833332</v>
      </c>
      <c r="G212" t="s">
        <v>439</v>
      </c>
      <c r="H212">
        <v>6</v>
      </c>
      <c r="I212" t="s">
        <v>1060</v>
      </c>
      <c r="J212" s="15">
        <v>46234.410682870373</v>
      </c>
      <c r="K212" s="15">
        <v>46238.434027777781</v>
      </c>
      <c r="L212" s="15"/>
      <c r="M212">
        <v>6</v>
      </c>
      <c r="O212" t="s">
        <v>201</v>
      </c>
      <c r="P212" t="s">
        <v>532</v>
      </c>
      <c r="S212" t="s">
        <v>361</v>
      </c>
      <c r="T212" t="s">
        <v>378</v>
      </c>
      <c r="U212" t="s">
        <v>239</v>
      </c>
      <c r="V212" t="s">
        <v>7</v>
      </c>
      <c r="W212" t="s">
        <v>7</v>
      </c>
      <c r="X212" t="s">
        <v>7</v>
      </c>
      <c r="AA212" t="s">
        <v>96</v>
      </c>
      <c r="AB212" t="s">
        <v>361</v>
      </c>
      <c r="AC212">
        <v>2200</v>
      </c>
      <c r="AD212" t="s">
        <v>225</v>
      </c>
      <c r="AE212">
        <v>6</v>
      </c>
    </row>
    <row r="213" spans="1:31" x14ac:dyDescent="0.3">
      <c r="A213" t="s">
        <v>351</v>
      </c>
      <c r="B213" t="s">
        <v>63</v>
      </c>
      <c r="C213" t="s">
        <v>95</v>
      </c>
      <c r="D213" t="s">
        <v>310</v>
      </c>
      <c r="E213" t="s">
        <v>1059</v>
      </c>
      <c r="F213" s="15">
        <v>46233.719895833332</v>
      </c>
      <c r="G213" t="s">
        <v>439</v>
      </c>
      <c r="H213">
        <v>2</v>
      </c>
      <c r="I213" t="s">
        <v>1101</v>
      </c>
      <c r="J213" s="15">
        <v>46234.408483796295</v>
      </c>
      <c r="K213" s="15">
        <v>46238.436805555553</v>
      </c>
      <c r="L213" s="15"/>
      <c r="M213">
        <v>2</v>
      </c>
      <c r="O213" t="s">
        <v>201</v>
      </c>
      <c r="P213" t="s">
        <v>532</v>
      </c>
      <c r="S213" t="s">
        <v>361</v>
      </c>
      <c r="T213" t="s">
        <v>378</v>
      </c>
      <c r="U213" t="s">
        <v>239</v>
      </c>
      <c r="V213" t="s">
        <v>7</v>
      </c>
      <c r="W213" t="s">
        <v>7</v>
      </c>
      <c r="X213" t="s">
        <v>7</v>
      </c>
      <c r="AA213" t="s">
        <v>96</v>
      </c>
      <c r="AB213" t="s">
        <v>361</v>
      </c>
      <c r="AC213">
        <v>2200</v>
      </c>
      <c r="AD213" t="s">
        <v>225</v>
      </c>
      <c r="AE213">
        <v>2</v>
      </c>
    </row>
    <row r="214" spans="1:31" x14ac:dyDescent="0.3">
      <c r="A214" t="s">
        <v>351</v>
      </c>
      <c r="B214" t="s">
        <v>63</v>
      </c>
      <c r="C214" t="s">
        <v>95</v>
      </c>
      <c r="D214" t="s">
        <v>310</v>
      </c>
      <c r="E214" t="s">
        <v>1059</v>
      </c>
      <c r="F214" s="15">
        <v>46233.719895833332</v>
      </c>
      <c r="G214" t="s">
        <v>439</v>
      </c>
      <c r="H214">
        <v>6</v>
      </c>
      <c r="I214" t="s">
        <v>1060</v>
      </c>
      <c r="J214" s="15">
        <v>46234.410682870373</v>
      </c>
      <c r="K214" s="15">
        <v>46238.434027777781</v>
      </c>
      <c r="L214" s="15"/>
      <c r="M214">
        <v>6</v>
      </c>
      <c r="O214" t="s">
        <v>529</v>
      </c>
      <c r="S214" t="s">
        <v>361</v>
      </c>
      <c r="T214" t="s">
        <v>378</v>
      </c>
      <c r="U214" t="s">
        <v>239</v>
      </c>
      <c r="V214" t="s">
        <v>7</v>
      </c>
      <c r="W214" t="s">
        <v>7</v>
      </c>
      <c r="X214" t="s">
        <v>7</v>
      </c>
      <c r="AA214" t="s">
        <v>96</v>
      </c>
      <c r="AB214" t="s">
        <v>361</v>
      </c>
      <c r="AC214">
        <v>2200</v>
      </c>
      <c r="AD214" t="s">
        <v>225</v>
      </c>
      <c r="AE214">
        <v>6</v>
      </c>
    </row>
    <row r="215" spans="1:31" x14ac:dyDescent="0.3">
      <c r="A215" t="s">
        <v>351</v>
      </c>
      <c r="B215" t="s">
        <v>281</v>
      </c>
      <c r="C215" t="s">
        <v>85</v>
      </c>
      <c r="D215" t="s">
        <v>310</v>
      </c>
      <c r="E215" t="s">
        <v>443</v>
      </c>
      <c r="F215" s="15">
        <v>46217.60359953704</v>
      </c>
      <c r="G215" t="s">
        <v>439</v>
      </c>
      <c r="H215">
        <v>1</v>
      </c>
      <c r="I215" t="s">
        <v>1069</v>
      </c>
      <c r="J215" s="15">
        <v>46220.352083333331</v>
      </c>
      <c r="K215" s="15">
        <v>46227.702777777777</v>
      </c>
      <c r="L215" s="15"/>
      <c r="M215">
        <v>1</v>
      </c>
      <c r="O215" t="s">
        <v>201</v>
      </c>
      <c r="P215" t="s">
        <v>531</v>
      </c>
      <c r="S215" t="s">
        <v>363</v>
      </c>
      <c r="T215" t="s">
        <v>378</v>
      </c>
      <c r="U215" t="s">
        <v>239</v>
      </c>
      <c r="V215" t="s">
        <v>7</v>
      </c>
      <c r="W215" t="s">
        <v>7</v>
      </c>
      <c r="X215" t="s">
        <v>7</v>
      </c>
      <c r="Z215">
        <v>1</v>
      </c>
      <c r="AA215" t="s">
        <v>122</v>
      </c>
      <c r="AB215" t="s">
        <v>363</v>
      </c>
      <c r="AC215">
        <v>101</v>
      </c>
      <c r="AD215" t="s">
        <v>231</v>
      </c>
      <c r="AE215">
        <v>1</v>
      </c>
    </row>
    <row r="216" spans="1:31" x14ac:dyDescent="0.3">
      <c r="A216" t="s">
        <v>351</v>
      </c>
      <c r="B216" t="s">
        <v>281</v>
      </c>
      <c r="C216" t="s">
        <v>85</v>
      </c>
      <c r="D216" t="s">
        <v>310</v>
      </c>
      <c r="E216" t="s">
        <v>443</v>
      </c>
      <c r="F216" s="15">
        <v>46217.60359953704</v>
      </c>
      <c r="G216" t="s">
        <v>439</v>
      </c>
      <c r="H216">
        <v>14</v>
      </c>
      <c r="I216" t="s">
        <v>1069</v>
      </c>
      <c r="J216" s="15">
        <v>46220.352083333331</v>
      </c>
      <c r="K216" s="15">
        <v>46227.702777777777</v>
      </c>
      <c r="L216" s="15"/>
      <c r="M216">
        <v>14</v>
      </c>
      <c r="O216" t="s">
        <v>529</v>
      </c>
      <c r="S216" t="s">
        <v>363</v>
      </c>
      <c r="T216" t="s">
        <v>378</v>
      </c>
      <c r="U216" t="s">
        <v>239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363</v>
      </c>
      <c r="AC216">
        <v>101</v>
      </c>
      <c r="AD216" t="s">
        <v>231</v>
      </c>
      <c r="AE216">
        <v>14</v>
      </c>
    </row>
    <row r="217" spans="1:31" x14ac:dyDescent="0.3">
      <c r="A217" t="s">
        <v>351</v>
      </c>
      <c r="B217" t="s">
        <v>279</v>
      </c>
      <c r="C217" t="s">
        <v>197</v>
      </c>
      <c r="D217" t="s">
        <v>310</v>
      </c>
      <c r="E217" t="s">
        <v>1059</v>
      </c>
      <c r="F217" s="15">
        <v>46233.719895833332</v>
      </c>
      <c r="G217" t="s">
        <v>439</v>
      </c>
      <c r="H217">
        <v>31</v>
      </c>
      <c r="I217" t="s">
        <v>1060</v>
      </c>
      <c r="J217" s="15">
        <v>46234.410682870373</v>
      </c>
      <c r="K217" s="15">
        <v>46238.434027777781</v>
      </c>
      <c r="L217" s="15"/>
      <c r="M217">
        <v>31</v>
      </c>
      <c r="O217" t="s">
        <v>201</v>
      </c>
      <c r="P217" t="s">
        <v>532</v>
      </c>
      <c r="S217" t="s">
        <v>361</v>
      </c>
      <c r="T217" t="s">
        <v>378</v>
      </c>
      <c r="U217" t="s">
        <v>239</v>
      </c>
      <c r="V217" t="s">
        <v>7</v>
      </c>
      <c r="W217" t="s">
        <v>7</v>
      </c>
      <c r="X217" t="s">
        <v>7</v>
      </c>
      <c r="Z217">
        <v>16</v>
      </c>
      <c r="AA217" t="s">
        <v>122</v>
      </c>
      <c r="AB217" t="s">
        <v>361</v>
      </c>
      <c r="AC217">
        <v>2200</v>
      </c>
      <c r="AD217" t="s">
        <v>232</v>
      </c>
      <c r="AE217">
        <v>496</v>
      </c>
    </row>
    <row r="218" spans="1:31" x14ac:dyDescent="0.3">
      <c r="A218" t="s">
        <v>351</v>
      </c>
      <c r="B218" t="s">
        <v>279</v>
      </c>
      <c r="C218" t="s">
        <v>197</v>
      </c>
      <c r="D218" t="s">
        <v>310</v>
      </c>
      <c r="E218" t="s">
        <v>1059</v>
      </c>
      <c r="F218" s="15">
        <v>46233.719895833332</v>
      </c>
      <c r="G218" t="s">
        <v>439</v>
      </c>
      <c r="H218">
        <v>11</v>
      </c>
      <c r="I218" t="s">
        <v>1060</v>
      </c>
      <c r="J218" s="15">
        <v>46234.410682870373</v>
      </c>
      <c r="K218" s="15">
        <v>46238.434027777781</v>
      </c>
      <c r="L218" s="15"/>
      <c r="M218">
        <v>11</v>
      </c>
      <c r="O218" t="s">
        <v>529</v>
      </c>
      <c r="S218" t="s">
        <v>361</v>
      </c>
      <c r="T218" t="s">
        <v>378</v>
      </c>
      <c r="U218" t="s">
        <v>239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361</v>
      </c>
      <c r="AC218">
        <v>2200</v>
      </c>
      <c r="AD218" t="s">
        <v>232</v>
      </c>
      <c r="AE218">
        <v>176</v>
      </c>
    </row>
    <row r="219" spans="1:31" x14ac:dyDescent="0.3">
      <c r="A219" t="s">
        <v>351</v>
      </c>
      <c r="B219" t="s">
        <v>279</v>
      </c>
      <c r="C219" t="s">
        <v>197</v>
      </c>
      <c r="D219" t="s">
        <v>310</v>
      </c>
      <c r="E219" t="s">
        <v>438</v>
      </c>
      <c r="F219" s="15">
        <v>46212.717303240737</v>
      </c>
      <c r="G219" t="s">
        <v>412</v>
      </c>
      <c r="H219">
        <v>24</v>
      </c>
      <c r="I219" t="s">
        <v>1039</v>
      </c>
      <c r="J219" s="15">
        <v>46231.477627314816</v>
      </c>
      <c r="K219" s="15">
        <v>46238.444444444445</v>
      </c>
      <c r="L219" s="15"/>
      <c r="M219">
        <v>24</v>
      </c>
      <c r="O219" t="s">
        <v>201</v>
      </c>
      <c r="P219" t="s">
        <v>531</v>
      </c>
      <c r="S219" t="s">
        <v>361</v>
      </c>
      <c r="T219" t="s">
        <v>378</v>
      </c>
      <c r="U219" t="s">
        <v>239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361</v>
      </c>
      <c r="AC219">
        <v>2200</v>
      </c>
      <c r="AD219" t="s">
        <v>232</v>
      </c>
      <c r="AE219">
        <v>384</v>
      </c>
    </row>
    <row r="220" spans="1:31" x14ac:dyDescent="0.3">
      <c r="A220" t="s">
        <v>351</v>
      </c>
      <c r="B220" t="s">
        <v>279</v>
      </c>
      <c r="C220" t="s">
        <v>197</v>
      </c>
      <c r="D220" t="s">
        <v>310</v>
      </c>
      <c r="E220" t="s">
        <v>438</v>
      </c>
      <c r="F220" s="15">
        <v>46212.717303240737</v>
      </c>
      <c r="G220" t="s">
        <v>412</v>
      </c>
      <c r="H220">
        <v>14</v>
      </c>
      <c r="I220" t="s">
        <v>1039</v>
      </c>
      <c r="J220" s="15">
        <v>46231.477627314816</v>
      </c>
      <c r="K220" s="15">
        <v>46238.444444444445</v>
      </c>
      <c r="L220" s="15"/>
      <c r="M220">
        <v>14</v>
      </c>
      <c r="O220" t="s">
        <v>529</v>
      </c>
      <c r="S220" t="s">
        <v>361</v>
      </c>
      <c r="T220" t="s">
        <v>378</v>
      </c>
      <c r="U220" t="s">
        <v>239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361</v>
      </c>
      <c r="AC220">
        <v>2200</v>
      </c>
      <c r="AD220" t="s">
        <v>232</v>
      </c>
      <c r="AE220">
        <v>224</v>
      </c>
    </row>
    <row r="221" spans="1:31" x14ac:dyDescent="0.3">
      <c r="A221" t="s">
        <v>351</v>
      </c>
      <c r="B221" t="s">
        <v>279</v>
      </c>
      <c r="C221" t="s">
        <v>197</v>
      </c>
      <c r="D221" t="s">
        <v>310</v>
      </c>
      <c r="E221" t="s">
        <v>437</v>
      </c>
      <c r="F221" s="15">
        <v>46202.512337962966</v>
      </c>
      <c r="G221" t="s">
        <v>436</v>
      </c>
      <c r="H221">
        <v>30</v>
      </c>
      <c r="I221" t="s">
        <v>1042</v>
      </c>
      <c r="J221" s="15">
        <v>46239.591469907406</v>
      </c>
      <c r="K221" s="15">
        <v>46241.497916666667</v>
      </c>
      <c r="L221" s="15"/>
      <c r="M221">
        <v>30</v>
      </c>
      <c r="O221" t="s">
        <v>201</v>
      </c>
      <c r="P221" t="s">
        <v>532</v>
      </c>
      <c r="S221" t="s">
        <v>362</v>
      </c>
      <c r="T221" t="s">
        <v>378</v>
      </c>
      <c r="U221" t="s">
        <v>239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362</v>
      </c>
      <c r="AC221">
        <v>109</v>
      </c>
      <c r="AD221" t="s">
        <v>232</v>
      </c>
      <c r="AE221">
        <v>480</v>
      </c>
    </row>
    <row r="222" spans="1:31" x14ac:dyDescent="0.3">
      <c r="A222" t="s">
        <v>351</v>
      </c>
      <c r="B222" t="s">
        <v>60</v>
      </c>
      <c r="C222" t="s">
        <v>92</v>
      </c>
      <c r="D222" t="s">
        <v>310</v>
      </c>
      <c r="E222" t="s">
        <v>437</v>
      </c>
      <c r="F222" s="15">
        <v>46202.512337962966</v>
      </c>
      <c r="G222" t="s">
        <v>436</v>
      </c>
      <c r="H222">
        <v>1</v>
      </c>
      <c r="I222" t="s">
        <v>1040</v>
      </c>
      <c r="J222" s="15">
        <v>46203.361828703702</v>
      </c>
      <c r="K222" s="15">
        <v>46212.739201388889</v>
      </c>
      <c r="L222" s="15"/>
      <c r="M222">
        <v>736</v>
      </c>
      <c r="O222" t="s">
        <v>201</v>
      </c>
      <c r="P222" t="s">
        <v>532</v>
      </c>
      <c r="S222" t="s">
        <v>362</v>
      </c>
      <c r="T222" t="s">
        <v>378</v>
      </c>
      <c r="U222" t="s">
        <v>239</v>
      </c>
      <c r="V222" t="s">
        <v>7</v>
      </c>
      <c r="W222" t="s">
        <v>7</v>
      </c>
      <c r="X222" t="s">
        <v>7</v>
      </c>
      <c r="AA222" t="s">
        <v>92</v>
      </c>
      <c r="AB222" t="s">
        <v>362</v>
      </c>
      <c r="AC222">
        <v>109</v>
      </c>
      <c r="AD222" t="s">
        <v>236</v>
      </c>
      <c r="AE222">
        <v>736</v>
      </c>
    </row>
    <row r="223" spans="1:31" x14ac:dyDescent="0.3">
      <c r="A223" t="s">
        <v>351</v>
      </c>
      <c r="B223" t="s">
        <v>60</v>
      </c>
      <c r="C223" t="s">
        <v>92</v>
      </c>
      <c r="D223" t="s">
        <v>310</v>
      </c>
      <c r="E223" t="s">
        <v>437</v>
      </c>
      <c r="F223" s="15">
        <v>46202.512337962966</v>
      </c>
      <c r="G223" t="s">
        <v>436</v>
      </c>
      <c r="H223">
        <v>1</v>
      </c>
      <c r="I223" t="s">
        <v>1040</v>
      </c>
      <c r="J223" s="15">
        <v>46203.361828703702</v>
      </c>
      <c r="K223" s="15">
        <v>46212.739201388889</v>
      </c>
      <c r="L223" s="15"/>
      <c r="M223">
        <v>60</v>
      </c>
      <c r="O223" t="s">
        <v>529</v>
      </c>
      <c r="S223" t="s">
        <v>362</v>
      </c>
      <c r="T223" t="s">
        <v>378</v>
      </c>
      <c r="U223" t="s">
        <v>239</v>
      </c>
      <c r="V223" t="s">
        <v>7</v>
      </c>
      <c r="W223" t="s">
        <v>7</v>
      </c>
      <c r="X223" t="s">
        <v>7</v>
      </c>
      <c r="AA223" t="s">
        <v>92</v>
      </c>
      <c r="AB223" t="s">
        <v>362</v>
      </c>
      <c r="AC223">
        <v>109</v>
      </c>
      <c r="AD223" t="s">
        <v>236</v>
      </c>
      <c r="AE223">
        <v>60</v>
      </c>
    </row>
    <row r="224" spans="1:31" x14ac:dyDescent="0.3">
      <c r="A224" t="s">
        <v>351</v>
      </c>
      <c r="B224" t="s">
        <v>42</v>
      </c>
      <c r="C224" t="s">
        <v>68</v>
      </c>
      <c r="D224" t="s">
        <v>310</v>
      </c>
      <c r="E224" t="s">
        <v>1089</v>
      </c>
      <c r="F224" s="15">
        <v>46227.417442129627</v>
      </c>
      <c r="G224" t="s">
        <v>412</v>
      </c>
      <c r="H224">
        <v>1</v>
      </c>
      <c r="I224" t="s">
        <v>1090</v>
      </c>
      <c r="J224" s="15">
        <v>46230.382638888892</v>
      </c>
      <c r="K224" s="15">
        <v>46231.361111111109</v>
      </c>
      <c r="L224" s="15"/>
      <c r="M224">
        <v>1</v>
      </c>
      <c r="O224" t="s">
        <v>530</v>
      </c>
      <c r="S224" t="s">
        <v>360</v>
      </c>
      <c r="T224" t="s">
        <v>378</v>
      </c>
      <c r="U224" t="s">
        <v>239</v>
      </c>
      <c r="V224" t="s">
        <v>7</v>
      </c>
      <c r="W224" t="s">
        <v>7</v>
      </c>
      <c r="X224" t="s">
        <v>7</v>
      </c>
      <c r="AA224" t="s">
        <v>67</v>
      </c>
      <c r="AB224" t="s">
        <v>360</v>
      </c>
      <c r="AC224">
        <v>50</v>
      </c>
      <c r="AD224" t="s">
        <v>7</v>
      </c>
    </row>
    <row r="225" spans="1:32" x14ac:dyDescent="0.3">
      <c r="A225" t="s">
        <v>351</v>
      </c>
      <c r="B225" t="s">
        <v>281</v>
      </c>
      <c r="C225" t="s">
        <v>85</v>
      </c>
      <c r="D225" t="s">
        <v>310</v>
      </c>
      <c r="E225" t="s">
        <v>1095</v>
      </c>
      <c r="F225" s="15">
        <v>46238.326192129629</v>
      </c>
      <c r="G225" t="s">
        <v>411</v>
      </c>
      <c r="H225">
        <v>5</v>
      </c>
      <c r="I225" t="s">
        <v>1096</v>
      </c>
      <c r="J225" s="15">
        <v>46238.341504629629</v>
      </c>
      <c r="K225" s="15">
        <v>46239.65625</v>
      </c>
      <c r="L225" s="15"/>
      <c r="M225">
        <v>5</v>
      </c>
      <c r="O225" t="s">
        <v>201</v>
      </c>
      <c r="P225" t="s">
        <v>532</v>
      </c>
      <c r="S225" t="s">
        <v>363</v>
      </c>
      <c r="T225" t="s">
        <v>378</v>
      </c>
      <c r="U225" t="s">
        <v>239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363</v>
      </c>
      <c r="AC225">
        <v>101</v>
      </c>
      <c r="AD225" t="s">
        <v>231</v>
      </c>
      <c r="AE225">
        <v>5</v>
      </c>
      <c r="AF225">
        <v>23.630000000000003</v>
      </c>
    </row>
    <row r="226" spans="1:32" x14ac:dyDescent="0.3">
      <c r="A226" t="s">
        <v>351</v>
      </c>
      <c r="B226" t="s">
        <v>281</v>
      </c>
      <c r="C226" t="s">
        <v>85</v>
      </c>
      <c r="D226" t="s">
        <v>310</v>
      </c>
      <c r="E226" t="s">
        <v>1095</v>
      </c>
      <c r="F226" s="15">
        <v>46238.326192129629</v>
      </c>
      <c r="G226" t="s">
        <v>411</v>
      </c>
      <c r="H226">
        <v>5</v>
      </c>
      <c r="I226" t="s">
        <v>1096</v>
      </c>
      <c r="J226" s="15">
        <v>46238.341504629629</v>
      </c>
      <c r="K226" s="15">
        <v>46239.65625</v>
      </c>
      <c r="L226" s="15"/>
      <c r="M226">
        <v>5</v>
      </c>
      <c r="O226" t="s">
        <v>529</v>
      </c>
      <c r="S226" t="s">
        <v>363</v>
      </c>
      <c r="T226" t="s">
        <v>378</v>
      </c>
      <c r="U226" t="s">
        <v>239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363</v>
      </c>
      <c r="AC226">
        <v>101</v>
      </c>
      <c r="AD226" t="s">
        <v>231</v>
      </c>
      <c r="AE226">
        <v>5</v>
      </c>
    </row>
    <row r="227" spans="1:32" x14ac:dyDescent="0.3">
      <c r="A227" t="s">
        <v>351</v>
      </c>
      <c r="B227" t="s">
        <v>63</v>
      </c>
      <c r="C227" t="s">
        <v>95</v>
      </c>
      <c r="D227" t="s">
        <v>310</v>
      </c>
      <c r="E227" t="s">
        <v>1095</v>
      </c>
      <c r="F227" s="15">
        <v>46238.326192129629</v>
      </c>
      <c r="G227" t="s">
        <v>411</v>
      </c>
      <c r="H227">
        <v>1</v>
      </c>
      <c r="I227" t="s">
        <v>1096</v>
      </c>
      <c r="J227" s="15">
        <v>46238.341504629629</v>
      </c>
      <c r="K227" s="15">
        <v>46239.65625</v>
      </c>
      <c r="L227" s="15"/>
      <c r="M227">
        <v>1</v>
      </c>
      <c r="O227" t="s">
        <v>201</v>
      </c>
      <c r="P227" t="s">
        <v>532</v>
      </c>
      <c r="S227" t="s">
        <v>363</v>
      </c>
      <c r="T227" t="s">
        <v>378</v>
      </c>
      <c r="U227" t="s">
        <v>239</v>
      </c>
      <c r="V227" t="s">
        <v>7</v>
      </c>
      <c r="W227" t="s">
        <v>7</v>
      </c>
      <c r="X227" t="s">
        <v>7</v>
      </c>
      <c r="AA227" t="s">
        <v>96</v>
      </c>
      <c r="AB227" t="s">
        <v>363</v>
      </c>
      <c r="AC227">
        <v>101</v>
      </c>
      <c r="AD227" t="s">
        <v>225</v>
      </c>
      <c r="AE227">
        <v>1</v>
      </c>
    </row>
    <row r="228" spans="1:32" x14ac:dyDescent="0.3">
      <c r="A228" t="s">
        <v>351</v>
      </c>
      <c r="B228" t="s">
        <v>63</v>
      </c>
      <c r="C228" t="s">
        <v>95</v>
      </c>
      <c r="D228" t="s">
        <v>310</v>
      </c>
      <c r="E228" t="s">
        <v>1095</v>
      </c>
      <c r="F228" s="15">
        <v>46238.326192129629</v>
      </c>
      <c r="G228" t="s">
        <v>411</v>
      </c>
      <c r="H228">
        <v>1</v>
      </c>
      <c r="I228" t="s">
        <v>1096</v>
      </c>
      <c r="J228" s="15">
        <v>46238.341504629629</v>
      </c>
      <c r="K228" s="15">
        <v>46239.65625</v>
      </c>
      <c r="L228" s="15"/>
      <c r="M228">
        <v>1</v>
      </c>
      <c r="O228" t="s">
        <v>529</v>
      </c>
      <c r="S228" t="s">
        <v>363</v>
      </c>
      <c r="T228" t="s">
        <v>378</v>
      </c>
      <c r="U228" t="s">
        <v>239</v>
      </c>
      <c r="V228" t="s">
        <v>7</v>
      </c>
      <c r="W228" t="s">
        <v>7</v>
      </c>
      <c r="X228" t="s">
        <v>7</v>
      </c>
      <c r="AA228" t="s">
        <v>96</v>
      </c>
      <c r="AB228" t="s">
        <v>363</v>
      </c>
      <c r="AC228">
        <v>101</v>
      </c>
      <c r="AD228" t="s">
        <v>225</v>
      </c>
      <c r="AE228">
        <v>1</v>
      </c>
    </row>
    <row r="229" spans="1:32" x14ac:dyDescent="0.3">
      <c r="A229" t="s">
        <v>351</v>
      </c>
      <c r="B229" t="s">
        <v>57</v>
      </c>
      <c r="C229" t="s">
        <v>117</v>
      </c>
      <c r="D229" t="s">
        <v>310</v>
      </c>
      <c r="E229" t="s">
        <v>1095</v>
      </c>
      <c r="F229" s="15">
        <v>46238.326192129629</v>
      </c>
      <c r="G229" t="s">
        <v>411</v>
      </c>
      <c r="H229">
        <v>1</v>
      </c>
      <c r="I229" t="s">
        <v>1096</v>
      </c>
      <c r="J229" s="15">
        <v>46238.341504629629</v>
      </c>
      <c r="K229" s="15">
        <v>46239.65625</v>
      </c>
      <c r="L229" s="15"/>
      <c r="M229">
        <v>1</v>
      </c>
      <c r="O229" t="s">
        <v>201</v>
      </c>
      <c r="P229" t="s">
        <v>532</v>
      </c>
      <c r="S229" t="s">
        <v>363</v>
      </c>
      <c r="T229" t="s">
        <v>378</v>
      </c>
      <c r="U229" t="s">
        <v>239</v>
      </c>
      <c r="V229" t="s">
        <v>7</v>
      </c>
      <c r="W229" t="s">
        <v>7</v>
      </c>
      <c r="X229" t="s">
        <v>7</v>
      </c>
      <c r="AA229" t="s">
        <v>127</v>
      </c>
      <c r="AB229" t="s">
        <v>363</v>
      </c>
      <c r="AC229">
        <v>101</v>
      </c>
      <c r="AD229" t="s">
        <v>233</v>
      </c>
      <c r="AE229">
        <v>1</v>
      </c>
    </row>
    <row r="230" spans="1:32" x14ac:dyDescent="0.3">
      <c r="A230" t="s">
        <v>351</v>
      </c>
      <c r="B230" t="s">
        <v>57</v>
      </c>
      <c r="C230" t="s">
        <v>117</v>
      </c>
      <c r="D230" t="s">
        <v>310</v>
      </c>
      <c r="E230" t="s">
        <v>1095</v>
      </c>
      <c r="F230" s="15">
        <v>46238.326192129629</v>
      </c>
      <c r="G230" t="s">
        <v>411</v>
      </c>
      <c r="H230">
        <v>1</v>
      </c>
      <c r="I230" t="s">
        <v>1096</v>
      </c>
      <c r="J230" s="15">
        <v>46238.341504629629</v>
      </c>
      <c r="K230" s="15">
        <v>46239.65625</v>
      </c>
      <c r="L230" s="15"/>
      <c r="M230">
        <v>1</v>
      </c>
      <c r="O230" t="s">
        <v>529</v>
      </c>
      <c r="S230" t="s">
        <v>363</v>
      </c>
      <c r="T230" t="s">
        <v>378</v>
      </c>
      <c r="U230" t="s">
        <v>239</v>
      </c>
      <c r="V230" t="s">
        <v>7</v>
      </c>
      <c r="W230" t="s">
        <v>7</v>
      </c>
      <c r="X230" t="s">
        <v>7</v>
      </c>
      <c r="AA230" t="s">
        <v>127</v>
      </c>
      <c r="AB230" t="s">
        <v>363</v>
      </c>
      <c r="AC230">
        <v>101</v>
      </c>
      <c r="AD230" t="s">
        <v>233</v>
      </c>
      <c r="AE230">
        <v>1</v>
      </c>
    </row>
    <row r="231" spans="1:32" x14ac:dyDescent="0.3">
      <c r="A231" t="s">
        <v>351</v>
      </c>
      <c r="B231" t="s">
        <v>63</v>
      </c>
      <c r="C231" t="s">
        <v>95</v>
      </c>
      <c r="D231" t="s">
        <v>310</v>
      </c>
      <c r="E231" t="s">
        <v>1059</v>
      </c>
      <c r="F231" s="15">
        <v>46233.719895833332</v>
      </c>
      <c r="G231" t="s">
        <v>439</v>
      </c>
      <c r="H231">
        <v>108</v>
      </c>
      <c r="I231" t="s">
        <v>1099</v>
      </c>
      <c r="J231" s="15">
        <v>46244.494745370372</v>
      </c>
      <c r="K231" s="15">
        <v>46247.731863425928</v>
      </c>
      <c r="L231" s="15"/>
      <c r="M231">
        <v>108</v>
      </c>
      <c r="O231" t="s">
        <v>201</v>
      </c>
      <c r="P231" t="s">
        <v>532</v>
      </c>
      <c r="S231" t="s">
        <v>361</v>
      </c>
      <c r="T231" t="s">
        <v>378</v>
      </c>
      <c r="U231" t="s">
        <v>239</v>
      </c>
      <c r="V231" t="s">
        <v>7</v>
      </c>
      <c r="W231" t="s">
        <v>7</v>
      </c>
      <c r="X231" t="s">
        <v>7</v>
      </c>
      <c r="AA231" t="s">
        <v>96</v>
      </c>
      <c r="AB231" t="s">
        <v>361</v>
      </c>
      <c r="AC231">
        <v>2200</v>
      </c>
      <c r="AD231" t="s">
        <v>225</v>
      </c>
      <c r="AE231">
        <v>108</v>
      </c>
      <c r="AF231">
        <v>184.68</v>
      </c>
    </row>
    <row r="232" spans="1:32" x14ac:dyDescent="0.3">
      <c r="A232" t="s">
        <v>351</v>
      </c>
      <c r="B232" t="s">
        <v>57</v>
      </c>
      <c r="C232" t="s">
        <v>117</v>
      </c>
      <c r="D232" t="s">
        <v>310</v>
      </c>
      <c r="E232" t="s">
        <v>1059</v>
      </c>
      <c r="F232" s="15">
        <v>46233.719895833332</v>
      </c>
      <c r="G232" t="s">
        <v>439</v>
      </c>
      <c r="H232">
        <v>108</v>
      </c>
      <c r="I232" t="s">
        <v>1099</v>
      </c>
      <c r="J232" s="15">
        <v>46244.494745370372</v>
      </c>
      <c r="K232" s="15">
        <v>46247.731863425928</v>
      </c>
      <c r="L232" s="15"/>
      <c r="M232">
        <v>108</v>
      </c>
      <c r="O232" t="s">
        <v>201</v>
      </c>
      <c r="P232" t="s">
        <v>532</v>
      </c>
      <c r="S232" t="s">
        <v>361</v>
      </c>
      <c r="T232" t="s">
        <v>378</v>
      </c>
      <c r="U232" t="s">
        <v>239</v>
      </c>
      <c r="V232" t="s">
        <v>7</v>
      </c>
      <c r="W232" t="s">
        <v>7</v>
      </c>
      <c r="X232" t="s">
        <v>7</v>
      </c>
      <c r="AA232" t="s">
        <v>127</v>
      </c>
      <c r="AB232" t="s">
        <v>361</v>
      </c>
      <c r="AC232">
        <v>2200</v>
      </c>
      <c r="AD232" t="s">
        <v>233</v>
      </c>
      <c r="AE232">
        <v>10.8</v>
      </c>
    </row>
    <row r="233" spans="1:32" x14ac:dyDescent="0.3">
      <c r="A233" t="s">
        <v>351</v>
      </c>
      <c r="B233" t="s">
        <v>63</v>
      </c>
      <c r="C233" t="s">
        <v>95</v>
      </c>
      <c r="D233" t="s">
        <v>310</v>
      </c>
      <c r="E233" t="s">
        <v>1059</v>
      </c>
      <c r="F233" s="15">
        <v>46233.719895833332</v>
      </c>
      <c r="G233" t="s">
        <v>439</v>
      </c>
      <c r="H233">
        <v>12</v>
      </c>
      <c r="I233" t="s">
        <v>1100</v>
      </c>
      <c r="J233" s="15">
        <v>46237.708252314813</v>
      </c>
      <c r="K233" s="15">
        <v>46240.458333333336</v>
      </c>
      <c r="L233" s="15"/>
      <c r="M233">
        <v>12</v>
      </c>
      <c r="O233" t="s">
        <v>201</v>
      </c>
      <c r="P233" t="s">
        <v>532</v>
      </c>
      <c r="S233" t="s">
        <v>361</v>
      </c>
      <c r="T233" t="s">
        <v>378</v>
      </c>
      <c r="U233" t="s">
        <v>239</v>
      </c>
      <c r="V233" t="s">
        <v>7</v>
      </c>
      <c r="W233" t="s">
        <v>7</v>
      </c>
      <c r="X233" t="s">
        <v>7</v>
      </c>
      <c r="AA233" t="s">
        <v>96</v>
      </c>
      <c r="AB233" t="s">
        <v>361</v>
      </c>
      <c r="AC233">
        <v>2200</v>
      </c>
      <c r="AD233" t="s">
        <v>225</v>
      </c>
      <c r="AE233">
        <v>12</v>
      </c>
      <c r="AF233">
        <v>20.52</v>
      </c>
    </row>
    <row r="234" spans="1:32" x14ac:dyDescent="0.3">
      <c r="A234" t="s">
        <v>351</v>
      </c>
      <c r="B234" t="s">
        <v>57</v>
      </c>
      <c r="C234" t="s">
        <v>117</v>
      </c>
      <c r="D234" t="s">
        <v>310</v>
      </c>
      <c r="E234" t="s">
        <v>1059</v>
      </c>
      <c r="F234" s="15">
        <v>46233.719895833332</v>
      </c>
      <c r="G234" t="s">
        <v>439</v>
      </c>
      <c r="H234">
        <v>12</v>
      </c>
      <c r="I234" t="s">
        <v>1100</v>
      </c>
      <c r="J234" s="15">
        <v>46237.708252314813</v>
      </c>
      <c r="K234" s="15">
        <v>46240.458333333336</v>
      </c>
      <c r="L234" s="15"/>
      <c r="M234">
        <v>12</v>
      </c>
      <c r="O234" t="s">
        <v>201</v>
      </c>
      <c r="P234" t="s">
        <v>532</v>
      </c>
      <c r="S234" t="s">
        <v>361</v>
      </c>
      <c r="T234" t="s">
        <v>378</v>
      </c>
      <c r="U234" t="s">
        <v>239</v>
      </c>
      <c r="V234" t="s">
        <v>7</v>
      </c>
      <c r="W234" t="s">
        <v>7</v>
      </c>
      <c r="X234" t="s">
        <v>7</v>
      </c>
      <c r="AA234" t="s">
        <v>127</v>
      </c>
      <c r="AB234" t="s">
        <v>361</v>
      </c>
      <c r="AC234">
        <v>2200</v>
      </c>
      <c r="AD234" t="s">
        <v>233</v>
      </c>
      <c r="AE234">
        <v>1.2</v>
      </c>
    </row>
    <row r="235" spans="1:32" x14ac:dyDescent="0.3">
      <c r="A235" t="s">
        <v>351</v>
      </c>
      <c r="B235" t="s">
        <v>279</v>
      </c>
      <c r="C235" t="s">
        <v>197</v>
      </c>
      <c r="D235" t="s">
        <v>310</v>
      </c>
      <c r="E235" t="s">
        <v>1059</v>
      </c>
      <c r="F235" s="15">
        <v>46233.719895833332</v>
      </c>
      <c r="G235" t="s">
        <v>439</v>
      </c>
      <c r="H235">
        <v>12</v>
      </c>
      <c r="I235" t="s">
        <v>1100</v>
      </c>
      <c r="J235" s="15">
        <v>46237.708252314813</v>
      </c>
      <c r="K235" s="15">
        <v>46240.458333333336</v>
      </c>
      <c r="L235" s="15"/>
      <c r="M235">
        <v>12</v>
      </c>
      <c r="O235" t="s">
        <v>201</v>
      </c>
      <c r="P235" t="s">
        <v>532</v>
      </c>
      <c r="S235" t="s">
        <v>361</v>
      </c>
      <c r="T235" t="s">
        <v>378</v>
      </c>
      <c r="U235" t="s">
        <v>239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361</v>
      </c>
      <c r="AC235">
        <v>2200</v>
      </c>
      <c r="AD235" t="s">
        <v>232</v>
      </c>
      <c r="AE235">
        <v>192</v>
      </c>
    </row>
    <row r="236" spans="1:32" x14ac:dyDescent="0.3">
      <c r="A236" t="s">
        <v>351</v>
      </c>
      <c r="B236" t="s">
        <v>281</v>
      </c>
      <c r="C236" t="s">
        <v>85</v>
      </c>
      <c r="D236" t="s">
        <v>310</v>
      </c>
      <c r="E236" t="s">
        <v>1059</v>
      </c>
      <c r="F236" s="15">
        <v>46233.719895833332</v>
      </c>
      <c r="G236" t="s">
        <v>439</v>
      </c>
      <c r="H236">
        <v>2</v>
      </c>
      <c r="I236" t="s">
        <v>1101</v>
      </c>
      <c r="J236" s="15">
        <v>46234.408483796295</v>
      </c>
      <c r="K236" s="15">
        <v>46238.436805555553</v>
      </c>
      <c r="L236" s="15"/>
      <c r="M236">
        <v>2</v>
      </c>
      <c r="O236" t="s">
        <v>201</v>
      </c>
      <c r="P236" t="s">
        <v>532</v>
      </c>
      <c r="S236" t="s">
        <v>361</v>
      </c>
      <c r="T236" t="s">
        <v>378</v>
      </c>
      <c r="U236" t="s">
        <v>239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361</v>
      </c>
      <c r="AC236">
        <v>2200</v>
      </c>
      <c r="AD236" t="s">
        <v>231</v>
      </c>
      <c r="AE236">
        <v>2</v>
      </c>
    </row>
    <row r="237" spans="1:32" x14ac:dyDescent="0.3">
      <c r="A237" t="s">
        <v>351</v>
      </c>
      <c r="B237" t="s">
        <v>279</v>
      </c>
      <c r="C237" t="s">
        <v>197</v>
      </c>
      <c r="D237" t="s">
        <v>310</v>
      </c>
      <c r="E237" t="s">
        <v>1059</v>
      </c>
      <c r="F237" s="15">
        <v>46233.719895833332</v>
      </c>
      <c r="G237" t="s">
        <v>439</v>
      </c>
      <c r="H237">
        <v>108</v>
      </c>
      <c r="I237" t="s">
        <v>1099</v>
      </c>
      <c r="J237" s="15">
        <v>46244.494745370372</v>
      </c>
      <c r="K237" s="15">
        <v>46247.731863425928</v>
      </c>
      <c r="L237" s="15"/>
      <c r="M237">
        <v>108</v>
      </c>
      <c r="O237" t="s">
        <v>201</v>
      </c>
      <c r="P237" t="s">
        <v>531</v>
      </c>
      <c r="S237" t="s">
        <v>361</v>
      </c>
      <c r="T237" t="s">
        <v>378</v>
      </c>
      <c r="U237" t="s">
        <v>239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361</v>
      </c>
      <c r="AC237">
        <v>2200</v>
      </c>
      <c r="AD237" t="s">
        <v>232</v>
      </c>
      <c r="AE237">
        <v>1728</v>
      </c>
    </row>
    <row r="238" spans="1:32" x14ac:dyDescent="0.3">
      <c r="A238" t="s">
        <v>351</v>
      </c>
      <c r="B238" t="s">
        <v>47</v>
      </c>
      <c r="C238" t="s">
        <v>68</v>
      </c>
      <c r="D238" t="s">
        <v>310</v>
      </c>
      <c r="E238" t="s">
        <v>441</v>
      </c>
      <c r="F238" s="15">
        <v>46211.698680555557</v>
      </c>
      <c r="G238" t="s">
        <v>413</v>
      </c>
      <c r="H238">
        <v>2</v>
      </c>
      <c r="I238" t="s">
        <v>497</v>
      </c>
      <c r="J238" s="15">
        <v>46219.448703703703</v>
      </c>
      <c r="K238" s="15">
        <v>46220.459722222222</v>
      </c>
      <c r="L238" s="15"/>
      <c r="M238">
        <v>2</v>
      </c>
      <c r="O238" t="s">
        <v>201</v>
      </c>
      <c r="P238" t="s">
        <v>531</v>
      </c>
      <c r="S238" t="s">
        <v>362</v>
      </c>
      <c r="T238" t="s">
        <v>378</v>
      </c>
      <c r="U238" t="s">
        <v>239</v>
      </c>
      <c r="V238" t="s">
        <v>351</v>
      </c>
      <c r="W238" t="s">
        <v>378</v>
      </c>
      <c r="X238" t="s">
        <v>239</v>
      </c>
      <c r="Y238">
        <v>0</v>
      </c>
      <c r="AA238" t="s">
        <v>90</v>
      </c>
      <c r="AB238" t="s">
        <v>362</v>
      </c>
      <c r="AC238">
        <v>109</v>
      </c>
      <c r="AD238" t="s">
        <v>218</v>
      </c>
      <c r="AE238">
        <v>1</v>
      </c>
      <c r="AF238">
        <v>1</v>
      </c>
    </row>
    <row r="239" spans="1:32" x14ac:dyDescent="0.3">
      <c r="A239" t="s">
        <v>351</v>
      </c>
      <c r="B239" t="s">
        <v>279</v>
      </c>
      <c r="C239" t="s">
        <v>197</v>
      </c>
      <c r="D239" t="s">
        <v>310</v>
      </c>
      <c r="E239" t="s">
        <v>443</v>
      </c>
      <c r="F239" s="15">
        <v>46217.60359953704</v>
      </c>
      <c r="G239" t="s">
        <v>439</v>
      </c>
      <c r="H239">
        <v>13</v>
      </c>
      <c r="I239" t="s">
        <v>1102</v>
      </c>
      <c r="J239" s="15">
        <v>46237.518055555556</v>
      </c>
      <c r="K239" s="15">
        <v>46239.647916666669</v>
      </c>
      <c r="L239" s="15"/>
      <c r="M239">
        <v>13</v>
      </c>
      <c r="O239" t="s">
        <v>201</v>
      </c>
      <c r="P239" t="s">
        <v>532</v>
      </c>
      <c r="S239" t="s">
        <v>363</v>
      </c>
      <c r="T239" t="s">
        <v>378</v>
      </c>
      <c r="U239" t="s">
        <v>239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363</v>
      </c>
      <c r="AC239">
        <v>101</v>
      </c>
      <c r="AD239" t="s">
        <v>232</v>
      </c>
      <c r="AE239">
        <v>208</v>
      </c>
    </row>
    <row r="240" spans="1:32" x14ac:dyDescent="0.3">
      <c r="A240" t="s">
        <v>351</v>
      </c>
      <c r="B240" t="s">
        <v>57</v>
      </c>
      <c r="C240" t="s">
        <v>117</v>
      </c>
      <c r="D240" t="s">
        <v>310</v>
      </c>
      <c r="E240" t="s">
        <v>822</v>
      </c>
      <c r="F240" s="15">
        <v>46247.424131944441</v>
      </c>
      <c r="G240" t="s">
        <v>409</v>
      </c>
      <c r="H240">
        <v>1</v>
      </c>
      <c r="I240" t="s">
        <v>823</v>
      </c>
      <c r="J240" s="15">
        <v>46247.640277777777</v>
      </c>
      <c r="K240" s="15">
        <v>46253.622916666667</v>
      </c>
      <c r="L240" s="15"/>
      <c r="M240">
        <v>1</v>
      </c>
      <c r="O240" t="s">
        <v>201</v>
      </c>
      <c r="P240" t="s">
        <v>532</v>
      </c>
      <c r="S240" t="s">
        <v>359</v>
      </c>
      <c r="T240" t="s">
        <v>377</v>
      </c>
      <c r="U240" t="s">
        <v>239</v>
      </c>
      <c r="V240" t="s">
        <v>7</v>
      </c>
      <c r="W240" t="s">
        <v>7</v>
      </c>
      <c r="X240" t="s">
        <v>7</v>
      </c>
      <c r="AA240" t="s">
        <v>127</v>
      </c>
      <c r="AB240" t="s">
        <v>359</v>
      </c>
      <c r="AC240">
        <v>2100</v>
      </c>
      <c r="AD240" t="s">
        <v>233</v>
      </c>
      <c r="AE240">
        <v>1</v>
      </c>
      <c r="AF240">
        <v>95.4</v>
      </c>
    </row>
    <row r="241" spans="1:32" x14ac:dyDescent="0.3">
      <c r="A241" t="s">
        <v>351</v>
      </c>
      <c r="B241" t="s">
        <v>57</v>
      </c>
      <c r="C241" t="s">
        <v>117</v>
      </c>
      <c r="D241" t="s">
        <v>310</v>
      </c>
      <c r="E241" t="s">
        <v>820</v>
      </c>
      <c r="F241" s="15">
        <v>46241.653622685182</v>
      </c>
      <c r="G241" t="s">
        <v>409</v>
      </c>
      <c r="H241">
        <v>1</v>
      </c>
      <c r="I241" t="s">
        <v>821</v>
      </c>
      <c r="J241" s="15">
        <v>46247.673611111109</v>
      </c>
      <c r="K241" s="15">
        <v>46253.618055555555</v>
      </c>
      <c r="L241" s="15"/>
      <c r="M241">
        <v>1</v>
      </c>
      <c r="O241" t="s">
        <v>201</v>
      </c>
      <c r="P241" t="s">
        <v>532</v>
      </c>
      <c r="S241" t="s">
        <v>359</v>
      </c>
      <c r="T241" t="s">
        <v>377</v>
      </c>
      <c r="U241" t="s">
        <v>239</v>
      </c>
      <c r="V241" t="s">
        <v>7</v>
      </c>
      <c r="W241" t="s">
        <v>7</v>
      </c>
      <c r="X241" t="s">
        <v>7</v>
      </c>
      <c r="AA241" t="s">
        <v>127</v>
      </c>
      <c r="AB241" t="s">
        <v>359</v>
      </c>
      <c r="AC241">
        <v>2100</v>
      </c>
      <c r="AD241" t="s">
        <v>233</v>
      </c>
      <c r="AE241">
        <v>1</v>
      </c>
    </row>
    <row r="242" spans="1:32" x14ac:dyDescent="0.3">
      <c r="A242" t="s">
        <v>351</v>
      </c>
      <c r="B242" t="s">
        <v>57</v>
      </c>
      <c r="C242" t="s">
        <v>117</v>
      </c>
      <c r="D242" t="s">
        <v>310</v>
      </c>
      <c r="E242" t="s">
        <v>824</v>
      </c>
      <c r="F242" s="15">
        <v>46238.350578703707</v>
      </c>
      <c r="G242" t="s">
        <v>409</v>
      </c>
      <c r="H242">
        <v>1</v>
      </c>
      <c r="I242" t="s">
        <v>825</v>
      </c>
      <c r="J242" s="15">
        <v>46238.650694444441</v>
      </c>
      <c r="K242" s="15">
        <v>46241.494444444441</v>
      </c>
      <c r="L242" s="15"/>
      <c r="M242">
        <v>1</v>
      </c>
      <c r="O242" t="s">
        <v>201</v>
      </c>
      <c r="P242" t="s">
        <v>532</v>
      </c>
      <c r="S242" t="s">
        <v>359</v>
      </c>
      <c r="T242" t="s">
        <v>377</v>
      </c>
      <c r="U242" t="s">
        <v>239</v>
      </c>
      <c r="V242" t="s">
        <v>7</v>
      </c>
      <c r="W242" t="s">
        <v>7</v>
      </c>
      <c r="X242" t="s">
        <v>7</v>
      </c>
      <c r="AA242" t="s">
        <v>127</v>
      </c>
      <c r="AB242" t="s">
        <v>359</v>
      </c>
      <c r="AC242">
        <v>2100</v>
      </c>
      <c r="AD242" t="s">
        <v>233</v>
      </c>
      <c r="AE242">
        <v>1</v>
      </c>
      <c r="AF242">
        <v>22.6</v>
      </c>
    </row>
    <row r="243" spans="1:32" x14ac:dyDescent="0.3">
      <c r="A243" t="s">
        <v>351</v>
      </c>
      <c r="B243" t="s">
        <v>279</v>
      </c>
      <c r="C243" t="s">
        <v>192</v>
      </c>
      <c r="D243" t="s">
        <v>310</v>
      </c>
      <c r="E243" t="s">
        <v>822</v>
      </c>
      <c r="F243" s="15">
        <v>46247.424131944441</v>
      </c>
      <c r="G243" t="s">
        <v>409</v>
      </c>
      <c r="H243">
        <v>557</v>
      </c>
      <c r="I243" t="s">
        <v>823</v>
      </c>
      <c r="J243" s="15">
        <v>46247.640277777777</v>
      </c>
      <c r="K243" s="15">
        <v>46253.622916666667</v>
      </c>
      <c r="L243" s="15"/>
      <c r="M243">
        <v>557</v>
      </c>
      <c r="O243" t="s">
        <v>201</v>
      </c>
      <c r="P243" t="s">
        <v>531</v>
      </c>
      <c r="S243" t="s">
        <v>359</v>
      </c>
      <c r="T243" t="s">
        <v>377</v>
      </c>
      <c r="U243" t="s">
        <v>239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359</v>
      </c>
      <c r="AC243">
        <v>2100</v>
      </c>
      <c r="AD243" t="s">
        <v>232</v>
      </c>
      <c r="AE243">
        <v>557</v>
      </c>
    </row>
    <row r="244" spans="1:32" x14ac:dyDescent="0.3">
      <c r="A244" t="s">
        <v>351</v>
      </c>
      <c r="B244" t="s">
        <v>279</v>
      </c>
      <c r="C244" t="s">
        <v>192</v>
      </c>
      <c r="D244" t="s">
        <v>310</v>
      </c>
      <c r="E244" t="s">
        <v>820</v>
      </c>
      <c r="F244" s="15">
        <v>46241.653622685182</v>
      </c>
      <c r="G244" t="s">
        <v>409</v>
      </c>
      <c r="H244">
        <v>393</v>
      </c>
      <c r="I244" t="s">
        <v>821</v>
      </c>
      <c r="J244" s="15">
        <v>46247.673611111109</v>
      </c>
      <c r="K244" s="15">
        <v>46253.618055555555</v>
      </c>
      <c r="L244" s="15"/>
      <c r="M244">
        <v>393</v>
      </c>
      <c r="O244" t="s">
        <v>201</v>
      </c>
      <c r="P244" t="s">
        <v>531</v>
      </c>
      <c r="S244" t="s">
        <v>359</v>
      </c>
      <c r="T244" t="s">
        <v>377</v>
      </c>
      <c r="U244" t="s">
        <v>239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359</v>
      </c>
      <c r="AC244">
        <v>2100</v>
      </c>
      <c r="AD244" t="s">
        <v>232</v>
      </c>
      <c r="AE244">
        <v>393</v>
      </c>
    </row>
    <row r="245" spans="1:32" x14ac:dyDescent="0.3">
      <c r="A245" t="s">
        <v>351</v>
      </c>
      <c r="B245" t="s">
        <v>279</v>
      </c>
      <c r="C245" t="s">
        <v>192</v>
      </c>
      <c r="D245" t="s">
        <v>310</v>
      </c>
      <c r="E245" t="s">
        <v>824</v>
      </c>
      <c r="F245" s="15">
        <v>46238.350578703707</v>
      </c>
      <c r="G245" t="s">
        <v>409</v>
      </c>
      <c r="H245">
        <v>224</v>
      </c>
      <c r="I245" t="s">
        <v>825</v>
      </c>
      <c r="J245" s="15">
        <v>46238.650694444441</v>
      </c>
      <c r="K245" s="15">
        <v>46241.494444444441</v>
      </c>
      <c r="L245" s="15"/>
      <c r="M245">
        <v>224</v>
      </c>
      <c r="O245" t="s">
        <v>201</v>
      </c>
      <c r="P245" t="s">
        <v>532</v>
      </c>
      <c r="S245" t="s">
        <v>359</v>
      </c>
      <c r="T245" t="s">
        <v>377</v>
      </c>
      <c r="U245" t="s">
        <v>239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359</v>
      </c>
      <c r="AC245">
        <v>2100</v>
      </c>
      <c r="AD245" t="s">
        <v>232</v>
      </c>
      <c r="AE245">
        <v>224</v>
      </c>
    </row>
    <row r="246" spans="1:32" x14ac:dyDescent="0.3">
      <c r="A246" t="s">
        <v>351</v>
      </c>
      <c r="B246" t="s">
        <v>63</v>
      </c>
      <c r="C246" t="s">
        <v>95</v>
      </c>
      <c r="D246" t="s">
        <v>310</v>
      </c>
      <c r="E246" t="s">
        <v>822</v>
      </c>
      <c r="F246" s="15">
        <v>46247.424131944441</v>
      </c>
      <c r="G246" t="s">
        <v>409</v>
      </c>
      <c r="H246">
        <v>1</v>
      </c>
      <c r="I246" t="s">
        <v>823</v>
      </c>
      <c r="J246" s="15">
        <v>46247.640277777777</v>
      </c>
      <c r="K246" s="15">
        <v>46253.622916666667</v>
      </c>
      <c r="L246" s="15"/>
      <c r="M246">
        <v>1</v>
      </c>
      <c r="O246" t="s">
        <v>201</v>
      </c>
      <c r="P246" t="s">
        <v>532</v>
      </c>
      <c r="S246" t="s">
        <v>359</v>
      </c>
      <c r="T246" t="s">
        <v>377</v>
      </c>
      <c r="U246" t="s">
        <v>239</v>
      </c>
      <c r="V246" t="s">
        <v>7</v>
      </c>
      <c r="W246" t="s">
        <v>7</v>
      </c>
      <c r="X246" t="s">
        <v>7</v>
      </c>
      <c r="AA246" t="s">
        <v>96</v>
      </c>
      <c r="AB246" t="s">
        <v>359</v>
      </c>
      <c r="AC246">
        <v>2100</v>
      </c>
      <c r="AD246" t="s">
        <v>225</v>
      </c>
      <c r="AE246">
        <v>1</v>
      </c>
    </row>
    <row r="247" spans="1:32" x14ac:dyDescent="0.3">
      <c r="A247" t="s">
        <v>351</v>
      </c>
      <c r="B247" t="s">
        <v>63</v>
      </c>
      <c r="C247" t="s">
        <v>95</v>
      </c>
      <c r="D247" t="s">
        <v>310</v>
      </c>
      <c r="E247" t="s">
        <v>820</v>
      </c>
      <c r="F247" s="15">
        <v>46241.653622685182</v>
      </c>
      <c r="G247" t="s">
        <v>409</v>
      </c>
      <c r="H247">
        <v>1</v>
      </c>
      <c r="I247" t="s">
        <v>821</v>
      </c>
      <c r="J247" s="15">
        <v>46247.673611111109</v>
      </c>
      <c r="K247" s="15">
        <v>46253.618055555555</v>
      </c>
      <c r="L247" s="15"/>
      <c r="M247">
        <v>1</v>
      </c>
      <c r="O247" t="s">
        <v>201</v>
      </c>
      <c r="P247" t="s">
        <v>532</v>
      </c>
      <c r="S247" t="s">
        <v>359</v>
      </c>
      <c r="T247" t="s">
        <v>377</v>
      </c>
      <c r="U247" t="s">
        <v>239</v>
      </c>
      <c r="V247" t="s">
        <v>7</v>
      </c>
      <c r="W247" t="s">
        <v>7</v>
      </c>
      <c r="X247" t="s">
        <v>7</v>
      </c>
      <c r="AA247" t="s">
        <v>96</v>
      </c>
      <c r="AB247" t="s">
        <v>359</v>
      </c>
      <c r="AC247">
        <v>2100</v>
      </c>
      <c r="AD247" t="s">
        <v>225</v>
      </c>
      <c r="AE247">
        <v>1</v>
      </c>
    </row>
    <row r="248" spans="1:32" x14ac:dyDescent="0.3">
      <c r="A248" t="s">
        <v>351</v>
      </c>
      <c r="B248" t="s">
        <v>63</v>
      </c>
      <c r="C248" t="s">
        <v>95</v>
      </c>
      <c r="D248" t="s">
        <v>310</v>
      </c>
      <c r="E248" t="s">
        <v>824</v>
      </c>
      <c r="F248" s="15">
        <v>46238.350578703707</v>
      </c>
      <c r="G248" t="s">
        <v>409</v>
      </c>
      <c r="H248">
        <v>1</v>
      </c>
      <c r="I248" t="s">
        <v>825</v>
      </c>
      <c r="J248" s="15">
        <v>46238.650694444441</v>
      </c>
      <c r="K248" s="15">
        <v>46241.494444444441</v>
      </c>
      <c r="L248" s="15"/>
      <c r="M248">
        <v>1</v>
      </c>
      <c r="O248" t="s">
        <v>201</v>
      </c>
      <c r="P248" t="s">
        <v>532</v>
      </c>
      <c r="S248" t="s">
        <v>359</v>
      </c>
      <c r="T248" t="s">
        <v>377</v>
      </c>
      <c r="U248" t="s">
        <v>239</v>
      </c>
      <c r="V248" t="s">
        <v>7</v>
      </c>
      <c r="W248" t="s">
        <v>7</v>
      </c>
      <c r="X248" t="s">
        <v>7</v>
      </c>
      <c r="AA248" t="s">
        <v>96</v>
      </c>
      <c r="AB248" t="s">
        <v>359</v>
      </c>
      <c r="AC248">
        <v>2100</v>
      </c>
      <c r="AD248" t="s">
        <v>225</v>
      </c>
      <c r="AE248">
        <v>1</v>
      </c>
    </row>
    <row r="249" spans="1:32" x14ac:dyDescent="0.3">
      <c r="A249" t="s">
        <v>351</v>
      </c>
      <c r="B249" t="s">
        <v>45</v>
      </c>
      <c r="C249" t="s">
        <v>68</v>
      </c>
      <c r="D249" t="s">
        <v>310</v>
      </c>
      <c r="E249" t="s">
        <v>867</v>
      </c>
      <c r="F249" s="15">
        <v>46234.569490740738</v>
      </c>
      <c r="G249" t="s">
        <v>408</v>
      </c>
      <c r="H249">
        <v>5</v>
      </c>
      <c r="I249" t="s">
        <v>868</v>
      </c>
      <c r="J249" s="15">
        <v>46234.710416666669</v>
      </c>
      <c r="K249" s="15">
        <v>46239.541666666664</v>
      </c>
      <c r="L249" s="15"/>
      <c r="M249">
        <v>5</v>
      </c>
      <c r="O249" t="s">
        <v>201</v>
      </c>
      <c r="P249" t="s">
        <v>531</v>
      </c>
      <c r="S249" t="s">
        <v>359</v>
      </c>
      <c r="T249" t="s">
        <v>377</v>
      </c>
      <c r="U249" t="s">
        <v>239</v>
      </c>
      <c r="V249" t="s">
        <v>351</v>
      </c>
      <c r="W249" t="s">
        <v>378</v>
      </c>
      <c r="X249" t="s">
        <v>239</v>
      </c>
      <c r="Y249">
        <v>103</v>
      </c>
      <c r="AA249" t="s">
        <v>67</v>
      </c>
      <c r="AB249" t="s">
        <v>359</v>
      </c>
      <c r="AC249">
        <v>2100</v>
      </c>
      <c r="AD249" t="s">
        <v>217</v>
      </c>
      <c r="AE249">
        <v>1</v>
      </c>
      <c r="AF249">
        <v>1</v>
      </c>
    </row>
    <row r="250" spans="1:32" x14ac:dyDescent="0.3">
      <c r="A250" t="s">
        <v>351</v>
      </c>
      <c r="B250" t="s">
        <v>45</v>
      </c>
      <c r="C250" t="s">
        <v>68</v>
      </c>
      <c r="D250" t="s">
        <v>310</v>
      </c>
      <c r="E250" t="s">
        <v>869</v>
      </c>
      <c r="F250" s="15">
        <v>46233.473078703704</v>
      </c>
      <c r="G250" t="s">
        <v>408</v>
      </c>
      <c r="H250">
        <v>3</v>
      </c>
      <c r="I250" t="s">
        <v>870</v>
      </c>
      <c r="J250" s="15">
        <v>46233.640972222223</v>
      </c>
      <c r="K250" s="15">
        <v>46237.458333333336</v>
      </c>
      <c r="L250" s="15"/>
      <c r="M250">
        <v>3</v>
      </c>
      <c r="O250" t="s">
        <v>201</v>
      </c>
      <c r="P250" t="s">
        <v>532</v>
      </c>
      <c r="S250" t="s">
        <v>359</v>
      </c>
      <c r="T250" t="s">
        <v>377</v>
      </c>
      <c r="U250" t="s">
        <v>239</v>
      </c>
      <c r="V250" t="s">
        <v>351</v>
      </c>
      <c r="W250" t="s">
        <v>378</v>
      </c>
      <c r="X250" t="s">
        <v>239</v>
      </c>
      <c r="Y250">
        <v>103</v>
      </c>
      <c r="AA250" t="s">
        <v>67</v>
      </c>
      <c r="AB250" t="s">
        <v>359</v>
      </c>
      <c r="AC250">
        <v>2100</v>
      </c>
      <c r="AD250" t="s">
        <v>217</v>
      </c>
      <c r="AE250">
        <v>1</v>
      </c>
      <c r="AF250">
        <v>1</v>
      </c>
    </row>
    <row r="251" spans="1:32" x14ac:dyDescent="0.3">
      <c r="A251" t="s">
        <v>351</v>
      </c>
      <c r="B251" t="s">
        <v>45</v>
      </c>
      <c r="C251" t="s">
        <v>68</v>
      </c>
      <c r="D251" t="s">
        <v>310</v>
      </c>
      <c r="E251" t="s">
        <v>871</v>
      </c>
      <c r="F251" s="15">
        <v>46233.472222222219</v>
      </c>
      <c r="G251" t="s">
        <v>408</v>
      </c>
      <c r="H251">
        <v>2</v>
      </c>
      <c r="I251" t="s">
        <v>870</v>
      </c>
      <c r="J251" s="15">
        <v>46233.640972222223</v>
      </c>
      <c r="K251" s="15">
        <v>46237.458333333336</v>
      </c>
      <c r="L251" s="15"/>
      <c r="M251">
        <v>2</v>
      </c>
      <c r="O251" t="s">
        <v>201</v>
      </c>
      <c r="P251" t="s">
        <v>532</v>
      </c>
      <c r="S251" t="s">
        <v>359</v>
      </c>
      <c r="T251" t="s">
        <v>377</v>
      </c>
      <c r="U251" t="s">
        <v>239</v>
      </c>
      <c r="V251" t="s">
        <v>351</v>
      </c>
      <c r="W251" t="s">
        <v>378</v>
      </c>
      <c r="X251" t="s">
        <v>239</v>
      </c>
      <c r="AA251" t="s">
        <v>67</v>
      </c>
      <c r="AB251" t="s">
        <v>359</v>
      </c>
      <c r="AC251">
        <v>2100</v>
      </c>
      <c r="AD251" t="s">
        <v>217</v>
      </c>
      <c r="AE251">
        <v>1</v>
      </c>
    </row>
    <row r="252" spans="1:32" x14ac:dyDescent="0.3">
      <c r="A252" t="s">
        <v>351</v>
      </c>
      <c r="B252" t="s">
        <v>45</v>
      </c>
      <c r="C252" t="s">
        <v>68</v>
      </c>
      <c r="D252" t="s">
        <v>310</v>
      </c>
      <c r="E252" t="s">
        <v>872</v>
      </c>
      <c r="F252" s="15">
        <v>46233.471770833334</v>
      </c>
      <c r="G252" t="s">
        <v>408</v>
      </c>
      <c r="H252">
        <v>3</v>
      </c>
      <c r="I252" t="s">
        <v>870</v>
      </c>
      <c r="J252" s="15">
        <v>46233.640972222223</v>
      </c>
      <c r="K252" s="15">
        <v>46237.458333333336</v>
      </c>
      <c r="L252" s="15"/>
      <c r="M252">
        <v>3</v>
      </c>
      <c r="O252" t="s">
        <v>201</v>
      </c>
      <c r="P252" t="s">
        <v>532</v>
      </c>
      <c r="S252" t="s">
        <v>359</v>
      </c>
      <c r="T252" t="s">
        <v>377</v>
      </c>
      <c r="U252" t="s">
        <v>239</v>
      </c>
      <c r="V252" t="s">
        <v>351</v>
      </c>
      <c r="W252" t="s">
        <v>378</v>
      </c>
      <c r="X252" t="s">
        <v>239</v>
      </c>
      <c r="AA252" t="s">
        <v>67</v>
      </c>
      <c r="AB252" t="s">
        <v>359</v>
      </c>
      <c r="AC252">
        <v>2100</v>
      </c>
      <c r="AD252" t="s">
        <v>217</v>
      </c>
      <c r="AE252">
        <v>1</v>
      </c>
    </row>
    <row r="253" spans="1:32" x14ac:dyDescent="0.3">
      <c r="A253" t="s">
        <v>351</v>
      </c>
      <c r="B253" t="s">
        <v>279</v>
      </c>
      <c r="C253" t="s">
        <v>197</v>
      </c>
      <c r="D253" t="s">
        <v>310</v>
      </c>
      <c r="E253" t="s">
        <v>828</v>
      </c>
      <c r="F253" s="15">
        <v>46239.427071759259</v>
      </c>
      <c r="G253" t="s">
        <v>412</v>
      </c>
      <c r="H253">
        <v>1</v>
      </c>
      <c r="I253" t="s">
        <v>829</v>
      </c>
      <c r="J253" s="15">
        <v>46240.368750000001</v>
      </c>
      <c r="K253" s="15">
        <v>46246.47152777778</v>
      </c>
      <c r="L253" s="15"/>
      <c r="M253">
        <v>1</v>
      </c>
      <c r="O253" t="s">
        <v>201</v>
      </c>
      <c r="P253" t="s">
        <v>531</v>
      </c>
      <c r="S253" t="s">
        <v>359</v>
      </c>
      <c r="T253" t="s">
        <v>377</v>
      </c>
      <c r="U253" t="s">
        <v>239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359</v>
      </c>
      <c r="AC253">
        <v>2100</v>
      </c>
      <c r="AD253" t="s">
        <v>232</v>
      </c>
      <c r="AE253">
        <v>16</v>
      </c>
      <c r="AF253">
        <v>65.25</v>
      </c>
    </row>
    <row r="254" spans="1:32" x14ac:dyDescent="0.3">
      <c r="A254" t="s">
        <v>351</v>
      </c>
      <c r="B254" t="s">
        <v>279</v>
      </c>
      <c r="C254" t="s">
        <v>197</v>
      </c>
      <c r="D254" t="s">
        <v>310</v>
      </c>
      <c r="E254" t="s">
        <v>828</v>
      </c>
      <c r="F254" s="15">
        <v>46239.427071759259</v>
      </c>
      <c r="G254" t="s">
        <v>412</v>
      </c>
      <c r="H254">
        <v>9</v>
      </c>
      <c r="I254" t="s">
        <v>829</v>
      </c>
      <c r="J254" s="15">
        <v>46240.368750000001</v>
      </c>
      <c r="K254" s="15">
        <v>46246.47152777778</v>
      </c>
      <c r="L254" s="15"/>
      <c r="M254">
        <v>9</v>
      </c>
      <c r="O254" t="s">
        <v>529</v>
      </c>
      <c r="S254" t="s">
        <v>359</v>
      </c>
      <c r="T254" t="s">
        <v>377</v>
      </c>
      <c r="U254" t="s">
        <v>239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359</v>
      </c>
      <c r="AC254">
        <v>2100</v>
      </c>
      <c r="AD254" t="s">
        <v>232</v>
      </c>
      <c r="AE254">
        <v>144</v>
      </c>
    </row>
    <row r="255" spans="1:32" x14ac:dyDescent="0.3">
      <c r="A255" t="s">
        <v>351</v>
      </c>
      <c r="B255" t="s">
        <v>279</v>
      </c>
      <c r="C255" t="s">
        <v>197</v>
      </c>
      <c r="D255" t="s">
        <v>310</v>
      </c>
      <c r="E255" t="s">
        <v>828</v>
      </c>
      <c r="F255" s="15">
        <v>46239.427071759259</v>
      </c>
      <c r="G255" t="s">
        <v>412</v>
      </c>
      <c r="H255">
        <v>25</v>
      </c>
      <c r="I255" t="s">
        <v>829</v>
      </c>
      <c r="J255" s="15">
        <v>46240.368750000001</v>
      </c>
      <c r="K255" s="15">
        <v>46246.47152777778</v>
      </c>
      <c r="L255" s="15"/>
      <c r="M255">
        <v>25</v>
      </c>
      <c r="O255" t="s">
        <v>529</v>
      </c>
      <c r="S255" t="s">
        <v>359</v>
      </c>
      <c r="T255" t="s">
        <v>377</v>
      </c>
      <c r="U255" t="s">
        <v>239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359</v>
      </c>
      <c r="AC255">
        <v>2100</v>
      </c>
      <c r="AD255" t="s">
        <v>232</v>
      </c>
      <c r="AE255">
        <v>400</v>
      </c>
    </row>
    <row r="256" spans="1:32" x14ac:dyDescent="0.3">
      <c r="A256" t="s">
        <v>351</v>
      </c>
      <c r="B256" t="s">
        <v>279</v>
      </c>
      <c r="C256" t="s">
        <v>197</v>
      </c>
      <c r="D256" t="s">
        <v>310</v>
      </c>
      <c r="E256" t="s">
        <v>828</v>
      </c>
      <c r="F256" s="15">
        <v>46239.427071759259</v>
      </c>
      <c r="G256" t="s">
        <v>412</v>
      </c>
      <c r="H256">
        <v>1</v>
      </c>
      <c r="I256" t="s">
        <v>829</v>
      </c>
      <c r="J256" s="15">
        <v>46240.368750000001</v>
      </c>
      <c r="K256" s="15">
        <v>46246.47152777778</v>
      </c>
      <c r="L256" s="15"/>
      <c r="M256">
        <v>1</v>
      </c>
      <c r="O256" t="s">
        <v>529</v>
      </c>
      <c r="S256" t="s">
        <v>359</v>
      </c>
      <c r="T256" t="s">
        <v>377</v>
      </c>
      <c r="U256" t="s">
        <v>239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359</v>
      </c>
      <c r="AC256">
        <v>2100</v>
      </c>
      <c r="AD256" t="s">
        <v>232</v>
      </c>
      <c r="AE256">
        <v>16</v>
      </c>
    </row>
    <row r="257" spans="1:32" x14ac:dyDescent="0.3">
      <c r="A257" t="s">
        <v>351</v>
      </c>
      <c r="B257" t="s">
        <v>279</v>
      </c>
      <c r="C257" t="s">
        <v>197</v>
      </c>
      <c r="D257" t="s">
        <v>310</v>
      </c>
      <c r="E257" t="s">
        <v>828</v>
      </c>
      <c r="F257" s="15">
        <v>46239.427071759259</v>
      </c>
      <c r="G257" t="s">
        <v>412</v>
      </c>
      <c r="H257">
        <v>2</v>
      </c>
      <c r="I257" t="s">
        <v>829</v>
      </c>
      <c r="J257" s="15">
        <v>46240.368750000001</v>
      </c>
      <c r="K257" s="15">
        <v>46246.47152777778</v>
      </c>
      <c r="L257" s="15"/>
      <c r="M257">
        <v>2</v>
      </c>
      <c r="O257" t="s">
        <v>529</v>
      </c>
      <c r="S257" t="s">
        <v>359</v>
      </c>
      <c r="T257" t="s">
        <v>377</v>
      </c>
      <c r="U257" t="s">
        <v>239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359</v>
      </c>
      <c r="AC257">
        <v>2100</v>
      </c>
      <c r="AD257" t="s">
        <v>232</v>
      </c>
      <c r="AE257">
        <v>32</v>
      </c>
    </row>
    <row r="258" spans="1:32" x14ac:dyDescent="0.3">
      <c r="A258" t="s">
        <v>351</v>
      </c>
      <c r="B258" t="s">
        <v>63</v>
      </c>
      <c r="C258" t="s">
        <v>95</v>
      </c>
      <c r="D258" t="s">
        <v>310</v>
      </c>
      <c r="E258" t="s">
        <v>828</v>
      </c>
      <c r="F258" s="15">
        <v>46239.427071759259</v>
      </c>
      <c r="G258" t="s">
        <v>412</v>
      </c>
      <c r="H258">
        <v>9</v>
      </c>
      <c r="I258" t="s">
        <v>829</v>
      </c>
      <c r="J258" s="15">
        <v>46240.368750000001</v>
      </c>
      <c r="K258" s="15">
        <v>46246.47152777778</v>
      </c>
      <c r="L258" s="15"/>
      <c r="M258">
        <v>9</v>
      </c>
      <c r="O258" t="s">
        <v>201</v>
      </c>
      <c r="P258" t="s">
        <v>532</v>
      </c>
      <c r="S258" t="s">
        <v>359</v>
      </c>
      <c r="T258" t="s">
        <v>377</v>
      </c>
      <c r="U258" t="s">
        <v>239</v>
      </c>
      <c r="V258" t="s">
        <v>7</v>
      </c>
      <c r="W258" t="s">
        <v>7</v>
      </c>
      <c r="X258" t="s">
        <v>7</v>
      </c>
      <c r="AA258" t="s">
        <v>96</v>
      </c>
      <c r="AB258" t="s">
        <v>359</v>
      </c>
      <c r="AC258">
        <v>2100</v>
      </c>
      <c r="AD258" t="s">
        <v>225</v>
      </c>
      <c r="AE258">
        <v>9</v>
      </c>
    </row>
    <row r="259" spans="1:32" x14ac:dyDescent="0.3">
      <c r="A259" t="s">
        <v>351</v>
      </c>
      <c r="B259" t="s">
        <v>63</v>
      </c>
      <c r="C259" t="s">
        <v>95</v>
      </c>
      <c r="D259" t="s">
        <v>310</v>
      </c>
      <c r="E259" t="s">
        <v>828</v>
      </c>
      <c r="F259" s="15">
        <v>46239.427071759259</v>
      </c>
      <c r="G259" t="s">
        <v>412</v>
      </c>
      <c r="H259">
        <v>25</v>
      </c>
      <c r="I259" t="s">
        <v>829</v>
      </c>
      <c r="J259" s="15">
        <v>46240.368750000001</v>
      </c>
      <c r="K259" s="15">
        <v>46246.47152777778</v>
      </c>
      <c r="L259" s="15"/>
      <c r="M259">
        <v>25</v>
      </c>
      <c r="O259" t="s">
        <v>529</v>
      </c>
      <c r="S259" t="s">
        <v>359</v>
      </c>
      <c r="T259" t="s">
        <v>377</v>
      </c>
      <c r="U259" t="s">
        <v>239</v>
      </c>
      <c r="V259" t="s">
        <v>7</v>
      </c>
      <c r="W259" t="s">
        <v>7</v>
      </c>
      <c r="X259" t="s">
        <v>7</v>
      </c>
      <c r="AA259" t="s">
        <v>96</v>
      </c>
      <c r="AB259" t="s">
        <v>359</v>
      </c>
      <c r="AC259">
        <v>2100</v>
      </c>
      <c r="AD259" t="s">
        <v>225</v>
      </c>
      <c r="AE259">
        <v>25</v>
      </c>
    </row>
    <row r="260" spans="1:32" x14ac:dyDescent="0.3">
      <c r="A260" t="s">
        <v>351</v>
      </c>
      <c r="B260" t="s">
        <v>63</v>
      </c>
      <c r="C260" t="s">
        <v>95</v>
      </c>
      <c r="D260" t="s">
        <v>310</v>
      </c>
      <c r="E260" t="s">
        <v>828</v>
      </c>
      <c r="F260" s="15">
        <v>46239.427071759259</v>
      </c>
      <c r="G260" t="s">
        <v>412</v>
      </c>
      <c r="H260">
        <v>1</v>
      </c>
      <c r="I260" t="s">
        <v>829</v>
      </c>
      <c r="J260" s="15">
        <v>46240.368750000001</v>
      </c>
      <c r="K260" s="15">
        <v>46246.47152777778</v>
      </c>
      <c r="L260" s="15"/>
      <c r="M260">
        <v>1</v>
      </c>
      <c r="O260" t="s">
        <v>529</v>
      </c>
      <c r="S260" t="s">
        <v>359</v>
      </c>
      <c r="T260" t="s">
        <v>377</v>
      </c>
      <c r="U260" t="s">
        <v>239</v>
      </c>
      <c r="V260" t="s">
        <v>7</v>
      </c>
      <c r="W260" t="s">
        <v>7</v>
      </c>
      <c r="X260" t="s">
        <v>7</v>
      </c>
      <c r="AA260" t="s">
        <v>96</v>
      </c>
      <c r="AB260" t="s">
        <v>359</v>
      </c>
      <c r="AC260">
        <v>2100</v>
      </c>
      <c r="AD260" t="s">
        <v>225</v>
      </c>
      <c r="AE260">
        <v>1</v>
      </c>
    </row>
    <row r="261" spans="1:32" x14ac:dyDescent="0.3">
      <c r="A261" t="s">
        <v>351</v>
      </c>
      <c r="B261" t="s">
        <v>63</v>
      </c>
      <c r="C261" t="s">
        <v>95</v>
      </c>
      <c r="D261" t="s">
        <v>310</v>
      </c>
      <c r="E261" t="s">
        <v>828</v>
      </c>
      <c r="F261" s="15">
        <v>46239.427071759259</v>
      </c>
      <c r="G261" t="s">
        <v>412</v>
      </c>
      <c r="H261">
        <v>2</v>
      </c>
      <c r="I261" t="s">
        <v>829</v>
      </c>
      <c r="J261" s="15">
        <v>46240.368750000001</v>
      </c>
      <c r="K261" s="15">
        <v>46246.47152777778</v>
      </c>
      <c r="L261" s="15"/>
      <c r="M261">
        <v>2</v>
      </c>
      <c r="O261" t="s">
        <v>529</v>
      </c>
      <c r="S261" t="s">
        <v>359</v>
      </c>
      <c r="T261" t="s">
        <v>377</v>
      </c>
      <c r="U261" t="s">
        <v>239</v>
      </c>
      <c r="V261" t="s">
        <v>7</v>
      </c>
      <c r="W261" t="s">
        <v>7</v>
      </c>
      <c r="X261" t="s">
        <v>7</v>
      </c>
      <c r="AA261" t="s">
        <v>96</v>
      </c>
      <c r="AB261" t="s">
        <v>359</v>
      </c>
      <c r="AC261">
        <v>2100</v>
      </c>
      <c r="AD261" t="s">
        <v>225</v>
      </c>
      <c r="AE261">
        <v>2</v>
      </c>
    </row>
    <row r="262" spans="1:32" x14ac:dyDescent="0.3">
      <c r="A262" t="s">
        <v>351</v>
      </c>
      <c r="B262" t="s">
        <v>63</v>
      </c>
      <c r="C262" t="s">
        <v>95</v>
      </c>
      <c r="D262" t="s">
        <v>310</v>
      </c>
      <c r="E262" t="s">
        <v>828</v>
      </c>
      <c r="F262" s="15">
        <v>46239.427071759259</v>
      </c>
      <c r="G262" t="s">
        <v>412</v>
      </c>
      <c r="H262">
        <v>1</v>
      </c>
      <c r="I262" t="s">
        <v>829</v>
      </c>
      <c r="J262" s="15">
        <v>46240.368750000001</v>
      </c>
      <c r="K262" s="15">
        <v>46246.47152777778</v>
      </c>
      <c r="L262" s="15"/>
      <c r="M262">
        <v>1</v>
      </c>
      <c r="O262" t="s">
        <v>529</v>
      </c>
      <c r="S262" t="s">
        <v>359</v>
      </c>
      <c r="T262" t="s">
        <v>377</v>
      </c>
      <c r="U262" t="s">
        <v>239</v>
      </c>
      <c r="V262" t="s">
        <v>7</v>
      </c>
      <c r="W262" t="s">
        <v>7</v>
      </c>
      <c r="X262" t="s">
        <v>7</v>
      </c>
      <c r="AA262" t="s">
        <v>96</v>
      </c>
      <c r="AB262" t="s">
        <v>359</v>
      </c>
      <c r="AC262">
        <v>2100</v>
      </c>
      <c r="AD262" t="s">
        <v>225</v>
      </c>
      <c r="AE262">
        <v>1</v>
      </c>
    </row>
    <row r="263" spans="1:32" x14ac:dyDescent="0.3">
      <c r="A263" t="s">
        <v>351</v>
      </c>
      <c r="B263" t="s">
        <v>57</v>
      </c>
      <c r="C263" t="s">
        <v>117</v>
      </c>
      <c r="D263" t="s">
        <v>310</v>
      </c>
      <c r="E263" t="s">
        <v>828</v>
      </c>
      <c r="F263" s="15">
        <v>46239.427071759259</v>
      </c>
      <c r="G263" t="s">
        <v>412</v>
      </c>
      <c r="H263">
        <v>9</v>
      </c>
      <c r="I263" t="s">
        <v>829</v>
      </c>
      <c r="J263" s="15">
        <v>46240.368750000001</v>
      </c>
      <c r="K263" s="15">
        <v>46246.47152777778</v>
      </c>
      <c r="L263" s="15"/>
      <c r="M263">
        <v>9</v>
      </c>
      <c r="O263" t="s">
        <v>201</v>
      </c>
      <c r="P263" t="s">
        <v>532</v>
      </c>
      <c r="S263" t="s">
        <v>359</v>
      </c>
      <c r="T263" t="s">
        <v>377</v>
      </c>
      <c r="U263" t="s">
        <v>239</v>
      </c>
      <c r="V263" t="s">
        <v>7</v>
      </c>
      <c r="W263" t="s">
        <v>7</v>
      </c>
      <c r="X263" t="s">
        <v>7</v>
      </c>
      <c r="AA263" t="s">
        <v>127</v>
      </c>
      <c r="AB263" t="s">
        <v>359</v>
      </c>
      <c r="AC263">
        <v>2100</v>
      </c>
      <c r="AD263" t="s">
        <v>233</v>
      </c>
      <c r="AE263">
        <v>1</v>
      </c>
    </row>
    <row r="264" spans="1:32" x14ac:dyDescent="0.3">
      <c r="A264" t="s">
        <v>351</v>
      </c>
      <c r="B264" t="s">
        <v>57</v>
      </c>
      <c r="C264" t="s">
        <v>117</v>
      </c>
      <c r="D264" t="s">
        <v>310</v>
      </c>
      <c r="E264" t="s">
        <v>828</v>
      </c>
      <c r="F264" s="15">
        <v>46239.427071759259</v>
      </c>
      <c r="G264" t="s">
        <v>412</v>
      </c>
      <c r="H264">
        <v>25</v>
      </c>
      <c r="I264" t="s">
        <v>829</v>
      </c>
      <c r="J264" s="15">
        <v>46240.368750000001</v>
      </c>
      <c r="K264" s="15">
        <v>46246.47152777778</v>
      </c>
      <c r="L264" s="15"/>
      <c r="M264">
        <v>25</v>
      </c>
      <c r="O264" t="s">
        <v>529</v>
      </c>
      <c r="S264" t="s">
        <v>359</v>
      </c>
      <c r="T264" t="s">
        <v>377</v>
      </c>
      <c r="U264" t="s">
        <v>239</v>
      </c>
      <c r="V264" t="s">
        <v>7</v>
      </c>
      <c r="W264" t="s">
        <v>7</v>
      </c>
      <c r="X264" t="s">
        <v>7</v>
      </c>
      <c r="AA264" t="s">
        <v>127</v>
      </c>
      <c r="AB264" t="s">
        <v>359</v>
      </c>
      <c r="AC264">
        <v>2100</v>
      </c>
      <c r="AD264" t="s">
        <v>233</v>
      </c>
      <c r="AE264">
        <v>2.5</v>
      </c>
    </row>
    <row r="265" spans="1:32" x14ac:dyDescent="0.3">
      <c r="A265" t="s">
        <v>351</v>
      </c>
      <c r="B265" t="s">
        <v>57</v>
      </c>
      <c r="C265" t="s">
        <v>117</v>
      </c>
      <c r="D265" t="s">
        <v>310</v>
      </c>
      <c r="E265" t="s">
        <v>828</v>
      </c>
      <c r="F265" s="15">
        <v>46239.427071759259</v>
      </c>
      <c r="G265" t="s">
        <v>412</v>
      </c>
      <c r="H265">
        <v>1</v>
      </c>
      <c r="I265" t="s">
        <v>829</v>
      </c>
      <c r="J265" s="15">
        <v>46240.368750000001</v>
      </c>
      <c r="K265" s="15">
        <v>46246.47152777778</v>
      </c>
      <c r="L265" s="15"/>
      <c r="M265">
        <v>1</v>
      </c>
      <c r="O265" t="s">
        <v>529</v>
      </c>
      <c r="S265" t="s">
        <v>359</v>
      </c>
      <c r="T265" t="s">
        <v>377</v>
      </c>
      <c r="U265" t="s">
        <v>239</v>
      </c>
      <c r="V265" t="s">
        <v>7</v>
      </c>
      <c r="W265" t="s">
        <v>7</v>
      </c>
      <c r="X265" t="s">
        <v>7</v>
      </c>
      <c r="AA265" t="s">
        <v>127</v>
      </c>
      <c r="AB265" t="s">
        <v>359</v>
      </c>
      <c r="AC265">
        <v>2100</v>
      </c>
      <c r="AD265" t="s">
        <v>233</v>
      </c>
      <c r="AE265">
        <v>1</v>
      </c>
    </row>
    <row r="266" spans="1:32" x14ac:dyDescent="0.3">
      <c r="A266" t="s">
        <v>351</v>
      </c>
      <c r="B266" t="s">
        <v>57</v>
      </c>
      <c r="C266" t="s">
        <v>117</v>
      </c>
      <c r="D266" t="s">
        <v>310</v>
      </c>
      <c r="E266" t="s">
        <v>828</v>
      </c>
      <c r="F266" s="15">
        <v>46239.427071759259</v>
      </c>
      <c r="G266" t="s">
        <v>412</v>
      </c>
      <c r="H266">
        <v>1</v>
      </c>
      <c r="I266" t="s">
        <v>829</v>
      </c>
      <c r="J266" s="15">
        <v>46240.368750000001</v>
      </c>
      <c r="K266" s="15">
        <v>46246.47152777778</v>
      </c>
      <c r="L266" s="15"/>
      <c r="M266">
        <v>1</v>
      </c>
      <c r="O266" t="s">
        <v>529</v>
      </c>
      <c r="S266" t="s">
        <v>359</v>
      </c>
      <c r="T266" t="s">
        <v>377</v>
      </c>
      <c r="U266" t="s">
        <v>239</v>
      </c>
      <c r="V266" t="s">
        <v>7</v>
      </c>
      <c r="W266" t="s">
        <v>7</v>
      </c>
      <c r="X266" t="s">
        <v>7</v>
      </c>
      <c r="AA266" t="s">
        <v>127</v>
      </c>
      <c r="AB266" t="s">
        <v>359</v>
      </c>
      <c r="AC266">
        <v>2100</v>
      </c>
      <c r="AD266" t="s">
        <v>233</v>
      </c>
      <c r="AE266">
        <v>1</v>
      </c>
    </row>
    <row r="267" spans="1:32" x14ac:dyDescent="0.3">
      <c r="A267" t="s">
        <v>351</v>
      </c>
      <c r="B267" t="s">
        <v>57</v>
      </c>
      <c r="C267" t="s">
        <v>117</v>
      </c>
      <c r="D267" t="s">
        <v>310</v>
      </c>
      <c r="E267" t="s">
        <v>828</v>
      </c>
      <c r="F267" s="15">
        <v>46239.427071759259</v>
      </c>
      <c r="G267" t="s">
        <v>412</v>
      </c>
      <c r="H267">
        <v>2</v>
      </c>
      <c r="I267" t="s">
        <v>829</v>
      </c>
      <c r="J267" s="15">
        <v>46240.368750000001</v>
      </c>
      <c r="K267" s="15">
        <v>46246.47152777778</v>
      </c>
      <c r="L267" s="15"/>
      <c r="M267">
        <v>2</v>
      </c>
      <c r="O267" t="s">
        <v>529</v>
      </c>
      <c r="S267" t="s">
        <v>359</v>
      </c>
      <c r="T267" t="s">
        <v>377</v>
      </c>
      <c r="U267" t="s">
        <v>239</v>
      </c>
      <c r="V267" t="s">
        <v>7</v>
      </c>
      <c r="W267" t="s">
        <v>7</v>
      </c>
      <c r="X267" t="s">
        <v>7</v>
      </c>
      <c r="AA267" t="s">
        <v>127</v>
      </c>
      <c r="AB267" t="s">
        <v>359</v>
      </c>
      <c r="AC267">
        <v>2100</v>
      </c>
      <c r="AD267" t="s">
        <v>233</v>
      </c>
      <c r="AE267">
        <v>1</v>
      </c>
    </row>
    <row r="268" spans="1:32" x14ac:dyDescent="0.3">
      <c r="A268" t="s">
        <v>351</v>
      </c>
      <c r="B268" t="s">
        <v>45</v>
      </c>
      <c r="C268" t="s">
        <v>68</v>
      </c>
      <c r="D268" t="s">
        <v>310</v>
      </c>
      <c r="E268" t="s">
        <v>877</v>
      </c>
      <c r="F268" s="15">
        <v>46244.473298611112</v>
      </c>
      <c r="G268" t="s">
        <v>408</v>
      </c>
      <c r="H268">
        <v>2</v>
      </c>
      <c r="I268" t="s">
        <v>878</v>
      </c>
      <c r="J268" s="15">
        <v>46245.607638888891</v>
      </c>
      <c r="K268" s="15">
        <v>46246.458333333336</v>
      </c>
      <c r="L268" s="15"/>
      <c r="M268">
        <v>2</v>
      </c>
      <c r="O268" t="s">
        <v>201</v>
      </c>
      <c r="P268" t="s">
        <v>532</v>
      </c>
      <c r="S268" t="s">
        <v>359</v>
      </c>
      <c r="T268" t="s">
        <v>377</v>
      </c>
      <c r="U268" t="s">
        <v>239</v>
      </c>
      <c r="V268" t="s">
        <v>351</v>
      </c>
      <c r="W268" t="s">
        <v>378</v>
      </c>
      <c r="X268" t="s">
        <v>239</v>
      </c>
      <c r="Y268">
        <v>103</v>
      </c>
      <c r="AA268" t="s">
        <v>67</v>
      </c>
      <c r="AB268" t="s">
        <v>359</v>
      </c>
      <c r="AC268">
        <v>2100</v>
      </c>
      <c r="AD268" t="s">
        <v>217</v>
      </c>
      <c r="AE268">
        <v>1</v>
      </c>
      <c r="AF268">
        <v>1</v>
      </c>
    </row>
    <row r="269" spans="1:32" x14ac:dyDescent="0.3">
      <c r="A269" t="s">
        <v>351</v>
      </c>
      <c r="B269" t="s">
        <v>45</v>
      </c>
      <c r="C269" t="s">
        <v>68</v>
      </c>
      <c r="D269" t="s">
        <v>310</v>
      </c>
      <c r="E269" t="s">
        <v>885</v>
      </c>
      <c r="F269" s="15">
        <v>46246.66033564815</v>
      </c>
      <c r="G269" t="s">
        <v>408</v>
      </c>
      <c r="H269">
        <v>3</v>
      </c>
      <c r="I269" t="s">
        <v>884</v>
      </c>
      <c r="J269" s="15">
        <v>46246.69027777778</v>
      </c>
      <c r="K269" s="15">
        <v>46252.458333333336</v>
      </c>
      <c r="L269" s="15"/>
      <c r="M269">
        <v>3</v>
      </c>
      <c r="O269" t="s">
        <v>201</v>
      </c>
      <c r="P269" t="s">
        <v>531</v>
      </c>
      <c r="S269" t="s">
        <v>359</v>
      </c>
      <c r="T269" t="s">
        <v>377</v>
      </c>
      <c r="U269" t="s">
        <v>239</v>
      </c>
      <c r="V269" t="s">
        <v>351</v>
      </c>
      <c r="W269" t="s">
        <v>378</v>
      </c>
      <c r="X269" t="s">
        <v>239</v>
      </c>
      <c r="Y269">
        <v>103</v>
      </c>
      <c r="AA269" t="s">
        <v>67</v>
      </c>
      <c r="AB269" t="s">
        <v>359</v>
      </c>
      <c r="AC269">
        <v>2100</v>
      </c>
      <c r="AD269" t="s">
        <v>217</v>
      </c>
      <c r="AE269">
        <v>1</v>
      </c>
      <c r="AF269">
        <v>1</v>
      </c>
    </row>
    <row r="270" spans="1:32" x14ac:dyDescent="0.3">
      <c r="A270" t="s">
        <v>351</v>
      </c>
      <c r="B270" t="s">
        <v>45</v>
      </c>
      <c r="C270" t="s">
        <v>68</v>
      </c>
      <c r="D270" t="s">
        <v>310</v>
      </c>
      <c r="E270" t="s">
        <v>886</v>
      </c>
      <c r="F270" s="15">
        <v>46246.659872685188</v>
      </c>
      <c r="G270" t="s">
        <v>887</v>
      </c>
      <c r="H270">
        <v>3</v>
      </c>
      <c r="I270" t="s">
        <v>884</v>
      </c>
      <c r="J270" s="15">
        <v>46246.69027777778</v>
      </c>
      <c r="K270" s="15">
        <v>46252.458333333336</v>
      </c>
      <c r="L270" s="15"/>
      <c r="M270">
        <v>3</v>
      </c>
      <c r="O270" t="s">
        <v>201</v>
      </c>
      <c r="P270" t="s">
        <v>531</v>
      </c>
      <c r="S270" t="s">
        <v>359</v>
      </c>
      <c r="T270" t="s">
        <v>377</v>
      </c>
      <c r="U270" t="s">
        <v>239</v>
      </c>
      <c r="V270" t="s">
        <v>351</v>
      </c>
      <c r="W270" t="s">
        <v>378</v>
      </c>
      <c r="X270" t="s">
        <v>239</v>
      </c>
      <c r="AA270" t="s">
        <v>67</v>
      </c>
      <c r="AB270" t="s">
        <v>359</v>
      </c>
      <c r="AC270">
        <v>2100</v>
      </c>
      <c r="AD270" t="s">
        <v>217</v>
      </c>
      <c r="AE270">
        <v>1</v>
      </c>
    </row>
    <row r="271" spans="1:32" x14ac:dyDescent="0.3">
      <c r="A271" t="s">
        <v>351</v>
      </c>
      <c r="B271" t="s">
        <v>45</v>
      </c>
      <c r="C271" t="s">
        <v>68</v>
      </c>
      <c r="D271" t="s">
        <v>310</v>
      </c>
      <c r="E271" t="s">
        <v>879</v>
      </c>
      <c r="F271" s="15">
        <v>46245.574305555558</v>
      </c>
      <c r="G271" t="s">
        <v>408</v>
      </c>
      <c r="H271">
        <v>3</v>
      </c>
      <c r="I271" t="s">
        <v>880</v>
      </c>
      <c r="J271" s="15">
        <v>46245.65902777778</v>
      </c>
      <c r="K271" s="15">
        <v>46246.458333333336</v>
      </c>
      <c r="L271" s="15"/>
      <c r="M271">
        <v>3</v>
      </c>
      <c r="O271" t="s">
        <v>201</v>
      </c>
      <c r="P271" t="s">
        <v>532</v>
      </c>
      <c r="S271" t="s">
        <v>359</v>
      </c>
      <c r="T271" t="s">
        <v>377</v>
      </c>
      <c r="U271" t="s">
        <v>239</v>
      </c>
      <c r="V271" t="s">
        <v>351</v>
      </c>
      <c r="W271" t="s">
        <v>378</v>
      </c>
      <c r="X271" t="s">
        <v>239</v>
      </c>
      <c r="AA271" t="s">
        <v>67</v>
      </c>
      <c r="AB271" t="s">
        <v>359</v>
      </c>
      <c r="AC271">
        <v>2100</v>
      </c>
      <c r="AD271" t="s">
        <v>217</v>
      </c>
      <c r="AE271">
        <v>1</v>
      </c>
    </row>
    <row r="272" spans="1:32" x14ac:dyDescent="0.3">
      <c r="A272" t="s">
        <v>351</v>
      </c>
      <c r="B272" t="s">
        <v>45</v>
      </c>
      <c r="C272" t="s">
        <v>68</v>
      </c>
      <c r="D272" t="s">
        <v>310</v>
      </c>
      <c r="E272" t="s">
        <v>881</v>
      </c>
      <c r="F272" s="15">
        <v>46244.657546296294</v>
      </c>
      <c r="G272" t="s">
        <v>408</v>
      </c>
      <c r="H272">
        <v>5</v>
      </c>
      <c r="I272" t="s">
        <v>882</v>
      </c>
      <c r="J272" s="15">
        <v>46245.393750000003</v>
      </c>
      <c r="K272" s="15">
        <v>46246.458333333336</v>
      </c>
      <c r="L272" s="15"/>
      <c r="M272">
        <v>5</v>
      </c>
      <c r="O272" t="s">
        <v>201</v>
      </c>
      <c r="P272" t="s">
        <v>532</v>
      </c>
      <c r="S272" t="s">
        <v>359</v>
      </c>
      <c r="T272" t="s">
        <v>377</v>
      </c>
      <c r="U272" t="s">
        <v>239</v>
      </c>
      <c r="V272" t="s">
        <v>351</v>
      </c>
      <c r="W272" t="s">
        <v>378</v>
      </c>
      <c r="X272" t="s">
        <v>239</v>
      </c>
      <c r="AA272" t="s">
        <v>67</v>
      </c>
      <c r="AB272" t="s">
        <v>359</v>
      </c>
      <c r="AC272">
        <v>2100</v>
      </c>
      <c r="AD272" t="s">
        <v>217</v>
      </c>
      <c r="AE272">
        <v>1</v>
      </c>
    </row>
    <row r="273" spans="1:32" x14ac:dyDescent="0.3">
      <c r="A273" t="s">
        <v>351</v>
      </c>
      <c r="B273" t="s">
        <v>45</v>
      </c>
      <c r="C273" t="s">
        <v>68</v>
      </c>
      <c r="D273" t="s">
        <v>310</v>
      </c>
      <c r="E273" t="s">
        <v>889</v>
      </c>
      <c r="F273" s="15">
        <v>46244.47451388889</v>
      </c>
      <c r="G273" t="s">
        <v>408</v>
      </c>
      <c r="H273">
        <v>3</v>
      </c>
      <c r="I273" t="s">
        <v>890</v>
      </c>
      <c r="J273" s="15">
        <v>46244.695833333331</v>
      </c>
      <c r="K273" s="15">
        <v>46246.458333333336</v>
      </c>
      <c r="L273" s="15"/>
      <c r="M273">
        <v>3</v>
      </c>
      <c r="O273" t="s">
        <v>201</v>
      </c>
      <c r="P273" t="s">
        <v>532</v>
      </c>
      <c r="S273" t="s">
        <v>359</v>
      </c>
      <c r="T273" t="s">
        <v>377</v>
      </c>
      <c r="U273" t="s">
        <v>239</v>
      </c>
      <c r="V273" t="s">
        <v>351</v>
      </c>
      <c r="W273" t="s">
        <v>378</v>
      </c>
      <c r="X273" t="s">
        <v>239</v>
      </c>
      <c r="Y273">
        <v>103</v>
      </c>
      <c r="AA273" t="s">
        <v>67</v>
      </c>
      <c r="AB273" t="s">
        <v>359</v>
      </c>
      <c r="AC273">
        <v>2100</v>
      </c>
      <c r="AD273" t="s">
        <v>217</v>
      </c>
      <c r="AE273">
        <v>1</v>
      </c>
    </row>
    <row r="274" spans="1:32" x14ac:dyDescent="0.3">
      <c r="A274" t="s">
        <v>351</v>
      </c>
      <c r="B274" t="s">
        <v>45</v>
      </c>
      <c r="C274" t="s">
        <v>68</v>
      </c>
      <c r="D274" t="s">
        <v>310</v>
      </c>
      <c r="E274" t="s">
        <v>883</v>
      </c>
      <c r="F274" s="15">
        <v>46246.658784722225</v>
      </c>
      <c r="G274" t="s">
        <v>408</v>
      </c>
      <c r="H274">
        <v>1</v>
      </c>
      <c r="I274" t="s">
        <v>884</v>
      </c>
      <c r="J274" s="15">
        <v>46246.69027777778</v>
      </c>
      <c r="K274" s="15">
        <v>46252.458333333336</v>
      </c>
      <c r="L274" s="15"/>
      <c r="M274">
        <v>1</v>
      </c>
      <c r="O274" t="s">
        <v>201</v>
      </c>
      <c r="P274" t="s">
        <v>531</v>
      </c>
      <c r="S274" t="s">
        <v>359</v>
      </c>
      <c r="T274" t="s">
        <v>377</v>
      </c>
      <c r="U274" t="s">
        <v>239</v>
      </c>
      <c r="V274" t="s">
        <v>351</v>
      </c>
      <c r="W274" t="s">
        <v>378</v>
      </c>
      <c r="X274" t="s">
        <v>239</v>
      </c>
      <c r="AA274" t="s">
        <v>67</v>
      </c>
      <c r="AB274" t="s">
        <v>359</v>
      </c>
      <c r="AC274">
        <v>2100</v>
      </c>
      <c r="AD274" t="s">
        <v>217</v>
      </c>
      <c r="AE274">
        <v>1</v>
      </c>
    </row>
    <row r="275" spans="1:32" x14ac:dyDescent="0.3">
      <c r="A275" t="s">
        <v>351</v>
      </c>
      <c r="B275" t="s">
        <v>45</v>
      </c>
      <c r="C275" t="s">
        <v>68</v>
      </c>
      <c r="D275" t="s">
        <v>310</v>
      </c>
      <c r="E275" t="s">
        <v>895</v>
      </c>
      <c r="F275" s="15">
        <v>46244.477743055555</v>
      </c>
      <c r="G275" t="s">
        <v>408</v>
      </c>
      <c r="H275">
        <v>1</v>
      </c>
      <c r="I275" t="s">
        <v>890</v>
      </c>
      <c r="J275" s="15">
        <v>46244.695833333331</v>
      </c>
      <c r="K275" s="15">
        <v>46246.458333333336</v>
      </c>
      <c r="L275" s="15"/>
      <c r="M275">
        <v>1</v>
      </c>
      <c r="O275" t="s">
        <v>201</v>
      </c>
      <c r="P275" t="s">
        <v>532</v>
      </c>
      <c r="S275" t="s">
        <v>359</v>
      </c>
      <c r="T275" t="s">
        <v>377</v>
      </c>
      <c r="U275" t="s">
        <v>239</v>
      </c>
      <c r="V275" t="s">
        <v>351</v>
      </c>
      <c r="W275" t="s">
        <v>378</v>
      </c>
      <c r="X275" t="s">
        <v>239</v>
      </c>
      <c r="AA275" t="s">
        <v>67</v>
      </c>
      <c r="AB275" t="s">
        <v>359</v>
      </c>
      <c r="AC275">
        <v>2100</v>
      </c>
      <c r="AD275" t="s">
        <v>217</v>
      </c>
      <c r="AE275">
        <v>1</v>
      </c>
    </row>
    <row r="276" spans="1:32" x14ac:dyDescent="0.3">
      <c r="A276" t="s">
        <v>351</v>
      </c>
      <c r="B276" t="s">
        <v>45</v>
      </c>
      <c r="C276" t="s">
        <v>68</v>
      </c>
      <c r="D276" t="s">
        <v>310</v>
      </c>
      <c r="E276" t="s">
        <v>893</v>
      </c>
      <c r="F276" s="15">
        <v>46244.473958333336</v>
      </c>
      <c r="G276" t="s">
        <v>408</v>
      </c>
      <c r="H276">
        <v>1</v>
      </c>
      <c r="I276" t="s">
        <v>892</v>
      </c>
      <c r="J276" s="15">
        <v>46244.682638888888</v>
      </c>
      <c r="K276" s="15">
        <v>46246.458333333336</v>
      </c>
      <c r="L276" s="15"/>
      <c r="M276">
        <v>1</v>
      </c>
      <c r="O276" t="s">
        <v>201</v>
      </c>
      <c r="P276" t="s">
        <v>532</v>
      </c>
      <c r="S276" t="s">
        <v>359</v>
      </c>
      <c r="T276" t="s">
        <v>377</v>
      </c>
      <c r="U276" t="s">
        <v>239</v>
      </c>
      <c r="V276" t="s">
        <v>351</v>
      </c>
      <c r="W276" t="s">
        <v>378</v>
      </c>
      <c r="X276" t="s">
        <v>239</v>
      </c>
      <c r="AA276" t="s">
        <v>67</v>
      </c>
      <c r="AB276" t="s">
        <v>359</v>
      </c>
      <c r="AC276">
        <v>2100</v>
      </c>
      <c r="AD276" t="s">
        <v>217</v>
      </c>
      <c r="AE276">
        <v>1</v>
      </c>
    </row>
    <row r="277" spans="1:32" x14ac:dyDescent="0.3">
      <c r="A277" t="s">
        <v>351</v>
      </c>
      <c r="B277" t="s">
        <v>45</v>
      </c>
      <c r="C277" t="s">
        <v>68</v>
      </c>
      <c r="D277" t="s">
        <v>310</v>
      </c>
      <c r="E277" t="s">
        <v>894</v>
      </c>
      <c r="F277" s="15">
        <v>46244.476030092592</v>
      </c>
      <c r="G277" t="s">
        <v>408</v>
      </c>
      <c r="H277">
        <v>3</v>
      </c>
      <c r="I277" t="s">
        <v>892</v>
      </c>
      <c r="J277" s="15">
        <v>46244.682638888888</v>
      </c>
      <c r="K277" s="15">
        <v>46246.458333333336</v>
      </c>
      <c r="L277" s="15"/>
      <c r="M277">
        <v>3</v>
      </c>
      <c r="O277" t="s">
        <v>201</v>
      </c>
      <c r="P277" t="s">
        <v>532</v>
      </c>
      <c r="S277" t="s">
        <v>359</v>
      </c>
      <c r="T277" t="s">
        <v>377</v>
      </c>
      <c r="U277" t="s">
        <v>239</v>
      </c>
      <c r="V277" t="s">
        <v>351</v>
      </c>
      <c r="W277" t="s">
        <v>378</v>
      </c>
      <c r="X277" t="s">
        <v>239</v>
      </c>
      <c r="AA277" t="s">
        <v>67</v>
      </c>
      <c r="AB277" t="s">
        <v>359</v>
      </c>
      <c r="AC277">
        <v>2100</v>
      </c>
      <c r="AD277" t="s">
        <v>217</v>
      </c>
      <c r="AE277">
        <v>1</v>
      </c>
    </row>
    <row r="278" spans="1:32" x14ac:dyDescent="0.3">
      <c r="A278" t="s">
        <v>351</v>
      </c>
      <c r="B278" t="s">
        <v>45</v>
      </c>
      <c r="C278" t="s">
        <v>68</v>
      </c>
      <c r="D278" t="s">
        <v>310</v>
      </c>
      <c r="E278" t="s">
        <v>896</v>
      </c>
      <c r="F278" s="15">
        <v>46237.458333333336</v>
      </c>
      <c r="G278" t="s">
        <v>408</v>
      </c>
      <c r="H278">
        <v>5</v>
      </c>
      <c r="I278" t="s">
        <v>897</v>
      </c>
      <c r="J278" s="15">
        <v>46237.70208333333</v>
      </c>
      <c r="K278" s="15">
        <v>46239.5</v>
      </c>
      <c r="L278" s="15"/>
      <c r="M278">
        <v>5</v>
      </c>
      <c r="O278" t="s">
        <v>201</v>
      </c>
      <c r="P278" t="s">
        <v>532</v>
      </c>
      <c r="S278" t="s">
        <v>359</v>
      </c>
      <c r="T278" t="s">
        <v>377</v>
      </c>
      <c r="U278" t="s">
        <v>239</v>
      </c>
      <c r="V278" t="s">
        <v>351</v>
      </c>
      <c r="W278" t="s">
        <v>378</v>
      </c>
      <c r="X278" t="s">
        <v>239</v>
      </c>
      <c r="Y278">
        <v>103</v>
      </c>
      <c r="AA278" t="s">
        <v>67</v>
      </c>
      <c r="AB278" t="s">
        <v>359</v>
      </c>
      <c r="AC278">
        <v>2100</v>
      </c>
      <c r="AD278" t="s">
        <v>217</v>
      </c>
      <c r="AE278">
        <v>1</v>
      </c>
    </row>
    <row r="279" spans="1:32" x14ac:dyDescent="0.3">
      <c r="A279" t="s">
        <v>351</v>
      </c>
      <c r="B279" t="s">
        <v>45</v>
      </c>
      <c r="C279" t="s">
        <v>68</v>
      </c>
      <c r="D279" t="s">
        <v>310</v>
      </c>
      <c r="E279" t="s">
        <v>891</v>
      </c>
      <c r="F279" s="15">
        <v>46244.476921296293</v>
      </c>
      <c r="G279" t="s">
        <v>408</v>
      </c>
      <c r="H279">
        <v>3</v>
      </c>
      <c r="I279" t="s">
        <v>892</v>
      </c>
      <c r="J279" s="15">
        <v>46244.682638888888</v>
      </c>
      <c r="K279" s="15">
        <v>46246.458333333336</v>
      </c>
      <c r="L279" s="15"/>
      <c r="M279">
        <v>3</v>
      </c>
      <c r="O279" t="s">
        <v>201</v>
      </c>
      <c r="P279" t="s">
        <v>532</v>
      </c>
      <c r="S279" t="s">
        <v>359</v>
      </c>
      <c r="T279" t="s">
        <v>377</v>
      </c>
      <c r="U279" t="s">
        <v>239</v>
      </c>
      <c r="V279" t="s">
        <v>351</v>
      </c>
      <c r="W279" t="s">
        <v>378</v>
      </c>
      <c r="X279" t="s">
        <v>239</v>
      </c>
      <c r="AA279" t="s">
        <v>67</v>
      </c>
      <c r="AB279" t="s">
        <v>359</v>
      </c>
      <c r="AC279">
        <v>2100</v>
      </c>
      <c r="AD279" t="s">
        <v>217</v>
      </c>
      <c r="AE279">
        <v>1</v>
      </c>
    </row>
    <row r="280" spans="1:32" x14ac:dyDescent="0.3">
      <c r="A280" t="s">
        <v>351</v>
      </c>
      <c r="B280" t="s">
        <v>45</v>
      </c>
      <c r="C280" t="s">
        <v>68</v>
      </c>
      <c r="D280" t="s">
        <v>310</v>
      </c>
      <c r="E280" t="s">
        <v>888</v>
      </c>
      <c r="F280" s="15">
        <v>46246.659317129626</v>
      </c>
      <c r="G280" t="s">
        <v>408</v>
      </c>
      <c r="H280">
        <v>3</v>
      </c>
      <c r="I280" t="s">
        <v>884</v>
      </c>
      <c r="J280" s="15">
        <v>46246.69027777778</v>
      </c>
      <c r="K280" s="15">
        <v>46252.458333333336</v>
      </c>
      <c r="L280" s="15"/>
      <c r="M280">
        <v>3</v>
      </c>
      <c r="O280" t="s">
        <v>201</v>
      </c>
      <c r="P280" t="s">
        <v>531</v>
      </c>
      <c r="S280" t="s">
        <v>359</v>
      </c>
      <c r="T280" t="s">
        <v>377</v>
      </c>
      <c r="U280" t="s">
        <v>239</v>
      </c>
      <c r="V280" t="s">
        <v>351</v>
      </c>
      <c r="W280" t="s">
        <v>378</v>
      </c>
      <c r="X280" t="s">
        <v>239</v>
      </c>
      <c r="AA280" t="s">
        <v>67</v>
      </c>
      <c r="AB280" t="s">
        <v>359</v>
      </c>
      <c r="AC280">
        <v>2100</v>
      </c>
      <c r="AD280" t="s">
        <v>217</v>
      </c>
      <c r="AE280">
        <v>1</v>
      </c>
    </row>
    <row r="281" spans="1:32" x14ac:dyDescent="0.3">
      <c r="A281" t="s">
        <v>351</v>
      </c>
      <c r="B281" t="s">
        <v>45</v>
      </c>
      <c r="C281" t="s">
        <v>68</v>
      </c>
      <c r="D281" t="s">
        <v>310</v>
      </c>
      <c r="E281" t="s">
        <v>898</v>
      </c>
      <c r="F281" s="15">
        <v>46251.598506944443</v>
      </c>
      <c r="G281" t="s">
        <v>408</v>
      </c>
      <c r="H281">
        <v>3</v>
      </c>
      <c r="I281" t="s">
        <v>899</v>
      </c>
      <c r="J281" s="15">
        <v>46253.477083333331</v>
      </c>
      <c r="K281" s="15">
        <v>46255.493055555555</v>
      </c>
      <c r="L281" s="15"/>
      <c r="M281">
        <v>3</v>
      </c>
      <c r="O281" t="s">
        <v>201</v>
      </c>
      <c r="P281" t="s">
        <v>531</v>
      </c>
      <c r="S281" t="s">
        <v>359</v>
      </c>
      <c r="T281" t="s">
        <v>377</v>
      </c>
      <c r="U281" t="s">
        <v>239</v>
      </c>
      <c r="V281" t="s">
        <v>351</v>
      </c>
      <c r="W281" t="s">
        <v>378</v>
      </c>
      <c r="X281" t="s">
        <v>239</v>
      </c>
      <c r="Y281">
        <v>103</v>
      </c>
      <c r="AA281" t="s">
        <v>67</v>
      </c>
      <c r="AB281" t="s">
        <v>359</v>
      </c>
      <c r="AC281">
        <v>2100</v>
      </c>
      <c r="AD281" t="s">
        <v>217</v>
      </c>
      <c r="AE281">
        <v>1</v>
      </c>
      <c r="AF281">
        <v>1</v>
      </c>
    </row>
    <row r="282" spans="1:32" x14ac:dyDescent="0.3">
      <c r="A282" t="s">
        <v>351</v>
      </c>
      <c r="B282" t="s">
        <v>51</v>
      </c>
      <c r="C282" t="s">
        <v>258</v>
      </c>
      <c r="D282" t="s">
        <v>310</v>
      </c>
      <c r="E282" t="s">
        <v>830</v>
      </c>
      <c r="F282" s="15">
        <v>46251.581516203703</v>
      </c>
      <c r="G282" t="s">
        <v>408</v>
      </c>
      <c r="H282">
        <v>100</v>
      </c>
      <c r="I282" t="s">
        <v>831</v>
      </c>
      <c r="J282" s="15">
        <v>46253.445138888892</v>
      </c>
      <c r="K282" s="15">
        <v>46255.493055555555</v>
      </c>
      <c r="L282" s="15"/>
      <c r="M282">
        <v>100</v>
      </c>
      <c r="O282" t="s">
        <v>201</v>
      </c>
      <c r="P282" t="s">
        <v>531</v>
      </c>
      <c r="S282" t="s">
        <v>359</v>
      </c>
      <c r="T282" t="s">
        <v>377</v>
      </c>
      <c r="U282" t="s">
        <v>239</v>
      </c>
      <c r="V282" t="s">
        <v>7</v>
      </c>
      <c r="W282" t="s">
        <v>7</v>
      </c>
      <c r="X282" t="s">
        <v>7</v>
      </c>
      <c r="AA282" t="s">
        <v>238</v>
      </c>
      <c r="AB282" t="s">
        <v>359</v>
      </c>
      <c r="AC282">
        <v>2100</v>
      </c>
      <c r="AD282" t="s">
        <v>7</v>
      </c>
      <c r="AF282">
        <v>0</v>
      </c>
    </row>
    <row r="283" spans="1:32" x14ac:dyDescent="0.3">
      <c r="A283" t="s">
        <v>351</v>
      </c>
      <c r="B283" t="s">
        <v>51</v>
      </c>
      <c r="C283" t="s">
        <v>258</v>
      </c>
      <c r="D283" t="s">
        <v>310</v>
      </c>
      <c r="E283" t="s">
        <v>832</v>
      </c>
      <c r="F283" s="15">
        <v>46251.566979166666</v>
      </c>
      <c r="G283" t="s">
        <v>408</v>
      </c>
      <c r="H283">
        <v>450</v>
      </c>
      <c r="I283" t="s">
        <v>831</v>
      </c>
      <c r="J283" s="15">
        <v>46253.445138888892</v>
      </c>
      <c r="K283" s="15">
        <v>46255.493055555555</v>
      </c>
      <c r="L283" s="15"/>
      <c r="M283">
        <v>450</v>
      </c>
      <c r="O283" t="s">
        <v>201</v>
      </c>
      <c r="P283" t="s">
        <v>531</v>
      </c>
      <c r="S283" t="s">
        <v>359</v>
      </c>
      <c r="T283" t="s">
        <v>377</v>
      </c>
      <c r="U283" t="s">
        <v>239</v>
      </c>
      <c r="V283" t="s">
        <v>7</v>
      </c>
      <c r="W283" t="s">
        <v>7</v>
      </c>
      <c r="X283" t="s">
        <v>7</v>
      </c>
      <c r="AA283" t="s">
        <v>238</v>
      </c>
      <c r="AB283" t="s">
        <v>359</v>
      </c>
      <c r="AC283">
        <v>2100</v>
      </c>
      <c r="AD283" t="s">
        <v>7</v>
      </c>
    </row>
    <row r="284" spans="1:32" x14ac:dyDescent="0.3">
      <c r="A284" t="s">
        <v>351</v>
      </c>
      <c r="B284" t="s">
        <v>51</v>
      </c>
      <c r="C284" t="s">
        <v>258</v>
      </c>
      <c r="D284" t="s">
        <v>310</v>
      </c>
      <c r="E284" t="s">
        <v>833</v>
      </c>
      <c r="F284" s="15">
        <v>46244.518692129626</v>
      </c>
      <c r="G284" t="s">
        <v>834</v>
      </c>
      <c r="H284">
        <v>64</v>
      </c>
      <c r="I284" t="s">
        <v>835</v>
      </c>
      <c r="J284" s="15">
        <v>46245.446527777778</v>
      </c>
      <c r="K284" s="15">
        <v>46246.4375</v>
      </c>
      <c r="L284" s="15"/>
      <c r="M284">
        <v>64</v>
      </c>
      <c r="O284" t="s">
        <v>201</v>
      </c>
      <c r="P284" t="s">
        <v>532</v>
      </c>
      <c r="S284" t="s">
        <v>359</v>
      </c>
      <c r="T284" t="s">
        <v>377</v>
      </c>
      <c r="U284" t="s">
        <v>239</v>
      </c>
      <c r="V284" t="s">
        <v>7</v>
      </c>
      <c r="W284" t="s">
        <v>7</v>
      </c>
      <c r="X284" t="s">
        <v>7</v>
      </c>
      <c r="AA284" t="s">
        <v>238</v>
      </c>
      <c r="AB284" t="s">
        <v>359</v>
      </c>
      <c r="AC284">
        <v>2100</v>
      </c>
      <c r="AD284" t="s">
        <v>7</v>
      </c>
    </row>
    <row r="285" spans="1:32" x14ac:dyDescent="0.3">
      <c r="A285" t="s">
        <v>351</v>
      </c>
      <c r="B285" t="s">
        <v>51</v>
      </c>
      <c r="C285" t="s">
        <v>258</v>
      </c>
      <c r="D285" t="s">
        <v>310</v>
      </c>
      <c r="E285" t="s">
        <v>836</v>
      </c>
      <c r="F285" s="15">
        <v>46240.542048611111</v>
      </c>
      <c r="G285" t="s">
        <v>412</v>
      </c>
      <c r="H285">
        <v>450</v>
      </c>
      <c r="I285" t="s">
        <v>837</v>
      </c>
      <c r="J285" s="15">
        <v>46244.459722222222</v>
      </c>
      <c r="K285" s="15">
        <v>46246.4375</v>
      </c>
      <c r="L285" s="15"/>
      <c r="M285">
        <v>450</v>
      </c>
      <c r="O285" t="s">
        <v>201</v>
      </c>
      <c r="P285" t="s">
        <v>532</v>
      </c>
      <c r="S285" t="s">
        <v>359</v>
      </c>
      <c r="T285" t="s">
        <v>377</v>
      </c>
      <c r="U285" t="s">
        <v>239</v>
      </c>
      <c r="V285" t="s">
        <v>7</v>
      </c>
      <c r="W285" t="s">
        <v>7</v>
      </c>
      <c r="X285" t="s">
        <v>7</v>
      </c>
      <c r="AA285" t="s">
        <v>238</v>
      </c>
      <c r="AB285" t="s">
        <v>359</v>
      </c>
      <c r="AC285">
        <v>2100</v>
      </c>
      <c r="AD285" t="s">
        <v>7</v>
      </c>
    </row>
    <row r="286" spans="1:32" x14ac:dyDescent="0.3">
      <c r="A286" t="s">
        <v>351</v>
      </c>
      <c r="B286" t="s">
        <v>45</v>
      </c>
      <c r="C286" t="s">
        <v>68</v>
      </c>
      <c r="D286" t="s">
        <v>310</v>
      </c>
      <c r="E286" t="s">
        <v>926</v>
      </c>
      <c r="F286" s="15">
        <v>46254.355046296296</v>
      </c>
      <c r="G286" t="s">
        <v>427</v>
      </c>
      <c r="H286">
        <v>35</v>
      </c>
      <c r="I286" t="s">
        <v>927</v>
      </c>
      <c r="J286" s="15">
        <v>46254.531944444447</v>
      </c>
      <c r="K286" s="15">
        <v>46258.410416666666</v>
      </c>
      <c r="L286" s="15"/>
      <c r="M286">
        <v>35</v>
      </c>
      <c r="O286" t="s">
        <v>201</v>
      </c>
      <c r="P286" t="s">
        <v>532</v>
      </c>
      <c r="S286" t="s">
        <v>365</v>
      </c>
      <c r="T286" t="s">
        <v>377</v>
      </c>
      <c r="U286" t="s">
        <v>239</v>
      </c>
      <c r="V286" t="s">
        <v>351</v>
      </c>
      <c r="W286" t="s">
        <v>378</v>
      </c>
      <c r="X286" t="s">
        <v>239</v>
      </c>
      <c r="Y286">
        <v>93</v>
      </c>
      <c r="AA286" t="s">
        <v>67</v>
      </c>
      <c r="AB286" t="s">
        <v>487</v>
      </c>
      <c r="AC286">
        <v>289</v>
      </c>
      <c r="AD286" t="s">
        <v>217</v>
      </c>
      <c r="AE286">
        <v>3.5</v>
      </c>
      <c r="AF286">
        <v>1</v>
      </c>
    </row>
    <row r="287" spans="1:32" x14ac:dyDescent="0.3">
      <c r="A287" t="s">
        <v>351</v>
      </c>
      <c r="B287" t="s">
        <v>45</v>
      </c>
      <c r="C287" t="s">
        <v>68</v>
      </c>
      <c r="D287" t="s">
        <v>310</v>
      </c>
      <c r="E287" t="s">
        <v>900</v>
      </c>
      <c r="F287" s="15">
        <v>46253.542812500003</v>
      </c>
      <c r="G287" t="s">
        <v>408</v>
      </c>
      <c r="H287">
        <v>3</v>
      </c>
      <c r="I287" t="s">
        <v>901</v>
      </c>
      <c r="J287" s="15">
        <v>46254.361805555556</v>
      </c>
      <c r="K287" s="15">
        <v>46255.493055555555</v>
      </c>
      <c r="L287" s="15"/>
      <c r="M287">
        <v>3</v>
      </c>
      <c r="O287" t="s">
        <v>201</v>
      </c>
      <c r="P287" t="s">
        <v>532</v>
      </c>
      <c r="S287" t="s">
        <v>359</v>
      </c>
      <c r="T287" t="s">
        <v>377</v>
      </c>
      <c r="U287" t="s">
        <v>239</v>
      </c>
      <c r="V287" t="s">
        <v>351</v>
      </c>
      <c r="W287" t="s">
        <v>378</v>
      </c>
      <c r="X287" t="s">
        <v>239</v>
      </c>
      <c r="Y287">
        <v>103</v>
      </c>
      <c r="AA287" t="s">
        <v>67</v>
      </c>
      <c r="AB287" t="s">
        <v>359</v>
      </c>
      <c r="AC287">
        <v>2100</v>
      </c>
      <c r="AD287" t="s">
        <v>217</v>
      </c>
      <c r="AE287">
        <v>1</v>
      </c>
    </row>
    <row r="288" spans="1:32" x14ac:dyDescent="0.3">
      <c r="A288" t="s">
        <v>351</v>
      </c>
      <c r="B288" t="s">
        <v>45</v>
      </c>
      <c r="C288" t="s">
        <v>68</v>
      </c>
      <c r="D288" t="s">
        <v>310</v>
      </c>
      <c r="E288" t="s">
        <v>902</v>
      </c>
      <c r="F288" s="15">
        <v>46253.545694444445</v>
      </c>
      <c r="G288" t="s">
        <v>408</v>
      </c>
      <c r="H288">
        <v>3</v>
      </c>
      <c r="I288" t="s">
        <v>901</v>
      </c>
      <c r="J288" s="15">
        <v>46254.361805555556</v>
      </c>
      <c r="K288" s="15">
        <v>46255.493055555555</v>
      </c>
      <c r="L288" s="15"/>
      <c r="M288">
        <v>3</v>
      </c>
      <c r="O288" t="s">
        <v>201</v>
      </c>
      <c r="P288" t="s">
        <v>532</v>
      </c>
      <c r="S288" t="s">
        <v>359</v>
      </c>
      <c r="T288" t="s">
        <v>377</v>
      </c>
      <c r="U288" t="s">
        <v>239</v>
      </c>
      <c r="V288" t="s">
        <v>351</v>
      </c>
      <c r="W288" t="s">
        <v>378</v>
      </c>
      <c r="X288" t="s">
        <v>239</v>
      </c>
      <c r="AA288" t="s">
        <v>67</v>
      </c>
      <c r="AB288" t="s">
        <v>359</v>
      </c>
      <c r="AC288">
        <v>2100</v>
      </c>
      <c r="AD288" t="s">
        <v>217</v>
      </c>
      <c r="AE288">
        <v>1</v>
      </c>
    </row>
    <row r="289" spans="1:32" x14ac:dyDescent="0.3">
      <c r="A289" t="s">
        <v>351</v>
      </c>
      <c r="B289" t="s">
        <v>45</v>
      </c>
      <c r="C289" t="s">
        <v>68</v>
      </c>
      <c r="D289" t="s">
        <v>310</v>
      </c>
      <c r="E289" t="s">
        <v>903</v>
      </c>
      <c r="F289" s="15">
        <v>46253.545173611114</v>
      </c>
      <c r="G289" t="s">
        <v>408</v>
      </c>
      <c r="H289">
        <v>3</v>
      </c>
      <c r="I289" t="s">
        <v>901</v>
      </c>
      <c r="J289" s="15">
        <v>46254.361805555556</v>
      </c>
      <c r="K289" s="15">
        <v>46255.493055555555</v>
      </c>
      <c r="L289" s="15"/>
      <c r="M289">
        <v>3</v>
      </c>
      <c r="O289" t="s">
        <v>201</v>
      </c>
      <c r="P289" t="s">
        <v>532</v>
      </c>
      <c r="S289" t="s">
        <v>359</v>
      </c>
      <c r="T289" t="s">
        <v>377</v>
      </c>
      <c r="U289" t="s">
        <v>239</v>
      </c>
      <c r="V289" t="s">
        <v>351</v>
      </c>
      <c r="W289" t="s">
        <v>378</v>
      </c>
      <c r="X289" t="s">
        <v>239</v>
      </c>
      <c r="AA289" t="s">
        <v>67</v>
      </c>
      <c r="AB289" t="s">
        <v>359</v>
      </c>
      <c r="AC289">
        <v>2100</v>
      </c>
      <c r="AD289" t="s">
        <v>217</v>
      </c>
      <c r="AE289">
        <v>1</v>
      </c>
    </row>
    <row r="290" spans="1:32" x14ac:dyDescent="0.3">
      <c r="A290" t="s">
        <v>351</v>
      </c>
      <c r="B290" t="s">
        <v>45</v>
      </c>
      <c r="C290" t="s">
        <v>68</v>
      </c>
      <c r="D290" t="s">
        <v>310</v>
      </c>
      <c r="E290" t="s">
        <v>873</v>
      </c>
      <c r="F290" s="15">
        <v>46233.471192129633</v>
      </c>
      <c r="G290" t="s">
        <v>408</v>
      </c>
      <c r="H290">
        <v>3</v>
      </c>
      <c r="I290" t="s">
        <v>874</v>
      </c>
      <c r="J290" s="15">
        <v>46233.615185185183</v>
      </c>
      <c r="K290" s="15">
        <v>46237.458333333336</v>
      </c>
      <c r="L290" s="15"/>
      <c r="M290">
        <v>3</v>
      </c>
      <c r="O290" t="s">
        <v>201</v>
      </c>
      <c r="P290" t="s">
        <v>532</v>
      </c>
      <c r="S290" t="s">
        <v>359</v>
      </c>
      <c r="T290" t="s">
        <v>377</v>
      </c>
      <c r="U290" t="s">
        <v>239</v>
      </c>
      <c r="V290" t="s">
        <v>351</v>
      </c>
      <c r="W290" t="s">
        <v>378</v>
      </c>
      <c r="X290" t="s">
        <v>239</v>
      </c>
      <c r="AA290" t="s">
        <v>67</v>
      </c>
      <c r="AB290" t="s">
        <v>359</v>
      </c>
      <c r="AC290">
        <v>2100</v>
      </c>
      <c r="AD290" t="s">
        <v>217</v>
      </c>
      <c r="AE290">
        <v>1</v>
      </c>
    </row>
    <row r="291" spans="1:32" x14ac:dyDescent="0.3">
      <c r="A291" t="s">
        <v>351</v>
      </c>
      <c r="B291" t="s">
        <v>45</v>
      </c>
      <c r="C291" t="s">
        <v>68</v>
      </c>
      <c r="D291" t="s">
        <v>310</v>
      </c>
      <c r="E291" t="s">
        <v>875</v>
      </c>
      <c r="F291" s="15">
        <v>46233.470659722225</v>
      </c>
      <c r="G291" t="s">
        <v>408</v>
      </c>
      <c r="H291">
        <v>3</v>
      </c>
      <c r="I291" t="s">
        <v>874</v>
      </c>
      <c r="J291" s="15">
        <v>46233.615185185183</v>
      </c>
      <c r="K291" s="15">
        <v>46237.458333333336</v>
      </c>
      <c r="L291" s="15"/>
      <c r="M291">
        <v>3</v>
      </c>
      <c r="O291" t="s">
        <v>201</v>
      </c>
      <c r="P291" t="s">
        <v>532</v>
      </c>
      <c r="S291" t="s">
        <v>359</v>
      </c>
      <c r="T291" t="s">
        <v>377</v>
      </c>
      <c r="U291" t="s">
        <v>239</v>
      </c>
      <c r="V291" t="s">
        <v>351</v>
      </c>
      <c r="W291" t="s">
        <v>378</v>
      </c>
      <c r="X291" t="s">
        <v>239</v>
      </c>
      <c r="AA291" t="s">
        <v>67</v>
      </c>
      <c r="AB291" t="s">
        <v>359</v>
      </c>
      <c r="AC291">
        <v>2100</v>
      </c>
      <c r="AD291" t="s">
        <v>217</v>
      </c>
      <c r="AE291">
        <v>1</v>
      </c>
    </row>
    <row r="292" spans="1:32" x14ac:dyDescent="0.3">
      <c r="A292" t="s">
        <v>351</v>
      </c>
      <c r="B292" t="s">
        <v>45</v>
      </c>
      <c r="C292" t="s">
        <v>68</v>
      </c>
      <c r="D292" t="s">
        <v>310</v>
      </c>
      <c r="E292" t="s">
        <v>876</v>
      </c>
      <c r="F292" s="15">
        <v>46233.468287037038</v>
      </c>
      <c r="G292" t="s">
        <v>408</v>
      </c>
      <c r="H292">
        <v>3</v>
      </c>
      <c r="I292" t="s">
        <v>874</v>
      </c>
      <c r="J292" s="15">
        <v>46233.615185185183</v>
      </c>
      <c r="K292" s="15">
        <v>46237.458333333336</v>
      </c>
      <c r="L292" s="15"/>
      <c r="M292">
        <v>3</v>
      </c>
      <c r="O292" t="s">
        <v>201</v>
      </c>
      <c r="P292" t="s">
        <v>532</v>
      </c>
      <c r="S292" t="s">
        <v>359</v>
      </c>
      <c r="T292" t="s">
        <v>377</v>
      </c>
      <c r="U292" t="s">
        <v>239</v>
      </c>
      <c r="V292" t="s">
        <v>351</v>
      </c>
      <c r="W292" t="s">
        <v>378</v>
      </c>
      <c r="X292" t="s">
        <v>239</v>
      </c>
      <c r="AA292" t="s">
        <v>67</v>
      </c>
      <c r="AB292" t="s">
        <v>359</v>
      </c>
      <c r="AC292">
        <v>2100</v>
      </c>
      <c r="AD292" t="s">
        <v>217</v>
      </c>
      <c r="AE292">
        <v>1</v>
      </c>
    </row>
    <row r="293" spans="1:32" x14ac:dyDescent="0.3">
      <c r="A293" t="s">
        <v>351</v>
      </c>
      <c r="B293" t="s">
        <v>45</v>
      </c>
      <c r="C293" t="s">
        <v>68</v>
      </c>
      <c r="D293" t="s">
        <v>310</v>
      </c>
      <c r="E293" t="s">
        <v>930</v>
      </c>
      <c r="F293" s="15">
        <v>46225.582372685189</v>
      </c>
      <c r="G293" t="s">
        <v>408</v>
      </c>
      <c r="H293">
        <v>3</v>
      </c>
      <c r="I293" t="s">
        <v>931</v>
      </c>
      <c r="J293" s="15">
        <v>46226.429560185185</v>
      </c>
      <c r="K293" s="15">
        <v>46231.455555555556</v>
      </c>
      <c r="L293" s="15"/>
      <c r="M293">
        <v>3</v>
      </c>
      <c r="O293" t="s">
        <v>201</v>
      </c>
      <c r="P293" t="s">
        <v>531</v>
      </c>
      <c r="S293" t="s">
        <v>359</v>
      </c>
      <c r="T293" t="s">
        <v>377</v>
      </c>
      <c r="U293" t="s">
        <v>239</v>
      </c>
      <c r="V293" t="s">
        <v>351</v>
      </c>
      <c r="W293" t="s">
        <v>378</v>
      </c>
      <c r="X293" t="s">
        <v>239</v>
      </c>
      <c r="Y293">
        <v>103</v>
      </c>
      <c r="AA293" t="s">
        <v>67</v>
      </c>
      <c r="AB293" t="s">
        <v>359</v>
      </c>
      <c r="AC293">
        <v>2100</v>
      </c>
      <c r="AD293" t="s">
        <v>217</v>
      </c>
      <c r="AE293">
        <v>1</v>
      </c>
      <c r="AF293">
        <v>1</v>
      </c>
    </row>
    <row r="294" spans="1:32" x14ac:dyDescent="0.3">
      <c r="A294" t="s">
        <v>351</v>
      </c>
      <c r="B294" t="s">
        <v>45</v>
      </c>
      <c r="C294" t="s">
        <v>68</v>
      </c>
      <c r="D294" t="s">
        <v>310</v>
      </c>
      <c r="E294" t="s">
        <v>932</v>
      </c>
      <c r="F294" s="15">
        <v>46225.581944444442</v>
      </c>
      <c r="G294" t="s">
        <v>408</v>
      </c>
      <c r="H294">
        <v>1</v>
      </c>
      <c r="I294" t="s">
        <v>931</v>
      </c>
      <c r="J294" s="15">
        <v>46226.429560185185</v>
      </c>
      <c r="K294" s="15">
        <v>46231.455555555556</v>
      </c>
      <c r="L294" s="15"/>
      <c r="M294">
        <v>1</v>
      </c>
      <c r="O294" t="s">
        <v>201</v>
      </c>
      <c r="P294" t="s">
        <v>531</v>
      </c>
      <c r="S294" t="s">
        <v>359</v>
      </c>
      <c r="T294" t="s">
        <v>377</v>
      </c>
      <c r="U294" t="s">
        <v>239</v>
      </c>
      <c r="V294" t="s">
        <v>351</v>
      </c>
      <c r="W294" t="s">
        <v>378</v>
      </c>
      <c r="X294" t="s">
        <v>239</v>
      </c>
      <c r="AA294" t="s">
        <v>67</v>
      </c>
      <c r="AB294" t="s">
        <v>359</v>
      </c>
      <c r="AC294">
        <v>2100</v>
      </c>
      <c r="AD294" t="s">
        <v>217</v>
      </c>
      <c r="AE294">
        <v>1</v>
      </c>
    </row>
    <row r="295" spans="1:32" x14ac:dyDescent="0.3">
      <c r="A295" t="s">
        <v>351</v>
      </c>
      <c r="B295" t="s">
        <v>45</v>
      </c>
      <c r="C295" t="s">
        <v>68</v>
      </c>
      <c r="D295" t="s">
        <v>310</v>
      </c>
      <c r="E295" t="s">
        <v>933</v>
      </c>
      <c r="F295" s="15">
        <v>46225.581226851849</v>
      </c>
      <c r="G295" t="s">
        <v>408</v>
      </c>
      <c r="H295">
        <v>3</v>
      </c>
      <c r="I295" t="s">
        <v>931</v>
      </c>
      <c r="J295" s="15">
        <v>46226.429560185185</v>
      </c>
      <c r="K295" s="15">
        <v>46231.455555555556</v>
      </c>
      <c r="L295" s="15"/>
      <c r="M295">
        <v>3</v>
      </c>
      <c r="O295" t="s">
        <v>201</v>
      </c>
      <c r="P295" t="s">
        <v>531</v>
      </c>
      <c r="S295" t="s">
        <v>359</v>
      </c>
      <c r="T295" t="s">
        <v>377</v>
      </c>
      <c r="U295" t="s">
        <v>239</v>
      </c>
      <c r="V295" t="s">
        <v>351</v>
      </c>
      <c r="W295" t="s">
        <v>378</v>
      </c>
      <c r="X295" t="s">
        <v>239</v>
      </c>
      <c r="AA295" t="s">
        <v>67</v>
      </c>
      <c r="AB295" t="s">
        <v>359</v>
      </c>
      <c r="AC295">
        <v>2100</v>
      </c>
      <c r="AD295" t="s">
        <v>217</v>
      </c>
      <c r="AE295">
        <v>1</v>
      </c>
    </row>
    <row r="296" spans="1:32" x14ac:dyDescent="0.3">
      <c r="A296" t="s">
        <v>351</v>
      </c>
      <c r="B296" t="s">
        <v>45</v>
      </c>
      <c r="C296" t="s">
        <v>68</v>
      </c>
      <c r="D296" t="s">
        <v>310</v>
      </c>
      <c r="E296" t="s">
        <v>934</v>
      </c>
      <c r="F296" s="15">
        <v>46225.358090277776</v>
      </c>
      <c r="G296" t="s">
        <v>412</v>
      </c>
      <c r="H296">
        <v>26</v>
      </c>
      <c r="I296" t="s">
        <v>935</v>
      </c>
      <c r="J296" s="15">
        <v>46226.397361111114</v>
      </c>
      <c r="K296" s="15">
        <v>46227.5</v>
      </c>
      <c r="L296" s="15"/>
      <c r="M296">
        <v>26</v>
      </c>
      <c r="O296" t="s">
        <v>201</v>
      </c>
      <c r="P296" t="s">
        <v>532</v>
      </c>
      <c r="S296" t="s">
        <v>359</v>
      </c>
      <c r="T296" t="s">
        <v>377</v>
      </c>
      <c r="U296" t="s">
        <v>239</v>
      </c>
      <c r="V296" t="s">
        <v>351</v>
      </c>
      <c r="W296" t="s">
        <v>378</v>
      </c>
      <c r="X296" t="s">
        <v>239</v>
      </c>
      <c r="AA296" t="s">
        <v>67</v>
      </c>
      <c r="AB296" t="s">
        <v>359</v>
      </c>
      <c r="AC296">
        <v>2100</v>
      </c>
      <c r="AD296" t="s">
        <v>217</v>
      </c>
      <c r="AE296">
        <v>2.6</v>
      </c>
      <c r="AF296">
        <v>1.23</v>
      </c>
    </row>
    <row r="297" spans="1:32" x14ac:dyDescent="0.3">
      <c r="A297" t="s">
        <v>351</v>
      </c>
      <c r="B297" t="s">
        <v>45</v>
      </c>
      <c r="C297" t="s">
        <v>68</v>
      </c>
      <c r="D297" t="s">
        <v>310</v>
      </c>
      <c r="E297" t="s">
        <v>936</v>
      </c>
      <c r="F297" s="15">
        <v>46225.333067129628</v>
      </c>
      <c r="G297" t="s">
        <v>429</v>
      </c>
      <c r="H297">
        <v>8</v>
      </c>
      <c r="I297" t="s">
        <v>937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201</v>
      </c>
      <c r="P297" t="s">
        <v>531</v>
      </c>
      <c r="S297" t="s">
        <v>359</v>
      </c>
      <c r="T297" t="s">
        <v>377</v>
      </c>
      <c r="U297" t="s">
        <v>239</v>
      </c>
      <c r="V297" t="s">
        <v>351</v>
      </c>
      <c r="W297" t="s">
        <v>378</v>
      </c>
      <c r="X297" t="s">
        <v>239</v>
      </c>
      <c r="Y297">
        <v>103</v>
      </c>
      <c r="AA297" t="s">
        <v>67</v>
      </c>
      <c r="AB297" t="s">
        <v>359</v>
      </c>
      <c r="AC297">
        <v>2100</v>
      </c>
      <c r="AD297" t="s">
        <v>217</v>
      </c>
      <c r="AE297">
        <v>1</v>
      </c>
    </row>
    <row r="298" spans="1:32" x14ac:dyDescent="0.3">
      <c r="A298" t="s">
        <v>351</v>
      </c>
      <c r="B298" t="s">
        <v>45</v>
      </c>
      <c r="C298" t="s">
        <v>68</v>
      </c>
      <c r="D298" t="s">
        <v>310</v>
      </c>
      <c r="E298" t="s">
        <v>948</v>
      </c>
      <c r="F298" s="15">
        <v>46223.488009259258</v>
      </c>
      <c r="G298" t="s">
        <v>408</v>
      </c>
      <c r="H298">
        <v>2</v>
      </c>
      <c r="I298" t="s">
        <v>949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201</v>
      </c>
      <c r="P298" t="s">
        <v>531</v>
      </c>
      <c r="S298" t="s">
        <v>359</v>
      </c>
      <c r="T298" t="s">
        <v>377</v>
      </c>
      <c r="U298" t="s">
        <v>239</v>
      </c>
      <c r="V298" t="s">
        <v>351</v>
      </c>
      <c r="W298" t="s">
        <v>378</v>
      </c>
      <c r="X298" t="s">
        <v>239</v>
      </c>
      <c r="Y298">
        <v>103</v>
      </c>
      <c r="AA298" t="s">
        <v>67</v>
      </c>
      <c r="AB298" t="s">
        <v>359</v>
      </c>
      <c r="AC298">
        <v>2100</v>
      </c>
      <c r="AD298" t="s">
        <v>217</v>
      </c>
      <c r="AE298">
        <v>1</v>
      </c>
    </row>
    <row r="299" spans="1:32" x14ac:dyDescent="0.3">
      <c r="A299" t="s">
        <v>351</v>
      </c>
      <c r="B299" t="s">
        <v>45</v>
      </c>
      <c r="C299" t="s">
        <v>68</v>
      </c>
      <c r="D299" t="s">
        <v>310</v>
      </c>
      <c r="E299" t="s">
        <v>950</v>
      </c>
      <c r="F299" s="15">
        <v>46223.487222222226</v>
      </c>
      <c r="G299" t="s">
        <v>408</v>
      </c>
      <c r="H299">
        <v>1</v>
      </c>
      <c r="I299" t="s">
        <v>949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201</v>
      </c>
      <c r="P299" t="s">
        <v>531</v>
      </c>
      <c r="S299" t="s">
        <v>359</v>
      </c>
      <c r="T299" t="s">
        <v>377</v>
      </c>
      <c r="U299" t="s">
        <v>239</v>
      </c>
      <c r="V299" t="s">
        <v>351</v>
      </c>
      <c r="W299" t="s">
        <v>378</v>
      </c>
      <c r="X299" t="s">
        <v>239</v>
      </c>
      <c r="AA299" t="s">
        <v>67</v>
      </c>
      <c r="AB299" t="s">
        <v>359</v>
      </c>
      <c r="AC299">
        <v>2100</v>
      </c>
      <c r="AD299" t="s">
        <v>217</v>
      </c>
      <c r="AE299">
        <v>1</v>
      </c>
    </row>
    <row r="300" spans="1:32" x14ac:dyDescent="0.3">
      <c r="A300" t="s">
        <v>351</v>
      </c>
      <c r="B300" t="s">
        <v>45</v>
      </c>
      <c r="C300" t="s">
        <v>68</v>
      </c>
      <c r="D300" t="s">
        <v>310</v>
      </c>
      <c r="E300" t="s">
        <v>940</v>
      </c>
      <c r="F300" s="15">
        <v>46225.339780092596</v>
      </c>
      <c r="G300" t="s">
        <v>412</v>
      </c>
      <c r="H300">
        <v>4</v>
      </c>
      <c r="I300" t="s">
        <v>939</v>
      </c>
      <c r="J300" s="15">
        <v>46225.680555555555</v>
      </c>
      <c r="K300" s="15">
        <v>46227.5</v>
      </c>
      <c r="L300" s="15"/>
      <c r="M300">
        <v>4</v>
      </c>
      <c r="O300" t="s">
        <v>201</v>
      </c>
      <c r="P300" t="s">
        <v>532</v>
      </c>
      <c r="S300" t="s">
        <v>359</v>
      </c>
      <c r="T300" t="s">
        <v>377</v>
      </c>
      <c r="U300" t="s">
        <v>239</v>
      </c>
      <c r="V300" t="s">
        <v>351</v>
      </c>
      <c r="W300" t="s">
        <v>378</v>
      </c>
      <c r="X300" t="s">
        <v>239</v>
      </c>
      <c r="AA300" t="s">
        <v>67</v>
      </c>
      <c r="AB300" t="s">
        <v>359</v>
      </c>
      <c r="AC300">
        <v>2100</v>
      </c>
      <c r="AD300" t="s">
        <v>217</v>
      </c>
      <c r="AE300">
        <v>1</v>
      </c>
    </row>
    <row r="301" spans="1:32" x14ac:dyDescent="0.3">
      <c r="A301" t="s">
        <v>351</v>
      </c>
      <c r="B301" t="s">
        <v>45</v>
      </c>
      <c r="C301" t="s">
        <v>68</v>
      </c>
      <c r="D301" t="s">
        <v>310</v>
      </c>
      <c r="E301" t="s">
        <v>941</v>
      </c>
      <c r="F301" s="15">
        <v>46225.337905092594</v>
      </c>
      <c r="G301" t="s">
        <v>412</v>
      </c>
      <c r="H301">
        <v>2</v>
      </c>
      <c r="I301" t="s">
        <v>939</v>
      </c>
      <c r="J301" s="15">
        <v>46225.680555555555</v>
      </c>
      <c r="K301" s="15">
        <v>46227.5</v>
      </c>
      <c r="L301" s="15"/>
      <c r="M301">
        <v>2</v>
      </c>
      <c r="O301" t="s">
        <v>201</v>
      </c>
      <c r="P301" t="s">
        <v>532</v>
      </c>
      <c r="S301" t="s">
        <v>359</v>
      </c>
      <c r="T301" t="s">
        <v>377</v>
      </c>
      <c r="U301" t="s">
        <v>239</v>
      </c>
      <c r="V301" t="s">
        <v>351</v>
      </c>
      <c r="W301" t="s">
        <v>378</v>
      </c>
      <c r="X301" t="s">
        <v>239</v>
      </c>
      <c r="AA301" t="s">
        <v>67</v>
      </c>
      <c r="AB301" t="s">
        <v>359</v>
      </c>
      <c r="AC301">
        <v>2100</v>
      </c>
      <c r="AD301" t="s">
        <v>217</v>
      </c>
      <c r="AE301">
        <v>1</v>
      </c>
    </row>
    <row r="302" spans="1:32" x14ac:dyDescent="0.3">
      <c r="A302" t="s">
        <v>351</v>
      </c>
      <c r="B302" t="s">
        <v>45</v>
      </c>
      <c r="C302" t="s">
        <v>68</v>
      </c>
      <c r="D302" t="s">
        <v>310</v>
      </c>
      <c r="E302" t="s">
        <v>942</v>
      </c>
      <c r="F302" s="15">
        <v>46225.337650462963</v>
      </c>
      <c r="G302" t="s">
        <v>412</v>
      </c>
      <c r="H302">
        <v>1</v>
      </c>
      <c r="I302" t="s">
        <v>939</v>
      </c>
      <c r="J302" s="15">
        <v>46225.680555555555</v>
      </c>
      <c r="K302" s="15">
        <v>46227.5</v>
      </c>
      <c r="L302" s="15"/>
      <c r="M302">
        <v>1</v>
      </c>
      <c r="O302" t="s">
        <v>201</v>
      </c>
      <c r="P302" t="s">
        <v>532</v>
      </c>
      <c r="S302" t="s">
        <v>359</v>
      </c>
      <c r="T302" t="s">
        <v>377</v>
      </c>
      <c r="U302" t="s">
        <v>239</v>
      </c>
      <c r="V302" t="s">
        <v>351</v>
      </c>
      <c r="W302" t="s">
        <v>378</v>
      </c>
      <c r="X302" t="s">
        <v>239</v>
      </c>
      <c r="AA302" t="s">
        <v>67</v>
      </c>
      <c r="AB302" t="s">
        <v>359</v>
      </c>
      <c r="AC302">
        <v>2100</v>
      </c>
      <c r="AD302" t="s">
        <v>217</v>
      </c>
      <c r="AE302">
        <v>1</v>
      </c>
    </row>
    <row r="303" spans="1:32" x14ac:dyDescent="0.3">
      <c r="A303" t="s">
        <v>351</v>
      </c>
      <c r="B303" t="s">
        <v>45</v>
      </c>
      <c r="C303" t="s">
        <v>68</v>
      </c>
      <c r="D303" t="s">
        <v>310</v>
      </c>
      <c r="E303" t="s">
        <v>943</v>
      </c>
      <c r="F303" s="15">
        <v>46224.651469907411</v>
      </c>
      <c r="G303" t="s">
        <v>412</v>
      </c>
      <c r="H303">
        <v>16</v>
      </c>
      <c r="I303" t="s">
        <v>944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201</v>
      </c>
      <c r="P303" t="s">
        <v>532</v>
      </c>
      <c r="S303" t="s">
        <v>359</v>
      </c>
      <c r="T303" t="s">
        <v>377</v>
      </c>
      <c r="U303" t="s">
        <v>239</v>
      </c>
      <c r="V303" t="s">
        <v>351</v>
      </c>
      <c r="W303" t="s">
        <v>378</v>
      </c>
      <c r="X303" t="s">
        <v>239</v>
      </c>
      <c r="AA303" t="s">
        <v>67</v>
      </c>
      <c r="AB303" t="s">
        <v>359</v>
      </c>
      <c r="AC303">
        <v>2100</v>
      </c>
      <c r="AD303" t="s">
        <v>217</v>
      </c>
      <c r="AE303">
        <v>1.6</v>
      </c>
    </row>
    <row r="304" spans="1:32" x14ac:dyDescent="0.3">
      <c r="A304" t="s">
        <v>351</v>
      </c>
      <c r="B304" t="s">
        <v>45</v>
      </c>
      <c r="C304" t="s">
        <v>68</v>
      </c>
      <c r="D304" t="s">
        <v>310</v>
      </c>
      <c r="E304" t="s">
        <v>945</v>
      </c>
      <c r="F304" s="15">
        <v>46224.65053240741</v>
      </c>
      <c r="G304" t="s">
        <v>412</v>
      </c>
      <c r="H304">
        <v>6</v>
      </c>
      <c r="I304" t="s">
        <v>944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201</v>
      </c>
      <c r="P304" t="s">
        <v>532</v>
      </c>
      <c r="S304" t="s">
        <v>359</v>
      </c>
      <c r="T304" t="s">
        <v>377</v>
      </c>
      <c r="U304" t="s">
        <v>239</v>
      </c>
      <c r="V304" t="s">
        <v>351</v>
      </c>
      <c r="W304" t="s">
        <v>378</v>
      </c>
      <c r="X304" t="s">
        <v>239</v>
      </c>
      <c r="AA304" t="s">
        <v>67</v>
      </c>
      <c r="AB304" t="s">
        <v>359</v>
      </c>
      <c r="AC304">
        <v>2100</v>
      </c>
      <c r="AD304" t="s">
        <v>217</v>
      </c>
      <c r="AE304">
        <v>1</v>
      </c>
    </row>
    <row r="305" spans="1:32" x14ac:dyDescent="0.3">
      <c r="A305" t="s">
        <v>351</v>
      </c>
      <c r="B305" t="s">
        <v>45</v>
      </c>
      <c r="C305" t="s">
        <v>68</v>
      </c>
      <c r="D305" t="s">
        <v>310</v>
      </c>
      <c r="E305" t="s">
        <v>938</v>
      </c>
      <c r="F305" s="15">
        <v>46225.340196759258</v>
      </c>
      <c r="G305" t="s">
        <v>412</v>
      </c>
      <c r="H305">
        <v>3</v>
      </c>
      <c r="I305" t="s">
        <v>939</v>
      </c>
      <c r="J305" s="15">
        <v>46225.680555555555</v>
      </c>
      <c r="K305" s="15">
        <v>46227.5</v>
      </c>
      <c r="L305" s="15"/>
      <c r="M305">
        <v>3</v>
      </c>
      <c r="O305" t="s">
        <v>201</v>
      </c>
      <c r="P305" t="s">
        <v>532</v>
      </c>
      <c r="S305" t="s">
        <v>359</v>
      </c>
      <c r="T305" t="s">
        <v>377</v>
      </c>
      <c r="U305" t="s">
        <v>239</v>
      </c>
      <c r="V305" t="s">
        <v>351</v>
      </c>
      <c r="W305" t="s">
        <v>378</v>
      </c>
      <c r="X305" t="s">
        <v>239</v>
      </c>
      <c r="AA305" t="s">
        <v>67</v>
      </c>
      <c r="AB305" t="s">
        <v>359</v>
      </c>
      <c r="AC305">
        <v>2100</v>
      </c>
      <c r="AD305" t="s">
        <v>217</v>
      </c>
      <c r="AE305">
        <v>1</v>
      </c>
    </row>
    <row r="306" spans="1:32" x14ac:dyDescent="0.3">
      <c r="A306" t="s">
        <v>351</v>
      </c>
      <c r="B306" t="s">
        <v>45</v>
      </c>
      <c r="C306" t="s">
        <v>68</v>
      </c>
      <c r="D306" t="s">
        <v>310</v>
      </c>
      <c r="E306" t="s">
        <v>946</v>
      </c>
      <c r="F306" s="15">
        <v>46225.340752314813</v>
      </c>
      <c r="G306" t="s">
        <v>412</v>
      </c>
      <c r="H306">
        <v>3</v>
      </c>
      <c r="I306" t="s">
        <v>939</v>
      </c>
      <c r="J306" s="15">
        <v>46225.680555555555</v>
      </c>
      <c r="K306" s="15">
        <v>46227.5</v>
      </c>
      <c r="L306" s="15"/>
      <c r="M306">
        <v>3</v>
      </c>
      <c r="O306" t="s">
        <v>201</v>
      </c>
      <c r="P306" t="s">
        <v>532</v>
      </c>
      <c r="S306" t="s">
        <v>359</v>
      </c>
      <c r="T306" t="s">
        <v>377</v>
      </c>
      <c r="U306" t="s">
        <v>239</v>
      </c>
      <c r="V306" t="s">
        <v>351</v>
      </c>
      <c r="W306" t="s">
        <v>378</v>
      </c>
      <c r="X306" t="s">
        <v>239</v>
      </c>
      <c r="AA306" t="s">
        <v>67</v>
      </c>
      <c r="AB306" t="s">
        <v>359</v>
      </c>
      <c r="AC306">
        <v>2100</v>
      </c>
      <c r="AD306" t="s">
        <v>217</v>
      </c>
      <c r="AE306">
        <v>1</v>
      </c>
    </row>
    <row r="307" spans="1:32" x14ac:dyDescent="0.3">
      <c r="A307" t="s">
        <v>351</v>
      </c>
      <c r="B307" t="s">
        <v>63</v>
      </c>
      <c r="C307" t="s">
        <v>95</v>
      </c>
      <c r="D307" t="s">
        <v>310</v>
      </c>
      <c r="E307" t="s">
        <v>826</v>
      </c>
      <c r="F307" s="15">
        <v>46230.561921296299</v>
      </c>
      <c r="G307" t="s">
        <v>409</v>
      </c>
      <c r="H307">
        <v>1</v>
      </c>
      <c r="I307" t="s">
        <v>827</v>
      </c>
      <c r="J307" s="15">
        <v>46231.383333333331</v>
      </c>
      <c r="K307" s="15">
        <v>46237.474999999999</v>
      </c>
      <c r="L307" s="15"/>
      <c r="M307">
        <v>1</v>
      </c>
      <c r="O307" t="s">
        <v>201</v>
      </c>
      <c r="P307" t="s">
        <v>532</v>
      </c>
      <c r="S307" t="s">
        <v>359</v>
      </c>
      <c r="T307" t="s">
        <v>377</v>
      </c>
      <c r="U307" t="s">
        <v>239</v>
      </c>
      <c r="V307" t="s">
        <v>7</v>
      </c>
      <c r="W307" t="s">
        <v>7</v>
      </c>
      <c r="X307" t="s">
        <v>7</v>
      </c>
      <c r="AA307" t="s">
        <v>96</v>
      </c>
      <c r="AB307" t="s">
        <v>359</v>
      </c>
      <c r="AC307">
        <v>2100</v>
      </c>
      <c r="AD307" t="s">
        <v>225</v>
      </c>
      <c r="AE307">
        <v>1</v>
      </c>
      <c r="AF307">
        <v>24.7</v>
      </c>
    </row>
    <row r="308" spans="1:32" x14ac:dyDescent="0.3">
      <c r="A308" t="s">
        <v>351</v>
      </c>
      <c r="B308" t="s">
        <v>57</v>
      </c>
      <c r="C308" t="s">
        <v>117</v>
      </c>
      <c r="D308" t="s">
        <v>310</v>
      </c>
      <c r="E308" t="s">
        <v>826</v>
      </c>
      <c r="F308" s="15">
        <v>46230.561921296299</v>
      </c>
      <c r="G308" t="s">
        <v>409</v>
      </c>
      <c r="H308">
        <v>1</v>
      </c>
      <c r="I308" t="s">
        <v>827</v>
      </c>
      <c r="J308" s="15">
        <v>46231.383333333331</v>
      </c>
      <c r="K308" s="15">
        <v>46237.474999999999</v>
      </c>
      <c r="L308" s="15"/>
      <c r="M308">
        <v>1</v>
      </c>
      <c r="O308" t="s">
        <v>201</v>
      </c>
      <c r="P308" t="s">
        <v>532</v>
      </c>
      <c r="S308" t="s">
        <v>359</v>
      </c>
      <c r="T308" t="s">
        <v>377</v>
      </c>
      <c r="U308" t="s">
        <v>239</v>
      </c>
      <c r="V308" t="s">
        <v>7</v>
      </c>
      <c r="W308" t="s">
        <v>7</v>
      </c>
      <c r="X308" t="s">
        <v>7</v>
      </c>
      <c r="AA308" t="s">
        <v>127</v>
      </c>
      <c r="AB308" t="s">
        <v>359</v>
      </c>
      <c r="AC308">
        <v>2100</v>
      </c>
      <c r="AD308" t="s">
        <v>233</v>
      </c>
      <c r="AE308">
        <v>1</v>
      </c>
    </row>
    <row r="309" spans="1:32" x14ac:dyDescent="0.3">
      <c r="A309" t="s">
        <v>351</v>
      </c>
      <c r="B309" t="s">
        <v>279</v>
      </c>
      <c r="C309" t="s">
        <v>192</v>
      </c>
      <c r="D309" t="s">
        <v>310</v>
      </c>
      <c r="E309" t="s">
        <v>826</v>
      </c>
      <c r="F309" s="15">
        <v>46230.561921296299</v>
      </c>
      <c r="G309" t="s">
        <v>409</v>
      </c>
      <c r="H309">
        <v>245</v>
      </c>
      <c r="I309" t="s">
        <v>827</v>
      </c>
      <c r="J309" s="15">
        <v>46231.383333333331</v>
      </c>
      <c r="K309" s="15">
        <v>46237.474999999999</v>
      </c>
      <c r="L309" s="15"/>
      <c r="M309">
        <v>245</v>
      </c>
      <c r="O309" t="s">
        <v>201</v>
      </c>
      <c r="P309" t="s">
        <v>531</v>
      </c>
      <c r="S309" t="s">
        <v>359</v>
      </c>
      <c r="T309" t="s">
        <v>377</v>
      </c>
      <c r="U309" t="s">
        <v>239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359</v>
      </c>
      <c r="AC309">
        <v>2100</v>
      </c>
      <c r="AD309" t="s">
        <v>232</v>
      </c>
      <c r="AE309">
        <v>245</v>
      </c>
    </row>
    <row r="310" spans="1:32" x14ac:dyDescent="0.3">
      <c r="A310" t="s">
        <v>351</v>
      </c>
      <c r="B310" t="s">
        <v>45</v>
      </c>
      <c r="C310" t="s">
        <v>68</v>
      </c>
      <c r="D310" t="s">
        <v>310</v>
      </c>
      <c r="E310" t="s">
        <v>951</v>
      </c>
      <c r="F310" s="15">
        <v>46230.441238425927</v>
      </c>
      <c r="G310" t="s">
        <v>408</v>
      </c>
      <c r="H310">
        <v>3</v>
      </c>
      <c r="I310" t="s">
        <v>952</v>
      </c>
      <c r="J310" s="15">
        <v>46230.705555555556</v>
      </c>
      <c r="K310" s="15">
        <v>46231.431944444441</v>
      </c>
      <c r="L310" s="15"/>
      <c r="M310">
        <v>3</v>
      </c>
      <c r="O310" t="s">
        <v>201</v>
      </c>
      <c r="P310" t="s">
        <v>532</v>
      </c>
      <c r="S310" t="s">
        <v>359</v>
      </c>
      <c r="T310" t="s">
        <v>377</v>
      </c>
      <c r="U310" t="s">
        <v>239</v>
      </c>
      <c r="V310" t="s">
        <v>351</v>
      </c>
      <c r="W310" t="s">
        <v>378</v>
      </c>
      <c r="X310" t="s">
        <v>239</v>
      </c>
      <c r="Y310">
        <v>103</v>
      </c>
      <c r="AA310" t="s">
        <v>67</v>
      </c>
      <c r="AB310" t="s">
        <v>359</v>
      </c>
      <c r="AC310">
        <v>2100</v>
      </c>
      <c r="AD310" t="s">
        <v>217</v>
      </c>
      <c r="AE310">
        <v>1</v>
      </c>
    </row>
    <row r="311" spans="1:32" x14ac:dyDescent="0.3">
      <c r="A311" t="s">
        <v>351</v>
      </c>
      <c r="B311" t="s">
        <v>45</v>
      </c>
      <c r="C311" t="s">
        <v>68</v>
      </c>
      <c r="D311" t="s">
        <v>310</v>
      </c>
      <c r="E311" t="s">
        <v>953</v>
      </c>
      <c r="F311" s="15">
        <v>46230.439814814818</v>
      </c>
      <c r="G311" t="s">
        <v>408</v>
      </c>
      <c r="H311">
        <v>4</v>
      </c>
      <c r="I311" t="s">
        <v>952</v>
      </c>
      <c r="J311" s="15">
        <v>46230.705555555556</v>
      </c>
      <c r="K311" s="15">
        <v>46231.431944444441</v>
      </c>
      <c r="L311" s="15"/>
      <c r="M311">
        <v>4</v>
      </c>
      <c r="O311" t="s">
        <v>201</v>
      </c>
      <c r="P311" t="s">
        <v>532</v>
      </c>
      <c r="S311" t="s">
        <v>359</v>
      </c>
      <c r="T311" t="s">
        <v>377</v>
      </c>
      <c r="U311" t="s">
        <v>239</v>
      </c>
      <c r="V311" t="s">
        <v>351</v>
      </c>
      <c r="W311" t="s">
        <v>378</v>
      </c>
      <c r="X311" t="s">
        <v>239</v>
      </c>
      <c r="AA311" t="s">
        <v>67</v>
      </c>
      <c r="AB311" t="s">
        <v>359</v>
      </c>
      <c r="AC311">
        <v>2100</v>
      </c>
      <c r="AD311" t="s">
        <v>217</v>
      </c>
      <c r="AE311">
        <v>1</v>
      </c>
    </row>
    <row r="312" spans="1:32" x14ac:dyDescent="0.3">
      <c r="A312" t="s">
        <v>351</v>
      </c>
      <c r="B312" t="s">
        <v>43</v>
      </c>
      <c r="C312" t="s">
        <v>105</v>
      </c>
      <c r="D312" t="s">
        <v>310</v>
      </c>
      <c r="E312" t="s">
        <v>1023</v>
      </c>
      <c r="F312" s="15">
        <v>46226.43414351852</v>
      </c>
      <c r="G312" t="s">
        <v>426</v>
      </c>
      <c r="H312">
        <v>1</v>
      </c>
      <c r="I312" t="s">
        <v>1024</v>
      </c>
      <c r="J312" s="15">
        <v>46226.474999999999</v>
      </c>
      <c r="K312" s="15">
        <v>46231.455555555556</v>
      </c>
      <c r="L312" s="15"/>
      <c r="M312">
        <v>1</v>
      </c>
      <c r="O312" t="s">
        <v>201</v>
      </c>
      <c r="P312" t="s">
        <v>531</v>
      </c>
      <c r="S312" t="s">
        <v>359</v>
      </c>
      <c r="T312" t="s">
        <v>377</v>
      </c>
      <c r="U312" t="s">
        <v>239</v>
      </c>
      <c r="V312" t="s">
        <v>351</v>
      </c>
      <c r="W312" t="s">
        <v>378</v>
      </c>
      <c r="X312" t="s">
        <v>239</v>
      </c>
      <c r="AA312" t="s">
        <v>67</v>
      </c>
      <c r="AB312" t="s">
        <v>359</v>
      </c>
      <c r="AC312">
        <v>2100</v>
      </c>
      <c r="AD312" t="s">
        <v>217</v>
      </c>
      <c r="AE312">
        <v>1</v>
      </c>
    </row>
    <row r="313" spans="1:32" x14ac:dyDescent="0.3">
      <c r="A313" t="s">
        <v>351</v>
      </c>
      <c r="B313" t="s">
        <v>45</v>
      </c>
      <c r="C313" t="s">
        <v>68</v>
      </c>
      <c r="D313" t="s">
        <v>310</v>
      </c>
      <c r="E313" t="s">
        <v>947</v>
      </c>
      <c r="F313" s="15">
        <v>46225.341481481482</v>
      </c>
      <c r="G313" t="s">
        <v>412</v>
      </c>
      <c r="H313">
        <v>11</v>
      </c>
      <c r="I313" t="s">
        <v>939</v>
      </c>
      <c r="J313" s="15">
        <v>46225.680555555555</v>
      </c>
      <c r="K313" s="15">
        <v>46227.5</v>
      </c>
      <c r="L313" s="15"/>
      <c r="M313">
        <v>11</v>
      </c>
      <c r="O313" t="s">
        <v>201</v>
      </c>
      <c r="P313" t="s">
        <v>532</v>
      </c>
      <c r="S313" t="s">
        <v>359</v>
      </c>
      <c r="T313" t="s">
        <v>377</v>
      </c>
      <c r="U313" t="s">
        <v>239</v>
      </c>
      <c r="V313" t="s">
        <v>351</v>
      </c>
      <c r="W313" t="s">
        <v>378</v>
      </c>
      <c r="X313" t="s">
        <v>239</v>
      </c>
      <c r="AA313" t="s">
        <v>67</v>
      </c>
      <c r="AB313" t="s">
        <v>359</v>
      </c>
      <c r="AC313">
        <v>2100</v>
      </c>
      <c r="AD313" t="s">
        <v>217</v>
      </c>
      <c r="AE313">
        <v>1.1000000000000001</v>
      </c>
    </row>
    <row r="314" spans="1:32" x14ac:dyDescent="0.3">
      <c r="A314" t="s">
        <v>351</v>
      </c>
      <c r="B314" t="s">
        <v>45</v>
      </c>
      <c r="C314" t="s">
        <v>68</v>
      </c>
      <c r="D314" t="s">
        <v>310</v>
      </c>
      <c r="E314" t="s">
        <v>916</v>
      </c>
      <c r="F314" s="15">
        <v>46244.522743055553</v>
      </c>
      <c r="G314" t="s">
        <v>421</v>
      </c>
      <c r="H314">
        <v>6</v>
      </c>
      <c r="I314" t="s">
        <v>917</v>
      </c>
      <c r="J314" s="15">
        <v>46244.706250000003</v>
      </c>
      <c r="K314" s="15">
        <v>46247.409722222219</v>
      </c>
      <c r="L314" s="15"/>
      <c r="M314">
        <v>6</v>
      </c>
      <c r="O314" t="s">
        <v>201</v>
      </c>
      <c r="P314" t="s">
        <v>531</v>
      </c>
      <c r="S314" t="s">
        <v>364</v>
      </c>
      <c r="T314" t="s">
        <v>379</v>
      </c>
      <c r="U314" t="s">
        <v>239</v>
      </c>
      <c r="V314" t="s">
        <v>351</v>
      </c>
      <c r="W314" t="s">
        <v>378</v>
      </c>
      <c r="X314" t="s">
        <v>239</v>
      </c>
      <c r="Y314">
        <v>0</v>
      </c>
      <c r="AA314" t="s">
        <v>67</v>
      </c>
      <c r="AB314" t="s">
        <v>364</v>
      </c>
      <c r="AC314">
        <v>1050</v>
      </c>
      <c r="AD314" t="s">
        <v>217</v>
      </c>
      <c r="AE314">
        <v>1</v>
      </c>
      <c r="AF314">
        <v>1</v>
      </c>
    </row>
    <row r="315" spans="1:32" x14ac:dyDescent="0.3">
      <c r="A315" t="s">
        <v>351</v>
      </c>
      <c r="B315" t="s">
        <v>51</v>
      </c>
      <c r="C315" t="s">
        <v>258</v>
      </c>
      <c r="D315" t="s">
        <v>310</v>
      </c>
      <c r="E315" t="s">
        <v>928</v>
      </c>
      <c r="F315" s="15">
        <v>46247.655405092592</v>
      </c>
      <c r="G315" t="s">
        <v>421</v>
      </c>
      <c r="H315">
        <v>120</v>
      </c>
      <c r="I315" t="s">
        <v>929</v>
      </c>
      <c r="J315" s="15">
        <v>46247.70208333333</v>
      </c>
      <c r="K315" s="15">
        <v>46253.604166666664</v>
      </c>
      <c r="L315" s="15"/>
      <c r="M315">
        <v>120</v>
      </c>
      <c r="O315" t="s">
        <v>201</v>
      </c>
      <c r="P315" t="s">
        <v>531</v>
      </c>
      <c r="S315" t="s">
        <v>364</v>
      </c>
      <c r="T315" t="s">
        <v>379</v>
      </c>
      <c r="U315" t="s">
        <v>239</v>
      </c>
      <c r="V315" t="s">
        <v>7</v>
      </c>
      <c r="W315" t="s">
        <v>7</v>
      </c>
      <c r="X315" t="s">
        <v>7</v>
      </c>
      <c r="AA315" t="s">
        <v>238</v>
      </c>
      <c r="AB315" t="s">
        <v>364</v>
      </c>
      <c r="AC315">
        <v>1050</v>
      </c>
      <c r="AD315" t="s">
        <v>7</v>
      </c>
      <c r="AF315">
        <v>0</v>
      </c>
    </row>
    <row r="316" spans="1:32" x14ac:dyDescent="0.3">
      <c r="A316" t="s">
        <v>351</v>
      </c>
      <c r="B316" t="s">
        <v>45</v>
      </c>
      <c r="C316" t="s">
        <v>68</v>
      </c>
      <c r="D316" t="s">
        <v>310</v>
      </c>
      <c r="E316" t="s">
        <v>918</v>
      </c>
      <c r="F316" s="15">
        <v>46252.385625000003</v>
      </c>
      <c r="G316" t="s">
        <v>415</v>
      </c>
      <c r="H316">
        <v>45</v>
      </c>
      <c r="I316" t="s">
        <v>919</v>
      </c>
      <c r="J316" s="15">
        <v>46252.684027777781</v>
      </c>
      <c r="K316" s="15">
        <v>46254.560416666667</v>
      </c>
      <c r="L316" s="15"/>
      <c r="M316">
        <v>45</v>
      </c>
      <c r="O316" t="s">
        <v>201</v>
      </c>
      <c r="P316" t="s">
        <v>531</v>
      </c>
      <c r="S316" t="s">
        <v>364</v>
      </c>
      <c r="T316" t="s">
        <v>379</v>
      </c>
      <c r="U316" t="s">
        <v>239</v>
      </c>
      <c r="V316" t="s">
        <v>351</v>
      </c>
      <c r="W316" t="s">
        <v>378</v>
      </c>
      <c r="X316" t="s">
        <v>239</v>
      </c>
      <c r="Y316">
        <v>0</v>
      </c>
      <c r="AA316" t="s">
        <v>67</v>
      </c>
      <c r="AB316" t="s">
        <v>364</v>
      </c>
      <c r="AC316">
        <v>1050</v>
      </c>
      <c r="AD316" t="s">
        <v>217</v>
      </c>
      <c r="AE316">
        <v>4.5</v>
      </c>
      <c r="AF316">
        <v>1</v>
      </c>
    </row>
    <row r="317" spans="1:32" x14ac:dyDescent="0.3">
      <c r="A317" t="s">
        <v>351</v>
      </c>
      <c r="B317" t="s">
        <v>45</v>
      </c>
      <c r="C317" t="s">
        <v>68</v>
      </c>
      <c r="D317" t="s">
        <v>310</v>
      </c>
      <c r="E317" t="s">
        <v>920</v>
      </c>
      <c r="F317" s="15">
        <v>46251.574641203704</v>
      </c>
      <c r="G317" t="s">
        <v>421</v>
      </c>
      <c r="H317">
        <v>15</v>
      </c>
      <c r="I317" t="s">
        <v>921</v>
      </c>
      <c r="J317" s="15">
        <v>46252.347222222219</v>
      </c>
      <c r="K317" s="15">
        <v>46253.486111111109</v>
      </c>
      <c r="L317" s="15"/>
      <c r="M317">
        <v>15</v>
      </c>
      <c r="O317" t="s">
        <v>201</v>
      </c>
      <c r="P317" t="s">
        <v>531</v>
      </c>
      <c r="S317" t="s">
        <v>364</v>
      </c>
      <c r="T317" t="s">
        <v>379</v>
      </c>
      <c r="U317" t="s">
        <v>239</v>
      </c>
      <c r="V317" t="s">
        <v>351</v>
      </c>
      <c r="W317" t="s">
        <v>378</v>
      </c>
      <c r="X317" t="s">
        <v>239</v>
      </c>
      <c r="AA317" t="s">
        <v>67</v>
      </c>
      <c r="AB317" t="s">
        <v>364</v>
      </c>
      <c r="AC317">
        <v>1050</v>
      </c>
      <c r="AD317" t="s">
        <v>217</v>
      </c>
      <c r="AE317">
        <v>1.5</v>
      </c>
      <c r="AF317">
        <v>1</v>
      </c>
    </row>
    <row r="318" spans="1:32" x14ac:dyDescent="0.3">
      <c r="A318" t="s">
        <v>351</v>
      </c>
      <c r="B318" t="s">
        <v>45</v>
      </c>
      <c r="C318" t="s">
        <v>68</v>
      </c>
      <c r="D318" t="s">
        <v>310</v>
      </c>
      <c r="E318" t="s">
        <v>922</v>
      </c>
      <c r="F318" s="15">
        <v>46224.403738425928</v>
      </c>
      <c r="G318" t="s">
        <v>415</v>
      </c>
      <c r="H318">
        <v>50</v>
      </c>
      <c r="I318" t="s">
        <v>923</v>
      </c>
      <c r="J318" s="15">
        <v>46224.678472222222</v>
      </c>
      <c r="K318" s="15">
        <v>46227.503472222219</v>
      </c>
      <c r="L318" s="15"/>
      <c r="M318">
        <v>50</v>
      </c>
      <c r="O318" t="s">
        <v>201</v>
      </c>
      <c r="P318" t="s">
        <v>531</v>
      </c>
      <c r="S318" t="s">
        <v>364</v>
      </c>
      <c r="T318" t="s">
        <v>379</v>
      </c>
      <c r="U318" t="s">
        <v>239</v>
      </c>
      <c r="V318" t="s">
        <v>351</v>
      </c>
      <c r="W318" t="s">
        <v>378</v>
      </c>
      <c r="X318" t="s">
        <v>239</v>
      </c>
      <c r="Y318">
        <v>0</v>
      </c>
      <c r="AA318" t="s">
        <v>67</v>
      </c>
      <c r="AB318" t="s">
        <v>364</v>
      </c>
      <c r="AC318">
        <v>1050</v>
      </c>
      <c r="AD318" t="s">
        <v>217</v>
      </c>
      <c r="AE318">
        <v>5</v>
      </c>
      <c r="AF318">
        <v>1</v>
      </c>
    </row>
    <row r="319" spans="1:32" x14ac:dyDescent="0.3">
      <c r="A319" t="s">
        <v>351</v>
      </c>
      <c r="B319" t="s">
        <v>45</v>
      </c>
      <c r="C319" t="s">
        <v>68</v>
      </c>
      <c r="D319" t="s">
        <v>310</v>
      </c>
      <c r="E319" t="s">
        <v>924</v>
      </c>
      <c r="F319" s="15">
        <v>46230.325821759259</v>
      </c>
      <c r="G319" t="s">
        <v>421</v>
      </c>
      <c r="H319">
        <v>22</v>
      </c>
      <c r="I319" t="s">
        <v>925</v>
      </c>
      <c r="J319" s="15">
        <v>46230.419444444444</v>
      </c>
      <c r="K319" s="15">
        <v>46232.520833333336</v>
      </c>
      <c r="L319" s="15"/>
      <c r="M319">
        <v>22</v>
      </c>
      <c r="O319" t="s">
        <v>201</v>
      </c>
      <c r="P319" t="s">
        <v>531</v>
      </c>
      <c r="S319" t="s">
        <v>364</v>
      </c>
      <c r="T319" t="s">
        <v>379</v>
      </c>
      <c r="U319" t="s">
        <v>239</v>
      </c>
      <c r="V319" t="s">
        <v>351</v>
      </c>
      <c r="W319" t="s">
        <v>378</v>
      </c>
      <c r="X319" t="s">
        <v>239</v>
      </c>
      <c r="Y319">
        <v>0</v>
      </c>
      <c r="AA319" t="s">
        <v>67</v>
      </c>
      <c r="AB319" t="s">
        <v>364</v>
      </c>
      <c r="AC319">
        <v>1050</v>
      </c>
      <c r="AD319" t="s">
        <v>217</v>
      </c>
      <c r="AE319">
        <v>2.2000000000000002</v>
      </c>
      <c r="AF319">
        <v>1</v>
      </c>
    </row>
    <row r="320" spans="1:32" x14ac:dyDescent="0.3">
      <c r="A320" t="s">
        <v>351</v>
      </c>
      <c r="B320" t="s">
        <v>48</v>
      </c>
      <c r="C320" t="s">
        <v>68</v>
      </c>
      <c r="D320" t="s">
        <v>310</v>
      </c>
      <c r="E320" t="s">
        <v>976</v>
      </c>
      <c r="F320" s="15">
        <v>46226.544976851852</v>
      </c>
      <c r="G320" t="s">
        <v>415</v>
      </c>
      <c r="H320">
        <v>1</v>
      </c>
      <c r="I320" t="s">
        <v>977</v>
      </c>
      <c r="J320" s="15">
        <v>46227.467361111114</v>
      </c>
      <c r="K320" s="15">
        <v>46230.449305555558</v>
      </c>
      <c r="L320" s="15"/>
      <c r="M320">
        <v>1</v>
      </c>
      <c r="O320" t="s">
        <v>201</v>
      </c>
      <c r="P320" t="s">
        <v>532</v>
      </c>
      <c r="S320" t="s">
        <v>364</v>
      </c>
      <c r="T320" t="s">
        <v>379</v>
      </c>
      <c r="U320" t="s">
        <v>239</v>
      </c>
      <c r="V320" t="s">
        <v>351</v>
      </c>
      <c r="W320" t="s">
        <v>378</v>
      </c>
      <c r="X320" t="s">
        <v>239</v>
      </c>
      <c r="Y320">
        <v>0</v>
      </c>
      <c r="AA320" t="s">
        <v>90</v>
      </c>
      <c r="AB320" t="s">
        <v>364</v>
      </c>
      <c r="AC320">
        <v>1050</v>
      </c>
      <c r="AD320" t="s">
        <v>217</v>
      </c>
      <c r="AE320">
        <v>1</v>
      </c>
      <c r="AF320">
        <v>1</v>
      </c>
    </row>
    <row r="321" spans="1:32" x14ac:dyDescent="0.3">
      <c r="A321" t="s">
        <v>352</v>
      </c>
      <c r="B321" t="s">
        <v>43</v>
      </c>
      <c r="C321" t="s">
        <v>105</v>
      </c>
      <c r="D321" t="s">
        <v>310</v>
      </c>
      <c r="E321" t="s">
        <v>1104</v>
      </c>
      <c r="F321" s="15">
        <v>46251.397696759261</v>
      </c>
      <c r="G321" t="s">
        <v>412</v>
      </c>
      <c r="H321">
        <v>1</v>
      </c>
      <c r="I321" t="s">
        <v>1105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201</v>
      </c>
      <c r="P321" t="s">
        <v>531</v>
      </c>
      <c r="S321" t="s">
        <v>1106</v>
      </c>
      <c r="T321" t="s">
        <v>1107</v>
      </c>
      <c r="U321" t="s">
        <v>261</v>
      </c>
      <c r="V321" t="s">
        <v>352</v>
      </c>
      <c r="W321" t="s">
        <v>403</v>
      </c>
      <c r="X321" t="s">
        <v>261</v>
      </c>
      <c r="Y321">
        <v>0</v>
      </c>
      <c r="AA321" t="s">
        <v>67</v>
      </c>
      <c r="AB321" t="s">
        <v>1106</v>
      </c>
      <c r="AC321">
        <v>2300</v>
      </c>
      <c r="AD321" t="s">
        <v>217</v>
      </c>
      <c r="AE321">
        <v>1</v>
      </c>
      <c r="AF321">
        <v>1</v>
      </c>
    </row>
    <row r="322" spans="1:32" x14ac:dyDescent="0.3">
      <c r="A322" t="s">
        <v>352</v>
      </c>
      <c r="B322" t="s">
        <v>63</v>
      </c>
      <c r="C322" t="s">
        <v>95</v>
      </c>
      <c r="D322" t="s">
        <v>310</v>
      </c>
      <c r="E322" t="s">
        <v>828</v>
      </c>
      <c r="F322" s="15">
        <v>46239.427071759259</v>
      </c>
      <c r="G322" t="s">
        <v>412</v>
      </c>
      <c r="H322">
        <v>18</v>
      </c>
      <c r="I322" t="s">
        <v>1108</v>
      </c>
      <c r="J322" s="15">
        <v>46240.370833333334</v>
      </c>
      <c r="K322" s="15">
        <v>46253.495833333334</v>
      </c>
      <c r="L322" s="15"/>
      <c r="M322">
        <v>18</v>
      </c>
      <c r="O322" t="s">
        <v>201</v>
      </c>
      <c r="P322" t="s">
        <v>532</v>
      </c>
      <c r="S322" t="s">
        <v>1106</v>
      </c>
      <c r="T322" t="s">
        <v>1107</v>
      </c>
      <c r="U322" t="s">
        <v>261</v>
      </c>
      <c r="V322" t="s">
        <v>7</v>
      </c>
      <c r="W322" t="s">
        <v>7</v>
      </c>
      <c r="X322" t="s">
        <v>7</v>
      </c>
      <c r="AA322" t="s">
        <v>96</v>
      </c>
      <c r="AB322" t="s">
        <v>1106</v>
      </c>
      <c r="AC322">
        <v>2300</v>
      </c>
      <c r="AD322" t="s">
        <v>225</v>
      </c>
      <c r="AE322">
        <v>18</v>
      </c>
      <c r="AF322">
        <v>30.78</v>
      </c>
    </row>
    <row r="323" spans="1:32" x14ac:dyDescent="0.3">
      <c r="A323" t="s">
        <v>352</v>
      </c>
      <c r="B323" t="s">
        <v>57</v>
      </c>
      <c r="C323" t="s">
        <v>117</v>
      </c>
      <c r="D323" t="s">
        <v>310</v>
      </c>
      <c r="E323" t="s">
        <v>828</v>
      </c>
      <c r="F323" s="15">
        <v>46239.427071759259</v>
      </c>
      <c r="G323" t="s">
        <v>412</v>
      </c>
      <c r="H323">
        <v>18</v>
      </c>
      <c r="I323" t="s">
        <v>1108</v>
      </c>
      <c r="J323" s="15">
        <v>46240.370833333334</v>
      </c>
      <c r="K323" s="15">
        <v>46253.495833333334</v>
      </c>
      <c r="L323" s="15"/>
      <c r="M323">
        <v>18</v>
      </c>
      <c r="O323" t="s">
        <v>201</v>
      </c>
      <c r="P323" t="s">
        <v>532</v>
      </c>
      <c r="S323" t="s">
        <v>1106</v>
      </c>
      <c r="T323" t="s">
        <v>1107</v>
      </c>
      <c r="U323" t="s">
        <v>261</v>
      </c>
      <c r="V323" t="s">
        <v>7</v>
      </c>
      <c r="W323" t="s">
        <v>7</v>
      </c>
      <c r="X323" t="s">
        <v>7</v>
      </c>
      <c r="AA323" t="s">
        <v>127</v>
      </c>
      <c r="AB323" t="s">
        <v>1106</v>
      </c>
      <c r="AC323">
        <v>2300</v>
      </c>
      <c r="AD323" t="s">
        <v>233</v>
      </c>
      <c r="AE323">
        <v>1.8</v>
      </c>
    </row>
    <row r="324" spans="1:32" x14ac:dyDescent="0.3">
      <c r="A324" t="s">
        <v>352</v>
      </c>
      <c r="B324" t="s">
        <v>279</v>
      </c>
      <c r="C324" t="s">
        <v>197</v>
      </c>
      <c r="D324" t="s">
        <v>310</v>
      </c>
      <c r="E324" t="s">
        <v>828</v>
      </c>
      <c r="F324" s="15">
        <v>46239.427071759259</v>
      </c>
      <c r="G324" t="s">
        <v>412</v>
      </c>
      <c r="H324">
        <v>18</v>
      </c>
      <c r="I324" t="s">
        <v>1108</v>
      </c>
      <c r="J324" s="15">
        <v>46240.370833333334</v>
      </c>
      <c r="K324" s="15">
        <v>46253.495833333334</v>
      </c>
      <c r="L324" s="15"/>
      <c r="M324">
        <v>18</v>
      </c>
      <c r="O324" t="s">
        <v>201</v>
      </c>
      <c r="P324" t="s">
        <v>531</v>
      </c>
      <c r="S324" t="s">
        <v>1106</v>
      </c>
      <c r="T324" t="s">
        <v>1107</v>
      </c>
      <c r="U324" t="s">
        <v>261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1106</v>
      </c>
      <c r="AC324">
        <v>2300</v>
      </c>
      <c r="AD324" t="s">
        <v>232</v>
      </c>
      <c r="AE324">
        <v>288</v>
      </c>
    </row>
    <row r="325" spans="1:32" x14ac:dyDescent="0.3">
      <c r="A325" t="s">
        <v>352</v>
      </c>
      <c r="B325" t="s">
        <v>45</v>
      </c>
      <c r="C325" t="s">
        <v>68</v>
      </c>
      <c r="D325" t="s">
        <v>310</v>
      </c>
      <c r="E325" t="s">
        <v>1109</v>
      </c>
      <c r="F325" s="15">
        <v>46251.388148148151</v>
      </c>
      <c r="G325" t="s">
        <v>1110</v>
      </c>
      <c r="H325">
        <v>10</v>
      </c>
      <c r="I325" t="s">
        <v>1111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201</v>
      </c>
      <c r="P325" t="s">
        <v>531</v>
      </c>
      <c r="S325" t="s">
        <v>1106</v>
      </c>
      <c r="T325" t="s">
        <v>1107</v>
      </c>
      <c r="U325" t="s">
        <v>261</v>
      </c>
      <c r="V325" t="s">
        <v>352</v>
      </c>
      <c r="W325" t="s">
        <v>403</v>
      </c>
      <c r="X325" t="s">
        <v>261</v>
      </c>
      <c r="Y325">
        <v>0</v>
      </c>
      <c r="AA325" t="s">
        <v>67</v>
      </c>
      <c r="AB325" t="s">
        <v>1106</v>
      </c>
      <c r="AC325">
        <v>2300</v>
      </c>
      <c r="AD325" t="s">
        <v>217</v>
      </c>
      <c r="AE325">
        <v>1</v>
      </c>
    </row>
    <row r="326" spans="1:32" x14ac:dyDescent="0.3">
      <c r="A326" t="s">
        <v>352</v>
      </c>
      <c r="B326" t="s">
        <v>51</v>
      </c>
      <c r="C326" t="s">
        <v>258</v>
      </c>
      <c r="D326" t="s">
        <v>310</v>
      </c>
      <c r="E326" t="s">
        <v>1114</v>
      </c>
      <c r="F326" s="15">
        <v>46252.367824074077</v>
      </c>
      <c r="G326" t="s">
        <v>1110</v>
      </c>
      <c r="H326">
        <v>150</v>
      </c>
      <c r="I326" t="s">
        <v>1115</v>
      </c>
      <c r="J326" s="15">
        <v>46253.532638888886</v>
      </c>
      <c r="K326" s="15">
        <v>46255.618055555555</v>
      </c>
      <c r="L326" s="15"/>
      <c r="M326">
        <v>150</v>
      </c>
      <c r="O326" t="s">
        <v>201</v>
      </c>
      <c r="P326" t="s">
        <v>531</v>
      </c>
      <c r="S326" t="s">
        <v>1106</v>
      </c>
      <c r="T326" t="s">
        <v>1107</v>
      </c>
      <c r="U326" t="s">
        <v>261</v>
      </c>
      <c r="V326" t="s">
        <v>7</v>
      </c>
      <c r="W326" t="s">
        <v>7</v>
      </c>
      <c r="X326" t="s">
        <v>7</v>
      </c>
      <c r="AA326" t="s">
        <v>238</v>
      </c>
      <c r="AB326" t="s">
        <v>1106</v>
      </c>
      <c r="AC326">
        <v>2300</v>
      </c>
      <c r="AD326" t="s">
        <v>7</v>
      </c>
      <c r="AF326">
        <v>0</v>
      </c>
    </row>
    <row r="327" spans="1:32" x14ac:dyDescent="0.3">
      <c r="A327" t="s">
        <v>352</v>
      </c>
      <c r="B327" t="s">
        <v>45</v>
      </c>
      <c r="C327" t="s">
        <v>68</v>
      </c>
      <c r="D327" t="s">
        <v>310</v>
      </c>
      <c r="E327" t="s">
        <v>1112</v>
      </c>
      <c r="F327" s="15">
        <v>46251.394097222219</v>
      </c>
      <c r="G327" t="s">
        <v>1110</v>
      </c>
      <c r="H327">
        <v>5</v>
      </c>
      <c r="I327" t="s">
        <v>1113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201</v>
      </c>
      <c r="P327" t="s">
        <v>531</v>
      </c>
      <c r="S327" t="s">
        <v>1106</v>
      </c>
      <c r="T327" t="s">
        <v>1107</v>
      </c>
      <c r="U327" t="s">
        <v>261</v>
      </c>
      <c r="V327" t="s">
        <v>352</v>
      </c>
      <c r="W327" t="s">
        <v>403</v>
      </c>
      <c r="X327" t="s">
        <v>261</v>
      </c>
      <c r="AA327" t="s">
        <v>67</v>
      </c>
      <c r="AB327" t="s">
        <v>1106</v>
      </c>
      <c r="AC327">
        <v>2300</v>
      </c>
      <c r="AD327" t="s">
        <v>217</v>
      </c>
      <c r="AE327">
        <v>1</v>
      </c>
    </row>
    <row r="328" spans="1:32" x14ac:dyDescent="0.3">
      <c r="A328" t="s">
        <v>352</v>
      </c>
      <c r="B328" t="s">
        <v>48</v>
      </c>
      <c r="C328" t="s">
        <v>68</v>
      </c>
      <c r="D328" t="s">
        <v>310</v>
      </c>
      <c r="E328" t="s">
        <v>1116</v>
      </c>
      <c r="F328" s="15">
        <v>46226.72587962963</v>
      </c>
      <c r="G328" t="s">
        <v>412</v>
      </c>
      <c r="H328">
        <v>1</v>
      </c>
      <c r="I328" t="s">
        <v>1117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201</v>
      </c>
      <c r="P328" t="s">
        <v>531</v>
      </c>
      <c r="S328" t="s">
        <v>1106</v>
      </c>
      <c r="T328" t="s">
        <v>1107</v>
      </c>
      <c r="U328" t="s">
        <v>261</v>
      </c>
      <c r="V328" t="s">
        <v>352</v>
      </c>
      <c r="W328" t="s">
        <v>403</v>
      </c>
      <c r="X328" t="s">
        <v>261</v>
      </c>
      <c r="Y328">
        <v>0</v>
      </c>
      <c r="AA328" t="s">
        <v>90</v>
      </c>
      <c r="AB328" t="s">
        <v>1106</v>
      </c>
      <c r="AC328">
        <v>2300</v>
      </c>
      <c r="AD328" t="s">
        <v>217</v>
      </c>
      <c r="AE328">
        <v>1</v>
      </c>
      <c r="AF328">
        <v>1</v>
      </c>
    </row>
    <row r="329" spans="1:32" x14ac:dyDescent="0.3">
      <c r="A329" t="s">
        <v>352</v>
      </c>
      <c r="B329" t="s">
        <v>45</v>
      </c>
      <c r="C329" t="s">
        <v>68</v>
      </c>
      <c r="D329" t="s">
        <v>310</v>
      </c>
      <c r="E329" t="s">
        <v>1118</v>
      </c>
      <c r="F329" s="15">
        <v>46219.31449074074</v>
      </c>
      <c r="G329" t="s">
        <v>1110</v>
      </c>
      <c r="H329">
        <v>9</v>
      </c>
      <c r="I329" t="s">
        <v>1119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201</v>
      </c>
      <c r="P329" t="s">
        <v>531</v>
      </c>
      <c r="S329" t="s">
        <v>1106</v>
      </c>
      <c r="T329" t="s">
        <v>1107</v>
      </c>
      <c r="U329" t="s">
        <v>261</v>
      </c>
      <c r="V329" t="s">
        <v>352</v>
      </c>
      <c r="W329" t="s">
        <v>403</v>
      </c>
      <c r="X329" t="s">
        <v>261</v>
      </c>
      <c r="Y329">
        <v>0</v>
      </c>
      <c r="AA329" t="s">
        <v>67</v>
      </c>
      <c r="AB329" t="s">
        <v>1106</v>
      </c>
      <c r="AC329">
        <v>2300</v>
      </c>
      <c r="AD329" t="s">
        <v>217</v>
      </c>
      <c r="AE329">
        <v>1</v>
      </c>
    </row>
    <row r="330" spans="1:32" x14ac:dyDescent="0.3">
      <c r="A330" t="s">
        <v>350</v>
      </c>
      <c r="B330" t="s">
        <v>51</v>
      </c>
      <c r="C330" t="s">
        <v>258</v>
      </c>
      <c r="D330" t="s">
        <v>310</v>
      </c>
      <c r="E330" t="s">
        <v>1124</v>
      </c>
      <c r="F330" s="15">
        <v>46253.364374999997</v>
      </c>
      <c r="G330" t="s">
        <v>1125</v>
      </c>
      <c r="H330">
        <v>105</v>
      </c>
      <c r="I330" t="s">
        <v>1126</v>
      </c>
      <c r="J330" s="15">
        <v>46253.631249999999</v>
      </c>
      <c r="K330" s="15">
        <v>46254.472222222219</v>
      </c>
      <c r="L330" s="15"/>
      <c r="M330">
        <v>105</v>
      </c>
      <c r="O330" t="s">
        <v>201</v>
      </c>
      <c r="P330" t="s">
        <v>532</v>
      </c>
      <c r="S330" t="s">
        <v>370</v>
      </c>
      <c r="T330" t="s">
        <v>383</v>
      </c>
      <c r="U330" t="s">
        <v>240</v>
      </c>
      <c r="V330" t="s">
        <v>7</v>
      </c>
      <c r="W330" t="s">
        <v>7</v>
      </c>
      <c r="X330" t="s">
        <v>7</v>
      </c>
      <c r="AA330" t="s">
        <v>238</v>
      </c>
      <c r="AB330" t="s">
        <v>370</v>
      </c>
      <c r="AD330" t="s">
        <v>7</v>
      </c>
      <c r="AF330">
        <v>0</v>
      </c>
    </row>
    <row r="331" spans="1:32" x14ac:dyDescent="0.3">
      <c r="A331" t="s">
        <v>350</v>
      </c>
      <c r="B331" t="s">
        <v>51</v>
      </c>
      <c r="C331" t="s">
        <v>258</v>
      </c>
      <c r="D331" t="s">
        <v>310</v>
      </c>
      <c r="E331" t="s">
        <v>1127</v>
      </c>
      <c r="F331" s="15">
        <v>46252.495659722219</v>
      </c>
      <c r="G331" t="s">
        <v>414</v>
      </c>
      <c r="H331">
        <v>220</v>
      </c>
      <c r="I331" t="s">
        <v>1128</v>
      </c>
      <c r="J331" s="15">
        <v>46253.654861111114</v>
      </c>
      <c r="K331" s="15">
        <v>46255.357638888891</v>
      </c>
      <c r="L331" s="15"/>
      <c r="M331">
        <v>220</v>
      </c>
      <c r="O331" t="s">
        <v>201</v>
      </c>
      <c r="P331" t="s">
        <v>532</v>
      </c>
      <c r="S331" t="s">
        <v>370</v>
      </c>
      <c r="T331" t="s">
        <v>383</v>
      </c>
      <c r="U331" t="s">
        <v>240</v>
      </c>
      <c r="V331" t="s">
        <v>7</v>
      </c>
      <c r="W331" t="s">
        <v>7</v>
      </c>
      <c r="X331" t="s">
        <v>7</v>
      </c>
      <c r="AA331" t="s">
        <v>238</v>
      </c>
      <c r="AB331" t="s">
        <v>370</v>
      </c>
      <c r="AD331" t="s">
        <v>7</v>
      </c>
      <c r="AF331">
        <v>0</v>
      </c>
    </row>
    <row r="332" spans="1:32" x14ac:dyDescent="0.3">
      <c r="A332" t="s">
        <v>350</v>
      </c>
      <c r="B332" t="s">
        <v>45</v>
      </c>
      <c r="C332" t="s">
        <v>68</v>
      </c>
      <c r="D332" t="s">
        <v>310</v>
      </c>
      <c r="E332" t="s">
        <v>1129</v>
      </c>
      <c r="F332" s="15">
        <v>46244.678773148145</v>
      </c>
      <c r="G332" t="s">
        <v>414</v>
      </c>
      <c r="H332">
        <v>25</v>
      </c>
      <c r="I332" t="s">
        <v>1130</v>
      </c>
      <c r="J332" s="15">
        <v>46245.410416666666</v>
      </c>
      <c r="K332" s="15">
        <v>46246.395833333336</v>
      </c>
      <c r="L332" s="15"/>
      <c r="M332">
        <v>25</v>
      </c>
      <c r="O332" t="s">
        <v>201</v>
      </c>
      <c r="P332" t="s">
        <v>532</v>
      </c>
      <c r="S332" t="s">
        <v>370</v>
      </c>
      <c r="T332" t="s">
        <v>383</v>
      </c>
      <c r="U332" t="s">
        <v>240</v>
      </c>
      <c r="V332" t="s">
        <v>350</v>
      </c>
      <c r="W332" t="s">
        <v>356</v>
      </c>
      <c r="X332" t="s">
        <v>240</v>
      </c>
      <c r="Y332">
        <v>3</v>
      </c>
      <c r="AA332" t="s">
        <v>67</v>
      </c>
      <c r="AB332" t="s">
        <v>370</v>
      </c>
      <c r="AD332" t="s">
        <v>217</v>
      </c>
      <c r="AE332">
        <v>2.5</v>
      </c>
      <c r="AF332">
        <v>1</v>
      </c>
    </row>
    <row r="333" spans="1:32" x14ac:dyDescent="0.3">
      <c r="A333" t="s">
        <v>350</v>
      </c>
      <c r="B333" t="s">
        <v>45</v>
      </c>
      <c r="C333" t="s">
        <v>68</v>
      </c>
      <c r="D333" t="s">
        <v>310</v>
      </c>
      <c r="E333" t="s">
        <v>1131</v>
      </c>
      <c r="F333" s="15">
        <v>46252.494293981479</v>
      </c>
      <c r="G333" t="s">
        <v>414</v>
      </c>
      <c r="H333">
        <v>25</v>
      </c>
      <c r="I333" t="s">
        <v>1132</v>
      </c>
      <c r="J333" s="15">
        <v>46252.644444444442</v>
      </c>
      <c r="K333" s="15">
        <v>46253.423611111109</v>
      </c>
      <c r="L333" s="15"/>
      <c r="M333">
        <v>25</v>
      </c>
      <c r="O333" t="s">
        <v>201</v>
      </c>
      <c r="P333" t="s">
        <v>532</v>
      </c>
      <c r="S333" t="s">
        <v>370</v>
      </c>
      <c r="T333" t="s">
        <v>383</v>
      </c>
      <c r="U333" t="s">
        <v>240</v>
      </c>
      <c r="V333" t="s">
        <v>350</v>
      </c>
      <c r="W333" t="s">
        <v>356</v>
      </c>
      <c r="X333" t="s">
        <v>240</v>
      </c>
      <c r="Y333">
        <v>3</v>
      </c>
      <c r="AA333" t="s">
        <v>67</v>
      </c>
      <c r="AB333" t="s">
        <v>370</v>
      </c>
      <c r="AD333" t="s">
        <v>217</v>
      </c>
      <c r="AE333">
        <v>2.5</v>
      </c>
      <c r="AF333">
        <v>1</v>
      </c>
    </row>
    <row r="334" spans="1:32" x14ac:dyDescent="0.3">
      <c r="A334" t="s">
        <v>350</v>
      </c>
      <c r="B334" t="s">
        <v>45</v>
      </c>
      <c r="C334" t="s">
        <v>68</v>
      </c>
      <c r="D334" t="s">
        <v>310</v>
      </c>
      <c r="E334" t="s">
        <v>1133</v>
      </c>
      <c r="F334" s="15">
        <v>46237.299120370371</v>
      </c>
      <c r="G334" t="s">
        <v>414</v>
      </c>
      <c r="H334">
        <v>20</v>
      </c>
      <c r="I334" t="s">
        <v>1134</v>
      </c>
      <c r="J334" s="15">
        <v>46237.356944444444</v>
      </c>
      <c r="K334" s="15">
        <v>46239.371527777781</v>
      </c>
      <c r="L334" s="15"/>
      <c r="M334">
        <v>20</v>
      </c>
      <c r="O334" t="s">
        <v>201</v>
      </c>
      <c r="P334" t="s">
        <v>531</v>
      </c>
      <c r="S334" t="s">
        <v>370</v>
      </c>
      <c r="T334" t="s">
        <v>383</v>
      </c>
      <c r="U334" t="s">
        <v>240</v>
      </c>
      <c r="V334" t="s">
        <v>350</v>
      </c>
      <c r="W334" t="s">
        <v>356</v>
      </c>
      <c r="X334" t="s">
        <v>240</v>
      </c>
      <c r="Y334">
        <v>3</v>
      </c>
      <c r="AA334" t="s">
        <v>67</v>
      </c>
      <c r="AB334" t="s">
        <v>370</v>
      </c>
      <c r="AD334" t="s">
        <v>217</v>
      </c>
      <c r="AE334">
        <v>2</v>
      </c>
      <c r="AF334">
        <v>1</v>
      </c>
    </row>
    <row r="335" spans="1:32" x14ac:dyDescent="0.3">
      <c r="A335" t="s">
        <v>350</v>
      </c>
      <c r="B335" t="s">
        <v>51</v>
      </c>
      <c r="C335" t="s">
        <v>258</v>
      </c>
      <c r="D335" t="s">
        <v>310</v>
      </c>
      <c r="E335" t="s">
        <v>1135</v>
      </c>
      <c r="F335" s="15">
        <v>46218.456944444442</v>
      </c>
      <c r="G335" t="s">
        <v>1136</v>
      </c>
      <c r="H335">
        <v>6</v>
      </c>
      <c r="I335" t="s">
        <v>1137</v>
      </c>
      <c r="J335" s="15">
        <v>46218.598611111112</v>
      </c>
      <c r="K335" s="15">
        <v>46220.557638888888</v>
      </c>
      <c r="L335" s="15"/>
      <c r="M335">
        <v>6</v>
      </c>
      <c r="O335" t="s">
        <v>201</v>
      </c>
      <c r="P335" t="s">
        <v>532</v>
      </c>
      <c r="S335" t="s">
        <v>368</v>
      </c>
      <c r="T335" t="s">
        <v>381</v>
      </c>
      <c r="U335" t="s">
        <v>240</v>
      </c>
      <c r="V335" t="s">
        <v>7</v>
      </c>
      <c r="W335" t="s">
        <v>7</v>
      </c>
      <c r="X335" t="s">
        <v>7</v>
      </c>
      <c r="AA335" t="s">
        <v>238</v>
      </c>
      <c r="AB335" t="s">
        <v>368</v>
      </c>
      <c r="AC335">
        <v>1100</v>
      </c>
      <c r="AD335" t="s">
        <v>7</v>
      </c>
      <c r="AF335">
        <v>0</v>
      </c>
    </row>
    <row r="336" spans="1:32" x14ac:dyDescent="0.3">
      <c r="A336" t="s">
        <v>350</v>
      </c>
      <c r="B336" t="s">
        <v>51</v>
      </c>
      <c r="C336" t="s">
        <v>258</v>
      </c>
      <c r="D336" t="s">
        <v>310</v>
      </c>
      <c r="E336" t="s">
        <v>1138</v>
      </c>
      <c r="F336" s="15">
        <v>46230.652881944443</v>
      </c>
      <c r="G336" t="s">
        <v>1136</v>
      </c>
      <c r="H336">
        <v>20</v>
      </c>
      <c r="I336" t="s">
        <v>1139</v>
      </c>
      <c r="J336" s="15">
        <v>46230.70208333333</v>
      </c>
      <c r="K336" s="15">
        <v>46232.451388888891</v>
      </c>
      <c r="L336" s="15"/>
      <c r="M336">
        <v>20</v>
      </c>
      <c r="O336" t="s">
        <v>201</v>
      </c>
      <c r="P336" t="s">
        <v>532</v>
      </c>
      <c r="S336" t="s">
        <v>368</v>
      </c>
      <c r="T336" t="s">
        <v>381</v>
      </c>
      <c r="U336" t="s">
        <v>240</v>
      </c>
      <c r="V336" t="s">
        <v>7</v>
      </c>
      <c r="W336" t="s">
        <v>7</v>
      </c>
      <c r="X336" t="s">
        <v>7</v>
      </c>
      <c r="AA336" t="s">
        <v>238</v>
      </c>
      <c r="AB336" t="s">
        <v>368</v>
      </c>
      <c r="AC336">
        <v>1100</v>
      </c>
      <c r="AD336" t="s">
        <v>7</v>
      </c>
      <c r="AF336">
        <v>0</v>
      </c>
    </row>
    <row r="337" spans="1:32" x14ac:dyDescent="0.3">
      <c r="A337" t="s">
        <v>350</v>
      </c>
      <c r="B337" t="s">
        <v>63</v>
      </c>
      <c r="C337" t="s">
        <v>95</v>
      </c>
      <c r="D337" t="s">
        <v>310</v>
      </c>
      <c r="E337" t="s">
        <v>1140</v>
      </c>
      <c r="F337" s="15">
        <v>46248.469560185185</v>
      </c>
      <c r="G337" t="s">
        <v>425</v>
      </c>
      <c r="H337">
        <v>26</v>
      </c>
      <c r="I337" t="s">
        <v>1141</v>
      </c>
      <c r="J337" s="15">
        <v>46251.56527777778</v>
      </c>
      <c r="K337" s="15">
        <v>46254.506944444445</v>
      </c>
      <c r="L337" s="15"/>
      <c r="M337">
        <v>26</v>
      </c>
      <c r="O337" t="s">
        <v>201</v>
      </c>
      <c r="P337" t="s">
        <v>532</v>
      </c>
      <c r="S337" t="s">
        <v>368</v>
      </c>
      <c r="T337" t="s">
        <v>381</v>
      </c>
      <c r="U337" t="s">
        <v>240</v>
      </c>
      <c r="V337" t="s">
        <v>7</v>
      </c>
      <c r="W337" t="s">
        <v>7</v>
      </c>
      <c r="X337" t="s">
        <v>7</v>
      </c>
      <c r="AA337" t="s">
        <v>96</v>
      </c>
      <c r="AB337" t="s">
        <v>368</v>
      </c>
      <c r="AC337">
        <v>1100</v>
      </c>
      <c r="AD337" t="s">
        <v>225</v>
      </c>
      <c r="AE337">
        <v>26</v>
      </c>
      <c r="AF337">
        <v>44.46</v>
      </c>
    </row>
    <row r="338" spans="1:32" x14ac:dyDescent="0.3">
      <c r="A338" t="s">
        <v>350</v>
      </c>
      <c r="B338" t="s">
        <v>279</v>
      </c>
      <c r="C338" t="s">
        <v>197</v>
      </c>
      <c r="D338" t="s">
        <v>310</v>
      </c>
      <c r="E338" t="s">
        <v>1140</v>
      </c>
      <c r="F338" s="15">
        <v>46248.469560185185</v>
      </c>
      <c r="G338" t="s">
        <v>425</v>
      </c>
      <c r="H338">
        <v>26</v>
      </c>
      <c r="I338" t="s">
        <v>1141</v>
      </c>
      <c r="J338" s="15">
        <v>46251.56527777778</v>
      </c>
      <c r="K338" s="15">
        <v>46254.506944444445</v>
      </c>
      <c r="L338" s="15"/>
      <c r="M338">
        <v>26</v>
      </c>
      <c r="O338" t="s">
        <v>201</v>
      </c>
      <c r="P338" t="s">
        <v>532</v>
      </c>
      <c r="S338" t="s">
        <v>368</v>
      </c>
      <c r="T338" t="s">
        <v>381</v>
      </c>
      <c r="U338" t="s">
        <v>240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368</v>
      </c>
      <c r="AC338">
        <v>1100</v>
      </c>
      <c r="AD338" t="s">
        <v>232</v>
      </c>
      <c r="AE338">
        <v>416</v>
      </c>
    </row>
    <row r="339" spans="1:32" x14ac:dyDescent="0.3">
      <c r="A339" t="s">
        <v>350</v>
      </c>
      <c r="B339" t="s">
        <v>57</v>
      </c>
      <c r="C339" t="s">
        <v>117</v>
      </c>
      <c r="D339" t="s">
        <v>310</v>
      </c>
      <c r="E339" t="s">
        <v>1140</v>
      </c>
      <c r="F339" s="15">
        <v>46248.469560185185</v>
      </c>
      <c r="G339" t="s">
        <v>425</v>
      </c>
      <c r="H339">
        <v>26</v>
      </c>
      <c r="I339" t="s">
        <v>1141</v>
      </c>
      <c r="J339" s="15">
        <v>46251.56527777778</v>
      </c>
      <c r="K339" s="15">
        <v>46254.506944444445</v>
      </c>
      <c r="L339" s="15"/>
      <c r="M339">
        <v>26</v>
      </c>
      <c r="O339" t="s">
        <v>201</v>
      </c>
      <c r="P339" t="s">
        <v>532</v>
      </c>
      <c r="S339" t="s">
        <v>368</v>
      </c>
      <c r="T339" t="s">
        <v>381</v>
      </c>
      <c r="U339" t="s">
        <v>240</v>
      </c>
      <c r="V339" t="s">
        <v>7</v>
      </c>
      <c r="W339" t="s">
        <v>7</v>
      </c>
      <c r="X339" t="s">
        <v>7</v>
      </c>
      <c r="AA339" t="s">
        <v>127</v>
      </c>
      <c r="AB339" t="s">
        <v>368</v>
      </c>
      <c r="AC339">
        <v>1100</v>
      </c>
      <c r="AD339" t="s">
        <v>233</v>
      </c>
      <c r="AE339">
        <v>2.6</v>
      </c>
    </row>
    <row r="340" spans="1:32" x14ac:dyDescent="0.3">
      <c r="A340" t="s">
        <v>350</v>
      </c>
      <c r="B340" t="s">
        <v>51</v>
      </c>
      <c r="C340" t="s">
        <v>258</v>
      </c>
      <c r="D340" t="s">
        <v>310</v>
      </c>
      <c r="E340" t="s">
        <v>1159</v>
      </c>
      <c r="F340" s="15">
        <v>46253.319224537037</v>
      </c>
      <c r="G340" t="s">
        <v>410</v>
      </c>
      <c r="H340">
        <v>32</v>
      </c>
      <c r="I340" t="s">
        <v>1158</v>
      </c>
      <c r="J340" s="15">
        <v>46253.518750000003</v>
      </c>
      <c r="K340" s="15">
        <v>46254.46875</v>
      </c>
      <c r="L340" s="15"/>
      <c r="M340">
        <v>32</v>
      </c>
      <c r="O340" t="s">
        <v>201</v>
      </c>
      <c r="P340" t="s">
        <v>532</v>
      </c>
      <c r="S340" t="s">
        <v>369</v>
      </c>
      <c r="T340" t="s">
        <v>382</v>
      </c>
      <c r="U340" t="s">
        <v>240</v>
      </c>
      <c r="V340" t="s">
        <v>7</v>
      </c>
      <c r="W340" t="s">
        <v>7</v>
      </c>
      <c r="X340" t="s">
        <v>7</v>
      </c>
      <c r="AA340" t="s">
        <v>238</v>
      </c>
      <c r="AB340" t="s">
        <v>369</v>
      </c>
      <c r="AD340" t="s">
        <v>7</v>
      </c>
      <c r="AF340">
        <v>0</v>
      </c>
    </row>
    <row r="341" spans="1:32" x14ac:dyDescent="0.3">
      <c r="A341" t="s">
        <v>350</v>
      </c>
      <c r="B341" t="s">
        <v>51</v>
      </c>
      <c r="C341" t="s">
        <v>258</v>
      </c>
      <c r="D341" t="s">
        <v>310</v>
      </c>
      <c r="E341" t="s">
        <v>1160</v>
      </c>
      <c r="F341" s="15">
        <v>46253.318599537037</v>
      </c>
      <c r="G341" t="s">
        <v>410</v>
      </c>
      <c r="H341">
        <v>32</v>
      </c>
      <c r="I341" t="s">
        <v>1158</v>
      </c>
      <c r="J341" s="15">
        <v>46253.518750000003</v>
      </c>
      <c r="K341" s="15">
        <v>46254.46875</v>
      </c>
      <c r="L341" s="15"/>
      <c r="M341">
        <v>32</v>
      </c>
      <c r="O341" t="s">
        <v>201</v>
      </c>
      <c r="P341" t="s">
        <v>532</v>
      </c>
      <c r="S341" t="s">
        <v>369</v>
      </c>
      <c r="T341" t="s">
        <v>382</v>
      </c>
      <c r="U341" t="s">
        <v>240</v>
      </c>
      <c r="V341" t="s">
        <v>7</v>
      </c>
      <c r="W341" t="s">
        <v>7</v>
      </c>
      <c r="X341" t="s">
        <v>7</v>
      </c>
      <c r="AA341" t="s">
        <v>238</v>
      </c>
      <c r="AB341" t="s">
        <v>369</v>
      </c>
      <c r="AD341" t="s">
        <v>7</v>
      </c>
    </row>
    <row r="342" spans="1:32" x14ac:dyDescent="0.3">
      <c r="A342" t="s">
        <v>350</v>
      </c>
      <c r="B342" t="s">
        <v>51</v>
      </c>
      <c r="C342" t="s">
        <v>258</v>
      </c>
      <c r="D342" t="s">
        <v>310</v>
      </c>
      <c r="E342" t="s">
        <v>1157</v>
      </c>
      <c r="F342" s="15">
        <v>46253.319699074076</v>
      </c>
      <c r="G342" t="s">
        <v>410</v>
      </c>
      <c r="H342">
        <v>32</v>
      </c>
      <c r="I342" t="s">
        <v>1158</v>
      </c>
      <c r="J342" s="15">
        <v>46253.518750000003</v>
      </c>
      <c r="K342" s="15">
        <v>46254.46875</v>
      </c>
      <c r="L342" s="15"/>
      <c r="M342">
        <v>32</v>
      </c>
      <c r="O342" t="s">
        <v>201</v>
      </c>
      <c r="P342" t="s">
        <v>532</v>
      </c>
      <c r="S342" t="s">
        <v>369</v>
      </c>
      <c r="T342" t="s">
        <v>382</v>
      </c>
      <c r="U342" t="s">
        <v>240</v>
      </c>
      <c r="V342" t="s">
        <v>7</v>
      </c>
      <c r="W342" t="s">
        <v>7</v>
      </c>
      <c r="X342" t="s">
        <v>7</v>
      </c>
      <c r="AA342" t="s">
        <v>238</v>
      </c>
      <c r="AB342" t="s">
        <v>369</v>
      </c>
      <c r="AD342" t="s">
        <v>7</v>
      </c>
    </row>
    <row r="343" spans="1:32" x14ac:dyDescent="0.3">
      <c r="A343" t="s">
        <v>350</v>
      </c>
      <c r="B343" t="s">
        <v>43</v>
      </c>
      <c r="C343" t="s">
        <v>105</v>
      </c>
      <c r="D343" t="s">
        <v>310</v>
      </c>
      <c r="E343" t="s">
        <v>1161</v>
      </c>
      <c r="F343" s="15">
        <v>46244.665532407409</v>
      </c>
      <c r="G343" t="s">
        <v>410</v>
      </c>
      <c r="H343">
        <v>3</v>
      </c>
      <c r="I343" t="s">
        <v>1162</v>
      </c>
      <c r="J343" s="15">
        <v>46246.388194444444</v>
      </c>
      <c r="K343" s="15">
        <v>46247.479166666664</v>
      </c>
      <c r="L343" s="15"/>
      <c r="M343">
        <v>3</v>
      </c>
      <c r="O343" t="s">
        <v>201</v>
      </c>
      <c r="P343" t="s">
        <v>532</v>
      </c>
      <c r="S343" t="s">
        <v>369</v>
      </c>
      <c r="T343" t="s">
        <v>382</v>
      </c>
      <c r="U343" t="s">
        <v>240</v>
      </c>
      <c r="V343" t="s">
        <v>350</v>
      </c>
      <c r="W343" t="s">
        <v>356</v>
      </c>
      <c r="X343" t="s">
        <v>240</v>
      </c>
      <c r="Y343">
        <v>48</v>
      </c>
      <c r="AA343" t="s">
        <v>67</v>
      </c>
      <c r="AB343" t="s">
        <v>369</v>
      </c>
      <c r="AD343" t="s">
        <v>217</v>
      </c>
      <c r="AE343">
        <v>1</v>
      </c>
      <c r="AF343">
        <v>1</v>
      </c>
    </row>
    <row r="344" spans="1:32" x14ac:dyDescent="0.3">
      <c r="A344" t="s">
        <v>350</v>
      </c>
      <c r="B344" t="s">
        <v>45</v>
      </c>
      <c r="C344" t="s">
        <v>68</v>
      </c>
      <c r="D344" t="s">
        <v>310</v>
      </c>
      <c r="E344" t="s">
        <v>1163</v>
      </c>
      <c r="F344" s="15">
        <v>46244.660208333335</v>
      </c>
      <c r="G344" t="s">
        <v>410</v>
      </c>
      <c r="H344">
        <v>25</v>
      </c>
      <c r="I344" t="s">
        <v>1164</v>
      </c>
      <c r="J344" s="15">
        <v>46245.366666666669</v>
      </c>
      <c r="K344" s="15">
        <v>46246.611111111109</v>
      </c>
      <c r="L344" s="15"/>
      <c r="M344">
        <v>25</v>
      </c>
      <c r="O344" t="s">
        <v>201</v>
      </c>
      <c r="P344" t="s">
        <v>532</v>
      </c>
      <c r="S344" t="s">
        <v>369</v>
      </c>
      <c r="T344" t="s">
        <v>382</v>
      </c>
      <c r="U344" t="s">
        <v>240</v>
      </c>
      <c r="V344" t="s">
        <v>350</v>
      </c>
      <c r="W344" t="s">
        <v>356</v>
      </c>
      <c r="X344" t="s">
        <v>240</v>
      </c>
      <c r="Y344">
        <v>48</v>
      </c>
      <c r="AA344" t="s">
        <v>67</v>
      </c>
      <c r="AB344" t="s">
        <v>369</v>
      </c>
      <c r="AD344" t="s">
        <v>217</v>
      </c>
      <c r="AE344">
        <v>2.5</v>
      </c>
      <c r="AF344">
        <v>1</v>
      </c>
    </row>
    <row r="345" spans="1:32" x14ac:dyDescent="0.3">
      <c r="A345" t="s">
        <v>350</v>
      </c>
      <c r="B345" t="s">
        <v>51</v>
      </c>
      <c r="C345" t="s">
        <v>258</v>
      </c>
      <c r="D345" t="s">
        <v>310</v>
      </c>
      <c r="E345" t="s">
        <v>1165</v>
      </c>
      <c r="F345" s="15">
        <v>46244.662893518522</v>
      </c>
      <c r="G345" t="s">
        <v>410</v>
      </c>
      <c r="H345">
        <v>25</v>
      </c>
      <c r="I345" t="s">
        <v>1166</v>
      </c>
      <c r="J345" s="15">
        <v>46245.432638888888</v>
      </c>
      <c r="K345" s="15">
        <v>46246.611111111109</v>
      </c>
      <c r="L345" s="15"/>
      <c r="M345">
        <v>25</v>
      </c>
      <c r="O345" t="s">
        <v>201</v>
      </c>
      <c r="P345" t="s">
        <v>532</v>
      </c>
      <c r="S345" t="s">
        <v>369</v>
      </c>
      <c r="T345" t="s">
        <v>382</v>
      </c>
      <c r="U345" t="s">
        <v>240</v>
      </c>
      <c r="V345" t="s">
        <v>7</v>
      </c>
      <c r="W345" t="s">
        <v>7</v>
      </c>
      <c r="X345" t="s">
        <v>7</v>
      </c>
      <c r="AA345" t="s">
        <v>238</v>
      </c>
      <c r="AB345" t="s">
        <v>369</v>
      </c>
      <c r="AD345" t="s">
        <v>7</v>
      </c>
      <c r="AF345">
        <v>0</v>
      </c>
    </row>
    <row r="346" spans="1:32" x14ac:dyDescent="0.3">
      <c r="A346" t="s">
        <v>350</v>
      </c>
      <c r="B346" t="s">
        <v>51</v>
      </c>
      <c r="C346" t="s">
        <v>258</v>
      </c>
      <c r="D346" t="s">
        <v>310</v>
      </c>
      <c r="E346" t="s">
        <v>1167</v>
      </c>
      <c r="F346" s="15">
        <v>46244.662442129629</v>
      </c>
      <c r="G346" t="s">
        <v>410</v>
      </c>
      <c r="H346">
        <v>25</v>
      </c>
      <c r="I346" t="s">
        <v>1166</v>
      </c>
      <c r="J346" s="15">
        <v>46245.432638888888</v>
      </c>
      <c r="K346" s="15">
        <v>46246.611111111109</v>
      </c>
      <c r="L346" s="15"/>
      <c r="M346">
        <v>25</v>
      </c>
      <c r="O346" t="s">
        <v>201</v>
      </c>
      <c r="P346" t="s">
        <v>532</v>
      </c>
      <c r="S346" t="s">
        <v>369</v>
      </c>
      <c r="T346" t="s">
        <v>382</v>
      </c>
      <c r="U346" t="s">
        <v>240</v>
      </c>
      <c r="V346" t="s">
        <v>7</v>
      </c>
      <c r="W346" t="s">
        <v>7</v>
      </c>
      <c r="X346" t="s">
        <v>7</v>
      </c>
      <c r="AA346" t="s">
        <v>238</v>
      </c>
      <c r="AB346" t="s">
        <v>369</v>
      </c>
      <c r="AD346" t="s">
        <v>7</v>
      </c>
    </row>
    <row r="347" spans="1:32" x14ac:dyDescent="0.3">
      <c r="A347" t="s">
        <v>350</v>
      </c>
      <c r="B347" t="s">
        <v>51</v>
      </c>
      <c r="C347" t="s">
        <v>258</v>
      </c>
      <c r="D347" t="s">
        <v>310</v>
      </c>
      <c r="E347" t="s">
        <v>1168</v>
      </c>
      <c r="F347" s="15">
        <v>46244.661898148152</v>
      </c>
      <c r="G347" t="s">
        <v>410</v>
      </c>
      <c r="H347">
        <v>25</v>
      </c>
      <c r="I347" t="s">
        <v>1166</v>
      </c>
      <c r="J347" s="15">
        <v>46245.432638888888</v>
      </c>
      <c r="K347" s="15">
        <v>46246.611111111109</v>
      </c>
      <c r="L347" s="15"/>
      <c r="M347">
        <v>25</v>
      </c>
      <c r="O347" t="s">
        <v>201</v>
      </c>
      <c r="P347" t="s">
        <v>532</v>
      </c>
      <c r="S347" t="s">
        <v>369</v>
      </c>
      <c r="T347" t="s">
        <v>382</v>
      </c>
      <c r="U347" t="s">
        <v>240</v>
      </c>
      <c r="V347" t="s">
        <v>7</v>
      </c>
      <c r="W347" t="s">
        <v>7</v>
      </c>
      <c r="X347" t="s">
        <v>7</v>
      </c>
      <c r="AA347" t="s">
        <v>238</v>
      </c>
      <c r="AB347" t="s">
        <v>369</v>
      </c>
      <c r="AD347" t="s">
        <v>7</v>
      </c>
    </row>
    <row r="348" spans="1:32" x14ac:dyDescent="0.3">
      <c r="A348" t="s">
        <v>350</v>
      </c>
      <c r="B348" t="s">
        <v>45</v>
      </c>
      <c r="C348" t="s">
        <v>68</v>
      </c>
      <c r="D348" t="s">
        <v>310</v>
      </c>
      <c r="E348" t="s">
        <v>1169</v>
      </c>
      <c r="F348" s="15">
        <v>46253.320972222224</v>
      </c>
      <c r="G348" t="s">
        <v>410</v>
      </c>
      <c r="H348">
        <v>25</v>
      </c>
      <c r="I348" t="s">
        <v>1170</v>
      </c>
      <c r="J348" s="15">
        <v>46253.515277777777</v>
      </c>
      <c r="K348" s="15">
        <v>46255.638888888891</v>
      </c>
      <c r="L348" s="15"/>
      <c r="M348">
        <v>25</v>
      </c>
      <c r="O348" t="s">
        <v>201</v>
      </c>
      <c r="P348" t="s">
        <v>531</v>
      </c>
      <c r="S348" t="s">
        <v>369</v>
      </c>
      <c r="T348" t="s">
        <v>382</v>
      </c>
      <c r="U348" t="s">
        <v>240</v>
      </c>
      <c r="V348" t="s">
        <v>350</v>
      </c>
      <c r="W348" t="s">
        <v>356</v>
      </c>
      <c r="X348" t="s">
        <v>240</v>
      </c>
      <c r="Y348">
        <v>48</v>
      </c>
      <c r="AA348" t="s">
        <v>67</v>
      </c>
      <c r="AB348" t="s">
        <v>369</v>
      </c>
      <c r="AD348" t="s">
        <v>217</v>
      </c>
      <c r="AE348">
        <v>2.5</v>
      </c>
      <c r="AF348">
        <v>1</v>
      </c>
    </row>
    <row r="349" spans="1:32" x14ac:dyDescent="0.3">
      <c r="A349" t="s">
        <v>350</v>
      </c>
      <c r="B349" t="s">
        <v>45</v>
      </c>
      <c r="C349" t="s">
        <v>68</v>
      </c>
      <c r="D349" t="s">
        <v>310</v>
      </c>
      <c r="E349" t="s">
        <v>1171</v>
      </c>
      <c r="F349" s="15">
        <v>46233.603067129632</v>
      </c>
      <c r="G349" t="s">
        <v>418</v>
      </c>
      <c r="H349">
        <v>50</v>
      </c>
      <c r="I349" t="s">
        <v>1172</v>
      </c>
      <c r="J349" s="15">
        <v>46233.630254629628</v>
      </c>
      <c r="K349" s="15">
        <v>46237.586805555555</v>
      </c>
      <c r="L349" s="15"/>
      <c r="M349">
        <v>50</v>
      </c>
      <c r="O349" t="s">
        <v>201</v>
      </c>
      <c r="P349" t="s">
        <v>532</v>
      </c>
      <c r="S349" t="s">
        <v>369</v>
      </c>
      <c r="T349" t="s">
        <v>382</v>
      </c>
      <c r="U349" t="s">
        <v>240</v>
      </c>
      <c r="V349" t="s">
        <v>350</v>
      </c>
      <c r="W349" t="s">
        <v>356</v>
      </c>
      <c r="X349" t="s">
        <v>240</v>
      </c>
      <c r="Y349">
        <v>48</v>
      </c>
      <c r="AA349" t="s">
        <v>67</v>
      </c>
      <c r="AB349" t="s">
        <v>369</v>
      </c>
      <c r="AD349" t="s">
        <v>217</v>
      </c>
      <c r="AE349">
        <v>5</v>
      </c>
      <c r="AF349">
        <v>1</v>
      </c>
    </row>
    <row r="350" spans="1:32" x14ac:dyDescent="0.3">
      <c r="A350" t="s">
        <v>350</v>
      </c>
      <c r="B350" t="s">
        <v>48</v>
      </c>
      <c r="C350" t="s">
        <v>68</v>
      </c>
      <c r="D350" t="s">
        <v>310</v>
      </c>
      <c r="E350" t="s">
        <v>1173</v>
      </c>
      <c r="F350" s="15">
        <v>46238.544641203705</v>
      </c>
      <c r="G350" t="s">
        <v>410</v>
      </c>
      <c r="H350">
        <v>3</v>
      </c>
      <c r="I350" t="s">
        <v>1174</v>
      </c>
      <c r="J350" s="15">
        <v>46238.632962962962</v>
      </c>
      <c r="K350" s="15">
        <v>46240.518055555556</v>
      </c>
      <c r="L350" s="15"/>
      <c r="M350">
        <v>3</v>
      </c>
      <c r="O350" t="s">
        <v>201</v>
      </c>
      <c r="P350" t="s">
        <v>532</v>
      </c>
      <c r="S350" t="s">
        <v>369</v>
      </c>
      <c r="T350" t="s">
        <v>382</v>
      </c>
      <c r="U350" t="s">
        <v>240</v>
      </c>
      <c r="V350" t="s">
        <v>350</v>
      </c>
      <c r="W350" t="s">
        <v>356</v>
      </c>
      <c r="X350" t="s">
        <v>240</v>
      </c>
      <c r="Y350">
        <v>48</v>
      </c>
      <c r="AA350" t="s">
        <v>90</v>
      </c>
      <c r="AB350" t="s">
        <v>369</v>
      </c>
      <c r="AD350" t="s">
        <v>217</v>
      </c>
      <c r="AE350">
        <v>1</v>
      </c>
      <c r="AF350">
        <v>1</v>
      </c>
    </row>
    <row r="351" spans="1:32" x14ac:dyDescent="0.3">
      <c r="A351" t="s">
        <v>350</v>
      </c>
      <c r="B351" t="s">
        <v>63</v>
      </c>
      <c r="C351" t="s">
        <v>95</v>
      </c>
      <c r="D351" t="s">
        <v>310</v>
      </c>
      <c r="E351" t="s">
        <v>1175</v>
      </c>
      <c r="F351" s="15">
        <v>46231.685798611114</v>
      </c>
      <c r="G351" t="s">
        <v>409</v>
      </c>
      <c r="H351">
        <v>1</v>
      </c>
      <c r="I351" t="s">
        <v>1176</v>
      </c>
      <c r="J351" s="15">
        <v>46232.496759259258</v>
      </c>
      <c r="K351" s="15">
        <v>46237.791666666664</v>
      </c>
      <c r="L351" s="15"/>
      <c r="M351">
        <v>1</v>
      </c>
      <c r="O351" t="s">
        <v>201</v>
      </c>
      <c r="P351" t="s">
        <v>532</v>
      </c>
      <c r="S351" t="s">
        <v>367</v>
      </c>
      <c r="T351" t="s">
        <v>356</v>
      </c>
      <c r="U351" t="s">
        <v>240</v>
      </c>
      <c r="V351" t="s">
        <v>7</v>
      </c>
      <c r="W351" t="s">
        <v>7</v>
      </c>
      <c r="X351" t="s">
        <v>7</v>
      </c>
      <c r="AA351" t="s">
        <v>96</v>
      </c>
      <c r="AB351" t="s">
        <v>367</v>
      </c>
      <c r="AC351">
        <v>200</v>
      </c>
      <c r="AD351" t="s">
        <v>225</v>
      </c>
      <c r="AE351">
        <v>1</v>
      </c>
      <c r="AF351">
        <v>11.1</v>
      </c>
    </row>
    <row r="352" spans="1:32" x14ac:dyDescent="0.3">
      <c r="A352" t="s">
        <v>350</v>
      </c>
      <c r="B352" t="s">
        <v>57</v>
      </c>
      <c r="C352" t="s">
        <v>117</v>
      </c>
      <c r="D352" t="s">
        <v>310</v>
      </c>
      <c r="E352" t="s">
        <v>1175</v>
      </c>
      <c r="F352" s="15">
        <v>46231.685798611114</v>
      </c>
      <c r="G352" t="s">
        <v>409</v>
      </c>
      <c r="H352">
        <v>1</v>
      </c>
      <c r="I352" t="s">
        <v>1176</v>
      </c>
      <c r="J352" s="15">
        <v>46232.496759259258</v>
      </c>
      <c r="K352" s="15">
        <v>46237.791666666664</v>
      </c>
      <c r="L352" s="15"/>
      <c r="M352">
        <v>1</v>
      </c>
      <c r="O352" t="s">
        <v>201</v>
      </c>
      <c r="P352" t="s">
        <v>532</v>
      </c>
      <c r="S352" t="s">
        <v>367</v>
      </c>
      <c r="T352" t="s">
        <v>356</v>
      </c>
      <c r="U352" t="s">
        <v>240</v>
      </c>
      <c r="V352" t="s">
        <v>7</v>
      </c>
      <c r="W352" t="s">
        <v>7</v>
      </c>
      <c r="X352" t="s">
        <v>7</v>
      </c>
      <c r="AA352" t="s">
        <v>127</v>
      </c>
      <c r="AB352" t="s">
        <v>367</v>
      </c>
      <c r="AC352">
        <v>200</v>
      </c>
      <c r="AD352" t="s">
        <v>233</v>
      </c>
      <c r="AE352">
        <v>1</v>
      </c>
    </row>
    <row r="353" spans="1:32" x14ac:dyDescent="0.3">
      <c r="A353" t="s">
        <v>350</v>
      </c>
      <c r="B353" t="s">
        <v>279</v>
      </c>
      <c r="C353" t="s">
        <v>192</v>
      </c>
      <c r="D353" t="s">
        <v>310</v>
      </c>
      <c r="E353" t="s">
        <v>1175</v>
      </c>
      <c r="F353" s="15">
        <v>46231.685798611114</v>
      </c>
      <c r="G353" t="s">
        <v>409</v>
      </c>
      <c r="H353">
        <v>109</v>
      </c>
      <c r="I353" t="s">
        <v>1176</v>
      </c>
      <c r="J353" s="15">
        <v>46232.496759259258</v>
      </c>
      <c r="K353" s="15">
        <v>46237.791666666664</v>
      </c>
      <c r="L353" s="15"/>
      <c r="M353">
        <v>109</v>
      </c>
      <c r="O353" t="s">
        <v>201</v>
      </c>
      <c r="P353" t="s">
        <v>531</v>
      </c>
      <c r="S353" t="s">
        <v>367</v>
      </c>
      <c r="T353" t="s">
        <v>356</v>
      </c>
      <c r="U353" t="s">
        <v>240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367</v>
      </c>
      <c r="AC353">
        <v>200</v>
      </c>
      <c r="AD353" t="s">
        <v>232</v>
      </c>
      <c r="AE353">
        <v>109</v>
      </c>
    </row>
    <row r="354" spans="1:32" x14ac:dyDescent="0.3">
      <c r="A354" t="s">
        <v>350</v>
      </c>
      <c r="B354" t="s">
        <v>57</v>
      </c>
      <c r="C354" t="s">
        <v>117</v>
      </c>
      <c r="D354" t="s">
        <v>310</v>
      </c>
      <c r="E354" t="s">
        <v>1177</v>
      </c>
      <c r="F354" s="15">
        <v>46227.492546296293</v>
      </c>
      <c r="G354" t="s">
        <v>411</v>
      </c>
      <c r="H354">
        <v>1</v>
      </c>
      <c r="I354" t="s">
        <v>1178</v>
      </c>
      <c r="J354" s="15">
        <v>46227.612233796295</v>
      </c>
      <c r="K354" s="15">
        <v>46233.329861111109</v>
      </c>
      <c r="L354" s="15"/>
      <c r="M354">
        <v>1</v>
      </c>
      <c r="O354" t="s">
        <v>201</v>
      </c>
      <c r="P354" t="s">
        <v>532</v>
      </c>
      <c r="S354" t="s">
        <v>367</v>
      </c>
      <c r="T354" t="s">
        <v>356</v>
      </c>
      <c r="U354" t="s">
        <v>240</v>
      </c>
      <c r="V354" t="s">
        <v>7</v>
      </c>
      <c r="W354" t="s">
        <v>7</v>
      </c>
      <c r="X354" t="s">
        <v>7</v>
      </c>
      <c r="AA354" t="s">
        <v>127</v>
      </c>
      <c r="AB354" t="s">
        <v>367</v>
      </c>
      <c r="AC354">
        <v>200</v>
      </c>
      <c r="AD354" t="s">
        <v>233</v>
      </c>
      <c r="AE354">
        <v>1</v>
      </c>
      <c r="AF354">
        <v>1</v>
      </c>
    </row>
    <row r="355" spans="1:32" x14ac:dyDescent="0.3">
      <c r="A355" t="s">
        <v>350</v>
      </c>
      <c r="B355" t="s">
        <v>279</v>
      </c>
      <c r="C355" t="s">
        <v>192</v>
      </c>
      <c r="D355" t="s">
        <v>310</v>
      </c>
      <c r="E355" t="s">
        <v>1177</v>
      </c>
      <c r="F355" s="15">
        <v>46227.492546296293</v>
      </c>
      <c r="G355" t="s">
        <v>411</v>
      </c>
      <c r="H355">
        <v>1</v>
      </c>
      <c r="I355" t="s">
        <v>1178</v>
      </c>
      <c r="J355" s="15">
        <v>46227.612233796295</v>
      </c>
      <c r="K355" s="15">
        <v>46233.329861111109</v>
      </c>
      <c r="L355" s="15"/>
      <c r="M355">
        <v>1</v>
      </c>
      <c r="O355" t="s">
        <v>201</v>
      </c>
      <c r="P355" t="s">
        <v>531</v>
      </c>
      <c r="S355" t="s">
        <v>367</v>
      </c>
      <c r="T355" t="s">
        <v>356</v>
      </c>
      <c r="U355" t="s">
        <v>240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367</v>
      </c>
      <c r="AC355">
        <v>200</v>
      </c>
      <c r="AD355" t="s">
        <v>232</v>
      </c>
      <c r="AE355">
        <v>1</v>
      </c>
    </row>
    <row r="356" spans="1:32" x14ac:dyDescent="0.3">
      <c r="A356" t="s">
        <v>350</v>
      </c>
      <c r="B356" t="s">
        <v>63</v>
      </c>
      <c r="C356" t="s">
        <v>95</v>
      </c>
      <c r="D356" t="s">
        <v>310</v>
      </c>
      <c r="E356" t="s">
        <v>1177</v>
      </c>
      <c r="F356" s="15">
        <v>46227.492546296293</v>
      </c>
      <c r="G356" t="s">
        <v>411</v>
      </c>
      <c r="H356">
        <v>1</v>
      </c>
      <c r="I356" t="s">
        <v>1178</v>
      </c>
      <c r="J356" s="15">
        <v>46227.612233796295</v>
      </c>
      <c r="K356" s="15">
        <v>46233.329861111109</v>
      </c>
      <c r="L356" s="15"/>
      <c r="M356">
        <v>1</v>
      </c>
      <c r="O356" t="s">
        <v>201</v>
      </c>
      <c r="P356" t="s">
        <v>532</v>
      </c>
      <c r="S356" t="s">
        <v>367</v>
      </c>
      <c r="T356" t="s">
        <v>356</v>
      </c>
      <c r="U356" t="s">
        <v>240</v>
      </c>
      <c r="V356" t="s">
        <v>7</v>
      </c>
      <c r="W356" t="s">
        <v>7</v>
      </c>
      <c r="X356" t="s">
        <v>7</v>
      </c>
      <c r="AA356" t="s">
        <v>96</v>
      </c>
      <c r="AB356" t="s">
        <v>367</v>
      </c>
      <c r="AC356">
        <v>200</v>
      </c>
      <c r="AD356" t="s">
        <v>225</v>
      </c>
      <c r="AE356">
        <v>1</v>
      </c>
    </row>
    <row r="357" spans="1:32" x14ac:dyDescent="0.3">
      <c r="A357" t="s">
        <v>351</v>
      </c>
      <c r="B357" t="s">
        <v>45</v>
      </c>
      <c r="C357" t="s">
        <v>68</v>
      </c>
      <c r="D357" t="s">
        <v>310</v>
      </c>
      <c r="E357" t="s">
        <v>1179</v>
      </c>
      <c r="F357" s="15">
        <v>46224.647638888891</v>
      </c>
      <c r="G357" t="s">
        <v>416</v>
      </c>
      <c r="H357">
        <v>1</v>
      </c>
      <c r="I357" t="s">
        <v>1180</v>
      </c>
      <c r="J357" s="15">
        <v>46225.434756944444</v>
      </c>
      <c r="K357" s="15">
        <v>46226.447916666664</v>
      </c>
      <c r="L357" s="15"/>
      <c r="M357">
        <v>1</v>
      </c>
      <c r="O357" t="s">
        <v>201</v>
      </c>
      <c r="P357" t="s">
        <v>532</v>
      </c>
      <c r="S357" t="s">
        <v>358</v>
      </c>
      <c r="T357" t="s">
        <v>376</v>
      </c>
      <c r="U357" t="s">
        <v>287</v>
      </c>
      <c r="V357" t="s">
        <v>351</v>
      </c>
      <c r="W357" t="s">
        <v>378</v>
      </c>
      <c r="X357" t="s">
        <v>239</v>
      </c>
      <c r="Y357">
        <v>76</v>
      </c>
      <c r="AA357" t="s">
        <v>67</v>
      </c>
      <c r="AB357" t="s">
        <v>358</v>
      </c>
      <c r="AD357" t="s">
        <v>217</v>
      </c>
      <c r="AE357">
        <v>1</v>
      </c>
      <c r="AF357">
        <v>1</v>
      </c>
    </row>
    <row r="358" spans="1:32" x14ac:dyDescent="0.3">
      <c r="A358" t="s">
        <v>351</v>
      </c>
      <c r="B358" t="s">
        <v>63</v>
      </c>
      <c r="C358" t="s">
        <v>95</v>
      </c>
      <c r="D358" t="s">
        <v>310</v>
      </c>
      <c r="E358" t="s">
        <v>1183</v>
      </c>
      <c r="F358" s="15">
        <v>46241.647488425922</v>
      </c>
      <c r="G358" t="s">
        <v>409</v>
      </c>
      <c r="H358">
        <v>1</v>
      </c>
      <c r="I358" t="s">
        <v>1184</v>
      </c>
      <c r="J358" s="15">
        <v>46244.369074074071</v>
      </c>
      <c r="K358" s="15">
        <v>46247.349988425929</v>
      </c>
      <c r="L358" s="15"/>
      <c r="M358">
        <v>1</v>
      </c>
      <c r="O358" t="s">
        <v>201</v>
      </c>
      <c r="P358" t="s">
        <v>532</v>
      </c>
      <c r="S358" t="s">
        <v>359</v>
      </c>
      <c r="T358" t="s">
        <v>377</v>
      </c>
      <c r="U358" t="s">
        <v>239</v>
      </c>
      <c r="V358" t="s">
        <v>7</v>
      </c>
      <c r="W358" t="s">
        <v>7</v>
      </c>
      <c r="X358" t="s">
        <v>7</v>
      </c>
      <c r="AA358" t="s">
        <v>96</v>
      </c>
      <c r="AB358" t="s">
        <v>359</v>
      </c>
      <c r="AC358">
        <v>2100</v>
      </c>
      <c r="AD358" t="s">
        <v>225</v>
      </c>
      <c r="AE358">
        <v>1</v>
      </c>
      <c r="AF358">
        <v>34.200000000000003</v>
      </c>
    </row>
    <row r="359" spans="1:32" x14ac:dyDescent="0.3">
      <c r="A359" t="s">
        <v>351</v>
      </c>
      <c r="B359" t="s">
        <v>57</v>
      </c>
      <c r="C359" t="s">
        <v>117</v>
      </c>
      <c r="D359" t="s">
        <v>310</v>
      </c>
      <c r="E359" t="s">
        <v>1183</v>
      </c>
      <c r="F359" s="15">
        <v>46241.647488425922</v>
      </c>
      <c r="G359" t="s">
        <v>409</v>
      </c>
      <c r="H359">
        <v>1</v>
      </c>
      <c r="I359" t="s">
        <v>1184</v>
      </c>
      <c r="J359" s="15">
        <v>46244.369074074071</v>
      </c>
      <c r="K359" s="15">
        <v>46247.349988425929</v>
      </c>
      <c r="L359" s="15"/>
      <c r="M359">
        <v>1</v>
      </c>
      <c r="O359" t="s">
        <v>201</v>
      </c>
      <c r="P359" t="s">
        <v>532</v>
      </c>
      <c r="S359" t="s">
        <v>359</v>
      </c>
      <c r="T359" t="s">
        <v>377</v>
      </c>
      <c r="U359" t="s">
        <v>239</v>
      </c>
      <c r="V359" t="s">
        <v>7</v>
      </c>
      <c r="W359" t="s">
        <v>7</v>
      </c>
      <c r="X359" t="s">
        <v>7</v>
      </c>
      <c r="AA359" t="s">
        <v>127</v>
      </c>
      <c r="AB359" t="s">
        <v>359</v>
      </c>
      <c r="AC359">
        <v>2100</v>
      </c>
      <c r="AD359" t="s">
        <v>233</v>
      </c>
      <c r="AE359">
        <v>1</v>
      </c>
    </row>
    <row r="360" spans="1:32" x14ac:dyDescent="0.3">
      <c r="A360" t="s">
        <v>351</v>
      </c>
      <c r="B360" t="s">
        <v>48</v>
      </c>
      <c r="C360" t="s">
        <v>68</v>
      </c>
      <c r="D360" t="s">
        <v>310</v>
      </c>
      <c r="E360" t="s">
        <v>442</v>
      </c>
      <c r="F360" s="15">
        <v>46216.601365740738</v>
      </c>
      <c r="G360" t="s">
        <v>412</v>
      </c>
      <c r="H360">
        <v>1</v>
      </c>
      <c r="I360" t="s">
        <v>1103</v>
      </c>
      <c r="J360" s="15">
        <v>46220.410416666666</v>
      </c>
      <c r="K360" s="15">
        <v>46223.497916666667</v>
      </c>
      <c r="L360" s="15"/>
      <c r="M360">
        <v>1</v>
      </c>
      <c r="O360" t="s">
        <v>201</v>
      </c>
      <c r="P360" t="s">
        <v>531</v>
      </c>
      <c r="S360" t="s">
        <v>360</v>
      </c>
      <c r="T360" t="s">
        <v>378</v>
      </c>
      <c r="U360" t="s">
        <v>239</v>
      </c>
      <c r="V360" t="s">
        <v>351</v>
      </c>
      <c r="W360" t="s">
        <v>378</v>
      </c>
      <c r="X360" t="s">
        <v>239</v>
      </c>
      <c r="Y360">
        <v>0</v>
      </c>
      <c r="AA360" t="s">
        <v>90</v>
      </c>
      <c r="AB360" t="s">
        <v>360</v>
      </c>
      <c r="AC360">
        <v>50</v>
      </c>
      <c r="AD360" t="s">
        <v>217</v>
      </c>
      <c r="AE360">
        <v>1</v>
      </c>
      <c r="AF360">
        <v>1</v>
      </c>
    </row>
    <row r="361" spans="1:32" x14ac:dyDescent="0.3">
      <c r="A361" t="s">
        <v>351</v>
      </c>
      <c r="B361" t="s">
        <v>57</v>
      </c>
      <c r="C361" t="s">
        <v>117</v>
      </c>
      <c r="D361" t="s">
        <v>310</v>
      </c>
      <c r="E361" t="s">
        <v>443</v>
      </c>
      <c r="F361" s="15">
        <v>46217.60359953704</v>
      </c>
      <c r="G361" t="s">
        <v>439</v>
      </c>
      <c r="H361">
        <v>13</v>
      </c>
      <c r="I361" t="s">
        <v>1102</v>
      </c>
      <c r="J361" s="15">
        <v>46237.518055555556</v>
      </c>
      <c r="K361" s="15">
        <v>46239.647916666669</v>
      </c>
      <c r="L361" s="15"/>
      <c r="M361">
        <v>13</v>
      </c>
      <c r="O361" t="s">
        <v>201</v>
      </c>
      <c r="P361" t="s">
        <v>532</v>
      </c>
      <c r="S361" t="s">
        <v>363</v>
      </c>
      <c r="T361" t="s">
        <v>378</v>
      </c>
      <c r="U361" t="s">
        <v>239</v>
      </c>
      <c r="V361" t="s">
        <v>7</v>
      </c>
      <c r="W361" t="s">
        <v>7</v>
      </c>
      <c r="X361" t="s">
        <v>7</v>
      </c>
      <c r="AA361" t="s">
        <v>127</v>
      </c>
      <c r="AB361" t="s">
        <v>363</v>
      </c>
      <c r="AC361">
        <v>101</v>
      </c>
      <c r="AD361" t="s">
        <v>233</v>
      </c>
      <c r="AE361">
        <v>1.3</v>
      </c>
    </row>
    <row r="362" spans="1:32" x14ac:dyDescent="0.3">
      <c r="A362" t="s">
        <v>351</v>
      </c>
      <c r="B362" t="s">
        <v>281</v>
      </c>
      <c r="C362" t="s">
        <v>85</v>
      </c>
      <c r="D362" t="s">
        <v>310</v>
      </c>
      <c r="E362" t="s">
        <v>443</v>
      </c>
      <c r="F362" s="15">
        <v>46217.60359953704</v>
      </c>
      <c r="G362" t="s">
        <v>439</v>
      </c>
      <c r="H362">
        <v>1</v>
      </c>
      <c r="I362" t="s">
        <v>1069</v>
      </c>
      <c r="J362" s="15">
        <v>46220.352083333331</v>
      </c>
      <c r="K362" s="15">
        <v>46227.702777777777</v>
      </c>
      <c r="L362" s="15"/>
      <c r="M362">
        <v>1</v>
      </c>
      <c r="O362" t="s">
        <v>529</v>
      </c>
      <c r="S362" t="s">
        <v>363</v>
      </c>
      <c r="T362" t="s">
        <v>378</v>
      </c>
      <c r="U362" t="s">
        <v>239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363</v>
      </c>
      <c r="AC362">
        <v>101</v>
      </c>
      <c r="AD362" t="s">
        <v>231</v>
      </c>
      <c r="AE362">
        <v>1</v>
      </c>
    </row>
    <row r="363" spans="1:32" x14ac:dyDescent="0.3">
      <c r="A363" t="s">
        <v>351</v>
      </c>
      <c r="B363" t="s">
        <v>279</v>
      </c>
      <c r="C363" t="s">
        <v>192</v>
      </c>
      <c r="D363" t="s">
        <v>310</v>
      </c>
      <c r="E363" t="s">
        <v>1183</v>
      </c>
      <c r="F363" s="15">
        <v>46241.647488425922</v>
      </c>
      <c r="G363" t="s">
        <v>409</v>
      </c>
      <c r="H363">
        <v>340</v>
      </c>
      <c r="I363" t="s">
        <v>1184</v>
      </c>
      <c r="J363" s="15">
        <v>46244.369074074071</v>
      </c>
      <c r="K363" s="15">
        <v>46247.349988425929</v>
      </c>
      <c r="L363" s="15"/>
      <c r="M363">
        <v>340</v>
      </c>
      <c r="O363" t="s">
        <v>201</v>
      </c>
      <c r="P363" t="s">
        <v>532</v>
      </c>
      <c r="S363" t="s">
        <v>359</v>
      </c>
      <c r="T363" t="s">
        <v>377</v>
      </c>
      <c r="U363" t="s">
        <v>239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359</v>
      </c>
      <c r="AC363">
        <v>2100</v>
      </c>
      <c r="AD363" t="s">
        <v>232</v>
      </c>
      <c r="AE363">
        <v>340</v>
      </c>
    </row>
    <row r="364" spans="1:32" x14ac:dyDescent="0.3">
      <c r="A364" t="s">
        <v>351</v>
      </c>
      <c r="B364" t="s">
        <v>48</v>
      </c>
      <c r="C364" t="s">
        <v>68</v>
      </c>
      <c r="D364" t="s">
        <v>310</v>
      </c>
      <c r="E364" t="s">
        <v>1187</v>
      </c>
      <c r="F364" s="15">
        <v>46241.31753472222</v>
      </c>
      <c r="G364" t="s">
        <v>411</v>
      </c>
      <c r="H364">
        <v>2</v>
      </c>
      <c r="I364" t="s">
        <v>1188</v>
      </c>
      <c r="J364" s="15">
        <v>46241.34952546296</v>
      </c>
      <c r="K364" s="15">
        <v>46244.479166666664</v>
      </c>
      <c r="L364" s="15"/>
      <c r="M364">
        <v>2</v>
      </c>
      <c r="O364" t="s">
        <v>201</v>
      </c>
      <c r="P364" t="s">
        <v>531</v>
      </c>
      <c r="S364" t="s">
        <v>363</v>
      </c>
      <c r="T364" t="s">
        <v>378</v>
      </c>
      <c r="U364" t="s">
        <v>239</v>
      </c>
      <c r="V364" t="s">
        <v>351</v>
      </c>
      <c r="W364" t="s">
        <v>378</v>
      </c>
      <c r="X364" t="s">
        <v>239</v>
      </c>
      <c r="AA364" t="s">
        <v>90</v>
      </c>
      <c r="AB364" t="s">
        <v>363</v>
      </c>
      <c r="AC364">
        <v>101</v>
      </c>
      <c r="AD364" t="s">
        <v>217</v>
      </c>
      <c r="AE364">
        <v>1</v>
      </c>
    </row>
    <row r="365" spans="1:32" x14ac:dyDescent="0.3">
      <c r="A365" t="s">
        <v>351</v>
      </c>
      <c r="B365" t="s">
        <v>63</v>
      </c>
      <c r="C365" t="s">
        <v>95</v>
      </c>
      <c r="D365" t="s">
        <v>310</v>
      </c>
      <c r="E365" t="s">
        <v>1194</v>
      </c>
      <c r="F365" s="15">
        <v>46239.716504629629</v>
      </c>
      <c r="G365" t="s">
        <v>412</v>
      </c>
      <c r="H365">
        <v>1</v>
      </c>
      <c r="I365" t="s">
        <v>1195</v>
      </c>
      <c r="J365" s="15">
        <v>46240.376805555556</v>
      </c>
      <c r="K365" s="15">
        <v>46246.703472222223</v>
      </c>
      <c r="L365" s="15"/>
      <c r="M365">
        <v>1</v>
      </c>
      <c r="O365" t="s">
        <v>201</v>
      </c>
      <c r="P365" t="s">
        <v>532</v>
      </c>
      <c r="S365" t="s">
        <v>361</v>
      </c>
      <c r="T365" t="s">
        <v>378</v>
      </c>
      <c r="U365" t="s">
        <v>239</v>
      </c>
      <c r="V365" t="s">
        <v>7</v>
      </c>
      <c r="W365" t="s">
        <v>7</v>
      </c>
      <c r="X365" t="s">
        <v>7</v>
      </c>
      <c r="AA365" t="s">
        <v>96</v>
      </c>
      <c r="AB365" t="s">
        <v>361</v>
      </c>
      <c r="AC365">
        <v>2200</v>
      </c>
      <c r="AD365" t="s">
        <v>225</v>
      </c>
      <c r="AE365">
        <v>1</v>
      </c>
    </row>
    <row r="366" spans="1:32" x14ac:dyDescent="0.3">
      <c r="A366" t="s">
        <v>351</v>
      </c>
      <c r="B366" t="s">
        <v>57</v>
      </c>
      <c r="C366" t="s">
        <v>117</v>
      </c>
      <c r="D366" t="s">
        <v>310</v>
      </c>
      <c r="E366" t="s">
        <v>1194</v>
      </c>
      <c r="F366" s="15">
        <v>46239.716504629629</v>
      </c>
      <c r="G366" t="s">
        <v>412</v>
      </c>
      <c r="H366">
        <v>1</v>
      </c>
      <c r="I366" t="s">
        <v>1195</v>
      </c>
      <c r="J366" s="15">
        <v>46240.376805555556</v>
      </c>
      <c r="K366" s="15">
        <v>46246.703472222223</v>
      </c>
      <c r="L366" s="15"/>
      <c r="M366">
        <v>1</v>
      </c>
      <c r="O366" t="s">
        <v>201</v>
      </c>
      <c r="P366" t="s">
        <v>532</v>
      </c>
      <c r="S366" t="s">
        <v>361</v>
      </c>
      <c r="T366" t="s">
        <v>378</v>
      </c>
      <c r="U366" t="s">
        <v>239</v>
      </c>
      <c r="V366" t="s">
        <v>7</v>
      </c>
      <c r="W366" t="s">
        <v>7</v>
      </c>
      <c r="X366" t="s">
        <v>7</v>
      </c>
      <c r="AA366" t="s">
        <v>127</v>
      </c>
      <c r="AB366" t="s">
        <v>361</v>
      </c>
      <c r="AC366">
        <v>2200</v>
      </c>
      <c r="AD366" t="s">
        <v>233</v>
      </c>
      <c r="AE366">
        <v>1</v>
      </c>
    </row>
    <row r="367" spans="1:32" x14ac:dyDescent="0.3">
      <c r="A367" t="s">
        <v>351</v>
      </c>
      <c r="B367" t="s">
        <v>279</v>
      </c>
      <c r="C367" t="s">
        <v>192</v>
      </c>
      <c r="D367" t="s">
        <v>310</v>
      </c>
      <c r="E367" t="s">
        <v>1194</v>
      </c>
      <c r="F367" s="15">
        <v>46239.716504629629</v>
      </c>
      <c r="G367" t="s">
        <v>412</v>
      </c>
      <c r="H367">
        <v>1246</v>
      </c>
      <c r="I367" t="s">
        <v>1195</v>
      </c>
      <c r="J367" s="15">
        <v>46240.376805555556</v>
      </c>
      <c r="K367" s="15">
        <v>46246.703472222223</v>
      </c>
      <c r="L367" s="15"/>
      <c r="M367">
        <v>1246</v>
      </c>
      <c r="O367" t="s">
        <v>201</v>
      </c>
      <c r="P367" t="s">
        <v>531</v>
      </c>
      <c r="S367" t="s">
        <v>361</v>
      </c>
      <c r="T367" t="s">
        <v>378</v>
      </c>
      <c r="U367" t="s">
        <v>239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361</v>
      </c>
      <c r="AC367">
        <v>2200</v>
      </c>
      <c r="AD367" t="s">
        <v>232</v>
      </c>
      <c r="AE367">
        <v>1246</v>
      </c>
    </row>
    <row r="368" spans="1:32" x14ac:dyDescent="0.3">
      <c r="A368" t="s">
        <v>351</v>
      </c>
      <c r="B368" t="s">
        <v>63</v>
      </c>
      <c r="C368" t="s">
        <v>95</v>
      </c>
      <c r="D368" t="s">
        <v>310</v>
      </c>
      <c r="E368" t="s">
        <v>443</v>
      </c>
      <c r="F368" s="15">
        <v>46217.60359953704</v>
      </c>
      <c r="G368" t="s">
        <v>439</v>
      </c>
      <c r="H368">
        <v>13</v>
      </c>
      <c r="I368" t="s">
        <v>1102</v>
      </c>
      <c r="J368" s="15">
        <v>46237.518055555556</v>
      </c>
      <c r="K368" s="15">
        <v>46239.647916666669</v>
      </c>
      <c r="L368" s="15"/>
      <c r="M368">
        <v>13</v>
      </c>
      <c r="O368" t="s">
        <v>201</v>
      </c>
      <c r="P368" t="s">
        <v>532</v>
      </c>
      <c r="S368" t="s">
        <v>363</v>
      </c>
      <c r="T368" t="s">
        <v>378</v>
      </c>
      <c r="U368" t="s">
        <v>239</v>
      </c>
      <c r="V368" t="s">
        <v>7</v>
      </c>
      <c r="W368" t="s">
        <v>7</v>
      </c>
      <c r="X368" t="s">
        <v>7</v>
      </c>
      <c r="AA368" t="s">
        <v>96</v>
      </c>
      <c r="AB368" t="s">
        <v>363</v>
      </c>
      <c r="AC368">
        <v>101</v>
      </c>
      <c r="AD368" t="s">
        <v>225</v>
      </c>
      <c r="AE368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350</v>
      </c>
      <c r="B2" t="s">
        <v>43</v>
      </c>
      <c r="C2" t="s">
        <v>105</v>
      </c>
      <c r="D2" s="15">
        <v>46240.387291666666</v>
      </c>
      <c r="E2" t="s">
        <v>412</v>
      </c>
      <c r="F2">
        <v>2</v>
      </c>
      <c r="G2" s="15">
        <v>46241.395138888889</v>
      </c>
      <c r="H2" t="s">
        <v>366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13</v>
      </c>
      <c r="O2" t="s">
        <v>67</v>
      </c>
      <c r="P2" t="s">
        <v>366</v>
      </c>
      <c r="Q2" t="s">
        <v>217</v>
      </c>
      <c r="R2">
        <v>1</v>
      </c>
    </row>
    <row r="3" spans="1:18" x14ac:dyDescent="0.3">
      <c r="A3" t="s">
        <v>350</v>
      </c>
      <c r="B3" t="s">
        <v>47</v>
      </c>
      <c r="C3" t="s">
        <v>68</v>
      </c>
      <c r="D3" s="15">
        <v>46233.496469907404</v>
      </c>
      <c r="E3" t="s">
        <v>411</v>
      </c>
      <c r="F3">
        <v>2</v>
      </c>
      <c r="G3" s="15">
        <v>46234.427083333336</v>
      </c>
      <c r="H3" t="s">
        <v>366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13</v>
      </c>
      <c r="O3" t="s">
        <v>90</v>
      </c>
      <c r="P3" t="s">
        <v>366</v>
      </c>
      <c r="Q3" t="s">
        <v>218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46218.662442129629</v>
      </c>
      <c r="E4" t="s">
        <v>428</v>
      </c>
      <c r="F4">
        <v>50</v>
      </c>
      <c r="G4" s="15">
        <v>46224.486111111109</v>
      </c>
      <c r="H4" t="s">
        <v>366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13</v>
      </c>
      <c r="O4" t="s">
        <v>67</v>
      </c>
      <c r="P4" t="s">
        <v>366</v>
      </c>
      <c r="Q4" t="s">
        <v>217</v>
      </c>
      <c r="R4">
        <v>1</v>
      </c>
    </row>
    <row r="5" spans="1:18" x14ac:dyDescent="0.3">
      <c r="A5" t="s">
        <v>350</v>
      </c>
      <c r="B5" t="s">
        <v>45</v>
      </c>
      <c r="C5" t="s">
        <v>68</v>
      </c>
      <c r="D5" s="15">
        <v>46218.662719907406</v>
      </c>
      <c r="E5" t="s">
        <v>428</v>
      </c>
      <c r="F5">
        <v>50</v>
      </c>
      <c r="G5" s="15">
        <v>46224.486111111109</v>
      </c>
      <c r="H5" t="s">
        <v>366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O5" t="s">
        <v>67</v>
      </c>
      <c r="P5" t="s">
        <v>366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46156.383645833332</v>
      </c>
      <c r="E6" t="s">
        <v>412</v>
      </c>
      <c r="F6">
        <v>1</v>
      </c>
      <c r="G6" s="15">
        <v>46230.438194444447</v>
      </c>
      <c r="H6" t="s">
        <v>366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13</v>
      </c>
      <c r="O6" t="s">
        <v>90</v>
      </c>
      <c r="P6" t="s">
        <v>366</v>
      </c>
      <c r="Q6" t="s">
        <v>217</v>
      </c>
      <c r="R6">
        <v>1</v>
      </c>
    </row>
    <row r="7" spans="1:18" x14ac:dyDescent="0.3">
      <c r="A7" t="s">
        <v>351</v>
      </c>
      <c r="B7" t="s">
        <v>43</v>
      </c>
      <c r="C7" t="s">
        <v>105</v>
      </c>
      <c r="D7" s="15">
        <v>46246.307928240742</v>
      </c>
      <c r="E7" t="s">
        <v>411</v>
      </c>
      <c r="F7">
        <v>1</v>
      </c>
      <c r="G7" s="15">
        <v>46247.461805555555</v>
      </c>
      <c r="H7" t="s">
        <v>363</v>
      </c>
      <c r="I7" t="s">
        <v>378</v>
      </c>
      <c r="J7" t="s">
        <v>239</v>
      </c>
      <c r="K7" t="s">
        <v>351</v>
      </c>
      <c r="L7" t="s">
        <v>378</v>
      </c>
      <c r="M7" t="s">
        <v>239</v>
      </c>
      <c r="N7">
        <v>0</v>
      </c>
      <c r="O7" t="s">
        <v>67</v>
      </c>
      <c r="P7" t="s">
        <v>363</v>
      </c>
      <c r="Q7" t="s">
        <v>217</v>
      </c>
      <c r="R7">
        <v>1</v>
      </c>
    </row>
    <row r="8" spans="1:18" x14ac:dyDescent="0.3">
      <c r="A8" t="s">
        <v>351</v>
      </c>
      <c r="B8" t="s">
        <v>43</v>
      </c>
      <c r="C8" t="s">
        <v>105</v>
      </c>
      <c r="D8" s="15">
        <v>46244.651597222219</v>
      </c>
      <c r="E8" t="s">
        <v>411</v>
      </c>
      <c r="F8">
        <v>2</v>
      </c>
      <c r="G8" s="15">
        <v>46246.481944444444</v>
      </c>
      <c r="H8" t="s">
        <v>363</v>
      </c>
      <c r="I8" t="s">
        <v>378</v>
      </c>
      <c r="J8" t="s">
        <v>239</v>
      </c>
      <c r="K8" t="s">
        <v>351</v>
      </c>
      <c r="L8" t="s">
        <v>378</v>
      </c>
      <c r="M8" t="s">
        <v>239</v>
      </c>
      <c r="N8">
        <v>0</v>
      </c>
      <c r="O8" t="s">
        <v>67</v>
      </c>
      <c r="P8" t="s">
        <v>363</v>
      </c>
      <c r="Q8" t="s">
        <v>217</v>
      </c>
      <c r="R8">
        <v>1</v>
      </c>
    </row>
    <row r="9" spans="1:18" x14ac:dyDescent="0.3">
      <c r="A9" t="s">
        <v>351</v>
      </c>
      <c r="B9" t="s">
        <v>43</v>
      </c>
      <c r="C9" t="s">
        <v>105</v>
      </c>
      <c r="D9" s="15">
        <v>46241.373356481483</v>
      </c>
      <c r="E9" t="s">
        <v>411</v>
      </c>
      <c r="F9">
        <v>2</v>
      </c>
      <c r="G9" s="15">
        <v>46244.479166666664</v>
      </c>
      <c r="H9" t="s">
        <v>363</v>
      </c>
      <c r="I9" t="s">
        <v>378</v>
      </c>
      <c r="J9" t="s">
        <v>239</v>
      </c>
      <c r="K9" t="s">
        <v>351</v>
      </c>
      <c r="L9" t="s">
        <v>378</v>
      </c>
      <c r="M9" t="s">
        <v>239</v>
      </c>
      <c r="N9">
        <v>0</v>
      </c>
      <c r="O9" t="s">
        <v>67</v>
      </c>
      <c r="P9" t="s">
        <v>363</v>
      </c>
      <c r="Q9" t="s">
        <v>217</v>
      </c>
      <c r="R9">
        <v>1</v>
      </c>
    </row>
    <row r="10" spans="1:18" x14ac:dyDescent="0.3">
      <c r="A10" t="s">
        <v>351</v>
      </c>
      <c r="B10" t="s">
        <v>43</v>
      </c>
      <c r="C10" t="s">
        <v>105</v>
      </c>
      <c r="D10" s="15">
        <v>46239.511006944442</v>
      </c>
      <c r="E10" t="s">
        <v>411</v>
      </c>
      <c r="F10">
        <v>3</v>
      </c>
      <c r="G10" s="15">
        <v>46240.486805555556</v>
      </c>
      <c r="H10" t="s">
        <v>363</v>
      </c>
      <c r="I10" t="s">
        <v>378</v>
      </c>
      <c r="J10" t="s">
        <v>239</v>
      </c>
      <c r="K10" t="s">
        <v>351</v>
      </c>
      <c r="L10" t="s">
        <v>378</v>
      </c>
      <c r="M10" t="s">
        <v>239</v>
      </c>
      <c r="N10">
        <v>0</v>
      </c>
      <c r="O10" t="s">
        <v>67</v>
      </c>
      <c r="P10" t="s">
        <v>363</v>
      </c>
      <c r="Q10" t="s">
        <v>217</v>
      </c>
      <c r="R10">
        <v>1</v>
      </c>
    </row>
    <row r="11" spans="1:18" x14ac:dyDescent="0.3">
      <c r="A11" t="s">
        <v>351</v>
      </c>
      <c r="B11" t="s">
        <v>45</v>
      </c>
      <c r="C11" t="s">
        <v>68</v>
      </c>
      <c r="D11" s="15">
        <v>46238.581493055557</v>
      </c>
      <c r="E11" t="s">
        <v>411</v>
      </c>
      <c r="F11">
        <v>9</v>
      </c>
      <c r="G11" s="15">
        <v>46240.479166666664</v>
      </c>
      <c r="H11" t="s">
        <v>363</v>
      </c>
      <c r="I11" t="s">
        <v>378</v>
      </c>
      <c r="J11" t="s">
        <v>239</v>
      </c>
      <c r="K11" t="s">
        <v>351</v>
      </c>
      <c r="L11" t="s">
        <v>378</v>
      </c>
      <c r="M11" t="s">
        <v>239</v>
      </c>
      <c r="O11" t="s">
        <v>67</v>
      </c>
      <c r="P11" t="s">
        <v>363</v>
      </c>
      <c r="Q11" t="s">
        <v>217</v>
      </c>
    </row>
    <row r="12" spans="1:18" x14ac:dyDescent="0.3">
      <c r="A12" t="s">
        <v>351</v>
      </c>
      <c r="B12" t="s">
        <v>47</v>
      </c>
      <c r="C12" t="s">
        <v>68</v>
      </c>
      <c r="D12" s="15">
        <v>46239.471967592595</v>
      </c>
      <c r="E12" t="s">
        <v>411</v>
      </c>
      <c r="F12">
        <v>1</v>
      </c>
      <c r="G12" s="15">
        <v>46240.488194444442</v>
      </c>
      <c r="H12" t="s">
        <v>363</v>
      </c>
      <c r="I12" t="s">
        <v>378</v>
      </c>
      <c r="J12" t="s">
        <v>239</v>
      </c>
      <c r="K12" t="s">
        <v>351</v>
      </c>
      <c r="L12" t="s">
        <v>378</v>
      </c>
      <c r="M12" t="s">
        <v>239</v>
      </c>
      <c r="N12">
        <v>0</v>
      </c>
      <c r="O12" t="s">
        <v>90</v>
      </c>
      <c r="P12" t="s">
        <v>363</v>
      </c>
      <c r="Q12" t="s">
        <v>218</v>
      </c>
    </row>
    <row r="13" spans="1:18" x14ac:dyDescent="0.3">
      <c r="A13" t="s">
        <v>351</v>
      </c>
      <c r="B13" t="s">
        <v>47</v>
      </c>
      <c r="C13" t="s">
        <v>68</v>
      </c>
      <c r="D13" s="15">
        <v>46239.466099537036</v>
      </c>
      <c r="E13" t="s">
        <v>411</v>
      </c>
      <c r="F13">
        <v>1</v>
      </c>
      <c r="G13" s="15">
        <v>46240.467361111114</v>
      </c>
      <c r="H13" t="s">
        <v>363</v>
      </c>
      <c r="I13" t="s">
        <v>378</v>
      </c>
      <c r="J13" t="s">
        <v>239</v>
      </c>
      <c r="K13" t="s">
        <v>351</v>
      </c>
      <c r="L13" t="s">
        <v>378</v>
      </c>
      <c r="M13" t="s">
        <v>239</v>
      </c>
      <c r="O13" t="s">
        <v>90</v>
      </c>
      <c r="P13" t="s">
        <v>363</v>
      </c>
      <c r="Q13" t="s">
        <v>218</v>
      </c>
    </row>
    <row r="14" spans="1:18" x14ac:dyDescent="0.3">
      <c r="A14" t="s">
        <v>351</v>
      </c>
      <c r="B14" t="s">
        <v>43</v>
      </c>
      <c r="C14" t="s">
        <v>105</v>
      </c>
      <c r="D14" s="15">
        <v>46232.641296296293</v>
      </c>
      <c r="E14" t="s">
        <v>411</v>
      </c>
      <c r="F14">
        <v>3</v>
      </c>
      <c r="G14" s="15">
        <v>46233.513888888891</v>
      </c>
      <c r="H14" t="s">
        <v>363</v>
      </c>
      <c r="I14" t="s">
        <v>378</v>
      </c>
      <c r="J14" t="s">
        <v>239</v>
      </c>
      <c r="K14" t="s">
        <v>351</v>
      </c>
      <c r="L14" t="s">
        <v>378</v>
      </c>
      <c r="M14" t="s">
        <v>239</v>
      </c>
      <c r="N14">
        <v>0</v>
      </c>
      <c r="O14" t="s">
        <v>67</v>
      </c>
      <c r="P14" t="s">
        <v>363</v>
      </c>
      <c r="Q14" t="s">
        <v>217</v>
      </c>
      <c r="R14">
        <v>1</v>
      </c>
    </row>
    <row r="15" spans="1:18" x14ac:dyDescent="0.3">
      <c r="A15" t="s">
        <v>351</v>
      </c>
      <c r="B15" t="s">
        <v>43</v>
      </c>
      <c r="C15" t="s">
        <v>105</v>
      </c>
      <c r="D15" s="15">
        <v>46220.487835648149</v>
      </c>
      <c r="E15" t="s">
        <v>411</v>
      </c>
      <c r="F15">
        <v>3</v>
      </c>
      <c r="G15" s="15">
        <v>46224.423611111109</v>
      </c>
      <c r="H15" t="s">
        <v>363</v>
      </c>
      <c r="I15" t="s">
        <v>378</v>
      </c>
      <c r="J15" t="s">
        <v>239</v>
      </c>
      <c r="K15" t="s">
        <v>351</v>
      </c>
      <c r="L15" t="s">
        <v>378</v>
      </c>
      <c r="M15" t="s">
        <v>239</v>
      </c>
      <c r="N15">
        <v>0</v>
      </c>
      <c r="O15" t="s">
        <v>67</v>
      </c>
      <c r="P15" t="s">
        <v>363</v>
      </c>
      <c r="Q15" t="s">
        <v>217</v>
      </c>
      <c r="R15">
        <v>1</v>
      </c>
    </row>
    <row r="16" spans="1:18" x14ac:dyDescent="0.3">
      <c r="A16" t="s">
        <v>351</v>
      </c>
      <c r="B16" t="s">
        <v>47</v>
      </c>
      <c r="C16" t="s">
        <v>68</v>
      </c>
      <c r="D16" s="15">
        <v>46233.500243055554</v>
      </c>
      <c r="E16" t="s">
        <v>411</v>
      </c>
      <c r="F16">
        <v>2</v>
      </c>
      <c r="G16" s="15">
        <v>46234.449305555558</v>
      </c>
      <c r="H16" t="s">
        <v>363</v>
      </c>
      <c r="I16" t="s">
        <v>378</v>
      </c>
      <c r="J16" t="s">
        <v>239</v>
      </c>
      <c r="K16" t="s">
        <v>351</v>
      </c>
      <c r="L16" t="s">
        <v>378</v>
      </c>
      <c r="M16" t="s">
        <v>239</v>
      </c>
      <c r="N16">
        <v>0</v>
      </c>
      <c r="O16" t="s">
        <v>90</v>
      </c>
      <c r="P16" t="s">
        <v>363</v>
      </c>
      <c r="Q16" t="s">
        <v>218</v>
      </c>
      <c r="R16">
        <v>1</v>
      </c>
    </row>
    <row r="17" spans="1:18" x14ac:dyDescent="0.3">
      <c r="A17" t="s">
        <v>351</v>
      </c>
      <c r="B17" t="s">
        <v>48</v>
      </c>
      <c r="C17" t="s">
        <v>68</v>
      </c>
      <c r="D17" s="15">
        <v>46224.393900462965</v>
      </c>
      <c r="E17" t="s">
        <v>411</v>
      </c>
      <c r="F17">
        <v>1</v>
      </c>
      <c r="G17" s="15">
        <v>46234.497916666667</v>
      </c>
      <c r="H17" t="s">
        <v>363</v>
      </c>
      <c r="I17" t="s">
        <v>378</v>
      </c>
      <c r="J17" t="s">
        <v>239</v>
      </c>
      <c r="K17" t="s">
        <v>351</v>
      </c>
      <c r="L17" t="s">
        <v>378</v>
      </c>
      <c r="M17" t="s">
        <v>239</v>
      </c>
      <c r="N17">
        <v>0</v>
      </c>
      <c r="O17" t="s">
        <v>90</v>
      </c>
      <c r="P17" t="s">
        <v>363</v>
      </c>
      <c r="Q17" t="s">
        <v>217</v>
      </c>
    </row>
    <row r="18" spans="1:18" x14ac:dyDescent="0.3">
      <c r="A18" t="s">
        <v>351</v>
      </c>
      <c r="B18" t="s">
        <v>47</v>
      </c>
      <c r="C18" t="s">
        <v>68</v>
      </c>
      <c r="D18" s="15">
        <v>46240.53496527778</v>
      </c>
      <c r="E18" t="s">
        <v>411</v>
      </c>
      <c r="F18">
        <v>1</v>
      </c>
      <c r="G18" s="15">
        <v>46241.430555555555</v>
      </c>
      <c r="H18" t="s">
        <v>363</v>
      </c>
      <c r="I18" t="s">
        <v>378</v>
      </c>
      <c r="J18" t="s">
        <v>239</v>
      </c>
      <c r="K18" t="s">
        <v>351</v>
      </c>
      <c r="L18" t="s">
        <v>378</v>
      </c>
      <c r="M18" t="s">
        <v>239</v>
      </c>
      <c r="N18">
        <v>0</v>
      </c>
      <c r="O18" t="s">
        <v>90</v>
      </c>
      <c r="P18" t="s">
        <v>363</v>
      </c>
      <c r="Q18" t="s">
        <v>218</v>
      </c>
      <c r="R18">
        <v>1</v>
      </c>
    </row>
    <row r="19" spans="1:18" x14ac:dyDescent="0.3">
      <c r="A19" t="s">
        <v>351</v>
      </c>
      <c r="B19" t="s">
        <v>48</v>
      </c>
      <c r="C19" t="s">
        <v>68</v>
      </c>
      <c r="D19" s="15">
        <v>46246.518310185187</v>
      </c>
      <c r="E19" t="s">
        <v>411</v>
      </c>
      <c r="F19">
        <v>1</v>
      </c>
      <c r="G19" s="15">
        <v>46254.573611111111</v>
      </c>
      <c r="H19" t="s">
        <v>363</v>
      </c>
      <c r="I19" t="s">
        <v>378</v>
      </c>
      <c r="J19" t="s">
        <v>239</v>
      </c>
      <c r="K19" t="s">
        <v>351</v>
      </c>
      <c r="L19" t="s">
        <v>378</v>
      </c>
      <c r="M19" t="s">
        <v>239</v>
      </c>
      <c r="N19">
        <v>0</v>
      </c>
      <c r="O19" t="s">
        <v>90</v>
      </c>
      <c r="P19" t="s">
        <v>363</v>
      </c>
      <c r="Q19" t="s">
        <v>217</v>
      </c>
      <c r="R19">
        <v>1</v>
      </c>
    </row>
    <row r="20" spans="1:18" x14ac:dyDescent="0.3">
      <c r="A20" t="s">
        <v>351</v>
      </c>
      <c r="B20" t="s">
        <v>48</v>
      </c>
      <c r="C20" t="s">
        <v>68</v>
      </c>
      <c r="D20" s="15">
        <v>46251.526550925926</v>
      </c>
      <c r="E20" t="s">
        <v>411</v>
      </c>
      <c r="F20">
        <v>1</v>
      </c>
      <c r="G20" s="15">
        <v>46254.573611111111</v>
      </c>
      <c r="H20" t="s">
        <v>363</v>
      </c>
      <c r="I20" t="s">
        <v>378</v>
      </c>
      <c r="J20" t="s">
        <v>239</v>
      </c>
      <c r="K20" t="s">
        <v>351</v>
      </c>
      <c r="L20" t="s">
        <v>378</v>
      </c>
      <c r="M20" t="s">
        <v>239</v>
      </c>
      <c r="O20" t="s">
        <v>90</v>
      </c>
      <c r="P20" t="s">
        <v>363</v>
      </c>
      <c r="Q20" t="s">
        <v>217</v>
      </c>
    </row>
    <row r="21" spans="1:18" x14ac:dyDescent="0.3">
      <c r="A21" t="s">
        <v>351</v>
      </c>
      <c r="B21" t="s">
        <v>48</v>
      </c>
      <c r="C21" t="s">
        <v>68</v>
      </c>
      <c r="D21" s="15">
        <v>46251.620995370373</v>
      </c>
      <c r="E21" t="s">
        <v>411</v>
      </c>
      <c r="F21">
        <v>2</v>
      </c>
      <c r="G21" s="15">
        <v>46254.573611111111</v>
      </c>
      <c r="H21" t="s">
        <v>363</v>
      </c>
      <c r="I21" t="s">
        <v>378</v>
      </c>
      <c r="J21" t="s">
        <v>239</v>
      </c>
      <c r="K21" t="s">
        <v>351</v>
      </c>
      <c r="L21" t="s">
        <v>378</v>
      </c>
      <c r="M21" t="s">
        <v>239</v>
      </c>
      <c r="O21" t="s">
        <v>90</v>
      </c>
      <c r="P21" t="s">
        <v>363</v>
      </c>
      <c r="Q21" t="s">
        <v>217</v>
      </c>
    </row>
    <row r="22" spans="1:18" x14ac:dyDescent="0.3">
      <c r="A22" t="s">
        <v>351</v>
      </c>
      <c r="B22" t="s">
        <v>48</v>
      </c>
      <c r="C22" t="s">
        <v>68</v>
      </c>
      <c r="D22" s="15">
        <v>46254.383645833332</v>
      </c>
      <c r="E22" t="s">
        <v>411</v>
      </c>
      <c r="F22">
        <v>1</v>
      </c>
      <c r="G22" s="15">
        <v>46258.484027777777</v>
      </c>
      <c r="H22" t="s">
        <v>363</v>
      </c>
      <c r="I22" t="s">
        <v>378</v>
      </c>
      <c r="J22" t="s">
        <v>239</v>
      </c>
      <c r="K22" t="s">
        <v>351</v>
      </c>
      <c r="L22" t="s">
        <v>378</v>
      </c>
      <c r="M22" t="s">
        <v>239</v>
      </c>
      <c r="N22">
        <v>0</v>
      </c>
      <c r="O22" t="s">
        <v>90</v>
      </c>
      <c r="P22" t="s">
        <v>363</v>
      </c>
      <c r="Q22" t="s">
        <v>217</v>
      </c>
      <c r="R22">
        <v>1</v>
      </c>
    </row>
    <row r="23" spans="1:18" x14ac:dyDescent="0.3">
      <c r="A23" t="s">
        <v>351</v>
      </c>
      <c r="B23" t="s">
        <v>48</v>
      </c>
      <c r="C23" t="s">
        <v>68</v>
      </c>
      <c r="D23" s="15">
        <v>46246.459398148145</v>
      </c>
      <c r="E23" t="s">
        <v>411</v>
      </c>
      <c r="F23">
        <v>1</v>
      </c>
      <c r="G23" s="15">
        <v>46258.484027777777</v>
      </c>
      <c r="H23" t="s">
        <v>363</v>
      </c>
      <c r="I23" t="s">
        <v>378</v>
      </c>
      <c r="J23" t="s">
        <v>239</v>
      </c>
      <c r="K23" t="s">
        <v>351</v>
      </c>
      <c r="L23" t="s">
        <v>378</v>
      </c>
      <c r="M23" t="s">
        <v>239</v>
      </c>
      <c r="O23" t="s">
        <v>90</v>
      </c>
      <c r="P23" t="s">
        <v>363</v>
      </c>
      <c r="Q23" t="s">
        <v>217</v>
      </c>
    </row>
    <row r="24" spans="1:18" x14ac:dyDescent="0.3">
      <c r="A24" t="s">
        <v>351</v>
      </c>
      <c r="B24" t="s">
        <v>48</v>
      </c>
      <c r="C24" t="s">
        <v>68</v>
      </c>
      <c r="D24" s="15">
        <v>46245.580497685187</v>
      </c>
      <c r="E24" t="s">
        <v>411</v>
      </c>
      <c r="F24">
        <v>1</v>
      </c>
      <c r="G24" s="15">
        <v>46258.484027777777</v>
      </c>
      <c r="H24" t="s">
        <v>363</v>
      </c>
      <c r="I24" t="s">
        <v>378</v>
      </c>
      <c r="J24" t="s">
        <v>239</v>
      </c>
      <c r="K24" t="s">
        <v>351</v>
      </c>
      <c r="L24" t="s">
        <v>378</v>
      </c>
      <c r="M24" t="s">
        <v>239</v>
      </c>
      <c r="O24" t="s">
        <v>90</v>
      </c>
      <c r="P24" t="s">
        <v>363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46253.381192129629</v>
      </c>
      <c r="E25" t="s">
        <v>411</v>
      </c>
      <c r="F25">
        <v>1</v>
      </c>
      <c r="G25" s="15">
        <v>46255.386805555558</v>
      </c>
      <c r="H25" t="s">
        <v>363</v>
      </c>
      <c r="I25" t="s">
        <v>378</v>
      </c>
      <c r="J25" t="s">
        <v>239</v>
      </c>
      <c r="K25" t="s">
        <v>351</v>
      </c>
      <c r="L25" t="s">
        <v>378</v>
      </c>
      <c r="M25" t="s">
        <v>239</v>
      </c>
      <c r="N25">
        <v>0</v>
      </c>
      <c r="O25" t="s">
        <v>90</v>
      </c>
      <c r="P25" t="s">
        <v>363</v>
      </c>
      <c r="Q25" t="s">
        <v>217</v>
      </c>
      <c r="R25">
        <v>1</v>
      </c>
    </row>
    <row r="26" spans="1:18" x14ac:dyDescent="0.3">
      <c r="A26" t="s">
        <v>351</v>
      </c>
      <c r="B26" t="s">
        <v>48</v>
      </c>
      <c r="C26" t="s">
        <v>68</v>
      </c>
      <c r="D26" s="15">
        <v>46237.501354166663</v>
      </c>
      <c r="E26" t="s">
        <v>411</v>
      </c>
      <c r="F26">
        <v>1</v>
      </c>
      <c r="G26" s="15">
        <v>46239.477777777778</v>
      </c>
      <c r="H26" t="s">
        <v>363</v>
      </c>
      <c r="I26" t="s">
        <v>378</v>
      </c>
      <c r="J26" t="s">
        <v>239</v>
      </c>
      <c r="K26" t="s">
        <v>351</v>
      </c>
      <c r="L26" t="s">
        <v>378</v>
      </c>
      <c r="M26" t="s">
        <v>239</v>
      </c>
      <c r="N26">
        <v>0</v>
      </c>
      <c r="O26" t="s">
        <v>90</v>
      </c>
      <c r="P26" t="s">
        <v>363</v>
      </c>
      <c r="Q26" t="s">
        <v>217</v>
      </c>
      <c r="R26">
        <v>1</v>
      </c>
    </row>
    <row r="27" spans="1:18" x14ac:dyDescent="0.3">
      <c r="A27" t="s">
        <v>351</v>
      </c>
      <c r="B27" t="s">
        <v>48</v>
      </c>
      <c r="C27" t="s">
        <v>68</v>
      </c>
      <c r="D27" s="15">
        <v>46237.522916666669</v>
      </c>
      <c r="E27" t="s">
        <v>411</v>
      </c>
      <c r="F27">
        <v>2</v>
      </c>
      <c r="G27" s="15">
        <v>46239.477777777778</v>
      </c>
      <c r="H27" t="s">
        <v>363</v>
      </c>
      <c r="I27" t="s">
        <v>378</v>
      </c>
      <c r="J27" t="s">
        <v>239</v>
      </c>
      <c r="K27" t="s">
        <v>351</v>
      </c>
      <c r="L27" t="s">
        <v>378</v>
      </c>
      <c r="M27" t="s">
        <v>239</v>
      </c>
      <c r="O27" t="s">
        <v>90</v>
      </c>
      <c r="P27" t="s">
        <v>363</v>
      </c>
      <c r="Q27" t="s">
        <v>217</v>
      </c>
    </row>
    <row r="28" spans="1:18" x14ac:dyDescent="0.3">
      <c r="A28" t="s">
        <v>351</v>
      </c>
      <c r="B28" t="s">
        <v>48</v>
      </c>
      <c r="C28" t="s">
        <v>68</v>
      </c>
      <c r="D28" s="15">
        <v>46226.405069444445</v>
      </c>
      <c r="E28" t="s">
        <v>411</v>
      </c>
      <c r="F28">
        <v>2</v>
      </c>
      <c r="G28" s="15">
        <v>46230.652777777781</v>
      </c>
      <c r="H28" t="s">
        <v>363</v>
      </c>
      <c r="I28" t="s">
        <v>378</v>
      </c>
      <c r="J28" t="s">
        <v>239</v>
      </c>
      <c r="K28" t="s">
        <v>351</v>
      </c>
      <c r="L28" t="s">
        <v>378</v>
      </c>
      <c r="M28" t="s">
        <v>239</v>
      </c>
      <c r="N28">
        <v>0</v>
      </c>
      <c r="O28" t="s">
        <v>90</v>
      </c>
      <c r="P28" t="s">
        <v>363</v>
      </c>
      <c r="Q28" t="s">
        <v>217</v>
      </c>
      <c r="R28">
        <v>1</v>
      </c>
    </row>
    <row r="29" spans="1:18" x14ac:dyDescent="0.3">
      <c r="A29" t="s">
        <v>351</v>
      </c>
      <c r="B29" t="s">
        <v>43</v>
      </c>
      <c r="C29" t="s">
        <v>105</v>
      </c>
      <c r="D29" s="15">
        <v>46244.369768518518</v>
      </c>
      <c r="E29" t="s">
        <v>412</v>
      </c>
      <c r="F29">
        <v>4</v>
      </c>
      <c r="G29" s="15">
        <v>46246.443055555559</v>
      </c>
      <c r="H29" t="s">
        <v>360</v>
      </c>
      <c r="I29" t="s">
        <v>378</v>
      </c>
      <c r="J29" t="s">
        <v>239</v>
      </c>
      <c r="K29" t="s">
        <v>351</v>
      </c>
      <c r="L29" t="s">
        <v>378</v>
      </c>
      <c r="M29" t="s">
        <v>239</v>
      </c>
      <c r="N29">
        <v>0</v>
      </c>
      <c r="O29" t="s">
        <v>67</v>
      </c>
      <c r="P29" t="s">
        <v>360</v>
      </c>
      <c r="Q29" t="s">
        <v>217</v>
      </c>
      <c r="R29">
        <v>1</v>
      </c>
    </row>
    <row r="30" spans="1:18" x14ac:dyDescent="0.3">
      <c r="A30" t="s">
        <v>351</v>
      </c>
      <c r="B30" t="s">
        <v>48</v>
      </c>
      <c r="C30" t="s">
        <v>68</v>
      </c>
      <c r="D30" s="15">
        <v>46244.381539351853</v>
      </c>
      <c r="E30" t="s">
        <v>412</v>
      </c>
      <c r="F30">
        <v>1</v>
      </c>
      <c r="G30" s="15">
        <v>46246.443055555559</v>
      </c>
      <c r="H30" t="s">
        <v>360</v>
      </c>
      <c r="I30" t="s">
        <v>378</v>
      </c>
      <c r="J30" t="s">
        <v>239</v>
      </c>
      <c r="K30" t="s">
        <v>351</v>
      </c>
      <c r="L30" t="s">
        <v>378</v>
      </c>
      <c r="M30" t="s">
        <v>239</v>
      </c>
      <c r="O30" t="s">
        <v>90</v>
      </c>
      <c r="P30" t="s">
        <v>360</v>
      </c>
      <c r="Q30" t="s">
        <v>217</v>
      </c>
    </row>
    <row r="31" spans="1:18" x14ac:dyDescent="0.3">
      <c r="A31" t="s">
        <v>351</v>
      </c>
      <c r="B31" t="s">
        <v>43</v>
      </c>
      <c r="C31" t="s">
        <v>105</v>
      </c>
      <c r="D31" s="15">
        <v>46227.579050925924</v>
      </c>
      <c r="E31" t="s">
        <v>412</v>
      </c>
      <c r="F31">
        <v>2</v>
      </c>
      <c r="G31" s="15">
        <v>46231.416666666664</v>
      </c>
      <c r="H31" t="s">
        <v>360</v>
      </c>
      <c r="I31" t="s">
        <v>378</v>
      </c>
      <c r="J31" t="s">
        <v>239</v>
      </c>
      <c r="K31" t="s">
        <v>351</v>
      </c>
      <c r="L31" t="s">
        <v>378</v>
      </c>
      <c r="M31" t="s">
        <v>239</v>
      </c>
      <c r="N31">
        <v>0</v>
      </c>
      <c r="O31" t="s">
        <v>67</v>
      </c>
      <c r="P31" t="s">
        <v>360</v>
      </c>
      <c r="Q31" t="s">
        <v>217</v>
      </c>
      <c r="R31">
        <v>1</v>
      </c>
    </row>
    <row r="32" spans="1:18" x14ac:dyDescent="0.3">
      <c r="A32" t="s">
        <v>351</v>
      </c>
      <c r="B32" t="s">
        <v>47</v>
      </c>
      <c r="C32" t="s">
        <v>68</v>
      </c>
      <c r="D32" s="15">
        <v>46240.53496527778</v>
      </c>
      <c r="E32" t="s">
        <v>411</v>
      </c>
      <c r="F32">
        <v>1</v>
      </c>
      <c r="G32" s="15">
        <v>46241.430555555555</v>
      </c>
      <c r="H32" t="s">
        <v>360</v>
      </c>
      <c r="I32" t="s">
        <v>378</v>
      </c>
      <c r="J32" t="s">
        <v>239</v>
      </c>
      <c r="K32" t="s">
        <v>351</v>
      </c>
      <c r="L32" t="s">
        <v>378</v>
      </c>
      <c r="M32" t="s">
        <v>239</v>
      </c>
      <c r="N32">
        <v>0</v>
      </c>
      <c r="O32" t="s">
        <v>90</v>
      </c>
      <c r="P32" t="s">
        <v>360</v>
      </c>
      <c r="Q32" t="s">
        <v>218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46238.415856481479</v>
      </c>
      <c r="E33" t="s">
        <v>419</v>
      </c>
      <c r="F33">
        <v>3</v>
      </c>
      <c r="G33" s="15">
        <v>46240.430555555555</v>
      </c>
      <c r="H33" t="s">
        <v>360</v>
      </c>
      <c r="I33" t="s">
        <v>378</v>
      </c>
      <c r="J33" t="s">
        <v>239</v>
      </c>
      <c r="K33" t="s">
        <v>351</v>
      </c>
      <c r="L33" t="s">
        <v>378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46238.416307870371</v>
      </c>
      <c r="E34" t="s">
        <v>419</v>
      </c>
      <c r="F34">
        <v>10</v>
      </c>
      <c r="G34" s="15">
        <v>46240.430555555555</v>
      </c>
      <c r="H34" t="s">
        <v>360</v>
      </c>
      <c r="I34" t="s">
        <v>378</v>
      </c>
      <c r="J34" t="s">
        <v>239</v>
      </c>
      <c r="K34" t="s">
        <v>351</v>
      </c>
      <c r="L34" t="s">
        <v>378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t="s">
        <v>351</v>
      </c>
      <c r="B35" t="s">
        <v>45</v>
      </c>
      <c r="C35" t="s">
        <v>68</v>
      </c>
      <c r="D35" s="15">
        <v>46238.415497685186</v>
      </c>
      <c r="E35" t="s">
        <v>419</v>
      </c>
      <c r="F35">
        <v>9</v>
      </c>
      <c r="G35" s="15">
        <v>46240.430555555555</v>
      </c>
      <c r="H35" t="s">
        <v>360</v>
      </c>
      <c r="I35" t="s">
        <v>378</v>
      </c>
      <c r="J35" t="s">
        <v>239</v>
      </c>
      <c r="K35" t="s">
        <v>351</v>
      </c>
      <c r="L35" t="s">
        <v>378</v>
      </c>
      <c r="M35" t="s">
        <v>239</v>
      </c>
      <c r="O35" t="s">
        <v>67</v>
      </c>
      <c r="P35" t="s">
        <v>360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46237.469942129632</v>
      </c>
      <c r="E36" t="s">
        <v>412</v>
      </c>
      <c r="F36">
        <v>1</v>
      </c>
      <c r="G36" s="15">
        <v>46240.388888888891</v>
      </c>
      <c r="H36" t="s">
        <v>360</v>
      </c>
      <c r="I36" t="s">
        <v>378</v>
      </c>
      <c r="J36" t="s">
        <v>239</v>
      </c>
      <c r="K36" t="s">
        <v>351</v>
      </c>
      <c r="L36" t="s">
        <v>378</v>
      </c>
      <c r="M36" t="s">
        <v>239</v>
      </c>
      <c r="N36">
        <v>0</v>
      </c>
      <c r="O36" t="s">
        <v>67</v>
      </c>
      <c r="P36" t="s">
        <v>360</v>
      </c>
      <c r="Q36" t="s">
        <v>217</v>
      </c>
    </row>
    <row r="37" spans="1:18" x14ac:dyDescent="0.3">
      <c r="A37" t="s">
        <v>351</v>
      </c>
      <c r="B37" t="s">
        <v>48</v>
      </c>
      <c r="C37" t="s">
        <v>68</v>
      </c>
      <c r="D37" s="15">
        <v>46233.385277777779</v>
      </c>
      <c r="E37" t="s">
        <v>412</v>
      </c>
      <c r="F37">
        <v>1</v>
      </c>
      <c r="G37" s="15">
        <v>46240.420138888891</v>
      </c>
      <c r="H37" t="s">
        <v>360</v>
      </c>
      <c r="I37" t="s">
        <v>378</v>
      </c>
      <c r="J37" t="s">
        <v>239</v>
      </c>
      <c r="K37" t="s">
        <v>351</v>
      </c>
      <c r="L37" t="s">
        <v>378</v>
      </c>
      <c r="M37" t="s">
        <v>239</v>
      </c>
      <c r="N37">
        <v>0</v>
      </c>
      <c r="O37" t="s">
        <v>90</v>
      </c>
      <c r="P37" t="s">
        <v>360</v>
      </c>
      <c r="Q37" t="s">
        <v>217</v>
      </c>
    </row>
    <row r="38" spans="1:18" x14ac:dyDescent="0.3">
      <c r="A38" t="s">
        <v>351</v>
      </c>
      <c r="B38" t="s">
        <v>45</v>
      </c>
      <c r="C38" t="s">
        <v>68</v>
      </c>
      <c r="D38" s="15">
        <v>46225.311331018522</v>
      </c>
      <c r="E38" t="s">
        <v>409</v>
      </c>
      <c r="F38">
        <v>3</v>
      </c>
      <c r="G38" s="15">
        <v>46227.42291666667</v>
      </c>
      <c r="H38" t="s">
        <v>360</v>
      </c>
      <c r="I38" t="s">
        <v>378</v>
      </c>
      <c r="J38" t="s">
        <v>239</v>
      </c>
      <c r="K38" t="s">
        <v>351</v>
      </c>
      <c r="L38" t="s">
        <v>378</v>
      </c>
      <c r="M38" t="s">
        <v>239</v>
      </c>
      <c r="N38">
        <v>0</v>
      </c>
      <c r="O38" t="s">
        <v>67</v>
      </c>
      <c r="P38" t="s">
        <v>360</v>
      </c>
      <c r="Q38" t="s">
        <v>217</v>
      </c>
      <c r="R38">
        <v>1</v>
      </c>
    </row>
    <row r="39" spans="1:18" x14ac:dyDescent="0.3">
      <c r="A39" t="s">
        <v>351</v>
      </c>
      <c r="B39" t="s">
        <v>45</v>
      </c>
      <c r="C39" t="s">
        <v>68</v>
      </c>
      <c r="D39" s="15">
        <v>46225.310555555552</v>
      </c>
      <c r="E39" t="s">
        <v>409</v>
      </c>
      <c r="F39">
        <v>4</v>
      </c>
      <c r="G39" s="15">
        <v>46227.42291666667</v>
      </c>
      <c r="H39" t="s">
        <v>360</v>
      </c>
      <c r="I39" t="s">
        <v>378</v>
      </c>
      <c r="J39" t="s">
        <v>239</v>
      </c>
      <c r="K39" t="s">
        <v>351</v>
      </c>
      <c r="L39" t="s">
        <v>378</v>
      </c>
      <c r="M39" t="s">
        <v>239</v>
      </c>
      <c r="O39" t="s">
        <v>67</v>
      </c>
      <c r="P39" t="s">
        <v>360</v>
      </c>
      <c r="Q39" t="s">
        <v>217</v>
      </c>
    </row>
    <row r="40" spans="1:18" x14ac:dyDescent="0.3">
      <c r="A40" t="s">
        <v>351</v>
      </c>
      <c r="B40" t="s">
        <v>48</v>
      </c>
      <c r="C40" t="s">
        <v>68</v>
      </c>
      <c r="D40" s="15">
        <v>46225.384560185186</v>
      </c>
      <c r="E40" t="s">
        <v>412</v>
      </c>
      <c r="F40">
        <v>1</v>
      </c>
      <c r="G40" s="15">
        <v>46227.40347222222</v>
      </c>
      <c r="H40" t="s">
        <v>360</v>
      </c>
      <c r="I40" t="s">
        <v>378</v>
      </c>
      <c r="J40" t="s">
        <v>239</v>
      </c>
      <c r="K40" t="s">
        <v>351</v>
      </c>
      <c r="L40" t="s">
        <v>378</v>
      </c>
      <c r="M40" t="s">
        <v>239</v>
      </c>
      <c r="O40" t="s">
        <v>90</v>
      </c>
      <c r="P40" t="s">
        <v>360</v>
      </c>
      <c r="Q40" t="s">
        <v>217</v>
      </c>
    </row>
    <row r="41" spans="1:18" x14ac:dyDescent="0.3">
      <c r="A41" t="s">
        <v>351</v>
      </c>
      <c r="B41" t="s">
        <v>48</v>
      </c>
      <c r="C41" t="s">
        <v>68</v>
      </c>
      <c r="D41" s="15">
        <v>46225.554189814815</v>
      </c>
      <c r="E41" t="s">
        <v>412</v>
      </c>
      <c r="F41">
        <v>1</v>
      </c>
      <c r="G41" s="15">
        <v>46227.40347222222</v>
      </c>
      <c r="H41" t="s">
        <v>360</v>
      </c>
      <c r="I41" t="s">
        <v>378</v>
      </c>
      <c r="J41" t="s">
        <v>239</v>
      </c>
      <c r="K41" t="s">
        <v>351</v>
      </c>
      <c r="L41" t="s">
        <v>378</v>
      </c>
      <c r="M41" t="s">
        <v>239</v>
      </c>
      <c r="O41" t="s">
        <v>90</v>
      </c>
      <c r="P41" t="s">
        <v>360</v>
      </c>
      <c r="Q41" t="s">
        <v>217</v>
      </c>
    </row>
    <row r="42" spans="1:18" x14ac:dyDescent="0.3">
      <c r="A42" t="s">
        <v>351</v>
      </c>
      <c r="B42" t="s">
        <v>43</v>
      </c>
      <c r="C42" t="s">
        <v>105</v>
      </c>
      <c r="D42" s="15">
        <v>46226.328611111108</v>
      </c>
      <c r="E42" t="s">
        <v>412</v>
      </c>
      <c r="F42">
        <v>6</v>
      </c>
      <c r="G42" s="15">
        <v>46227.40347222222</v>
      </c>
      <c r="H42" t="s">
        <v>360</v>
      </c>
      <c r="I42" t="s">
        <v>378</v>
      </c>
      <c r="J42" t="s">
        <v>239</v>
      </c>
      <c r="K42" t="s">
        <v>351</v>
      </c>
      <c r="L42" t="s">
        <v>378</v>
      </c>
      <c r="M42" t="s">
        <v>239</v>
      </c>
      <c r="O42" t="s">
        <v>67</v>
      </c>
      <c r="P42" t="s">
        <v>360</v>
      </c>
      <c r="Q42" t="s">
        <v>217</v>
      </c>
    </row>
    <row r="43" spans="1:18" x14ac:dyDescent="0.3">
      <c r="A43" t="s">
        <v>351</v>
      </c>
      <c r="B43" t="s">
        <v>48</v>
      </c>
      <c r="C43" t="s">
        <v>68</v>
      </c>
      <c r="D43" s="15">
        <v>46252.400995370372</v>
      </c>
      <c r="E43" t="s">
        <v>412</v>
      </c>
      <c r="F43">
        <v>1</v>
      </c>
      <c r="G43" s="15">
        <v>46254.420138888891</v>
      </c>
      <c r="H43" t="s">
        <v>360</v>
      </c>
      <c r="I43" t="s">
        <v>378</v>
      </c>
      <c r="J43" t="s">
        <v>239</v>
      </c>
      <c r="K43" t="s">
        <v>351</v>
      </c>
      <c r="L43" t="s">
        <v>378</v>
      </c>
      <c r="M43" t="s">
        <v>239</v>
      </c>
      <c r="N43">
        <v>0</v>
      </c>
      <c r="O43" t="s">
        <v>90</v>
      </c>
      <c r="P43" t="s">
        <v>360</v>
      </c>
      <c r="Q43" t="s">
        <v>217</v>
      </c>
      <c r="R43">
        <v>1</v>
      </c>
    </row>
    <row r="44" spans="1:18" x14ac:dyDescent="0.3">
      <c r="A44" t="s">
        <v>351</v>
      </c>
      <c r="B44" t="s">
        <v>48</v>
      </c>
      <c r="C44" t="s">
        <v>68</v>
      </c>
      <c r="D44" s="15">
        <v>46252.400995370372</v>
      </c>
      <c r="E44" t="s">
        <v>412</v>
      </c>
      <c r="F44">
        <v>1</v>
      </c>
      <c r="G44" s="15">
        <v>46254.420138888891</v>
      </c>
      <c r="H44" t="s">
        <v>360</v>
      </c>
      <c r="I44" t="s">
        <v>378</v>
      </c>
      <c r="J44" t="s">
        <v>239</v>
      </c>
      <c r="K44" t="s">
        <v>351</v>
      </c>
      <c r="L44" t="s">
        <v>378</v>
      </c>
      <c r="M44" t="s">
        <v>239</v>
      </c>
      <c r="O44" t="s">
        <v>90</v>
      </c>
      <c r="P44" t="s">
        <v>360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46251.60728009259</v>
      </c>
      <c r="E45" t="s">
        <v>412</v>
      </c>
      <c r="F45">
        <v>1</v>
      </c>
      <c r="G45" s="15">
        <v>46254.420138888891</v>
      </c>
      <c r="H45" t="s">
        <v>360</v>
      </c>
      <c r="I45" t="s">
        <v>378</v>
      </c>
      <c r="J45" t="s">
        <v>239</v>
      </c>
      <c r="K45" t="s">
        <v>351</v>
      </c>
      <c r="L45" t="s">
        <v>378</v>
      </c>
      <c r="M45" t="s">
        <v>239</v>
      </c>
      <c r="N45">
        <v>0</v>
      </c>
      <c r="O45" t="s">
        <v>90</v>
      </c>
      <c r="P45" t="s">
        <v>360</v>
      </c>
      <c r="Q45" t="s">
        <v>217</v>
      </c>
    </row>
    <row r="46" spans="1:18" x14ac:dyDescent="0.3">
      <c r="A46" t="s">
        <v>351</v>
      </c>
      <c r="B46" t="s">
        <v>48</v>
      </c>
      <c r="C46" t="s">
        <v>68</v>
      </c>
      <c r="D46" s="15">
        <v>46237.403981481482</v>
      </c>
      <c r="E46" t="s">
        <v>412</v>
      </c>
      <c r="F46">
        <v>1</v>
      </c>
      <c r="G46" s="15">
        <v>46239.458333333336</v>
      </c>
      <c r="H46" t="s">
        <v>360</v>
      </c>
      <c r="I46" t="s">
        <v>378</v>
      </c>
      <c r="J46" t="s">
        <v>239</v>
      </c>
      <c r="K46" t="s">
        <v>351</v>
      </c>
      <c r="L46" t="s">
        <v>378</v>
      </c>
      <c r="M46" t="s">
        <v>239</v>
      </c>
      <c r="N46">
        <v>0</v>
      </c>
      <c r="O46" t="s">
        <v>90</v>
      </c>
      <c r="P46" t="s">
        <v>360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46245.504618055558</v>
      </c>
      <c r="E47" t="s">
        <v>412</v>
      </c>
      <c r="F47">
        <v>1</v>
      </c>
      <c r="G47" s="15">
        <v>46252.390972222223</v>
      </c>
      <c r="H47" t="s">
        <v>360</v>
      </c>
      <c r="I47" t="s">
        <v>378</v>
      </c>
      <c r="J47" t="s">
        <v>239</v>
      </c>
      <c r="K47" t="s">
        <v>351</v>
      </c>
      <c r="L47" t="s">
        <v>378</v>
      </c>
      <c r="M47" t="s">
        <v>239</v>
      </c>
      <c r="N47">
        <v>0</v>
      </c>
      <c r="O47" t="s">
        <v>90</v>
      </c>
      <c r="P47" t="s">
        <v>360</v>
      </c>
      <c r="Q47" t="s">
        <v>217</v>
      </c>
      <c r="R47">
        <v>1</v>
      </c>
    </row>
    <row r="48" spans="1:18" x14ac:dyDescent="0.3">
      <c r="A48" t="s">
        <v>351</v>
      </c>
      <c r="B48" t="s">
        <v>48</v>
      </c>
      <c r="C48" t="s">
        <v>68</v>
      </c>
      <c r="D48" s="15">
        <v>46224.674085648148</v>
      </c>
      <c r="E48" t="s">
        <v>412</v>
      </c>
      <c r="F48">
        <v>1</v>
      </c>
      <c r="G48" s="15">
        <v>46230.489583333336</v>
      </c>
      <c r="H48" t="s">
        <v>360</v>
      </c>
      <c r="I48" t="s">
        <v>378</v>
      </c>
      <c r="J48" t="s">
        <v>239</v>
      </c>
      <c r="K48" t="s">
        <v>351</v>
      </c>
      <c r="L48" t="s">
        <v>378</v>
      </c>
      <c r="M48" t="s">
        <v>239</v>
      </c>
      <c r="N48">
        <v>0</v>
      </c>
      <c r="O48" t="s">
        <v>90</v>
      </c>
      <c r="P48" t="s">
        <v>360</v>
      </c>
      <c r="Q48" t="s">
        <v>217</v>
      </c>
      <c r="R48">
        <v>1</v>
      </c>
    </row>
    <row r="49" spans="1:18" x14ac:dyDescent="0.3">
      <c r="A49" t="s">
        <v>351</v>
      </c>
      <c r="B49" t="s">
        <v>48</v>
      </c>
      <c r="C49" t="s">
        <v>68</v>
      </c>
      <c r="D49" s="15">
        <v>46220.546053240738</v>
      </c>
      <c r="E49" t="s">
        <v>412</v>
      </c>
      <c r="F49">
        <v>1</v>
      </c>
      <c r="G49" s="15">
        <v>46226.411805555559</v>
      </c>
      <c r="H49" t="s">
        <v>360</v>
      </c>
      <c r="I49" t="s">
        <v>378</v>
      </c>
      <c r="J49" t="s">
        <v>239</v>
      </c>
      <c r="K49" t="s">
        <v>351</v>
      </c>
      <c r="L49" t="s">
        <v>378</v>
      </c>
      <c r="M49" t="s">
        <v>239</v>
      </c>
      <c r="N49">
        <v>0</v>
      </c>
      <c r="O49" t="s">
        <v>90</v>
      </c>
      <c r="P49" t="s">
        <v>360</v>
      </c>
      <c r="Q49" t="s">
        <v>217</v>
      </c>
      <c r="R49">
        <v>1</v>
      </c>
    </row>
    <row r="50" spans="1:18" x14ac:dyDescent="0.3">
      <c r="A50" t="s">
        <v>351</v>
      </c>
      <c r="B50" t="s">
        <v>45</v>
      </c>
      <c r="C50" t="s">
        <v>68</v>
      </c>
      <c r="D50" s="15">
        <v>46255.309004629627</v>
      </c>
      <c r="E50" t="s">
        <v>412</v>
      </c>
      <c r="F50">
        <v>9</v>
      </c>
      <c r="G50" s="15">
        <v>46258.458333333336</v>
      </c>
      <c r="H50" t="s">
        <v>361</v>
      </c>
      <c r="I50" t="s">
        <v>378</v>
      </c>
      <c r="J50" t="s">
        <v>239</v>
      </c>
      <c r="K50" t="s">
        <v>351</v>
      </c>
      <c r="L50" t="s">
        <v>378</v>
      </c>
      <c r="M50" t="s">
        <v>239</v>
      </c>
      <c r="N50">
        <v>0</v>
      </c>
      <c r="O50" t="s">
        <v>67</v>
      </c>
      <c r="P50" t="s">
        <v>361</v>
      </c>
      <c r="Q50" t="s">
        <v>217</v>
      </c>
      <c r="R50">
        <v>1</v>
      </c>
    </row>
    <row r="51" spans="1:18" x14ac:dyDescent="0.3">
      <c r="A51" t="s">
        <v>351</v>
      </c>
      <c r="B51" t="s">
        <v>45</v>
      </c>
      <c r="C51" t="s">
        <v>68</v>
      </c>
      <c r="D51" s="15">
        <v>46254.394618055558</v>
      </c>
      <c r="E51" t="s">
        <v>412</v>
      </c>
      <c r="F51">
        <v>3</v>
      </c>
      <c r="G51" s="15">
        <v>46255.493055555555</v>
      </c>
      <c r="H51" t="s">
        <v>361</v>
      </c>
      <c r="I51" t="s">
        <v>378</v>
      </c>
      <c r="J51" t="s">
        <v>239</v>
      </c>
      <c r="K51" t="s">
        <v>351</v>
      </c>
      <c r="L51" t="s">
        <v>378</v>
      </c>
      <c r="M51" t="s">
        <v>239</v>
      </c>
      <c r="N51">
        <v>0</v>
      </c>
      <c r="O51" t="s">
        <v>67</v>
      </c>
      <c r="P51" t="s">
        <v>361</v>
      </c>
      <c r="Q51" t="s">
        <v>217</v>
      </c>
      <c r="R51">
        <v>1</v>
      </c>
    </row>
    <row r="52" spans="1:18" x14ac:dyDescent="0.3">
      <c r="A52" t="s">
        <v>351</v>
      </c>
      <c r="B52" t="s">
        <v>45</v>
      </c>
      <c r="C52" t="s">
        <v>68</v>
      </c>
      <c r="D52" s="15">
        <v>46254.395497685182</v>
      </c>
      <c r="E52" t="s">
        <v>412</v>
      </c>
      <c r="F52">
        <v>7</v>
      </c>
      <c r="G52" s="15">
        <v>46255.493055555555</v>
      </c>
      <c r="H52" t="s">
        <v>361</v>
      </c>
      <c r="I52" t="s">
        <v>378</v>
      </c>
      <c r="J52" t="s">
        <v>239</v>
      </c>
      <c r="K52" t="s">
        <v>351</v>
      </c>
      <c r="L52" t="s">
        <v>378</v>
      </c>
      <c r="M52" t="s">
        <v>239</v>
      </c>
      <c r="O52" t="s">
        <v>67</v>
      </c>
      <c r="P52" t="s">
        <v>361</v>
      </c>
      <c r="Q52" t="s">
        <v>217</v>
      </c>
    </row>
    <row r="53" spans="1:18" x14ac:dyDescent="0.3">
      <c r="A53" t="s">
        <v>351</v>
      </c>
      <c r="B53" t="s">
        <v>45</v>
      </c>
      <c r="C53" t="s">
        <v>68</v>
      </c>
      <c r="D53" s="15">
        <v>46254.396273148152</v>
      </c>
      <c r="E53" t="s">
        <v>412</v>
      </c>
      <c r="F53">
        <v>6</v>
      </c>
      <c r="G53" s="15">
        <v>46255.493055555555</v>
      </c>
      <c r="H53" t="s">
        <v>361</v>
      </c>
      <c r="I53" t="s">
        <v>378</v>
      </c>
      <c r="J53" t="s">
        <v>239</v>
      </c>
      <c r="K53" t="s">
        <v>351</v>
      </c>
      <c r="L53" t="s">
        <v>378</v>
      </c>
      <c r="M53" t="s">
        <v>239</v>
      </c>
      <c r="O53" t="s">
        <v>67</v>
      </c>
      <c r="P53" t="s">
        <v>361</v>
      </c>
      <c r="Q53" t="s">
        <v>217</v>
      </c>
    </row>
    <row r="54" spans="1:18" x14ac:dyDescent="0.3">
      <c r="A54" t="s">
        <v>351</v>
      </c>
      <c r="B54" t="s">
        <v>45</v>
      </c>
      <c r="C54" t="s">
        <v>68</v>
      </c>
      <c r="D54" s="15">
        <v>46231.659247685187</v>
      </c>
      <c r="E54" t="s">
        <v>1075</v>
      </c>
      <c r="F54">
        <v>13</v>
      </c>
      <c r="G54" s="15">
        <v>46233.416666666664</v>
      </c>
      <c r="H54" t="s">
        <v>361</v>
      </c>
      <c r="I54" t="s">
        <v>378</v>
      </c>
      <c r="J54" t="s">
        <v>239</v>
      </c>
      <c r="K54" t="s">
        <v>351</v>
      </c>
      <c r="L54" t="s">
        <v>378</v>
      </c>
      <c r="M54" t="s">
        <v>239</v>
      </c>
      <c r="N54">
        <v>0</v>
      </c>
      <c r="O54" t="s">
        <v>67</v>
      </c>
      <c r="P54" t="s">
        <v>361</v>
      </c>
      <c r="Q54" t="s">
        <v>217</v>
      </c>
      <c r="R54">
        <v>1</v>
      </c>
    </row>
    <row r="55" spans="1:18" x14ac:dyDescent="0.3">
      <c r="A55" t="s">
        <v>351</v>
      </c>
      <c r="B55" t="s">
        <v>45</v>
      </c>
      <c r="C55" t="s">
        <v>68</v>
      </c>
      <c r="D55" s="15">
        <v>46231.635254629633</v>
      </c>
      <c r="E55" t="s">
        <v>1075</v>
      </c>
      <c r="F55">
        <v>6</v>
      </c>
      <c r="G55" s="15">
        <v>46233.416666666664</v>
      </c>
      <c r="H55" t="s">
        <v>361</v>
      </c>
      <c r="I55" t="s">
        <v>378</v>
      </c>
      <c r="J55" t="s">
        <v>239</v>
      </c>
      <c r="K55" t="s">
        <v>351</v>
      </c>
      <c r="L55" t="s">
        <v>378</v>
      </c>
      <c r="M55" t="s">
        <v>239</v>
      </c>
      <c r="O55" t="s">
        <v>67</v>
      </c>
      <c r="P55" t="s">
        <v>361</v>
      </c>
      <c r="Q55" t="s">
        <v>217</v>
      </c>
    </row>
    <row r="56" spans="1:18" x14ac:dyDescent="0.3">
      <c r="A56" t="s">
        <v>351</v>
      </c>
      <c r="B56" t="s">
        <v>45</v>
      </c>
      <c r="C56" t="s">
        <v>68</v>
      </c>
      <c r="D56" s="15">
        <v>46231.634583333333</v>
      </c>
      <c r="E56" t="s">
        <v>1075</v>
      </c>
      <c r="F56">
        <v>4</v>
      </c>
      <c r="G56" s="15">
        <v>46233.416666666664</v>
      </c>
      <c r="H56" t="s">
        <v>361</v>
      </c>
      <c r="I56" t="s">
        <v>378</v>
      </c>
      <c r="J56" t="s">
        <v>239</v>
      </c>
      <c r="K56" t="s">
        <v>351</v>
      </c>
      <c r="L56" t="s">
        <v>378</v>
      </c>
      <c r="M56" t="s">
        <v>239</v>
      </c>
      <c r="O56" t="s">
        <v>67</v>
      </c>
      <c r="P56" t="s">
        <v>361</v>
      </c>
      <c r="Q56" t="s">
        <v>217</v>
      </c>
    </row>
    <row r="57" spans="1:18" x14ac:dyDescent="0.3">
      <c r="A57" t="s">
        <v>351</v>
      </c>
      <c r="B57" t="s">
        <v>45</v>
      </c>
      <c r="C57" t="s">
        <v>68</v>
      </c>
      <c r="D57" s="15">
        <v>46231.633784722224</v>
      </c>
      <c r="E57" t="s">
        <v>1075</v>
      </c>
      <c r="F57">
        <v>4</v>
      </c>
      <c r="G57" s="15">
        <v>46233.416666666664</v>
      </c>
      <c r="H57" t="s">
        <v>361</v>
      </c>
      <c r="I57" t="s">
        <v>378</v>
      </c>
      <c r="J57" t="s">
        <v>239</v>
      </c>
      <c r="K57" t="s">
        <v>351</v>
      </c>
      <c r="L57" t="s">
        <v>378</v>
      </c>
      <c r="M57" t="s">
        <v>239</v>
      </c>
      <c r="O57" t="s">
        <v>67</v>
      </c>
      <c r="P57" t="s">
        <v>361</v>
      </c>
      <c r="Q57" t="s">
        <v>217</v>
      </c>
    </row>
    <row r="58" spans="1:18" x14ac:dyDescent="0.3">
      <c r="A58" t="s">
        <v>351</v>
      </c>
      <c r="B58" t="s">
        <v>45</v>
      </c>
      <c r="C58" t="s">
        <v>68</v>
      </c>
      <c r="D58" s="15">
        <v>46231.632465277777</v>
      </c>
      <c r="E58" t="s">
        <v>1075</v>
      </c>
      <c r="F58">
        <v>1</v>
      </c>
      <c r="G58" s="15">
        <v>46233.416666666664</v>
      </c>
      <c r="H58" t="s">
        <v>361</v>
      </c>
      <c r="I58" t="s">
        <v>378</v>
      </c>
      <c r="J58" t="s">
        <v>239</v>
      </c>
      <c r="K58" t="s">
        <v>351</v>
      </c>
      <c r="L58" t="s">
        <v>378</v>
      </c>
      <c r="M58" t="s">
        <v>239</v>
      </c>
      <c r="O58" t="s">
        <v>67</v>
      </c>
      <c r="P58" t="s">
        <v>361</v>
      </c>
      <c r="Q58" t="s">
        <v>217</v>
      </c>
    </row>
    <row r="59" spans="1:18" x14ac:dyDescent="0.3">
      <c r="A59" t="s">
        <v>351</v>
      </c>
      <c r="B59" t="s">
        <v>45</v>
      </c>
      <c r="C59" t="s">
        <v>68</v>
      </c>
      <c r="D59" s="15">
        <v>46231.631620370368</v>
      </c>
      <c r="E59" t="s">
        <v>412</v>
      </c>
      <c r="F59">
        <v>1</v>
      </c>
      <c r="G59" s="15">
        <v>46233.416666666664</v>
      </c>
      <c r="H59" t="s">
        <v>361</v>
      </c>
      <c r="I59" t="s">
        <v>378</v>
      </c>
      <c r="J59" t="s">
        <v>239</v>
      </c>
      <c r="K59" t="s">
        <v>351</v>
      </c>
      <c r="L59" t="s">
        <v>378</v>
      </c>
      <c r="M59" t="s">
        <v>239</v>
      </c>
      <c r="O59" t="s">
        <v>67</v>
      </c>
      <c r="P59" t="s">
        <v>361</v>
      </c>
      <c r="Q59" t="s">
        <v>217</v>
      </c>
    </row>
    <row r="60" spans="1:18" x14ac:dyDescent="0.3">
      <c r="A60" t="s">
        <v>351</v>
      </c>
      <c r="B60" t="s">
        <v>48</v>
      </c>
      <c r="C60" t="s">
        <v>68</v>
      </c>
      <c r="D60" s="15">
        <v>46245.434259259258</v>
      </c>
      <c r="E60" t="s">
        <v>412</v>
      </c>
      <c r="F60">
        <v>3</v>
      </c>
      <c r="G60" s="15">
        <v>46247.425694444442</v>
      </c>
      <c r="H60" t="s">
        <v>361</v>
      </c>
      <c r="I60" t="s">
        <v>378</v>
      </c>
      <c r="J60" t="s">
        <v>239</v>
      </c>
      <c r="K60" t="s">
        <v>351</v>
      </c>
      <c r="L60" t="s">
        <v>378</v>
      </c>
      <c r="M60" t="s">
        <v>239</v>
      </c>
      <c r="N60">
        <v>0</v>
      </c>
      <c r="O60" t="s">
        <v>90</v>
      </c>
      <c r="P60" t="s">
        <v>361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46245.434259259258</v>
      </c>
      <c r="E61" t="s">
        <v>412</v>
      </c>
      <c r="F61">
        <v>1</v>
      </c>
      <c r="G61" s="15">
        <v>46254.503472222219</v>
      </c>
      <c r="H61" t="s">
        <v>361</v>
      </c>
      <c r="I61" t="s">
        <v>378</v>
      </c>
      <c r="J61" t="s">
        <v>239</v>
      </c>
      <c r="K61" t="s">
        <v>351</v>
      </c>
      <c r="L61" t="s">
        <v>378</v>
      </c>
      <c r="M61" t="s">
        <v>239</v>
      </c>
      <c r="N61">
        <v>0</v>
      </c>
      <c r="O61" t="s">
        <v>90</v>
      </c>
      <c r="P61" t="s">
        <v>361</v>
      </c>
      <c r="Q61" t="s">
        <v>217</v>
      </c>
      <c r="R61">
        <v>1</v>
      </c>
    </row>
    <row r="62" spans="1:18" x14ac:dyDescent="0.3">
      <c r="A62" t="s">
        <v>351</v>
      </c>
      <c r="B62" t="s">
        <v>48</v>
      </c>
      <c r="C62" t="s">
        <v>68</v>
      </c>
      <c r="D62" s="15">
        <v>46213.750648148147</v>
      </c>
      <c r="E62" t="s">
        <v>412</v>
      </c>
      <c r="F62">
        <v>5</v>
      </c>
      <c r="G62" s="15">
        <v>46231.397222222222</v>
      </c>
      <c r="H62" t="s">
        <v>361</v>
      </c>
      <c r="I62" t="s">
        <v>378</v>
      </c>
      <c r="J62" t="s">
        <v>239</v>
      </c>
      <c r="K62" t="s">
        <v>351</v>
      </c>
      <c r="L62" t="s">
        <v>378</v>
      </c>
      <c r="M62" t="s">
        <v>239</v>
      </c>
      <c r="N62">
        <v>0</v>
      </c>
      <c r="O62" t="s">
        <v>90</v>
      </c>
      <c r="P62" t="s">
        <v>361</v>
      </c>
      <c r="Q62" t="s">
        <v>217</v>
      </c>
      <c r="R62">
        <v>1</v>
      </c>
    </row>
    <row r="63" spans="1:18" x14ac:dyDescent="0.3">
      <c r="A63" t="s">
        <v>351</v>
      </c>
      <c r="B63" t="s">
        <v>45</v>
      </c>
      <c r="C63" t="s">
        <v>68</v>
      </c>
      <c r="D63" s="15">
        <v>46251.387743055559</v>
      </c>
      <c r="E63" t="s">
        <v>413</v>
      </c>
      <c r="F63">
        <v>15</v>
      </c>
      <c r="G63" s="15">
        <v>46252.638888888891</v>
      </c>
      <c r="H63" t="s">
        <v>362</v>
      </c>
      <c r="I63" t="s">
        <v>378</v>
      </c>
      <c r="J63" t="s">
        <v>239</v>
      </c>
      <c r="K63" t="s">
        <v>351</v>
      </c>
      <c r="L63" t="s">
        <v>378</v>
      </c>
      <c r="M63" t="s">
        <v>239</v>
      </c>
      <c r="N63">
        <v>0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351</v>
      </c>
      <c r="B64" t="s">
        <v>45</v>
      </c>
      <c r="C64" t="s">
        <v>68</v>
      </c>
      <c r="D64" s="15">
        <v>46230.391215277778</v>
      </c>
      <c r="E64" t="s">
        <v>413</v>
      </c>
      <c r="F64">
        <v>15</v>
      </c>
      <c r="G64" s="15">
        <v>46231.458333333336</v>
      </c>
      <c r="H64" t="s">
        <v>362</v>
      </c>
      <c r="I64" t="s">
        <v>378</v>
      </c>
      <c r="J64" t="s">
        <v>239</v>
      </c>
      <c r="K64" t="s">
        <v>351</v>
      </c>
      <c r="L64" t="s">
        <v>378</v>
      </c>
      <c r="M64" t="s">
        <v>239</v>
      </c>
      <c r="N64">
        <v>0</v>
      </c>
      <c r="O64" t="s">
        <v>67</v>
      </c>
      <c r="P64" t="s">
        <v>362</v>
      </c>
      <c r="Q64" t="s">
        <v>217</v>
      </c>
      <c r="R64">
        <v>1</v>
      </c>
    </row>
    <row r="65" spans="1:18" x14ac:dyDescent="0.3">
      <c r="A65" t="s">
        <v>351</v>
      </c>
      <c r="B65" t="s">
        <v>45</v>
      </c>
      <c r="C65" t="s">
        <v>68</v>
      </c>
      <c r="D65" s="15">
        <v>46230.398877314816</v>
      </c>
      <c r="E65" t="s">
        <v>413</v>
      </c>
      <c r="F65">
        <v>10</v>
      </c>
      <c r="G65" s="15">
        <v>46232.696527777778</v>
      </c>
      <c r="H65" t="s">
        <v>362</v>
      </c>
      <c r="I65" t="s">
        <v>378</v>
      </c>
      <c r="J65" t="s">
        <v>239</v>
      </c>
      <c r="K65" t="s">
        <v>351</v>
      </c>
      <c r="L65" t="s">
        <v>378</v>
      </c>
      <c r="M65" t="s">
        <v>239</v>
      </c>
      <c r="O65" t="s">
        <v>67</v>
      </c>
      <c r="P65" t="s">
        <v>362</v>
      </c>
      <c r="Q65" t="s">
        <v>217</v>
      </c>
      <c r="R65">
        <v>1</v>
      </c>
    </row>
    <row r="66" spans="1:18" x14ac:dyDescent="0.3">
      <c r="A66" t="s">
        <v>351</v>
      </c>
      <c r="B66" t="s">
        <v>48</v>
      </c>
      <c r="C66" t="s">
        <v>68</v>
      </c>
      <c r="D66" s="15">
        <v>46252.576365740744</v>
      </c>
      <c r="E66" t="s">
        <v>905</v>
      </c>
      <c r="F66">
        <v>25</v>
      </c>
      <c r="G66" s="15">
        <v>46255.477083333331</v>
      </c>
      <c r="H66" t="s">
        <v>362</v>
      </c>
      <c r="I66" t="s">
        <v>378</v>
      </c>
      <c r="J66" t="s">
        <v>239</v>
      </c>
      <c r="K66" t="s">
        <v>351</v>
      </c>
      <c r="L66" t="s">
        <v>378</v>
      </c>
      <c r="M66" t="s">
        <v>239</v>
      </c>
      <c r="N66">
        <v>0</v>
      </c>
      <c r="O66" t="s">
        <v>90</v>
      </c>
      <c r="P66" t="s">
        <v>362</v>
      </c>
      <c r="Q66" t="s">
        <v>217</v>
      </c>
      <c r="R66">
        <v>1</v>
      </c>
    </row>
    <row r="67" spans="1:18" x14ac:dyDescent="0.3">
      <c r="A67" t="s">
        <v>351</v>
      </c>
      <c r="B67" t="s">
        <v>48</v>
      </c>
      <c r="C67" t="s">
        <v>68</v>
      </c>
      <c r="D67" s="15">
        <v>46252.581203703703</v>
      </c>
      <c r="E67" t="s">
        <v>905</v>
      </c>
      <c r="F67">
        <v>15</v>
      </c>
      <c r="G67" s="15">
        <v>46255.477083333331</v>
      </c>
      <c r="H67" t="s">
        <v>362</v>
      </c>
      <c r="I67" t="s">
        <v>378</v>
      </c>
      <c r="J67" t="s">
        <v>239</v>
      </c>
      <c r="K67" t="s">
        <v>351</v>
      </c>
      <c r="L67" t="s">
        <v>378</v>
      </c>
      <c r="M67" t="s">
        <v>239</v>
      </c>
      <c r="N67">
        <v>0</v>
      </c>
      <c r="O67" t="s">
        <v>90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46231.625231481485</v>
      </c>
      <c r="E68" t="s">
        <v>1035</v>
      </c>
      <c r="F68">
        <v>10</v>
      </c>
      <c r="G68" s="15">
        <v>46238.509722222225</v>
      </c>
      <c r="H68" t="s">
        <v>362</v>
      </c>
      <c r="I68" t="s">
        <v>378</v>
      </c>
      <c r="J68" t="s">
        <v>239</v>
      </c>
      <c r="K68" t="s">
        <v>351</v>
      </c>
      <c r="L68" t="s">
        <v>378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46227.725787037038</v>
      </c>
      <c r="E69" t="s">
        <v>413</v>
      </c>
      <c r="F69">
        <v>16</v>
      </c>
      <c r="G69" s="15">
        <v>46234.413194444445</v>
      </c>
      <c r="H69" t="s">
        <v>362</v>
      </c>
      <c r="I69" t="s">
        <v>378</v>
      </c>
      <c r="J69" t="s">
        <v>239</v>
      </c>
      <c r="K69" t="s">
        <v>351</v>
      </c>
      <c r="L69" t="s">
        <v>378</v>
      </c>
      <c r="M69" t="s">
        <v>239</v>
      </c>
      <c r="N69">
        <v>0</v>
      </c>
      <c r="O69" t="s">
        <v>90</v>
      </c>
      <c r="P69" t="s">
        <v>362</v>
      </c>
      <c r="Q69" t="s">
        <v>217</v>
      </c>
      <c r="R69">
        <v>1</v>
      </c>
    </row>
    <row r="70" spans="1:18" x14ac:dyDescent="0.3">
      <c r="A70" t="s">
        <v>351</v>
      </c>
      <c r="B70" t="s">
        <v>45</v>
      </c>
      <c r="C70" t="s">
        <v>68</v>
      </c>
      <c r="D70" s="15">
        <v>46245.50304398148</v>
      </c>
      <c r="E70" t="s">
        <v>420</v>
      </c>
      <c r="F70">
        <v>5</v>
      </c>
      <c r="G70" s="15">
        <v>46247.46875</v>
      </c>
      <c r="H70" t="s">
        <v>486</v>
      </c>
      <c r="I70" t="s">
        <v>378</v>
      </c>
      <c r="J70" t="s">
        <v>239</v>
      </c>
      <c r="K70" t="s">
        <v>351</v>
      </c>
      <c r="L70" t="s">
        <v>378</v>
      </c>
      <c r="M70" t="s">
        <v>239</v>
      </c>
      <c r="O70" t="s">
        <v>67</v>
      </c>
      <c r="P70" t="s">
        <v>486</v>
      </c>
      <c r="Q70" t="s">
        <v>217</v>
      </c>
      <c r="R70">
        <v>1</v>
      </c>
    </row>
    <row r="71" spans="1:18" x14ac:dyDescent="0.3">
      <c r="A71" t="s">
        <v>351</v>
      </c>
      <c r="B71" t="s">
        <v>45</v>
      </c>
      <c r="C71" t="s">
        <v>68</v>
      </c>
      <c r="D71" s="15">
        <v>46245.502650462964</v>
      </c>
      <c r="E71" t="s">
        <v>420</v>
      </c>
      <c r="F71">
        <v>11</v>
      </c>
      <c r="G71" s="15">
        <v>46247.46875</v>
      </c>
      <c r="H71" t="s">
        <v>486</v>
      </c>
      <c r="I71" t="s">
        <v>378</v>
      </c>
      <c r="J71" t="s">
        <v>239</v>
      </c>
      <c r="K71" t="s">
        <v>351</v>
      </c>
      <c r="L71" t="s">
        <v>378</v>
      </c>
      <c r="M71" t="s">
        <v>239</v>
      </c>
      <c r="O71" t="s">
        <v>67</v>
      </c>
      <c r="P71" t="s">
        <v>486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46252.486481481479</v>
      </c>
      <c r="E72" t="s">
        <v>420</v>
      </c>
      <c r="F72">
        <v>5</v>
      </c>
      <c r="G72" s="15">
        <v>46254.458333333336</v>
      </c>
      <c r="H72" t="s">
        <v>486</v>
      </c>
      <c r="I72" t="s">
        <v>378</v>
      </c>
      <c r="J72" t="s">
        <v>239</v>
      </c>
      <c r="K72" t="s">
        <v>351</v>
      </c>
      <c r="L72" t="s">
        <v>378</v>
      </c>
      <c r="M72" t="s">
        <v>239</v>
      </c>
      <c r="O72" t="s">
        <v>90</v>
      </c>
      <c r="P72" t="s">
        <v>486</v>
      </c>
      <c r="Q72" t="s">
        <v>217</v>
      </c>
      <c r="R72">
        <v>1</v>
      </c>
    </row>
    <row r="73" spans="1:18" x14ac:dyDescent="0.3">
      <c r="A73" t="s">
        <v>351</v>
      </c>
      <c r="B73" t="s">
        <v>48</v>
      </c>
      <c r="C73" t="s">
        <v>68</v>
      </c>
      <c r="D73" s="15">
        <v>46231.743472222224</v>
      </c>
      <c r="E73" t="s">
        <v>412</v>
      </c>
      <c r="F73">
        <v>1</v>
      </c>
      <c r="G73" s="15">
        <v>46240.513194444444</v>
      </c>
      <c r="H73" t="s">
        <v>361</v>
      </c>
      <c r="I73" t="s">
        <v>378</v>
      </c>
      <c r="J73" t="s">
        <v>239</v>
      </c>
      <c r="K73" t="s">
        <v>351</v>
      </c>
      <c r="L73" t="s">
        <v>378</v>
      </c>
      <c r="M73" t="s">
        <v>239</v>
      </c>
      <c r="N73">
        <v>0</v>
      </c>
      <c r="O73" t="s">
        <v>90</v>
      </c>
      <c r="P73" t="s">
        <v>361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46231.307928240742</v>
      </c>
      <c r="E74" t="s">
        <v>411</v>
      </c>
      <c r="F74">
        <v>1</v>
      </c>
      <c r="G74" s="15">
        <v>46232.486111111109</v>
      </c>
      <c r="H74" t="s">
        <v>363</v>
      </c>
      <c r="I74" t="s">
        <v>378</v>
      </c>
      <c r="J74" t="s">
        <v>239</v>
      </c>
      <c r="K74" t="s">
        <v>351</v>
      </c>
      <c r="L74" t="s">
        <v>378</v>
      </c>
      <c r="M74" t="s">
        <v>239</v>
      </c>
      <c r="N74">
        <v>0</v>
      </c>
      <c r="O74" t="s">
        <v>90</v>
      </c>
      <c r="P74" t="s">
        <v>363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46227.576932870368</v>
      </c>
      <c r="E75" t="s">
        <v>412</v>
      </c>
      <c r="F75">
        <v>1</v>
      </c>
      <c r="G75" s="15">
        <v>46234.439583333333</v>
      </c>
      <c r="H75" t="s">
        <v>360</v>
      </c>
      <c r="I75" t="s">
        <v>378</v>
      </c>
      <c r="J75" t="s">
        <v>239</v>
      </c>
      <c r="K75" t="s">
        <v>351</v>
      </c>
      <c r="L75" t="s">
        <v>378</v>
      </c>
      <c r="M75" t="s">
        <v>239</v>
      </c>
      <c r="N75">
        <v>0</v>
      </c>
      <c r="O75" t="s">
        <v>90</v>
      </c>
      <c r="P75" t="s">
        <v>360</v>
      </c>
      <c r="Q75" t="s">
        <v>217</v>
      </c>
      <c r="R75">
        <v>1</v>
      </c>
    </row>
    <row r="76" spans="1:18" x14ac:dyDescent="0.3">
      <c r="A76" t="s">
        <v>351</v>
      </c>
      <c r="B76" t="s">
        <v>47</v>
      </c>
      <c r="C76" t="s">
        <v>68</v>
      </c>
      <c r="D76" s="15">
        <v>46211.698680555557</v>
      </c>
      <c r="E76" t="s">
        <v>413</v>
      </c>
      <c r="F76">
        <v>2</v>
      </c>
      <c r="G76" s="15">
        <v>46220.459722222222</v>
      </c>
      <c r="H76" t="s">
        <v>362</v>
      </c>
      <c r="I76" t="s">
        <v>378</v>
      </c>
      <c r="J76" t="s">
        <v>239</v>
      </c>
      <c r="K76" t="s">
        <v>351</v>
      </c>
      <c r="L76" t="s">
        <v>378</v>
      </c>
      <c r="M76" t="s">
        <v>239</v>
      </c>
      <c r="N76">
        <v>0</v>
      </c>
      <c r="O76" t="s">
        <v>90</v>
      </c>
      <c r="P76" t="s">
        <v>362</v>
      </c>
      <c r="Q76" t="s">
        <v>218</v>
      </c>
      <c r="R76">
        <v>1</v>
      </c>
    </row>
    <row r="77" spans="1:18" x14ac:dyDescent="0.3">
      <c r="A77" t="s">
        <v>351</v>
      </c>
      <c r="B77" t="s">
        <v>45</v>
      </c>
      <c r="C77" t="s">
        <v>68</v>
      </c>
      <c r="D77" s="15">
        <v>46234.569490740738</v>
      </c>
      <c r="E77" t="s">
        <v>408</v>
      </c>
      <c r="F77">
        <v>5</v>
      </c>
      <c r="G77" s="15">
        <v>46239.541666666664</v>
      </c>
      <c r="H77" t="s">
        <v>359</v>
      </c>
      <c r="I77" t="s">
        <v>377</v>
      </c>
      <c r="J77" t="s">
        <v>239</v>
      </c>
      <c r="K77" t="s">
        <v>351</v>
      </c>
      <c r="L77" t="s">
        <v>378</v>
      </c>
      <c r="M77" t="s">
        <v>239</v>
      </c>
      <c r="N77">
        <v>103</v>
      </c>
      <c r="O77" t="s">
        <v>67</v>
      </c>
      <c r="P77" t="s">
        <v>359</v>
      </c>
      <c r="Q77" t="s">
        <v>217</v>
      </c>
      <c r="R77">
        <v>1</v>
      </c>
    </row>
    <row r="78" spans="1:18" x14ac:dyDescent="0.3">
      <c r="A78" t="s">
        <v>351</v>
      </c>
      <c r="B78" t="s">
        <v>45</v>
      </c>
      <c r="C78" t="s">
        <v>68</v>
      </c>
      <c r="D78" s="15">
        <v>46233.473078703704</v>
      </c>
      <c r="E78" t="s">
        <v>408</v>
      </c>
      <c r="F78">
        <v>3</v>
      </c>
      <c r="G78" s="15">
        <v>46237.458333333336</v>
      </c>
      <c r="H78" t="s">
        <v>359</v>
      </c>
      <c r="I78" t="s">
        <v>377</v>
      </c>
      <c r="J78" t="s">
        <v>239</v>
      </c>
      <c r="K78" t="s">
        <v>351</v>
      </c>
      <c r="L78" t="s">
        <v>378</v>
      </c>
      <c r="M78" t="s">
        <v>239</v>
      </c>
      <c r="N78">
        <v>103</v>
      </c>
      <c r="O78" t="s">
        <v>67</v>
      </c>
      <c r="P78" t="s">
        <v>359</v>
      </c>
      <c r="Q78" t="s">
        <v>217</v>
      </c>
      <c r="R78">
        <v>1</v>
      </c>
    </row>
    <row r="79" spans="1:18" x14ac:dyDescent="0.3">
      <c r="A79" t="s">
        <v>351</v>
      </c>
      <c r="B79" t="s">
        <v>45</v>
      </c>
      <c r="C79" t="s">
        <v>68</v>
      </c>
      <c r="D79" s="15">
        <v>46233.472222222219</v>
      </c>
      <c r="E79" t="s">
        <v>408</v>
      </c>
      <c r="F79">
        <v>2</v>
      </c>
      <c r="G79" s="15">
        <v>46237.458333333336</v>
      </c>
      <c r="H79" t="s">
        <v>359</v>
      </c>
      <c r="I79" t="s">
        <v>377</v>
      </c>
      <c r="J79" t="s">
        <v>239</v>
      </c>
      <c r="K79" t="s">
        <v>351</v>
      </c>
      <c r="L79" t="s">
        <v>378</v>
      </c>
      <c r="M79" t="s">
        <v>239</v>
      </c>
      <c r="O79" t="s">
        <v>67</v>
      </c>
      <c r="P79" t="s">
        <v>359</v>
      </c>
      <c r="Q79" t="s">
        <v>217</v>
      </c>
    </row>
    <row r="80" spans="1:18" x14ac:dyDescent="0.3">
      <c r="A80" t="s">
        <v>351</v>
      </c>
      <c r="B80" t="s">
        <v>45</v>
      </c>
      <c r="C80" t="s">
        <v>68</v>
      </c>
      <c r="D80" s="15">
        <v>46233.471770833334</v>
      </c>
      <c r="E80" t="s">
        <v>408</v>
      </c>
      <c r="F80">
        <v>3</v>
      </c>
      <c r="G80" s="15">
        <v>46237.458333333336</v>
      </c>
      <c r="H80" t="s">
        <v>359</v>
      </c>
      <c r="I80" t="s">
        <v>377</v>
      </c>
      <c r="J80" t="s">
        <v>239</v>
      </c>
      <c r="K80" t="s">
        <v>351</v>
      </c>
      <c r="L80" t="s">
        <v>378</v>
      </c>
      <c r="M80" t="s">
        <v>239</v>
      </c>
      <c r="O80" t="s">
        <v>67</v>
      </c>
      <c r="P80" t="s">
        <v>359</v>
      </c>
      <c r="Q80" t="s">
        <v>217</v>
      </c>
    </row>
    <row r="81" spans="1:18" x14ac:dyDescent="0.3">
      <c r="A81" t="s">
        <v>351</v>
      </c>
      <c r="B81" t="s">
        <v>45</v>
      </c>
      <c r="C81" t="s">
        <v>68</v>
      </c>
      <c r="D81" s="15">
        <v>46244.473298611112</v>
      </c>
      <c r="E81" t="s">
        <v>408</v>
      </c>
      <c r="F81">
        <v>2</v>
      </c>
      <c r="G81" s="15">
        <v>46246.458333333336</v>
      </c>
      <c r="H81" t="s">
        <v>359</v>
      </c>
      <c r="I81" t="s">
        <v>377</v>
      </c>
      <c r="J81" t="s">
        <v>239</v>
      </c>
      <c r="K81" t="s">
        <v>351</v>
      </c>
      <c r="L81" t="s">
        <v>378</v>
      </c>
      <c r="M81" t="s">
        <v>239</v>
      </c>
      <c r="N81">
        <v>103</v>
      </c>
      <c r="O81" t="s">
        <v>67</v>
      </c>
      <c r="P81" t="s">
        <v>359</v>
      </c>
      <c r="Q81" t="s">
        <v>217</v>
      </c>
      <c r="R81">
        <v>1</v>
      </c>
    </row>
    <row r="82" spans="1:18" x14ac:dyDescent="0.3">
      <c r="A82" t="s">
        <v>351</v>
      </c>
      <c r="B82" t="s">
        <v>45</v>
      </c>
      <c r="C82" t="s">
        <v>68</v>
      </c>
      <c r="D82" s="15">
        <v>46246.66033564815</v>
      </c>
      <c r="E82" t="s">
        <v>408</v>
      </c>
      <c r="F82">
        <v>3</v>
      </c>
      <c r="G82" s="15">
        <v>46252.458333333336</v>
      </c>
      <c r="H82" t="s">
        <v>359</v>
      </c>
      <c r="I82" t="s">
        <v>377</v>
      </c>
      <c r="J82" t="s">
        <v>239</v>
      </c>
      <c r="K82" t="s">
        <v>351</v>
      </c>
      <c r="L82" t="s">
        <v>378</v>
      </c>
      <c r="M82" t="s">
        <v>239</v>
      </c>
      <c r="N82">
        <v>103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45</v>
      </c>
      <c r="C83" t="s">
        <v>68</v>
      </c>
      <c r="D83" s="15">
        <v>46246.659872685188</v>
      </c>
      <c r="E83" t="s">
        <v>887</v>
      </c>
      <c r="F83">
        <v>3</v>
      </c>
      <c r="G83" s="15">
        <v>46252.458333333336</v>
      </c>
      <c r="H83" t="s">
        <v>359</v>
      </c>
      <c r="I83" t="s">
        <v>377</v>
      </c>
      <c r="J83" t="s">
        <v>239</v>
      </c>
      <c r="K83" t="s">
        <v>351</v>
      </c>
      <c r="L83" t="s">
        <v>378</v>
      </c>
      <c r="M83" t="s">
        <v>239</v>
      </c>
      <c r="O83" t="s">
        <v>67</v>
      </c>
      <c r="P83" t="s">
        <v>359</v>
      </c>
      <c r="Q83" t="s">
        <v>217</v>
      </c>
    </row>
    <row r="84" spans="1:18" x14ac:dyDescent="0.3">
      <c r="A84" t="s">
        <v>351</v>
      </c>
      <c r="B84" t="s">
        <v>45</v>
      </c>
      <c r="C84" t="s">
        <v>68</v>
      </c>
      <c r="D84" s="15">
        <v>46245.574305555558</v>
      </c>
      <c r="E84" t="s">
        <v>408</v>
      </c>
      <c r="F84">
        <v>3</v>
      </c>
      <c r="G84" s="15">
        <v>46246.458333333336</v>
      </c>
      <c r="H84" t="s">
        <v>359</v>
      </c>
      <c r="I84" t="s">
        <v>377</v>
      </c>
      <c r="J84" t="s">
        <v>239</v>
      </c>
      <c r="K84" t="s">
        <v>351</v>
      </c>
      <c r="L84" t="s">
        <v>378</v>
      </c>
      <c r="M84" t="s">
        <v>239</v>
      </c>
      <c r="O84" t="s">
        <v>67</v>
      </c>
      <c r="P84" t="s">
        <v>359</v>
      </c>
      <c r="Q84" t="s">
        <v>217</v>
      </c>
    </row>
    <row r="85" spans="1:18" x14ac:dyDescent="0.3">
      <c r="A85" t="s">
        <v>351</v>
      </c>
      <c r="B85" t="s">
        <v>45</v>
      </c>
      <c r="C85" t="s">
        <v>68</v>
      </c>
      <c r="D85" s="15">
        <v>46244.657546296294</v>
      </c>
      <c r="E85" t="s">
        <v>408</v>
      </c>
      <c r="F85">
        <v>5</v>
      </c>
      <c r="G85" s="15">
        <v>46246.458333333336</v>
      </c>
      <c r="H85" t="s">
        <v>359</v>
      </c>
      <c r="I85" t="s">
        <v>377</v>
      </c>
      <c r="J85" t="s">
        <v>239</v>
      </c>
      <c r="K85" t="s">
        <v>351</v>
      </c>
      <c r="L85" t="s">
        <v>378</v>
      </c>
      <c r="M85" t="s">
        <v>239</v>
      </c>
      <c r="O85" t="s">
        <v>67</v>
      </c>
      <c r="P85" t="s">
        <v>359</v>
      </c>
      <c r="Q85" t="s">
        <v>217</v>
      </c>
    </row>
    <row r="86" spans="1:18" x14ac:dyDescent="0.3">
      <c r="A86" t="s">
        <v>351</v>
      </c>
      <c r="B86" t="s">
        <v>45</v>
      </c>
      <c r="C86" t="s">
        <v>68</v>
      </c>
      <c r="D86" s="15">
        <v>46244.47451388889</v>
      </c>
      <c r="E86" t="s">
        <v>408</v>
      </c>
      <c r="F86">
        <v>3</v>
      </c>
      <c r="G86" s="15">
        <v>46246.458333333336</v>
      </c>
      <c r="H86" t="s">
        <v>359</v>
      </c>
      <c r="I86" t="s">
        <v>377</v>
      </c>
      <c r="J86" t="s">
        <v>239</v>
      </c>
      <c r="K86" t="s">
        <v>351</v>
      </c>
      <c r="L86" t="s">
        <v>378</v>
      </c>
      <c r="M86" t="s">
        <v>239</v>
      </c>
      <c r="N86">
        <v>103</v>
      </c>
      <c r="O86" t="s">
        <v>67</v>
      </c>
      <c r="P86" t="s">
        <v>359</v>
      </c>
      <c r="Q86" t="s">
        <v>217</v>
      </c>
    </row>
    <row r="87" spans="1:18" x14ac:dyDescent="0.3">
      <c r="A87" t="s">
        <v>351</v>
      </c>
      <c r="B87" t="s">
        <v>45</v>
      </c>
      <c r="C87" t="s">
        <v>68</v>
      </c>
      <c r="D87" s="15">
        <v>46246.658784722225</v>
      </c>
      <c r="E87" t="s">
        <v>408</v>
      </c>
      <c r="F87">
        <v>1</v>
      </c>
      <c r="G87" s="15">
        <v>46252.458333333336</v>
      </c>
      <c r="H87" t="s">
        <v>359</v>
      </c>
      <c r="I87" t="s">
        <v>377</v>
      </c>
      <c r="J87" t="s">
        <v>239</v>
      </c>
      <c r="K87" t="s">
        <v>351</v>
      </c>
      <c r="L87" t="s">
        <v>378</v>
      </c>
      <c r="M87" t="s">
        <v>239</v>
      </c>
      <c r="O87" t="s">
        <v>67</v>
      </c>
      <c r="P87" t="s">
        <v>359</v>
      </c>
      <c r="Q87" t="s">
        <v>217</v>
      </c>
    </row>
    <row r="88" spans="1:18" x14ac:dyDescent="0.3">
      <c r="A88" t="s">
        <v>351</v>
      </c>
      <c r="B88" t="s">
        <v>45</v>
      </c>
      <c r="C88" t="s">
        <v>68</v>
      </c>
      <c r="D88" s="15">
        <v>46244.477743055555</v>
      </c>
      <c r="E88" t="s">
        <v>408</v>
      </c>
      <c r="F88">
        <v>1</v>
      </c>
      <c r="G88" s="15">
        <v>46246.458333333336</v>
      </c>
      <c r="H88" t="s">
        <v>359</v>
      </c>
      <c r="I88" t="s">
        <v>377</v>
      </c>
      <c r="J88" t="s">
        <v>239</v>
      </c>
      <c r="K88" t="s">
        <v>351</v>
      </c>
      <c r="L88" t="s">
        <v>378</v>
      </c>
      <c r="M88" t="s">
        <v>239</v>
      </c>
      <c r="O88" t="s">
        <v>67</v>
      </c>
      <c r="P88" t="s">
        <v>359</v>
      </c>
      <c r="Q88" t="s">
        <v>217</v>
      </c>
    </row>
    <row r="89" spans="1:18" x14ac:dyDescent="0.3">
      <c r="A89" t="s">
        <v>351</v>
      </c>
      <c r="B89" t="s">
        <v>45</v>
      </c>
      <c r="C89" t="s">
        <v>68</v>
      </c>
      <c r="D89" s="15">
        <v>46244.473958333336</v>
      </c>
      <c r="E89" t="s">
        <v>408</v>
      </c>
      <c r="F89">
        <v>1</v>
      </c>
      <c r="G89" s="15">
        <v>46246.458333333336</v>
      </c>
      <c r="H89" t="s">
        <v>359</v>
      </c>
      <c r="I89" t="s">
        <v>377</v>
      </c>
      <c r="J89" t="s">
        <v>239</v>
      </c>
      <c r="K89" t="s">
        <v>351</v>
      </c>
      <c r="L89" t="s">
        <v>378</v>
      </c>
      <c r="M89" t="s">
        <v>239</v>
      </c>
      <c r="O89" t="s">
        <v>67</v>
      </c>
      <c r="P89" t="s">
        <v>359</v>
      </c>
      <c r="Q89" t="s">
        <v>217</v>
      </c>
    </row>
    <row r="90" spans="1:18" x14ac:dyDescent="0.3">
      <c r="A90" t="s">
        <v>351</v>
      </c>
      <c r="B90" t="s">
        <v>45</v>
      </c>
      <c r="C90" t="s">
        <v>68</v>
      </c>
      <c r="D90" s="15">
        <v>46244.476030092592</v>
      </c>
      <c r="E90" t="s">
        <v>408</v>
      </c>
      <c r="F90">
        <v>3</v>
      </c>
      <c r="G90" s="15">
        <v>46246.458333333336</v>
      </c>
      <c r="H90" t="s">
        <v>359</v>
      </c>
      <c r="I90" t="s">
        <v>377</v>
      </c>
      <c r="J90" t="s">
        <v>239</v>
      </c>
      <c r="K90" t="s">
        <v>351</v>
      </c>
      <c r="L90" t="s">
        <v>378</v>
      </c>
      <c r="M90" t="s">
        <v>239</v>
      </c>
      <c r="O90" t="s">
        <v>67</v>
      </c>
      <c r="P90" t="s">
        <v>359</v>
      </c>
      <c r="Q90" t="s">
        <v>217</v>
      </c>
    </row>
    <row r="91" spans="1:18" x14ac:dyDescent="0.3">
      <c r="A91" t="s">
        <v>351</v>
      </c>
      <c r="B91" t="s">
        <v>45</v>
      </c>
      <c r="C91" t="s">
        <v>68</v>
      </c>
      <c r="D91" s="15">
        <v>46237.458333333336</v>
      </c>
      <c r="E91" t="s">
        <v>408</v>
      </c>
      <c r="F91">
        <v>5</v>
      </c>
      <c r="G91" s="15">
        <v>46239.5</v>
      </c>
      <c r="H91" t="s">
        <v>359</v>
      </c>
      <c r="I91" t="s">
        <v>377</v>
      </c>
      <c r="J91" t="s">
        <v>239</v>
      </c>
      <c r="K91" t="s">
        <v>351</v>
      </c>
      <c r="L91" t="s">
        <v>378</v>
      </c>
      <c r="M91" t="s">
        <v>239</v>
      </c>
      <c r="N91">
        <v>103</v>
      </c>
      <c r="O91" t="s">
        <v>67</v>
      </c>
      <c r="P91" t="s">
        <v>359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46244.476921296293</v>
      </c>
      <c r="E92" t="s">
        <v>408</v>
      </c>
      <c r="F92">
        <v>3</v>
      </c>
      <c r="G92" s="15">
        <v>46246.458333333336</v>
      </c>
      <c r="H92" t="s">
        <v>359</v>
      </c>
      <c r="I92" t="s">
        <v>377</v>
      </c>
      <c r="J92" t="s">
        <v>239</v>
      </c>
      <c r="K92" t="s">
        <v>351</v>
      </c>
      <c r="L92" t="s">
        <v>378</v>
      </c>
      <c r="M92" t="s">
        <v>239</v>
      </c>
      <c r="O92" t="s">
        <v>67</v>
      </c>
      <c r="P92" t="s">
        <v>359</v>
      </c>
      <c r="Q92" t="s">
        <v>217</v>
      </c>
    </row>
    <row r="93" spans="1:18" x14ac:dyDescent="0.3">
      <c r="A93" t="s">
        <v>351</v>
      </c>
      <c r="B93" t="s">
        <v>45</v>
      </c>
      <c r="C93" t="s">
        <v>68</v>
      </c>
      <c r="D93" s="15">
        <v>46246.659317129626</v>
      </c>
      <c r="E93" t="s">
        <v>408</v>
      </c>
      <c r="F93">
        <v>3</v>
      </c>
      <c r="G93" s="15">
        <v>46252.458333333336</v>
      </c>
      <c r="H93" t="s">
        <v>359</v>
      </c>
      <c r="I93" t="s">
        <v>377</v>
      </c>
      <c r="J93" t="s">
        <v>239</v>
      </c>
      <c r="K93" t="s">
        <v>351</v>
      </c>
      <c r="L93" t="s">
        <v>378</v>
      </c>
      <c r="M93" t="s">
        <v>239</v>
      </c>
      <c r="O93" t="s">
        <v>67</v>
      </c>
      <c r="P93" t="s">
        <v>359</v>
      </c>
      <c r="Q93" t="s">
        <v>217</v>
      </c>
    </row>
    <row r="94" spans="1:18" x14ac:dyDescent="0.3">
      <c r="A94" t="s">
        <v>351</v>
      </c>
      <c r="B94" t="s">
        <v>45</v>
      </c>
      <c r="C94" t="s">
        <v>68</v>
      </c>
      <c r="D94" s="15">
        <v>46251.598506944443</v>
      </c>
      <c r="E94" t="s">
        <v>408</v>
      </c>
      <c r="F94">
        <v>3</v>
      </c>
      <c r="G94" s="15">
        <v>46255.493055555555</v>
      </c>
      <c r="H94" t="s">
        <v>359</v>
      </c>
      <c r="I94" t="s">
        <v>377</v>
      </c>
      <c r="J94" t="s">
        <v>239</v>
      </c>
      <c r="K94" t="s">
        <v>351</v>
      </c>
      <c r="L94" t="s">
        <v>378</v>
      </c>
      <c r="M94" t="s">
        <v>239</v>
      </c>
      <c r="N94">
        <v>103</v>
      </c>
      <c r="O94" t="s">
        <v>67</v>
      </c>
      <c r="P94" t="s">
        <v>359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46254.355046296296</v>
      </c>
      <c r="E95" t="s">
        <v>427</v>
      </c>
      <c r="F95">
        <v>35</v>
      </c>
      <c r="G95" s="15">
        <v>46258.410416666666</v>
      </c>
      <c r="H95" t="s">
        <v>365</v>
      </c>
      <c r="I95" t="s">
        <v>377</v>
      </c>
      <c r="J95" t="s">
        <v>239</v>
      </c>
      <c r="K95" t="s">
        <v>351</v>
      </c>
      <c r="L95" t="s">
        <v>378</v>
      </c>
      <c r="M95" t="s">
        <v>239</v>
      </c>
      <c r="N95">
        <v>93</v>
      </c>
      <c r="O95" t="s">
        <v>67</v>
      </c>
      <c r="P95" t="s">
        <v>487</v>
      </c>
      <c r="Q95" t="s">
        <v>217</v>
      </c>
      <c r="R95">
        <v>1</v>
      </c>
    </row>
    <row r="96" spans="1:18" x14ac:dyDescent="0.3">
      <c r="A96" t="s">
        <v>351</v>
      </c>
      <c r="B96" t="s">
        <v>45</v>
      </c>
      <c r="C96" t="s">
        <v>68</v>
      </c>
      <c r="D96" s="15">
        <v>46253.542812500003</v>
      </c>
      <c r="E96" t="s">
        <v>408</v>
      </c>
      <c r="F96">
        <v>3</v>
      </c>
      <c r="G96" s="15">
        <v>46255.493055555555</v>
      </c>
      <c r="H96" t="s">
        <v>359</v>
      </c>
      <c r="I96" t="s">
        <v>377</v>
      </c>
      <c r="J96" t="s">
        <v>239</v>
      </c>
      <c r="K96" t="s">
        <v>351</v>
      </c>
      <c r="L96" t="s">
        <v>378</v>
      </c>
      <c r="M96" t="s">
        <v>239</v>
      </c>
      <c r="N96">
        <v>103</v>
      </c>
      <c r="O96" t="s">
        <v>67</v>
      </c>
      <c r="P96" t="s">
        <v>359</v>
      </c>
      <c r="Q96" t="s">
        <v>217</v>
      </c>
    </row>
    <row r="97" spans="1:18" x14ac:dyDescent="0.3">
      <c r="A97" t="s">
        <v>351</v>
      </c>
      <c r="B97" t="s">
        <v>45</v>
      </c>
      <c r="C97" t="s">
        <v>68</v>
      </c>
      <c r="D97" s="15">
        <v>46253.545694444445</v>
      </c>
      <c r="E97" t="s">
        <v>408</v>
      </c>
      <c r="F97">
        <v>3</v>
      </c>
      <c r="G97" s="15">
        <v>46255.493055555555</v>
      </c>
      <c r="H97" t="s">
        <v>359</v>
      </c>
      <c r="I97" t="s">
        <v>377</v>
      </c>
      <c r="J97" t="s">
        <v>239</v>
      </c>
      <c r="K97" t="s">
        <v>351</v>
      </c>
      <c r="L97" t="s">
        <v>378</v>
      </c>
      <c r="M97" t="s">
        <v>239</v>
      </c>
      <c r="O97" t="s">
        <v>67</v>
      </c>
      <c r="P97" t="s">
        <v>359</v>
      </c>
      <c r="Q97" t="s">
        <v>217</v>
      </c>
    </row>
    <row r="98" spans="1:18" x14ac:dyDescent="0.3">
      <c r="A98" t="s">
        <v>351</v>
      </c>
      <c r="B98" t="s">
        <v>45</v>
      </c>
      <c r="C98" t="s">
        <v>68</v>
      </c>
      <c r="D98" s="15">
        <v>46253.545173611114</v>
      </c>
      <c r="E98" t="s">
        <v>408</v>
      </c>
      <c r="F98">
        <v>3</v>
      </c>
      <c r="G98" s="15">
        <v>46255.493055555555</v>
      </c>
      <c r="H98" t="s">
        <v>359</v>
      </c>
      <c r="I98" t="s">
        <v>377</v>
      </c>
      <c r="J98" t="s">
        <v>239</v>
      </c>
      <c r="K98" t="s">
        <v>351</v>
      </c>
      <c r="L98" t="s">
        <v>378</v>
      </c>
      <c r="M98" t="s">
        <v>239</v>
      </c>
      <c r="O98" t="s">
        <v>67</v>
      </c>
      <c r="P98" t="s">
        <v>359</v>
      </c>
      <c r="Q98" t="s">
        <v>217</v>
      </c>
    </row>
    <row r="99" spans="1:18" x14ac:dyDescent="0.3">
      <c r="A99" t="s">
        <v>351</v>
      </c>
      <c r="B99" t="s">
        <v>45</v>
      </c>
      <c r="C99" t="s">
        <v>68</v>
      </c>
      <c r="D99" s="15">
        <v>46233.471192129633</v>
      </c>
      <c r="E99" t="s">
        <v>408</v>
      </c>
      <c r="F99">
        <v>3</v>
      </c>
      <c r="G99" s="15">
        <v>46237.458333333336</v>
      </c>
      <c r="H99" t="s">
        <v>359</v>
      </c>
      <c r="I99" t="s">
        <v>377</v>
      </c>
      <c r="J99" t="s">
        <v>239</v>
      </c>
      <c r="K99" t="s">
        <v>351</v>
      </c>
      <c r="L99" t="s">
        <v>378</v>
      </c>
      <c r="M99" t="s">
        <v>239</v>
      </c>
      <c r="O99" t="s">
        <v>67</v>
      </c>
      <c r="P99" t="s">
        <v>359</v>
      </c>
      <c r="Q99" t="s">
        <v>217</v>
      </c>
    </row>
    <row r="100" spans="1:18" x14ac:dyDescent="0.3">
      <c r="A100" t="s">
        <v>351</v>
      </c>
      <c r="B100" t="s">
        <v>45</v>
      </c>
      <c r="C100" t="s">
        <v>68</v>
      </c>
      <c r="D100" s="15">
        <v>46233.470659722225</v>
      </c>
      <c r="E100" t="s">
        <v>408</v>
      </c>
      <c r="F100">
        <v>3</v>
      </c>
      <c r="G100" s="15">
        <v>46237.458333333336</v>
      </c>
      <c r="H100" t="s">
        <v>359</v>
      </c>
      <c r="I100" t="s">
        <v>377</v>
      </c>
      <c r="J100" t="s">
        <v>239</v>
      </c>
      <c r="K100" t="s">
        <v>351</v>
      </c>
      <c r="L100" t="s">
        <v>378</v>
      </c>
      <c r="M100" t="s">
        <v>239</v>
      </c>
      <c r="O100" t="s">
        <v>67</v>
      </c>
      <c r="P100" t="s">
        <v>359</v>
      </c>
      <c r="Q100" t="s">
        <v>217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46233.468287037038</v>
      </c>
      <c r="E101" t="s">
        <v>408</v>
      </c>
      <c r="F101">
        <v>3</v>
      </c>
      <c r="G101" s="15">
        <v>46237.458333333336</v>
      </c>
      <c r="H101" t="s">
        <v>359</v>
      </c>
      <c r="I101" t="s">
        <v>377</v>
      </c>
      <c r="J101" t="s">
        <v>239</v>
      </c>
      <c r="K101" t="s">
        <v>351</v>
      </c>
      <c r="L101" t="s">
        <v>378</v>
      </c>
      <c r="M101" t="s">
        <v>239</v>
      </c>
      <c r="O101" t="s">
        <v>67</v>
      </c>
      <c r="P101" t="s">
        <v>359</v>
      </c>
      <c r="Q101" t="s">
        <v>217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46225.582372685189</v>
      </c>
      <c r="E102" t="s">
        <v>408</v>
      </c>
      <c r="F102">
        <v>3</v>
      </c>
      <c r="G102" s="15">
        <v>46231.455555555556</v>
      </c>
      <c r="H102" t="s">
        <v>359</v>
      </c>
      <c r="I102" t="s">
        <v>377</v>
      </c>
      <c r="J102" t="s">
        <v>239</v>
      </c>
      <c r="K102" t="s">
        <v>351</v>
      </c>
      <c r="L102" t="s">
        <v>378</v>
      </c>
      <c r="M102" t="s">
        <v>239</v>
      </c>
      <c r="N102">
        <v>103</v>
      </c>
      <c r="O102" t="s">
        <v>67</v>
      </c>
      <c r="P102" t="s">
        <v>359</v>
      </c>
      <c r="Q102" t="s">
        <v>217</v>
      </c>
      <c r="R102">
        <v>1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46225.581944444442</v>
      </c>
      <c r="E103" t="s">
        <v>408</v>
      </c>
      <c r="F103">
        <v>1</v>
      </c>
      <c r="G103" s="15">
        <v>46231.455555555556</v>
      </c>
      <c r="H103" t="s">
        <v>359</v>
      </c>
      <c r="I103" t="s">
        <v>377</v>
      </c>
      <c r="J103" t="s">
        <v>239</v>
      </c>
      <c r="K103" t="s">
        <v>351</v>
      </c>
      <c r="L103" t="s">
        <v>378</v>
      </c>
      <c r="M103" t="s">
        <v>239</v>
      </c>
      <c r="O103" t="s">
        <v>67</v>
      </c>
      <c r="P103" t="s">
        <v>359</v>
      </c>
      <c r="Q103" t="s">
        <v>217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46225.581226851849</v>
      </c>
      <c r="E104" t="s">
        <v>408</v>
      </c>
      <c r="F104">
        <v>3</v>
      </c>
      <c r="G104" s="15">
        <v>46231.455555555556</v>
      </c>
      <c r="H104" t="s">
        <v>359</v>
      </c>
      <c r="I104" t="s">
        <v>377</v>
      </c>
      <c r="J104" t="s">
        <v>239</v>
      </c>
      <c r="K104" t="s">
        <v>351</v>
      </c>
      <c r="L104" t="s">
        <v>378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46225.358090277776</v>
      </c>
      <c r="E105" t="s">
        <v>412</v>
      </c>
      <c r="F105">
        <v>26</v>
      </c>
      <c r="G105" s="15">
        <v>46227.5</v>
      </c>
      <c r="H105" t="s">
        <v>359</v>
      </c>
      <c r="I105" t="s">
        <v>377</v>
      </c>
      <c r="J105" t="s">
        <v>239</v>
      </c>
      <c r="K105" t="s">
        <v>351</v>
      </c>
      <c r="L105" t="s">
        <v>378</v>
      </c>
      <c r="M105" t="s">
        <v>239</v>
      </c>
      <c r="O105" t="s">
        <v>67</v>
      </c>
      <c r="P105" t="s">
        <v>359</v>
      </c>
      <c r="Q105" t="s">
        <v>217</v>
      </c>
      <c r="R105">
        <v>1.23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46225.333067129628</v>
      </c>
      <c r="E106" t="s">
        <v>429</v>
      </c>
      <c r="F106">
        <v>8</v>
      </c>
      <c r="G106" s="15">
        <v>46227.5</v>
      </c>
      <c r="H106" t="s">
        <v>359</v>
      </c>
      <c r="I106" t="s">
        <v>377</v>
      </c>
      <c r="J106" t="s">
        <v>239</v>
      </c>
      <c r="K106" t="s">
        <v>351</v>
      </c>
      <c r="L106" t="s">
        <v>378</v>
      </c>
      <c r="M106" t="s">
        <v>239</v>
      </c>
      <c r="N106">
        <v>103</v>
      </c>
      <c r="O106" t="s">
        <v>67</v>
      </c>
      <c r="P106" t="s">
        <v>359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46223.488009259258</v>
      </c>
      <c r="E107" t="s">
        <v>408</v>
      </c>
      <c r="F107">
        <v>2</v>
      </c>
      <c r="G107" s="15">
        <v>46231.451388888891</v>
      </c>
      <c r="H107" t="s">
        <v>359</v>
      </c>
      <c r="I107" t="s">
        <v>377</v>
      </c>
      <c r="J107" t="s">
        <v>239</v>
      </c>
      <c r="K107" t="s">
        <v>351</v>
      </c>
      <c r="L107" t="s">
        <v>378</v>
      </c>
      <c r="M107" t="s">
        <v>239</v>
      </c>
      <c r="N107">
        <v>103</v>
      </c>
      <c r="O107" t="s">
        <v>67</v>
      </c>
      <c r="P107" t="s">
        <v>359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46223.487222222226</v>
      </c>
      <c r="E108" t="s">
        <v>408</v>
      </c>
      <c r="F108">
        <v>1</v>
      </c>
      <c r="G108" s="15">
        <v>46231.451388888891</v>
      </c>
      <c r="H108" t="s">
        <v>359</v>
      </c>
      <c r="I108" t="s">
        <v>377</v>
      </c>
      <c r="J108" t="s">
        <v>239</v>
      </c>
      <c r="K108" t="s">
        <v>351</v>
      </c>
      <c r="L108" t="s">
        <v>378</v>
      </c>
      <c r="M108" t="s">
        <v>239</v>
      </c>
      <c r="O108" t="s">
        <v>67</v>
      </c>
      <c r="P108" t="s">
        <v>359</v>
      </c>
      <c r="Q108" t="s">
        <v>217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46225.339780092596</v>
      </c>
      <c r="E109" t="s">
        <v>412</v>
      </c>
      <c r="F109">
        <v>4</v>
      </c>
      <c r="G109" s="15">
        <v>46227.5</v>
      </c>
      <c r="H109" t="s">
        <v>359</v>
      </c>
      <c r="I109" t="s">
        <v>377</v>
      </c>
      <c r="J109" t="s">
        <v>239</v>
      </c>
      <c r="K109" t="s">
        <v>351</v>
      </c>
      <c r="L109" t="s">
        <v>378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46225.337905092594</v>
      </c>
      <c r="E110" t="s">
        <v>412</v>
      </c>
      <c r="F110">
        <v>2</v>
      </c>
      <c r="G110" s="15">
        <v>46227.5</v>
      </c>
      <c r="H110" t="s">
        <v>359</v>
      </c>
      <c r="I110" t="s">
        <v>377</v>
      </c>
      <c r="J110" t="s">
        <v>239</v>
      </c>
      <c r="K110" t="s">
        <v>351</v>
      </c>
      <c r="L110" t="s">
        <v>378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46225.337650462963</v>
      </c>
      <c r="E111" t="s">
        <v>412</v>
      </c>
      <c r="F111">
        <v>1</v>
      </c>
      <c r="G111" s="15">
        <v>46227.5</v>
      </c>
      <c r="H111" t="s">
        <v>359</v>
      </c>
      <c r="I111" t="s">
        <v>377</v>
      </c>
      <c r="J111" t="s">
        <v>239</v>
      </c>
      <c r="K111" t="s">
        <v>351</v>
      </c>
      <c r="L111" t="s">
        <v>378</v>
      </c>
      <c r="M111" t="s">
        <v>239</v>
      </c>
      <c r="O111" t="s">
        <v>67</v>
      </c>
      <c r="P111" t="s">
        <v>359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46224.651469907411</v>
      </c>
      <c r="E112" t="s">
        <v>412</v>
      </c>
      <c r="F112">
        <v>16</v>
      </c>
      <c r="G112" s="15">
        <v>46227.5</v>
      </c>
      <c r="H112" t="s">
        <v>359</v>
      </c>
      <c r="I112" t="s">
        <v>377</v>
      </c>
      <c r="J112" t="s">
        <v>239</v>
      </c>
      <c r="K112" t="s">
        <v>351</v>
      </c>
      <c r="L112" t="s">
        <v>378</v>
      </c>
      <c r="M112" t="s">
        <v>239</v>
      </c>
      <c r="O112" t="s">
        <v>67</v>
      </c>
      <c r="P112" t="s">
        <v>359</v>
      </c>
      <c r="Q112" t="s">
        <v>217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46224.65053240741</v>
      </c>
      <c r="E113" t="s">
        <v>412</v>
      </c>
      <c r="F113">
        <v>6</v>
      </c>
      <c r="G113" s="15">
        <v>46227.5</v>
      </c>
      <c r="H113" t="s">
        <v>359</v>
      </c>
      <c r="I113" t="s">
        <v>377</v>
      </c>
      <c r="J113" t="s">
        <v>239</v>
      </c>
      <c r="K113" t="s">
        <v>351</v>
      </c>
      <c r="L113" t="s">
        <v>378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46225.340196759258</v>
      </c>
      <c r="E114" t="s">
        <v>412</v>
      </c>
      <c r="F114">
        <v>3</v>
      </c>
      <c r="G114" s="15">
        <v>46227.5</v>
      </c>
      <c r="H114" t="s">
        <v>359</v>
      </c>
      <c r="I114" t="s">
        <v>377</v>
      </c>
      <c r="J114" t="s">
        <v>239</v>
      </c>
      <c r="K114" t="s">
        <v>351</v>
      </c>
      <c r="L114" t="s">
        <v>378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46225.340752314813</v>
      </c>
      <c r="E115" t="s">
        <v>412</v>
      </c>
      <c r="F115">
        <v>3</v>
      </c>
      <c r="G115" s="15">
        <v>46227.5</v>
      </c>
      <c r="H115" t="s">
        <v>359</v>
      </c>
      <c r="I115" t="s">
        <v>377</v>
      </c>
      <c r="J115" t="s">
        <v>239</v>
      </c>
      <c r="K115" t="s">
        <v>351</v>
      </c>
      <c r="L115" t="s">
        <v>378</v>
      </c>
      <c r="M115" t="s">
        <v>239</v>
      </c>
      <c r="O115" t="s">
        <v>67</v>
      </c>
      <c r="P115" t="s">
        <v>359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46230.441238425927</v>
      </c>
      <c r="E116" t="s">
        <v>408</v>
      </c>
      <c r="F116">
        <v>3</v>
      </c>
      <c r="G116" s="15">
        <v>46231.431944444441</v>
      </c>
      <c r="H116" t="s">
        <v>359</v>
      </c>
      <c r="I116" t="s">
        <v>377</v>
      </c>
      <c r="J116" t="s">
        <v>239</v>
      </c>
      <c r="K116" t="s">
        <v>351</v>
      </c>
      <c r="L116" t="s">
        <v>378</v>
      </c>
      <c r="M116" t="s">
        <v>239</v>
      </c>
      <c r="N116">
        <v>103</v>
      </c>
      <c r="O116" t="s">
        <v>67</v>
      </c>
      <c r="P116" t="s">
        <v>359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46230.439814814818</v>
      </c>
      <c r="E117" t="s">
        <v>408</v>
      </c>
      <c r="F117">
        <v>4</v>
      </c>
      <c r="G117" s="15">
        <v>46231.431944444441</v>
      </c>
      <c r="H117" t="s">
        <v>359</v>
      </c>
      <c r="I117" t="s">
        <v>377</v>
      </c>
      <c r="J117" t="s">
        <v>239</v>
      </c>
      <c r="K117" t="s">
        <v>351</v>
      </c>
      <c r="L117" t="s">
        <v>378</v>
      </c>
      <c r="M117" t="s">
        <v>239</v>
      </c>
      <c r="O117" t="s">
        <v>67</v>
      </c>
      <c r="P117" t="s">
        <v>359</v>
      </c>
      <c r="Q117" t="s">
        <v>217</v>
      </c>
    </row>
    <row r="118" spans="1:18" x14ac:dyDescent="0.3">
      <c r="A118" t="s">
        <v>351</v>
      </c>
      <c r="B118" t="s">
        <v>43</v>
      </c>
      <c r="C118" t="s">
        <v>105</v>
      </c>
      <c r="D118" s="15">
        <v>46226.43414351852</v>
      </c>
      <c r="E118" t="s">
        <v>426</v>
      </c>
      <c r="F118">
        <v>1</v>
      </c>
      <c r="G118" s="15">
        <v>46231.455555555556</v>
      </c>
      <c r="H118" t="s">
        <v>359</v>
      </c>
      <c r="I118" t="s">
        <v>377</v>
      </c>
      <c r="J118" t="s">
        <v>239</v>
      </c>
      <c r="K118" t="s">
        <v>351</v>
      </c>
      <c r="L118" t="s">
        <v>378</v>
      </c>
      <c r="M118" t="s">
        <v>239</v>
      </c>
      <c r="O118" t="s">
        <v>67</v>
      </c>
      <c r="P118" t="s">
        <v>359</v>
      </c>
      <c r="Q118" t="s">
        <v>217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46225.341481481482</v>
      </c>
      <c r="E119" t="s">
        <v>412</v>
      </c>
      <c r="F119">
        <v>11</v>
      </c>
      <c r="G119" s="15">
        <v>46227.5</v>
      </c>
      <c r="H119" t="s">
        <v>359</v>
      </c>
      <c r="I119" t="s">
        <v>377</v>
      </c>
      <c r="J119" t="s">
        <v>239</v>
      </c>
      <c r="K119" t="s">
        <v>351</v>
      </c>
      <c r="L119" t="s">
        <v>378</v>
      </c>
      <c r="M119" t="s">
        <v>239</v>
      </c>
      <c r="O119" t="s">
        <v>67</v>
      </c>
      <c r="P119" t="s">
        <v>359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46244.522743055553</v>
      </c>
      <c r="E120" t="s">
        <v>421</v>
      </c>
      <c r="F120">
        <v>6</v>
      </c>
      <c r="G120" s="15">
        <v>46247.409722222219</v>
      </c>
      <c r="H120" t="s">
        <v>364</v>
      </c>
      <c r="I120" t="s">
        <v>379</v>
      </c>
      <c r="J120" t="s">
        <v>239</v>
      </c>
      <c r="K120" t="s">
        <v>351</v>
      </c>
      <c r="L120" t="s">
        <v>378</v>
      </c>
      <c r="M120" t="s">
        <v>239</v>
      </c>
      <c r="N120">
        <v>0</v>
      </c>
      <c r="O120" t="s">
        <v>67</v>
      </c>
      <c r="P120" t="s">
        <v>364</v>
      </c>
      <c r="Q120" t="s">
        <v>217</v>
      </c>
      <c r="R120">
        <v>1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46252.385625000003</v>
      </c>
      <c r="E121" t="s">
        <v>415</v>
      </c>
      <c r="F121">
        <v>45</v>
      </c>
      <c r="G121" s="15">
        <v>46254.560416666667</v>
      </c>
      <c r="H121" t="s">
        <v>364</v>
      </c>
      <c r="I121" t="s">
        <v>379</v>
      </c>
      <c r="J121" t="s">
        <v>239</v>
      </c>
      <c r="K121" t="s">
        <v>351</v>
      </c>
      <c r="L121" t="s">
        <v>378</v>
      </c>
      <c r="M121" t="s">
        <v>239</v>
      </c>
      <c r="N121">
        <v>0</v>
      </c>
      <c r="O121" t="s">
        <v>67</v>
      </c>
      <c r="P121" t="s">
        <v>364</v>
      </c>
      <c r="Q121" t="s">
        <v>217</v>
      </c>
      <c r="R121">
        <v>1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46251.574641203704</v>
      </c>
      <c r="E122" t="s">
        <v>421</v>
      </c>
      <c r="F122">
        <v>15</v>
      </c>
      <c r="G122" s="15">
        <v>46253.486111111109</v>
      </c>
      <c r="H122" t="s">
        <v>364</v>
      </c>
      <c r="I122" t="s">
        <v>379</v>
      </c>
      <c r="J122" t="s">
        <v>239</v>
      </c>
      <c r="K122" t="s">
        <v>351</v>
      </c>
      <c r="L122" t="s">
        <v>378</v>
      </c>
      <c r="M122" t="s">
        <v>239</v>
      </c>
      <c r="O122" t="s">
        <v>67</v>
      </c>
      <c r="P122" t="s">
        <v>364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46224.403738425928</v>
      </c>
      <c r="E123" t="s">
        <v>415</v>
      </c>
      <c r="F123">
        <v>50</v>
      </c>
      <c r="G123" s="15">
        <v>46227.503472222219</v>
      </c>
      <c r="H123" t="s">
        <v>364</v>
      </c>
      <c r="I123" t="s">
        <v>379</v>
      </c>
      <c r="J123" t="s">
        <v>239</v>
      </c>
      <c r="K123" t="s">
        <v>351</v>
      </c>
      <c r="L123" t="s">
        <v>378</v>
      </c>
      <c r="M123" t="s">
        <v>239</v>
      </c>
      <c r="N123">
        <v>0</v>
      </c>
      <c r="O123" t="s">
        <v>67</v>
      </c>
      <c r="P123" t="s">
        <v>364</v>
      </c>
      <c r="Q123" t="s">
        <v>217</v>
      </c>
      <c r="R123">
        <v>1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46230.325821759259</v>
      </c>
      <c r="E124" t="s">
        <v>421</v>
      </c>
      <c r="F124">
        <v>22</v>
      </c>
      <c r="G124" s="15">
        <v>46232.520833333336</v>
      </c>
      <c r="H124" t="s">
        <v>364</v>
      </c>
      <c r="I124" t="s">
        <v>379</v>
      </c>
      <c r="J124" t="s">
        <v>239</v>
      </c>
      <c r="K124" t="s">
        <v>351</v>
      </c>
      <c r="L124" t="s">
        <v>378</v>
      </c>
      <c r="M124" t="s">
        <v>239</v>
      </c>
      <c r="N124">
        <v>0</v>
      </c>
      <c r="O124" t="s">
        <v>67</v>
      </c>
      <c r="P124" t="s">
        <v>364</v>
      </c>
      <c r="Q124" t="s">
        <v>217</v>
      </c>
      <c r="R124">
        <v>1</v>
      </c>
    </row>
    <row r="125" spans="1:18" x14ac:dyDescent="0.3">
      <c r="A125" t="s">
        <v>351</v>
      </c>
      <c r="B125" t="s">
        <v>48</v>
      </c>
      <c r="C125" t="s">
        <v>68</v>
      </c>
      <c r="D125" s="15">
        <v>46226.544976851852</v>
      </c>
      <c r="E125" t="s">
        <v>415</v>
      </c>
      <c r="F125">
        <v>1</v>
      </c>
      <c r="G125" s="15">
        <v>46230.449305555558</v>
      </c>
      <c r="H125" t="s">
        <v>364</v>
      </c>
      <c r="I125" t="s">
        <v>379</v>
      </c>
      <c r="J125" t="s">
        <v>239</v>
      </c>
      <c r="K125" t="s">
        <v>351</v>
      </c>
      <c r="L125" t="s">
        <v>378</v>
      </c>
      <c r="M125" t="s">
        <v>239</v>
      </c>
      <c r="N125">
        <v>0</v>
      </c>
      <c r="O125" t="s">
        <v>90</v>
      </c>
      <c r="P125" t="s">
        <v>364</v>
      </c>
      <c r="Q125" t="s">
        <v>217</v>
      </c>
      <c r="R125">
        <v>1</v>
      </c>
    </row>
    <row r="126" spans="1:18" x14ac:dyDescent="0.3">
      <c r="A126" t="s">
        <v>352</v>
      </c>
      <c r="B126" t="s">
        <v>43</v>
      </c>
      <c r="C126" t="s">
        <v>105</v>
      </c>
      <c r="D126" s="15">
        <v>46251.397696759261</v>
      </c>
      <c r="E126" t="s">
        <v>412</v>
      </c>
      <c r="F126">
        <v>1</v>
      </c>
      <c r="G126" s="15">
        <v>46255.615277777775</v>
      </c>
      <c r="H126" t="s">
        <v>1106</v>
      </c>
      <c r="I126" t="s">
        <v>1107</v>
      </c>
      <c r="J126" t="s">
        <v>261</v>
      </c>
      <c r="K126" t="s">
        <v>352</v>
      </c>
      <c r="L126" t="s">
        <v>403</v>
      </c>
      <c r="M126" t="s">
        <v>261</v>
      </c>
      <c r="N126">
        <v>0</v>
      </c>
      <c r="O126" t="s">
        <v>67</v>
      </c>
      <c r="P126" t="s">
        <v>1106</v>
      </c>
      <c r="Q126" t="s">
        <v>217</v>
      </c>
      <c r="R126">
        <v>1</v>
      </c>
    </row>
    <row r="127" spans="1:18" x14ac:dyDescent="0.3">
      <c r="A127" t="s">
        <v>352</v>
      </c>
      <c r="B127" t="s">
        <v>45</v>
      </c>
      <c r="C127" t="s">
        <v>68</v>
      </c>
      <c r="D127" s="15">
        <v>46251.388148148151</v>
      </c>
      <c r="E127" t="s">
        <v>1110</v>
      </c>
      <c r="F127">
        <v>10</v>
      </c>
      <c r="G127" s="15">
        <v>46255.618055555555</v>
      </c>
      <c r="H127" t="s">
        <v>1106</v>
      </c>
      <c r="I127" t="s">
        <v>1107</v>
      </c>
      <c r="J127" t="s">
        <v>261</v>
      </c>
      <c r="K127" t="s">
        <v>352</v>
      </c>
      <c r="L127" t="s">
        <v>403</v>
      </c>
      <c r="M127" t="s">
        <v>261</v>
      </c>
      <c r="N127">
        <v>0</v>
      </c>
      <c r="O127" t="s">
        <v>67</v>
      </c>
      <c r="P127" t="s">
        <v>1106</v>
      </c>
      <c r="Q127" t="s">
        <v>217</v>
      </c>
    </row>
    <row r="128" spans="1:18" x14ac:dyDescent="0.3">
      <c r="A128" t="s">
        <v>352</v>
      </c>
      <c r="B128" t="s">
        <v>45</v>
      </c>
      <c r="C128" t="s">
        <v>68</v>
      </c>
      <c r="D128" s="15">
        <v>46251.394097222219</v>
      </c>
      <c r="E128" t="s">
        <v>1110</v>
      </c>
      <c r="F128">
        <v>5</v>
      </c>
      <c r="G128" s="15">
        <v>46255.615277777775</v>
      </c>
      <c r="H128" t="s">
        <v>1106</v>
      </c>
      <c r="I128" t="s">
        <v>1107</v>
      </c>
      <c r="J128" t="s">
        <v>261</v>
      </c>
      <c r="K128" t="s">
        <v>352</v>
      </c>
      <c r="L128" t="s">
        <v>403</v>
      </c>
      <c r="M128" t="s">
        <v>261</v>
      </c>
      <c r="O128" t="s">
        <v>67</v>
      </c>
      <c r="P128" t="s">
        <v>1106</v>
      </c>
      <c r="Q128" t="s">
        <v>217</v>
      </c>
    </row>
    <row r="129" spans="1:18" x14ac:dyDescent="0.3">
      <c r="A129" t="s">
        <v>352</v>
      </c>
      <c r="B129" t="s">
        <v>48</v>
      </c>
      <c r="C129" t="s">
        <v>68</v>
      </c>
      <c r="D129" s="15">
        <v>46226.72587962963</v>
      </c>
      <c r="E129" t="s">
        <v>412</v>
      </c>
      <c r="F129">
        <v>1</v>
      </c>
      <c r="G129" s="15">
        <v>46232.441666666666</v>
      </c>
      <c r="H129" t="s">
        <v>1106</v>
      </c>
      <c r="I129" t="s">
        <v>1107</v>
      </c>
      <c r="J129" t="s">
        <v>261</v>
      </c>
      <c r="K129" t="s">
        <v>352</v>
      </c>
      <c r="L129" t="s">
        <v>403</v>
      </c>
      <c r="M129" t="s">
        <v>261</v>
      </c>
      <c r="N129">
        <v>0</v>
      </c>
      <c r="O129" t="s">
        <v>90</v>
      </c>
      <c r="P129" t="s">
        <v>1106</v>
      </c>
      <c r="Q129" t="s">
        <v>217</v>
      </c>
      <c r="R129">
        <v>1</v>
      </c>
    </row>
    <row r="130" spans="1:18" x14ac:dyDescent="0.3">
      <c r="A130" t="s">
        <v>352</v>
      </c>
      <c r="B130" t="s">
        <v>45</v>
      </c>
      <c r="C130" t="s">
        <v>68</v>
      </c>
      <c r="D130" s="15">
        <v>46219.31449074074</v>
      </c>
      <c r="E130" t="s">
        <v>1110</v>
      </c>
      <c r="F130">
        <v>9</v>
      </c>
      <c r="G130" s="15">
        <v>46232.447916666664</v>
      </c>
      <c r="H130" t="s">
        <v>1106</v>
      </c>
      <c r="I130" t="s">
        <v>1107</v>
      </c>
      <c r="J130" t="s">
        <v>261</v>
      </c>
      <c r="K130" t="s">
        <v>352</v>
      </c>
      <c r="L130" t="s">
        <v>403</v>
      </c>
      <c r="M130" t="s">
        <v>261</v>
      </c>
      <c r="N130">
        <v>0</v>
      </c>
      <c r="O130" t="s">
        <v>67</v>
      </c>
      <c r="P130" t="s">
        <v>1106</v>
      </c>
      <c r="Q130" t="s">
        <v>217</v>
      </c>
    </row>
    <row r="131" spans="1:18" x14ac:dyDescent="0.3">
      <c r="A131" t="s">
        <v>350</v>
      </c>
      <c r="B131" t="s">
        <v>45</v>
      </c>
      <c r="C131" t="s">
        <v>68</v>
      </c>
      <c r="D131" s="15">
        <v>46244.678773148145</v>
      </c>
      <c r="E131" t="s">
        <v>414</v>
      </c>
      <c r="F131">
        <v>25</v>
      </c>
      <c r="G131" s="15">
        <v>46246.395833333336</v>
      </c>
      <c r="H131" t="s">
        <v>370</v>
      </c>
      <c r="I131" t="s">
        <v>383</v>
      </c>
      <c r="J131" t="s">
        <v>240</v>
      </c>
      <c r="K131" t="s">
        <v>350</v>
      </c>
      <c r="L131" t="s">
        <v>356</v>
      </c>
      <c r="M131" t="s">
        <v>240</v>
      </c>
      <c r="N131">
        <v>3</v>
      </c>
      <c r="O131" t="s">
        <v>67</v>
      </c>
      <c r="P131" t="s">
        <v>370</v>
      </c>
      <c r="Q131" t="s">
        <v>217</v>
      </c>
      <c r="R131">
        <v>1</v>
      </c>
    </row>
    <row r="132" spans="1:18" x14ac:dyDescent="0.3">
      <c r="A132" t="s">
        <v>350</v>
      </c>
      <c r="B132" t="s">
        <v>45</v>
      </c>
      <c r="C132" t="s">
        <v>68</v>
      </c>
      <c r="D132" s="15">
        <v>46252.494293981479</v>
      </c>
      <c r="E132" t="s">
        <v>414</v>
      </c>
      <c r="F132">
        <v>25</v>
      </c>
      <c r="G132" s="15">
        <v>46253.423611111109</v>
      </c>
      <c r="H132" t="s">
        <v>370</v>
      </c>
      <c r="I132" t="s">
        <v>383</v>
      </c>
      <c r="J132" t="s">
        <v>240</v>
      </c>
      <c r="K132" t="s">
        <v>350</v>
      </c>
      <c r="L132" t="s">
        <v>356</v>
      </c>
      <c r="M132" t="s">
        <v>240</v>
      </c>
      <c r="N132">
        <v>3</v>
      </c>
      <c r="O132" t="s">
        <v>67</v>
      </c>
      <c r="P132" t="s">
        <v>370</v>
      </c>
      <c r="Q132" t="s">
        <v>217</v>
      </c>
      <c r="R132">
        <v>1</v>
      </c>
    </row>
    <row r="133" spans="1:18" x14ac:dyDescent="0.3">
      <c r="A133" t="s">
        <v>350</v>
      </c>
      <c r="B133" t="s">
        <v>45</v>
      </c>
      <c r="C133" t="s">
        <v>68</v>
      </c>
      <c r="D133" s="15">
        <v>46237.299120370371</v>
      </c>
      <c r="E133" t="s">
        <v>414</v>
      </c>
      <c r="F133">
        <v>20</v>
      </c>
      <c r="G133" s="15">
        <v>46239.371527777781</v>
      </c>
      <c r="H133" t="s">
        <v>370</v>
      </c>
      <c r="I133" t="s">
        <v>383</v>
      </c>
      <c r="J133" t="s">
        <v>240</v>
      </c>
      <c r="K133" t="s">
        <v>350</v>
      </c>
      <c r="L133" t="s">
        <v>356</v>
      </c>
      <c r="M133" t="s">
        <v>240</v>
      </c>
      <c r="N133">
        <v>3</v>
      </c>
      <c r="O133" t="s">
        <v>67</v>
      </c>
      <c r="P133" t="s">
        <v>370</v>
      </c>
      <c r="Q133" t="s">
        <v>217</v>
      </c>
      <c r="R133">
        <v>1</v>
      </c>
    </row>
    <row r="134" spans="1:18" x14ac:dyDescent="0.3">
      <c r="A134" t="s">
        <v>350</v>
      </c>
      <c r="B134" t="s">
        <v>43</v>
      </c>
      <c r="C134" t="s">
        <v>105</v>
      </c>
      <c r="D134" s="15">
        <v>46244.665532407409</v>
      </c>
      <c r="E134" t="s">
        <v>410</v>
      </c>
      <c r="F134">
        <v>3</v>
      </c>
      <c r="G134" s="15">
        <v>46247.479166666664</v>
      </c>
      <c r="H134" t="s">
        <v>369</v>
      </c>
      <c r="I134" t="s">
        <v>382</v>
      </c>
      <c r="J134" t="s">
        <v>240</v>
      </c>
      <c r="K134" t="s">
        <v>350</v>
      </c>
      <c r="L134" t="s">
        <v>356</v>
      </c>
      <c r="M134" t="s">
        <v>240</v>
      </c>
      <c r="N134">
        <v>48</v>
      </c>
      <c r="O134" t="s">
        <v>67</v>
      </c>
      <c r="P134" t="s">
        <v>369</v>
      </c>
      <c r="Q134" t="s">
        <v>217</v>
      </c>
      <c r="R134">
        <v>1</v>
      </c>
    </row>
    <row r="135" spans="1:18" x14ac:dyDescent="0.3">
      <c r="A135" t="s">
        <v>350</v>
      </c>
      <c r="B135" t="s">
        <v>45</v>
      </c>
      <c r="C135" t="s">
        <v>68</v>
      </c>
      <c r="D135" s="15">
        <v>46244.660208333335</v>
      </c>
      <c r="E135" t="s">
        <v>410</v>
      </c>
      <c r="F135">
        <v>25</v>
      </c>
      <c r="G135" s="15">
        <v>46246.611111111109</v>
      </c>
      <c r="H135" t="s">
        <v>369</v>
      </c>
      <c r="I135" t="s">
        <v>382</v>
      </c>
      <c r="J135" t="s">
        <v>240</v>
      </c>
      <c r="K135" t="s">
        <v>350</v>
      </c>
      <c r="L135" t="s">
        <v>356</v>
      </c>
      <c r="M135" t="s">
        <v>240</v>
      </c>
      <c r="N135">
        <v>48</v>
      </c>
      <c r="O135" t="s">
        <v>67</v>
      </c>
      <c r="P135" t="s">
        <v>369</v>
      </c>
      <c r="Q135" t="s">
        <v>217</v>
      </c>
      <c r="R135">
        <v>1</v>
      </c>
    </row>
    <row r="136" spans="1:18" x14ac:dyDescent="0.3">
      <c r="A136" t="s">
        <v>350</v>
      </c>
      <c r="B136" t="s">
        <v>45</v>
      </c>
      <c r="C136" t="s">
        <v>68</v>
      </c>
      <c r="D136" s="15">
        <v>46253.320972222224</v>
      </c>
      <c r="E136" t="s">
        <v>410</v>
      </c>
      <c r="F136">
        <v>25</v>
      </c>
      <c r="G136" s="15">
        <v>46255.638888888891</v>
      </c>
      <c r="H136" t="s">
        <v>369</v>
      </c>
      <c r="I136" t="s">
        <v>382</v>
      </c>
      <c r="J136" t="s">
        <v>240</v>
      </c>
      <c r="K136" t="s">
        <v>350</v>
      </c>
      <c r="L136" t="s">
        <v>356</v>
      </c>
      <c r="M136" t="s">
        <v>240</v>
      </c>
      <c r="N136">
        <v>48</v>
      </c>
      <c r="O136" t="s">
        <v>67</v>
      </c>
      <c r="P136" t="s">
        <v>369</v>
      </c>
      <c r="Q136" t="s">
        <v>217</v>
      </c>
      <c r="R136">
        <v>1</v>
      </c>
    </row>
    <row r="137" spans="1:18" x14ac:dyDescent="0.3">
      <c r="A137" t="s">
        <v>350</v>
      </c>
      <c r="B137" t="s">
        <v>45</v>
      </c>
      <c r="C137" t="s">
        <v>68</v>
      </c>
      <c r="D137" s="15">
        <v>46233.603067129632</v>
      </c>
      <c r="E137" t="s">
        <v>418</v>
      </c>
      <c r="F137">
        <v>50</v>
      </c>
      <c r="G137" s="15">
        <v>46237.586805555555</v>
      </c>
      <c r="H137" t="s">
        <v>369</v>
      </c>
      <c r="I137" t="s">
        <v>382</v>
      </c>
      <c r="J137" t="s">
        <v>240</v>
      </c>
      <c r="K137" t="s">
        <v>350</v>
      </c>
      <c r="L137" t="s">
        <v>356</v>
      </c>
      <c r="M137" t="s">
        <v>240</v>
      </c>
      <c r="N137">
        <v>48</v>
      </c>
      <c r="O137" t="s">
        <v>67</v>
      </c>
      <c r="P137" t="s">
        <v>369</v>
      </c>
      <c r="Q137" t="s">
        <v>217</v>
      </c>
      <c r="R137">
        <v>1</v>
      </c>
    </row>
    <row r="138" spans="1:18" x14ac:dyDescent="0.3">
      <c r="A138" t="s">
        <v>350</v>
      </c>
      <c r="B138" t="s">
        <v>48</v>
      </c>
      <c r="C138" t="s">
        <v>68</v>
      </c>
      <c r="D138" s="15">
        <v>46238.544641203705</v>
      </c>
      <c r="E138" t="s">
        <v>410</v>
      </c>
      <c r="F138">
        <v>3</v>
      </c>
      <c r="G138" s="15">
        <v>46240.518055555556</v>
      </c>
      <c r="H138" t="s">
        <v>369</v>
      </c>
      <c r="I138" t="s">
        <v>382</v>
      </c>
      <c r="J138" t="s">
        <v>240</v>
      </c>
      <c r="K138" t="s">
        <v>350</v>
      </c>
      <c r="L138" t="s">
        <v>356</v>
      </c>
      <c r="M138" t="s">
        <v>240</v>
      </c>
      <c r="N138">
        <v>48</v>
      </c>
      <c r="O138" t="s">
        <v>90</v>
      </c>
      <c r="P138" t="s">
        <v>369</v>
      </c>
      <c r="Q138" t="s">
        <v>217</v>
      </c>
      <c r="R138">
        <v>1</v>
      </c>
    </row>
    <row r="139" spans="1:18" x14ac:dyDescent="0.3">
      <c r="A139" t="s">
        <v>351</v>
      </c>
      <c r="B139" t="s">
        <v>45</v>
      </c>
      <c r="C139" t="s">
        <v>68</v>
      </c>
      <c r="D139" s="15">
        <v>46224.647638888891</v>
      </c>
      <c r="E139" t="s">
        <v>416</v>
      </c>
      <c r="F139">
        <v>1</v>
      </c>
      <c r="G139" s="15">
        <v>46226.447916666664</v>
      </c>
      <c r="H139" t="s">
        <v>358</v>
      </c>
      <c r="I139" t="s">
        <v>376</v>
      </c>
      <c r="J139" t="s">
        <v>287</v>
      </c>
      <c r="K139" t="s">
        <v>351</v>
      </c>
      <c r="L139" t="s">
        <v>378</v>
      </c>
      <c r="M139" t="s">
        <v>239</v>
      </c>
      <c r="N139">
        <v>76</v>
      </c>
      <c r="O139" t="s">
        <v>67</v>
      </c>
      <c r="P139" t="s">
        <v>358</v>
      </c>
      <c r="Q139" t="s">
        <v>217</v>
      </c>
      <c r="R139">
        <v>1</v>
      </c>
    </row>
    <row r="140" spans="1:18" x14ac:dyDescent="0.3">
      <c r="A140" t="s">
        <v>351</v>
      </c>
      <c r="B140" t="s">
        <v>48</v>
      </c>
      <c r="C140" t="s">
        <v>68</v>
      </c>
      <c r="D140" s="15">
        <v>46216.601365740738</v>
      </c>
      <c r="E140" t="s">
        <v>412</v>
      </c>
      <c r="F140">
        <v>1</v>
      </c>
      <c r="G140" s="15">
        <v>46223.497916666667</v>
      </c>
      <c r="H140" t="s">
        <v>360</v>
      </c>
      <c r="I140" t="s">
        <v>378</v>
      </c>
      <c r="J140" t="s">
        <v>239</v>
      </c>
      <c r="K140" t="s">
        <v>351</v>
      </c>
      <c r="L140" t="s">
        <v>378</v>
      </c>
      <c r="M140" t="s">
        <v>239</v>
      </c>
      <c r="N140">
        <v>0</v>
      </c>
      <c r="O140" t="s">
        <v>90</v>
      </c>
      <c r="P140" t="s">
        <v>360</v>
      </c>
      <c r="Q140" t="s">
        <v>217</v>
      </c>
      <c r="R140">
        <v>1</v>
      </c>
    </row>
    <row r="141" spans="1:18" x14ac:dyDescent="0.3">
      <c r="A141" t="s">
        <v>351</v>
      </c>
      <c r="B141" t="s">
        <v>48</v>
      </c>
      <c r="C141" t="s">
        <v>68</v>
      </c>
      <c r="D141" s="15">
        <v>46241.31753472222</v>
      </c>
      <c r="E141" t="s">
        <v>411</v>
      </c>
      <c r="F141">
        <v>2</v>
      </c>
      <c r="G141" s="15">
        <v>46244.479166666664</v>
      </c>
      <c r="H141" t="s">
        <v>363</v>
      </c>
      <c r="I141" t="s">
        <v>378</v>
      </c>
      <c r="J141" t="s">
        <v>239</v>
      </c>
      <c r="K141" t="s">
        <v>351</v>
      </c>
      <c r="L141" t="s">
        <v>378</v>
      </c>
      <c r="M141" t="s">
        <v>239</v>
      </c>
      <c r="O141" t="s">
        <v>90</v>
      </c>
      <c r="P141" t="s">
        <v>363</v>
      </c>
      <c r="Q141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58" t="s">
        <v>665</v>
      </c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52"/>
    </row>
    <row r="3" spans="1:26" ht="14.25" customHeight="1" thickTop="1" thickBot="1" x14ac:dyDescent="0.35">
      <c r="B3" s="261" t="s">
        <v>666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60"/>
      <c r="Q3" s="53"/>
      <c r="R3" s="52"/>
    </row>
    <row r="4" spans="1:26" ht="14.25" customHeight="1" thickTop="1" x14ac:dyDescent="0.3">
      <c r="B4" s="262" t="s">
        <v>733</v>
      </c>
      <c r="C4" s="263"/>
      <c r="D4" s="54" t="s">
        <v>667</v>
      </c>
      <c r="E4" s="54"/>
      <c r="F4" s="51"/>
      <c r="G4" s="51"/>
      <c r="H4" s="50"/>
      <c r="I4" s="51" t="s">
        <v>734</v>
      </c>
      <c r="J4" s="55" t="s">
        <v>706</v>
      </c>
      <c r="K4" s="54"/>
      <c r="L4" s="264" t="s">
        <v>668</v>
      </c>
      <c r="M4" s="56" t="s">
        <v>669</v>
      </c>
      <c r="N4" s="174">
        <v>51.515151515151516</v>
      </c>
      <c r="O4" s="57"/>
      <c r="Q4" s="53"/>
      <c r="R4" s="52"/>
    </row>
    <row r="5" spans="1:26" ht="14.25" customHeight="1" x14ac:dyDescent="0.3">
      <c r="B5" s="266" t="s">
        <v>735</v>
      </c>
      <c r="C5" s="265"/>
      <c r="D5" s="58">
        <v>4600686987</v>
      </c>
      <c r="E5" s="58"/>
      <c r="F5" s="51"/>
      <c r="G5" s="51"/>
      <c r="H5" s="50"/>
      <c r="I5" s="59" t="s">
        <v>670</v>
      </c>
      <c r="J5" s="58" t="s">
        <v>708</v>
      </c>
      <c r="K5" s="60"/>
      <c r="L5" s="265"/>
      <c r="M5" s="61" t="s">
        <v>671</v>
      </c>
      <c r="N5" s="58">
        <v>0.97</v>
      </c>
      <c r="O5" s="62"/>
      <c r="Q5" s="53"/>
      <c r="R5" s="52"/>
    </row>
    <row r="6" spans="1:26" ht="14.25" customHeight="1" x14ac:dyDescent="0.3">
      <c r="B6" s="266" t="s">
        <v>736</v>
      </c>
      <c r="C6" s="265"/>
      <c r="D6" s="267" t="s">
        <v>710</v>
      </c>
      <c r="E6" s="265"/>
      <c r="F6" s="265"/>
      <c r="G6" s="265"/>
      <c r="H6" s="265"/>
      <c r="I6" s="59" t="s">
        <v>672</v>
      </c>
      <c r="J6" s="58" t="s">
        <v>711</v>
      </c>
      <c r="K6" s="58"/>
      <c r="L6" s="269" t="s">
        <v>673</v>
      </c>
      <c r="M6" s="61" t="s">
        <v>669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70"/>
      <c r="C7" s="268"/>
      <c r="D7" s="268"/>
      <c r="E7" s="268"/>
      <c r="F7" s="268"/>
      <c r="G7" s="268"/>
      <c r="H7" s="268"/>
      <c r="I7" s="64" t="s">
        <v>674</v>
      </c>
      <c r="J7" s="65" t="s">
        <v>712</v>
      </c>
      <c r="K7" s="65"/>
      <c r="L7" s="268"/>
      <c r="M7" s="66" t="s">
        <v>671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36" t="s">
        <v>0</v>
      </c>
      <c r="E10" s="241"/>
      <c r="F10" s="241"/>
      <c r="G10" s="241"/>
      <c r="H10" s="237"/>
      <c r="I10" s="72" t="s">
        <v>40</v>
      </c>
      <c r="J10" s="73" t="s">
        <v>551</v>
      </c>
      <c r="K10" s="73" t="s">
        <v>675</v>
      </c>
      <c r="L10" s="73" t="s">
        <v>676</v>
      </c>
      <c r="M10" s="74" t="s">
        <v>677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678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52" t="s">
        <v>713</v>
      </c>
      <c r="F12" s="245"/>
      <c r="G12" s="245"/>
      <c r="H12" s="245"/>
      <c r="I12" s="85"/>
      <c r="J12" s="86"/>
      <c r="K12" s="87"/>
      <c r="L12" s="88"/>
      <c r="M12" s="89"/>
      <c r="N12" s="253"/>
      <c r="Q12" s="52"/>
    </row>
    <row r="13" spans="1:26" ht="14.25" customHeight="1" x14ac:dyDescent="0.3">
      <c r="A13" s="49"/>
      <c r="B13" s="49"/>
      <c r="C13" s="90" t="s">
        <v>66</v>
      </c>
      <c r="D13" s="91" t="s">
        <v>534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263586</v>
      </c>
      <c r="K13" s="95">
        <f>J13*$N$5</f>
        <v>255678.41999999998</v>
      </c>
      <c r="L13" s="96">
        <f>VLOOKUP(D12,PPU_IRON_LT1[[Linha de Serviço]:[P. Unitário (R$)]],4,0)</f>
        <v>0.6</v>
      </c>
      <c r="M13" s="97">
        <f>J13*L13</f>
        <v>158151.6</v>
      </c>
      <c r="N13" s="254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221844</v>
      </c>
      <c r="E14" s="100">
        <f>SUMIF(  ARM_IRON_LT1[Linha de serviço PPU], D12, ARM_IRON_LT1[QBm])</f>
        <v>0</v>
      </c>
      <c r="F14" s="100">
        <f>SUMIF(  ARM_IRON_LT1[Linha de serviço PPU], D12, ARM_IRON_LT1[QDm])</f>
        <v>0</v>
      </c>
      <c r="G14" s="101">
        <f>SUMIF(  ARM_IRON_LT1[Linha de serviço PPU], D12, ARM_IRON_LT1[QNm])</f>
        <v>41742</v>
      </c>
      <c r="H14" s="102">
        <f>(D14-E14-F14)+G14</f>
        <v>263586</v>
      </c>
      <c r="I14" s="103"/>
      <c r="J14" s="104"/>
      <c r="K14" s="105"/>
      <c r="L14" s="106"/>
      <c r="M14" s="107"/>
      <c r="N14" s="255"/>
      <c r="Q14" s="52"/>
    </row>
    <row r="15" spans="1:26" ht="15" customHeight="1" x14ac:dyDescent="0.3">
      <c r="A15" s="49"/>
      <c r="B15" s="49"/>
      <c r="C15" s="83"/>
      <c r="D15" s="84" t="s">
        <v>212</v>
      </c>
      <c r="E15" s="252" t="s">
        <v>714</v>
      </c>
      <c r="F15" s="245"/>
      <c r="G15" s="245"/>
      <c r="H15" s="245"/>
      <c r="I15" s="108"/>
      <c r="J15" s="109"/>
      <c r="K15" s="87"/>
      <c r="L15" s="110"/>
      <c r="M15" s="111"/>
      <c r="N15" s="253"/>
      <c r="Q15" s="52"/>
    </row>
    <row r="16" spans="1:26" ht="14.25" customHeight="1" x14ac:dyDescent="0.3">
      <c r="A16" s="49"/>
      <c r="B16" s="49"/>
      <c r="C16" s="90" t="s">
        <v>72</v>
      </c>
      <c r="D16" s="91" t="s">
        <v>534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1980</v>
      </c>
      <c r="K16" s="95">
        <f>J16*N5</f>
        <v>1920.6</v>
      </c>
      <c r="L16" s="96">
        <f>VLOOKUP(D15,PPU_IRON_LT1[[Linha de Serviço]:[P. Unitário (R$)]],4,0)</f>
        <v>3.55</v>
      </c>
      <c r="M16" s="97">
        <f>J16*L16</f>
        <v>7029</v>
      </c>
      <c r="N16" s="254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1879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101</v>
      </c>
      <c r="H17" s="112">
        <f>(D17-E17-F17)+G17</f>
        <v>1980</v>
      </c>
      <c r="I17" s="103"/>
      <c r="J17" s="104"/>
      <c r="K17" s="105"/>
      <c r="L17" s="106"/>
      <c r="M17" s="107"/>
      <c r="N17" s="255"/>
      <c r="Q17" s="52"/>
    </row>
    <row r="18" spans="1:17" ht="15" customHeight="1" x14ac:dyDescent="0.3">
      <c r="A18" s="49"/>
      <c r="B18" s="49"/>
      <c r="C18" s="83"/>
      <c r="D18" s="84" t="s">
        <v>213</v>
      </c>
      <c r="E18" s="252" t="s">
        <v>715</v>
      </c>
      <c r="F18" s="245"/>
      <c r="G18" s="245"/>
      <c r="H18" s="245"/>
      <c r="I18" s="108"/>
      <c r="J18" s="109"/>
      <c r="K18" s="87"/>
      <c r="M18" s="111"/>
      <c r="N18" s="253"/>
      <c r="Q18" s="52"/>
    </row>
    <row r="19" spans="1:17" ht="14.25" customHeight="1" x14ac:dyDescent="0.3">
      <c r="A19" s="49"/>
      <c r="B19" s="49"/>
      <c r="C19" s="90" t="s">
        <v>75</v>
      </c>
      <c r="D19" s="91" t="s">
        <v>534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54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19469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129</v>
      </c>
      <c r="H20" s="113">
        <f>(D20-E20-F20)+G20</f>
        <v>19598</v>
      </c>
      <c r="I20" s="103"/>
      <c r="J20" s="104"/>
      <c r="K20" s="105"/>
      <c r="L20" s="106"/>
      <c r="M20" s="107"/>
      <c r="N20" s="255"/>
      <c r="Q20" s="52"/>
    </row>
    <row r="21" spans="1:17" ht="15" customHeight="1" x14ac:dyDescent="0.3">
      <c r="A21" s="49"/>
      <c r="B21" s="49"/>
      <c r="C21" s="83"/>
      <c r="D21" s="84" t="s">
        <v>214</v>
      </c>
      <c r="E21" s="252" t="s">
        <v>716</v>
      </c>
      <c r="F21" s="245"/>
      <c r="G21" s="245"/>
      <c r="H21" s="245"/>
      <c r="I21" s="108"/>
      <c r="J21" s="109"/>
      <c r="K21" s="87"/>
      <c r="L21" s="110"/>
      <c r="M21" s="111"/>
      <c r="N21" s="253"/>
      <c r="Q21" s="52"/>
    </row>
    <row r="22" spans="1:17" ht="14.25" customHeight="1" x14ac:dyDescent="0.3">
      <c r="A22" s="49"/>
      <c r="B22" s="49"/>
      <c r="C22" s="90" t="s">
        <v>77</v>
      </c>
      <c r="D22" s="91" t="s">
        <v>534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54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55"/>
      <c r="Q23" s="52"/>
    </row>
    <row r="24" spans="1:17" ht="15" customHeight="1" x14ac:dyDescent="0.3">
      <c r="A24" s="49"/>
      <c r="B24" s="49"/>
      <c r="C24" s="83"/>
      <c r="D24" s="84" t="s">
        <v>215</v>
      </c>
      <c r="E24" s="252" t="s">
        <v>717</v>
      </c>
      <c r="F24" s="245"/>
      <c r="G24" s="245"/>
      <c r="H24" s="245"/>
      <c r="I24" s="108"/>
      <c r="J24" s="109"/>
      <c r="K24" s="87"/>
      <c r="L24" s="110"/>
      <c r="M24" s="111"/>
      <c r="N24" s="253"/>
      <c r="Q24" s="52"/>
    </row>
    <row r="25" spans="1:17" ht="14.25" customHeight="1" x14ac:dyDescent="0.3">
      <c r="A25" s="49"/>
      <c r="B25" s="49"/>
      <c r="C25" s="90" t="s">
        <v>84</v>
      </c>
      <c r="D25" s="91" t="s">
        <v>534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54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55"/>
      <c r="Q26" s="52"/>
    </row>
    <row r="27" spans="1:17" ht="15" customHeight="1" x14ac:dyDescent="0.3">
      <c r="A27" s="49"/>
      <c r="B27" s="49"/>
      <c r="C27" s="83"/>
      <c r="D27" s="84" t="s">
        <v>216</v>
      </c>
      <c r="E27" s="252" t="s">
        <v>718</v>
      </c>
      <c r="F27" s="245"/>
      <c r="G27" s="245"/>
      <c r="H27" s="245"/>
      <c r="I27" s="114"/>
      <c r="J27" s="115"/>
      <c r="K27" s="95"/>
      <c r="L27" s="96"/>
      <c r="M27" s="97"/>
      <c r="N27" s="253"/>
      <c r="Q27" s="52"/>
    </row>
    <row r="28" spans="1:17" ht="14.25" customHeight="1" x14ac:dyDescent="0.3">
      <c r="A28" s="49"/>
      <c r="B28" s="49"/>
      <c r="C28" s="90" t="s">
        <v>87</v>
      </c>
      <c r="D28" s="91" t="s">
        <v>534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54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55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6" t="s">
        <v>719</v>
      </c>
      <c r="F30" s="256"/>
      <c r="G30" s="256"/>
      <c r="H30" s="257"/>
      <c r="I30" s="167" t="s">
        <v>90</v>
      </c>
      <c r="J30" s="171">
        <f>SUMIF(  DADOS_IRON_LT1[Linha de serviço PPU], D30, DADOS_IRON_LT1[QExec])</f>
        <v>169.99999999999994</v>
      </c>
      <c r="K30" s="169">
        <f>J30*N5</f>
        <v>164.89999999999995</v>
      </c>
      <c r="L30" s="165">
        <f>VLOOKUP(D30,PPU_IRON_LT1[[Linha de Serviço]:[P. Unitário (R$)]],4,0)</f>
        <v>125.89</v>
      </c>
      <c r="M30" s="163">
        <f t="shared" ref="M30:M36" si="0">L30*J30</f>
        <v>21401.299999999992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720</v>
      </c>
      <c r="F31" s="245"/>
      <c r="G31" s="245"/>
      <c r="H31" s="245"/>
      <c r="I31" s="168" t="s">
        <v>90</v>
      </c>
      <c r="J31" s="171">
        <f>SUMIF(  DADOS_IRON_LT1[Linha de serviço PPU], D31, DADOS_IRON_LT1[QExec])</f>
        <v>7</v>
      </c>
      <c r="K31" s="169">
        <f>J31*N5</f>
        <v>6.79</v>
      </c>
      <c r="L31" s="165">
        <f>VLOOKUP(D31,PPU_IRON_LT1[[Linha de Serviço]:[P. Unitário (R$)]],4,0)</f>
        <v>200</v>
      </c>
      <c r="M31" s="163">
        <f t="shared" si="0"/>
        <v>1400</v>
      </c>
      <c r="N31" s="119"/>
      <c r="Q31" s="52"/>
    </row>
    <row r="32" spans="1:17" ht="15" customHeight="1" x14ac:dyDescent="0.3">
      <c r="A32" s="49"/>
      <c r="B32" s="49"/>
      <c r="C32" s="120" t="s">
        <v>679</v>
      </c>
      <c r="D32" s="84" t="s">
        <v>721</v>
      </c>
      <c r="E32" s="245" t="s">
        <v>722</v>
      </c>
      <c r="F32" s="245"/>
      <c r="G32" s="245"/>
      <c r="H32" s="245"/>
      <c r="I32" s="168" t="s">
        <v>680</v>
      </c>
      <c r="J32" s="171">
        <f>SUM(DADOS_IRON_LT1[KM Adicional])</f>
        <v>1706</v>
      </c>
      <c r="K32" s="169">
        <f>J32*N5</f>
        <v>1654.82</v>
      </c>
      <c r="L32" s="165">
        <f>VLOOKUP(D32,PPU_IRON_LT1[[Linha de Serviço]:[P. Unitário (R$)]],4,0)</f>
        <v>0.5</v>
      </c>
      <c r="M32" s="163">
        <f t="shared" si="0"/>
        <v>853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46" t="s">
        <v>13</v>
      </c>
      <c r="F33" s="247"/>
      <c r="G33" s="247"/>
      <c r="H33" s="248"/>
      <c r="I33" s="168" t="s">
        <v>681</v>
      </c>
      <c r="J33" s="171">
        <f>SUMIF(  DADOS_IRON_LT1[Linha de serviço PPU], D33, DADOS_IRON_LT1[QExec])</f>
        <v>0</v>
      </c>
      <c r="K33" s="169">
        <f>J33*N5</f>
        <v>0</v>
      </c>
      <c r="L33" s="165">
        <f>VLOOKUP(D33,PPU_IRON_LT1[[Linha de Serviço]:[P. Unitário (R$)]],4,0)</f>
        <v>1.96</v>
      </c>
      <c r="M33" s="163">
        <f t="shared" si="0"/>
        <v>0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46" t="s">
        <v>15</v>
      </c>
      <c r="F34" s="247"/>
      <c r="G34" s="247"/>
      <c r="H34" s="248"/>
      <c r="I34" s="168" t="s">
        <v>681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46" t="s">
        <v>723</v>
      </c>
      <c r="F35" s="247"/>
      <c r="G35" s="247"/>
      <c r="H35" s="248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46" t="s">
        <v>724</v>
      </c>
      <c r="F36" s="247"/>
      <c r="G36" s="247"/>
      <c r="H36" s="248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49" t="s">
        <v>682</v>
      </c>
      <c r="E37" s="250"/>
      <c r="F37" s="250"/>
      <c r="G37" s="250"/>
      <c r="H37" s="250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725</v>
      </c>
      <c r="F38" s="245"/>
      <c r="G38" s="245"/>
      <c r="H38" s="245"/>
      <c r="I38" s="168" t="s">
        <v>726</v>
      </c>
      <c r="J38" s="171">
        <f>SUMIF(  DADOS_IRON_LT1[Linha de serviço PPU], D38, DADOS_IRON_LT1[QExec])</f>
        <v>415</v>
      </c>
      <c r="K38" s="170">
        <f>J38*N7</f>
        <v>402.55</v>
      </c>
      <c r="L38" s="165">
        <f>VLOOKUP(D38,PPU_IRON_LT1[[Linha de Serviço]:[P. Unitário (R$)]],4,0)</f>
        <v>0.44</v>
      </c>
      <c r="M38" s="164">
        <f t="shared" ref="M38:M47" si="1">J38*L38</f>
        <v>182.6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1" t="s">
        <v>727</v>
      </c>
      <c r="F39" s="251"/>
      <c r="G39" s="251"/>
      <c r="H39" s="251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728</v>
      </c>
      <c r="F40" s="245"/>
      <c r="G40" s="245"/>
      <c r="H40" s="245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729</v>
      </c>
      <c r="F41" s="245"/>
      <c r="G41" s="245"/>
      <c r="H41" s="245"/>
      <c r="I41" s="168" t="s">
        <v>122</v>
      </c>
      <c r="J41" s="171">
        <f>SUMIF(  DADOS_IRON_LT1[Linha de serviço PPU], D41, DADOS_IRON_LT1[QExec])</f>
        <v>28</v>
      </c>
      <c r="K41" s="170">
        <f>J41*N7</f>
        <v>27.16</v>
      </c>
      <c r="L41" s="165">
        <f>VLOOKUP(D41,PPU_IRON_LT1[[Linha de Serviço]:[P. Unitário (R$)]],4,0)</f>
        <v>0.06</v>
      </c>
      <c r="M41" s="164">
        <f t="shared" si="1"/>
        <v>1.68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68" t="s">
        <v>122</v>
      </c>
      <c r="J42" s="171">
        <f>SUMIF(  DADOS_IRON_LT1[Linha de serviço PPU], D42, DADOS_IRON_LT1[QExec])</f>
        <v>52457</v>
      </c>
      <c r="K42" s="170">
        <f>J42*N7</f>
        <v>50883.29</v>
      </c>
      <c r="L42" s="165">
        <f>VLOOKUP(D42,PPU_IRON_LT1[[Linha de Serviço]:[P. Unitário (R$)]],4,0)</f>
        <v>0.1</v>
      </c>
      <c r="M42" s="164">
        <f t="shared" si="1"/>
        <v>5245.7000000000007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730</v>
      </c>
      <c r="F43" s="245"/>
      <c r="G43" s="245"/>
      <c r="H43" s="245"/>
      <c r="I43" s="168" t="s">
        <v>731</v>
      </c>
      <c r="J43" s="171">
        <f>SUMIF(  DADOS_IRON_LT1[Linha de serviço PPU], D43, DADOS_IRON_LT1[QExec])</f>
        <v>85.1</v>
      </c>
      <c r="K43" s="170">
        <f>J43*N7</f>
        <v>82.546999999999997</v>
      </c>
      <c r="L43" s="165">
        <f>VLOOKUP(D43,PPU_IRON_LT1[[Linha de Serviço]:[P. Unitário (R$)]],4,0)</f>
        <v>0.23</v>
      </c>
      <c r="M43" s="164">
        <f t="shared" si="1"/>
        <v>19.573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68" t="s">
        <v>92</v>
      </c>
      <c r="J46" s="171">
        <f>SUMIF(  DADOS_IRON_LT1[Linha de serviço PPU], D46, DADOS_IRON_LT1[QExec])</f>
        <v>796</v>
      </c>
      <c r="K46" s="170">
        <f>J46*N7</f>
        <v>772.12</v>
      </c>
      <c r="L46" s="165">
        <f>VLOOKUP(D46,PPU_IRON_LT1[[Linha de Serviço]:[P. Unitário (R$)]],4,0)</f>
        <v>11.72</v>
      </c>
      <c r="M46" s="164">
        <f t="shared" si="1"/>
        <v>9329.1200000000008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45" t="s">
        <v>34</v>
      </c>
      <c r="F47" s="245"/>
      <c r="G47" s="245"/>
      <c r="H47" s="245"/>
      <c r="I47" s="168" t="s">
        <v>92</v>
      </c>
      <c r="J47" s="171">
        <f>SUMIF(  DADOS_IRON_LT1[Linha de serviço PPU], D47, DADOS_IRON_LT1[QExec])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38" t="s">
        <v>683</v>
      </c>
      <c r="D48" s="239"/>
      <c r="E48" s="239"/>
      <c r="F48" s="239"/>
      <c r="G48" s="239"/>
      <c r="H48" s="239"/>
      <c r="I48" s="237"/>
      <c r="J48" s="128"/>
      <c r="K48" s="128"/>
      <c r="L48" s="128"/>
      <c r="M48" s="129">
        <f>SUM(M12:M47)</f>
        <v>219485.40299999999</v>
      </c>
      <c r="N48" s="119"/>
      <c r="Q48" s="52"/>
    </row>
    <row r="49" spans="1:17" ht="14.25" customHeight="1" x14ac:dyDescent="0.3">
      <c r="A49" s="49"/>
      <c r="B49" s="49"/>
      <c r="C49" s="240" t="s">
        <v>684</v>
      </c>
      <c r="D49" s="241"/>
      <c r="E49" s="241"/>
      <c r="F49" s="241"/>
      <c r="G49" s="241"/>
      <c r="H49" s="241"/>
      <c r="I49" s="237"/>
      <c r="J49" s="242" t="s">
        <v>685</v>
      </c>
      <c r="K49" s="241"/>
      <c r="L49" s="241"/>
      <c r="M49" s="241"/>
      <c r="N49" s="237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42" t="s">
        <v>732</v>
      </c>
      <c r="K50" s="241"/>
      <c r="L50" s="241"/>
      <c r="M50" s="241"/>
      <c r="N50" s="237"/>
      <c r="Q50" s="52"/>
    </row>
    <row r="51" spans="1:17" ht="16.5" customHeight="1" x14ac:dyDescent="0.3">
      <c r="A51" s="49"/>
      <c r="B51" s="49"/>
      <c r="C51" s="243" t="s">
        <v>686</v>
      </c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37"/>
      <c r="Q51" s="52"/>
    </row>
    <row r="52" spans="1:17" ht="60" customHeight="1" x14ac:dyDescent="0.3">
      <c r="A52" s="49"/>
      <c r="B52" s="49"/>
      <c r="C52" s="244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37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687</v>
      </c>
      <c r="E54" s="71" t="s">
        <v>688</v>
      </c>
      <c r="F54" s="71" t="s">
        <v>689</v>
      </c>
      <c r="G54" s="71" t="s">
        <v>690</v>
      </c>
      <c r="H54" s="71"/>
      <c r="I54" s="71" t="s">
        <v>691</v>
      </c>
      <c r="J54" s="236" t="s">
        <v>692</v>
      </c>
      <c r="K54" s="237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4:H34"/>
    <mergeCell ref="E35:H35"/>
    <mergeCell ref="E36:H36"/>
    <mergeCell ref="E38:H38"/>
    <mergeCell ref="E39:H39"/>
    <mergeCell ref="D37:H37"/>
    <mergeCell ref="E40:H40"/>
    <mergeCell ref="E41:H41"/>
    <mergeCell ref="E42:H42"/>
    <mergeCell ref="E43:H43"/>
    <mergeCell ref="E44:H4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58" t="s">
        <v>665</v>
      </c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1"/>
    </row>
    <row r="3" spans="1:26" ht="15.6" thickTop="1" thickBot="1" x14ac:dyDescent="0.35">
      <c r="B3" s="261" t="s">
        <v>666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63"/>
      <c r="O3" s="260"/>
      <c r="Q3" s="2"/>
      <c r="R3" s="1"/>
    </row>
    <row r="4" spans="1:26" ht="15" thickTop="1" x14ac:dyDescent="0.3">
      <c r="B4" s="278" t="s">
        <v>704</v>
      </c>
      <c r="C4" s="263"/>
      <c r="D4" s="54" t="s">
        <v>737</v>
      </c>
      <c r="E4" s="54"/>
      <c r="F4" s="8"/>
      <c r="G4" s="8"/>
      <c r="H4" s="13"/>
      <c r="I4" s="8" t="s">
        <v>705</v>
      </c>
      <c r="J4" s="136" t="s">
        <v>738</v>
      </c>
      <c r="K4" s="54"/>
      <c r="L4" s="264" t="s">
        <v>668</v>
      </c>
      <c r="M4" s="56" t="s">
        <v>669</v>
      </c>
      <c r="N4" s="198">
        <f>VLOOKUP("PA-LT2", TabelaFDMPorContrato[[Contrato]:[IAPFARQ1]],4,0)</f>
        <v>20</v>
      </c>
      <c r="O4" s="57"/>
      <c r="Q4" s="2"/>
      <c r="R4" s="1"/>
    </row>
    <row r="5" spans="1:26" x14ac:dyDescent="0.3">
      <c r="B5" s="279" t="s">
        <v>707</v>
      </c>
      <c r="C5" s="265"/>
      <c r="D5" s="137">
        <v>4600687006</v>
      </c>
      <c r="E5" s="58"/>
      <c r="F5" s="8"/>
      <c r="G5" s="8"/>
      <c r="H5" s="13"/>
      <c r="I5" s="59" t="s">
        <v>670</v>
      </c>
      <c r="J5" s="58" t="s">
        <v>739</v>
      </c>
      <c r="K5" s="60"/>
      <c r="L5" s="265"/>
      <c r="M5" s="61" t="s">
        <v>671</v>
      </c>
      <c r="N5" s="160">
        <f>VLOOKUP("PA-LT2", TabelaFDMPorContrato[[Contrato]:[FDM1]],6,0)</f>
        <v>0.95</v>
      </c>
      <c r="O5" s="62"/>
      <c r="Q5" s="2"/>
      <c r="R5" s="1"/>
    </row>
    <row r="6" spans="1:26" x14ac:dyDescent="0.3">
      <c r="B6" s="279" t="s">
        <v>709</v>
      </c>
      <c r="C6" s="265"/>
      <c r="D6" s="267" t="s">
        <v>740</v>
      </c>
      <c r="E6" s="265"/>
      <c r="F6" s="265"/>
      <c r="G6" s="265"/>
      <c r="H6" s="265"/>
      <c r="I6" s="59" t="s">
        <v>672</v>
      </c>
      <c r="J6" s="54" t="s">
        <v>741</v>
      </c>
      <c r="K6" s="58"/>
      <c r="L6" s="269" t="s">
        <v>673</v>
      </c>
      <c r="M6" s="61" t="s">
        <v>669</v>
      </c>
      <c r="N6" s="160">
        <f>VLOOKUP("PA-LT2", TabelaFDMPorContrato[[Contrato]:[IAPFARQ2]],9,0)</f>
        <v>94.642857142857139</v>
      </c>
      <c r="O6" s="63"/>
      <c r="Q6" s="2"/>
      <c r="R6" s="1"/>
    </row>
    <row r="7" spans="1:26" ht="15" thickBot="1" x14ac:dyDescent="0.35">
      <c r="B7" s="280"/>
      <c r="C7" s="268"/>
      <c r="D7" s="268"/>
      <c r="E7" s="268"/>
      <c r="F7" s="268"/>
      <c r="G7" s="268"/>
      <c r="H7" s="268"/>
      <c r="I7" s="64" t="s">
        <v>674</v>
      </c>
      <c r="J7" s="65" t="s">
        <v>742</v>
      </c>
      <c r="K7" s="65"/>
      <c r="L7" s="268"/>
      <c r="M7" s="66" t="s">
        <v>671</v>
      </c>
      <c r="N7" s="197">
        <f>VLOOKUP("PA-LT2", TabelaFDMPorContrato[[Contrato]:[FDM2]],11,0)</f>
        <v>0.98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36" t="s">
        <v>0</v>
      </c>
      <c r="E10" s="241"/>
      <c r="F10" s="241"/>
      <c r="G10" s="241"/>
      <c r="H10" s="237"/>
      <c r="I10" s="72" t="s">
        <v>40</v>
      </c>
      <c r="J10" s="73" t="s">
        <v>551</v>
      </c>
      <c r="K10" s="73" t="s">
        <v>675</v>
      </c>
      <c r="L10" s="73" t="s">
        <v>676</v>
      </c>
      <c r="M10" s="74" t="s">
        <v>677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678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52" t="s">
        <v>713</v>
      </c>
      <c r="F12" s="245"/>
      <c r="G12" s="245"/>
      <c r="H12" s="245"/>
      <c r="I12" s="140"/>
      <c r="J12" s="86"/>
      <c r="K12" s="141"/>
      <c r="L12" s="88"/>
      <c r="M12" s="89"/>
      <c r="N12" s="277"/>
      <c r="Q12" s="1"/>
    </row>
    <row r="13" spans="1:26" x14ac:dyDescent="0.3">
      <c r="A13" s="49"/>
      <c r="B13" s="49"/>
      <c r="C13" s="142" t="s">
        <v>66</v>
      </c>
      <c r="D13" s="91" t="s">
        <v>534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102167</v>
      </c>
      <c r="K13" s="143">
        <f>J13*$N$5</f>
        <v>97058.65</v>
      </c>
      <c r="L13" s="96">
        <f>IFERROR( VLOOKUP(D12,PPU_PA_LT2[[Linha de Serviço]:[P. Unitário (R$)]],4,0), "N/A")</f>
        <v>0.9</v>
      </c>
      <c r="M13" s="97">
        <f>K13*L13</f>
        <v>87352.785000000003</v>
      </c>
      <c r="N13" s="254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84801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17366</v>
      </c>
      <c r="H14" s="102">
        <f>(D14-E14-F14)+G14</f>
        <v>102167</v>
      </c>
      <c r="I14" s="103"/>
      <c r="J14" s="104"/>
      <c r="K14" s="145"/>
      <c r="L14" s="106"/>
      <c r="M14" s="107"/>
      <c r="N14" s="255"/>
      <c r="Q14" s="1"/>
    </row>
    <row r="15" spans="1:26" ht="15" customHeight="1" x14ac:dyDescent="0.3">
      <c r="A15" s="49"/>
      <c r="B15" s="49"/>
      <c r="C15" s="139"/>
      <c r="D15" s="84" t="s">
        <v>212</v>
      </c>
      <c r="E15" s="252" t="s">
        <v>714</v>
      </c>
      <c r="F15" s="245"/>
      <c r="G15" s="245"/>
      <c r="H15" s="245"/>
      <c r="I15" s="146"/>
      <c r="J15" s="109"/>
      <c r="K15" s="147"/>
      <c r="L15" s="110"/>
      <c r="M15" s="111"/>
      <c r="N15" s="277"/>
      <c r="Q15" s="1"/>
    </row>
    <row r="16" spans="1:26" x14ac:dyDescent="0.3">
      <c r="A16" s="49"/>
      <c r="B16" s="49"/>
      <c r="C16" s="142" t="s">
        <v>72</v>
      </c>
      <c r="D16" s="91" t="s">
        <v>534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0</v>
      </c>
      <c r="K16" s="143">
        <f>J16*$N$5</f>
        <v>0</v>
      </c>
      <c r="L16" s="96">
        <f>IFERROR( VLOOKUP(D15,PPU_PA_LT2[[Linha de Serviço]:[P. Unitário (R$)]],4,0), "N/A")</f>
        <v>0.9</v>
      </c>
      <c r="M16" s="97">
        <f>K16*L16</f>
        <v>0</v>
      </c>
      <c r="N16" s="254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0</v>
      </c>
      <c r="H17" s="102">
        <f>(D17-E17-F17)+G17</f>
        <v>0</v>
      </c>
      <c r="I17" s="103"/>
      <c r="J17" s="104"/>
      <c r="K17" s="145"/>
      <c r="L17" s="106"/>
      <c r="M17" s="107"/>
      <c r="N17" s="255"/>
      <c r="Q17" s="1"/>
    </row>
    <row r="18" spans="1:17" ht="15" customHeight="1" x14ac:dyDescent="0.3">
      <c r="A18" s="49"/>
      <c r="B18" s="49"/>
      <c r="C18" s="139"/>
      <c r="D18" s="84" t="s">
        <v>213</v>
      </c>
      <c r="E18" s="252" t="s">
        <v>715</v>
      </c>
      <c r="F18" s="245"/>
      <c r="G18" s="245"/>
      <c r="H18" s="245"/>
      <c r="I18" s="146"/>
      <c r="J18" s="109"/>
      <c r="K18" s="147"/>
      <c r="L18" s="110"/>
      <c r="M18" s="111"/>
      <c r="N18" s="277"/>
      <c r="Q18" s="1"/>
    </row>
    <row r="19" spans="1:17" x14ac:dyDescent="0.3">
      <c r="A19" s="49"/>
      <c r="B19" s="49"/>
      <c r="C19" s="142" t="s">
        <v>75</v>
      </c>
      <c r="D19" s="91" t="s">
        <v>534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</v>
      </c>
      <c r="K19" s="143">
        <f>J19*$N$5</f>
        <v>1.9</v>
      </c>
      <c r="L19" s="96">
        <f>IFERROR( VLOOKUP(D18,PPU_PA_LT2[[Linha de Serviço]:[P. Unitário (R$)]],4,0), "N/A")</f>
        <v>0.9</v>
      </c>
      <c r="M19" s="97">
        <f>K19*L19</f>
        <v>1.71</v>
      </c>
      <c r="N19" s="254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0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</v>
      </c>
      <c r="H20" s="102">
        <f>(D20-E20-F20)+G20</f>
        <v>2</v>
      </c>
      <c r="I20" s="103"/>
      <c r="J20" s="104"/>
      <c r="K20" s="145"/>
      <c r="L20" s="106"/>
      <c r="M20" s="107"/>
      <c r="N20" s="255"/>
      <c r="Q20" s="1"/>
    </row>
    <row r="21" spans="1:17" ht="15" customHeight="1" x14ac:dyDescent="0.3">
      <c r="A21" s="49"/>
      <c r="B21" s="49"/>
      <c r="C21" s="139"/>
      <c r="D21" s="84" t="s">
        <v>214</v>
      </c>
      <c r="E21" s="252" t="s">
        <v>716</v>
      </c>
      <c r="F21" s="245"/>
      <c r="G21" s="245"/>
      <c r="H21" s="245"/>
      <c r="I21" s="146"/>
      <c r="J21" s="109"/>
      <c r="K21" s="147"/>
      <c r="L21" s="110"/>
      <c r="M21" s="111"/>
      <c r="N21" s="277"/>
      <c r="Q21" s="1"/>
    </row>
    <row r="22" spans="1:17" ht="15.75" customHeight="1" x14ac:dyDescent="0.3">
      <c r="A22" s="49"/>
      <c r="B22" s="49"/>
      <c r="C22" s="142" t="s">
        <v>77</v>
      </c>
      <c r="D22" s="91" t="s">
        <v>534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54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55"/>
      <c r="Q23" s="1"/>
    </row>
    <row r="24" spans="1:17" ht="15" customHeight="1" x14ac:dyDescent="0.3">
      <c r="A24" s="49"/>
      <c r="B24" s="49"/>
      <c r="C24" s="139"/>
      <c r="D24" s="84" t="s">
        <v>215</v>
      </c>
      <c r="E24" s="252" t="s">
        <v>717</v>
      </c>
      <c r="F24" s="245"/>
      <c r="G24" s="245"/>
      <c r="H24" s="245"/>
      <c r="I24" s="146"/>
      <c r="J24" s="109"/>
      <c r="K24" s="147"/>
      <c r="L24" s="110"/>
      <c r="M24" s="111"/>
      <c r="N24" s="277"/>
      <c r="Q24" s="1"/>
    </row>
    <row r="25" spans="1:17" ht="15.75" customHeight="1" x14ac:dyDescent="0.3">
      <c r="A25" s="49"/>
      <c r="B25" s="49"/>
      <c r="C25" s="142" t="s">
        <v>84</v>
      </c>
      <c r="D25" s="91" t="s">
        <v>534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54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55"/>
      <c r="Q26" s="1"/>
    </row>
    <row r="27" spans="1:17" ht="15" customHeight="1" x14ac:dyDescent="0.3">
      <c r="A27" s="49"/>
      <c r="B27" s="49"/>
      <c r="C27" s="139"/>
      <c r="D27" s="84" t="s">
        <v>216</v>
      </c>
      <c r="E27" s="252" t="s">
        <v>718</v>
      </c>
      <c r="F27" s="245"/>
      <c r="G27" s="245"/>
      <c r="H27" s="245"/>
      <c r="I27" s="148"/>
      <c r="J27" s="115"/>
      <c r="K27" s="143"/>
      <c r="L27" s="96"/>
      <c r="M27" s="97"/>
      <c r="N27" s="277"/>
      <c r="Q27" s="1"/>
    </row>
    <row r="28" spans="1:17" ht="15.75" customHeight="1" x14ac:dyDescent="0.3">
      <c r="A28" s="49"/>
      <c r="B28" s="49"/>
      <c r="C28" s="142" t="s">
        <v>87</v>
      </c>
      <c r="D28" s="91" t="s">
        <v>534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54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55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6" t="s">
        <v>719</v>
      </c>
      <c r="F30" s="256"/>
      <c r="G30" s="256"/>
      <c r="H30" s="257"/>
      <c r="I30" s="103" t="s">
        <v>90</v>
      </c>
      <c r="J30" s="149">
        <f>SUMIF(DADOS_PA_LT2[Linha de serviço PPU],D30,DADOS_PA_LT2[QExecAgrupado])</f>
        <v>2</v>
      </c>
      <c r="K30" s="145">
        <f>J30*$N$5</f>
        <v>1.9</v>
      </c>
      <c r="L30" s="150">
        <f>IFERROR( VLOOKUP(D30,PPU_PA_LT2[[Linha de Serviço]:[P. Unitário (R$)]],4,0), "N/A")</f>
        <v>50</v>
      </c>
      <c r="M30" s="107">
        <f t="shared" ref="M30:M36" si="0">K30*L30</f>
        <v>95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45" t="s">
        <v>720</v>
      </c>
      <c r="F31" s="245"/>
      <c r="G31" s="245"/>
      <c r="H31" s="245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679</v>
      </c>
      <c r="D32" s="84" t="s">
        <v>721</v>
      </c>
      <c r="E32" s="245" t="s">
        <v>722</v>
      </c>
      <c r="F32" s="245"/>
      <c r="G32" s="245"/>
      <c r="H32" s="245"/>
      <c r="I32" s="121" t="s">
        <v>680</v>
      </c>
      <c r="J32" s="149">
        <f>SUM(DADOS_PA_LT2[KM Adicional])</f>
        <v>678</v>
      </c>
      <c r="K32" s="145">
        <f t="shared" si="1"/>
        <v>644.1</v>
      </c>
      <c r="L32" s="150">
        <f>IFERROR( VLOOKUP(D32,PPU_PA_LT2[[Linha de Serviço]:[P. Unitário (R$)]],4,0), "N/A")</f>
        <v>1</v>
      </c>
      <c r="M32" s="126">
        <f t="shared" si="0"/>
        <v>644.1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46" t="s">
        <v>13</v>
      </c>
      <c r="F33" s="247"/>
      <c r="G33" s="247"/>
      <c r="H33" s="248"/>
      <c r="I33" s="121" t="s">
        <v>681</v>
      </c>
      <c r="J33" s="149">
        <f>SUMIF(DADOS_PA_LT2[Linha de serviço PPU],D33,DADOS_PA_LT2[QExecAgrupado])</f>
        <v>0</v>
      </c>
      <c r="K33" s="145">
        <f t="shared" si="1"/>
        <v>0</v>
      </c>
      <c r="L33" s="150">
        <f>IFERROR( VLOOKUP(D33,PPU_PA_LT2[[Linha de Serviço]:[P. Unitário (R$)]],4,0), "N/A")</f>
        <v>3</v>
      </c>
      <c r="M33" s="126">
        <f t="shared" si="0"/>
        <v>0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46" t="s">
        <v>15</v>
      </c>
      <c r="F34" s="247"/>
      <c r="G34" s="247"/>
      <c r="H34" s="248"/>
      <c r="I34" s="121" t="s">
        <v>681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46" t="s">
        <v>723</v>
      </c>
      <c r="F35" s="247"/>
      <c r="G35" s="247"/>
      <c r="H35" s="248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46" t="s">
        <v>724</v>
      </c>
      <c r="F36" s="247"/>
      <c r="G36" s="247"/>
      <c r="H36" s="248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276" t="s">
        <v>682</v>
      </c>
      <c r="E37" s="241"/>
      <c r="F37" s="241"/>
      <c r="G37" s="241"/>
      <c r="H37" s="241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45" t="s">
        <v>725</v>
      </c>
      <c r="F38" s="245"/>
      <c r="G38" s="245"/>
      <c r="H38" s="245"/>
      <c r="I38" s="121" t="s">
        <v>726</v>
      </c>
      <c r="J38" s="149">
        <f>SUMIF(DADOS_PA_LT2[Linha de serviço PPU],D38,DADOS_PA_LT2[QExec])</f>
        <v>459</v>
      </c>
      <c r="K38" s="152">
        <f t="shared" ref="K38:K45" si="2">J38*$N$7</f>
        <v>449.82</v>
      </c>
      <c r="L38" s="150">
        <f>IFERROR( VLOOKUP(D38,PPU_PA_LT2[[Linha de Serviço]:[P. Unitário (R$)]],4,0), "N/A")</f>
        <v>0.2</v>
      </c>
      <c r="M38" s="126">
        <f t="shared" ref="M38:M46" si="3">K38*L38</f>
        <v>89.963999999999999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51" t="s">
        <v>727</v>
      </c>
      <c r="F39" s="251"/>
      <c r="G39" s="251"/>
      <c r="H39" s="251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45" t="s">
        <v>728</v>
      </c>
      <c r="F40" s="245"/>
      <c r="G40" s="245"/>
      <c r="H40" s="245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45" t="s">
        <v>729</v>
      </c>
      <c r="F41" s="245"/>
      <c r="G41" s="245"/>
      <c r="H41" s="245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45" t="s">
        <v>24</v>
      </c>
      <c r="F42" s="245"/>
      <c r="G42" s="245"/>
      <c r="H42" s="245"/>
      <c r="I42" s="121" t="s">
        <v>122</v>
      </c>
      <c r="J42" s="149">
        <f>SUMIF(DADOS_PA_LT2[Linha de serviço PPU],D42,DADOS_PA_LT2[QExec])</f>
        <v>23442</v>
      </c>
      <c r="K42" s="152">
        <f t="shared" si="2"/>
        <v>22973.16</v>
      </c>
      <c r="L42" s="150">
        <f>IFERROR( VLOOKUP(D42,PPU_PA_LT2[[Linha de Serviço]:[P. Unitário (R$)]],4,0), "N/A")</f>
        <v>0.11</v>
      </c>
      <c r="M42" s="126">
        <f t="shared" si="3"/>
        <v>2527.0475999999999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45" t="s">
        <v>730</v>
      </c>
      <c r="F43" s="245"/>
      <c r="G43" s="245"/>
      <c r="H43" s="245"/>
      <c r="I43" s="121" t="s">
        <v>731</v>
      </c>
      <c r="J43" s="149">
        <f>SUMIF(DADOS_PA_LT2[Linha de serviço PPU],D43,DADOS_PA_LT2[QExec])</f>
        <v>59.399999999999991</v>
      </c>
      <c r="K43" s="152">
        <f t="shared" si="2"/>
        <v>58.211999999999989</v>
      </c>
      <c r="L43" s="150">
        <f>IFERROR( VLOOKUP(D43,PPU_PA_LT2[[Linha de Serviço]:[P. Unitário (R$)]],4,0), "N/A")</f>
        <v>0.1</v>
      </c>
      <c r="M43" s="126">
        <f t="shared" si="3"/>
        <v>5.8211999999999993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45" t="s">
        <v>28</v>
      </c>
      <c r="F44" s="245"/>
      <c r="G44" s="245"/>
      <c r="H44" s="245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45" t="s">
        <v>30</v>
      </c>
      <c r="F45" s="245"/>
      <c r="G45" s="245"/>
      <c r="H45" s="245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45" t="s">
        <v>32</v>
      </c>
      <c r="F46" s="245"/>
      <c r="G46" s="245"/>
      <c r="H46" s="245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38" t="s">
        <v>683</v>
      </c>
      <c r="D47" s="271"/>
      <c r="E47" s="271"/>
      <c r="F47" s="271"/>
      <c r="G47" s="271"/>
      <c r="H47" s="271"/>
      <c r="I47" s="272"/>
      <c r="J47" s="153"/>
      <c r="K47" s="153"/>
      <c r="L47" s="153"/>
      <c r="M47" s="129">
        <f>SUM(M12:M46)</f>
        <v>90716.427800000034</v>
      </c>
      <c r="N47" s="151"/>
      <c r="Q47" s="1"/>
    </row>
    <row r="48" spans="1:17" ht="14.25" customHeight="1" x14ac:dyDescent="0.3">
      <c r="A48" s="49"/>
      <c r="B48" s="49"/>
      <c r="C48" s="273" t="s">
        <v>684</v>
      </c>
      <c r="D48" s="241"/>
      <c r="E48" s="241"/>
      <c r="F48" s="241"/>
      <c r="G48" s="241"/>
      <c r="H48" s="241"/>
      <c r="I48" s="237"/>
      <c r="J48" s="274" t="s">
        <v>685</v>
      </c>
      <c r="K48" s="241"/>
      <c r="L48" s="241"/>
      <c r="M48" s="241"/>
      <c r="N48" s="237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42" t="s">
        <v>743</v>
      </c>
      <c r="K49" s="241"/>
      <c r="L49" s="241"/>
      <c r="M49" s="241"/>
      <c r="N49" s="237"/>
      <c r="Q49" s="1"/>
    </row>
    <row r="50" spans="1:17" ht="16.5" customHeight="1" x14ac:dyDescent="0.3">
      <c r="A50" s="49"/>
      <c r="B50" s="49"/>
      <c r="C50" s="243" t="s">
        <v>686</v>
      </c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37"/>
      <c r="Q50" s="1"/>
    </row>
    <row r="51" spans="1:17" ht="60" customHeight="1" x14ac:dyDescent="0.3">
      <c r="A51" s="49"/>
      <c r="B51" s="49"/>
      <c r="C51" s="275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37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687</v>
      </c>
      <c r="E53" s="71" t="s">
        <v>688</v>
      </c>
      <c r="F53" s="71" t="s">
        <v>689</v>
      </c>
      <c r="G53" s="71" t="s">
        <v>690</v>
      </c>
      <c r="H53" s="71"/>
      <c r="I53" s="71" t="s">
        <v>691</v>
      </c>
      <c r="J53" s="236" t="s">
        <v>692</v>
      </c>
      <c r="K53" s="237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21:H21"/>
    <mergeCell ref="N21:N23"/>
    <mergeCell ref="E24:H24"/>
    <mergeCell ref="N24:N26"/>
    <mergeCell ref="E27:H27"/>
    <mergeCell ref="N27:N29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533</v>
      </c>
      <c r="B1" t="s">
        <v>2</v>
      </c>
      <c r="C1" t="s">
        <v>534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656</v>
      </c>
      <c r="J1" t="s">
        <v>210</v>
      </c>
    </row>
    <row r="2" spans="1:10" x14ac:dyDescent="0.3">
      <c r="A2" t="s">
        <v>457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60">
        <v>1.1322142158979838</v>
      </c>
      <c r="I2">
        <v>5</v>
      </c>
      <c r="J2" t="s">
        <v>211</v>
      </c>
    </row>
    <row r="3" spans="1:10" x14ac:dyDescent="0.3">
      <c r="A3" t="s">
        <v>458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60">
        <v>1.0783903120951059</v>
      </c>
      <c r="I3">
        <v>8</v>
      </c>
      <c r="J3" t="s">
        <v>211</v>
      </c>
    </row>
    <row r="4" spans="1:10" x14ac:dyDescent="0.3">
      <c r="A4" t="s">
        <v>459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60">
        <v>1.1806423749232833</v>
      </c>
      <c r="I4">
        <v>20</v>
      </c>
      <c r="J4" t="s">
        <v>211</v>
      </c>
    </row>
    <row r="5" spans="1:10" x14ac:dyDescent="0.3">
      <c r="A5" t="s">
        <v>460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60">
        <v>1.1337030891278157</v>
      </c>
      <c r="I5">
        <v>11095</v>
      </c>
      <c r="J5" t="s">
        <v>211</v>
      </c>
    </row>
    <row r="6" spans="1:10" x14ac:dyDescent="0.3">
      <c r="A6" t="s">
        <v>461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60">
        <v>1.1418180165026255</v>
      </c>
      <c r="I6">
        <v>2549</v>
      </c>
      <c r="J6" t="s">
        <v>211</v>
      </c>
    </row>
    <row r="7" spans="1:10" x14ac:dyDescent="0.3">
      <c r="A7" t="s">
        <v>462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60">
        <v>1.0487804878048781</v>
      </c>
      <c r="I7">
        <v>88489</v>
      </c>
      <c r="J7" t="s">
        <v>211</v>
      </c>
    </row>
    <row r="8" spans="1:10" x14ac:dyDescent="0.3">
      <c r="A8" t="s">
        <v>463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60">
        <v>1.202986838815266</v>
      </c>
      <c r="I8">
        <v>1</v>
      </c>
      <c r="J8" t="s">
        <v>211</v>
      </c>
    </row>
    <row r="9" spans="1:10" x14ac:dyDescent="0.3">
      <c r="A9" t="s">
        <v>464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60">
        <v>1</v>
      </c>
      <c r="I9">
        <v>0</v>
      </c>
      <c r="J9" t="s">
        <v>212</v>
      </c>
    </row>
    <row r="10" spans="1:10" x14ac:dyDescent="0.3">
      <c r="A10" t="s">
        <v>465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466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60">
        <v>3.3103448275862069</v>
      </c>
      <c r="I11">
        <v>2</v>
      </c>
      <c r="J11" t="s">
        <v>213</v>
      </c>
    </row>
    <row r="12" spans="1:10" x14ac:dyDescent="0.3">
      <c r="A12" t="s">
        <v>467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60">
        <v>0</v>
      </c>
      <c r="I12">
        <v>0</v>
      </c>
      <c r="J12" t="s">
        <v>213</v>
      </c>
    </row>
    <row r="13" spans="1:10" x14ac:dyDescent="0.3">
      <c r="A13" t="s">
        <v>468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0</v>
      </c>
      <c r="I13">
        <v>0</v>
      </c>
      <c r="J13" t="s">
        <v>213</v>
      </c>
    </row>
    <row r="14" spans="1:10" x14ac:dyDescent="0.3">
      <c r="A14" t="s">
        <v>469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0</v>
      </c>
      <c r="I14">
        <v>0</v>
      </c>
      <c r="J14" t="s">
        <v>213</v>
      </c>
    </row>
    <row r="15" spans="1:10" x14ac:dyDescent="0.3">
      <c r="A15" t="s">
        <v>769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0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3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488</v>
      </c>
      <c r="B1" t="s">
        <v>0</v>
      </c>
      <c r="C1" t="s">
        <v>2</v>
      </c>
      <c r="D1" t="s">
        <v>138</v>
      </c>
      <c r="E1" t="s">
        <v>471</v>
      </c>
      <c r="F1" t="s">
        <v>474</v>
      </c>
      <c r="G1" t="s">
        <v>246</v>
      </c>
      <c r="H1" t="s">
        <v>472</v>
      </c>
      <c r="I1" t="s">
        <v>299</v>
      </c>
      <c r="J1" t="s">
        <v>139</v>
      </c>
      <c r="K1" t="s">
        <v>245</v>
      </c>
      <c r="L1" t="s">
        <v>247</v>
      </c>
      <c r="M1" t="s">
        <v>473</v>
      </c>
      <c r="N1" t="s">
        <v>140</v>
      </c>
      <c r="O1" t="s">
        <v>274</v>
      </c>
      <c r="P1" t="s">
        <v>145</v>
      </c>
      <c r="Q1" t="s">
        <v>664</v>
      </c>
      <c r="R1" t="s">
        <v>141</v>
      </c>
      <c r="S1" t="s">
        <v>658</v>
      </c>
      <c r="T1" t="s">
        <v>659</v>
      </c>
      <c r="U1" t="s">
        <v>660</v>
      </c>
      <c r="V1" t="s">
        <v>661</v>
      </c>
      <c r="W1" t="s">
        <v>662</v>
      </c>
      <c r="X1" t="s">
        <v>663</v>
      </c>
      <c r="Y1" t="s">
        <v>554</v>
      </c>
      <c r="Z1" t="s">
        <v>160</v>
      </c>
      <c r="AA1" t="s">
        <v>40</v>
      </c>
      <c r="AB1" t="s">
        <v>375</v>
      </c>
      <c r="AC1" t="s">
        <v>552</v>
      </c>
      <c r="AD1" t="s">
        <v>210</v>
      </c>
      <c r="AE1" t="s">
        <v>551</v>
      </c>
      <c r="AF1" t="s">
        <v>555</v>
      </c>
    </row>
    <row r="2" spans="1:32" x14ac:dyDescent="0.3">
      <c r="A2" t="s">
        <v>353</v>
      </c>
      <c r="B2" t="s">
        <v>57</v>
      </c>
      <c r="C2" t="s">
        <v>117</v>
      </c>
      <c r="D2" t="s">
        <v>310</v>
      </c>
      <c r="E2" t="s">
        <v>1120</v>
      </c>
      <c r="F2" s="15">
        <v>46241.564421296294</v>
      </c>
      <c r="G2" t="s">
        <v>439</v>
      </c>
      <c r="H2">
        <v>3</v>
      </c>
      <c r="I2" t="s">
        <v>1121</v>
      </c>
      <c r="J2" s="15">
        <v>46248.417361111111</v>
      </c>
      <c r="K2" s="15">
        <v>46254.490972222222</v>
      </c>
      <c r="L2" s="15"/>
      <c r="M2">
        <v>3</v>
      </c>
      <c r="O2" t="s">
        <v>201</v>
      </c>
      <c r="P2" t="s">
        <v>532</v>
      </c>
      <c r="S2" t="s">
        <v>373</v>
      </c>
      <c r="T2" t="s">
        <v>387</v>
      </c>
      <c r="U2" t="s">
        <v>293</v>
      </c>
      <c r="V2" t="s">
        <v>7</v>
      </c>
      <c r="W2" t="s">
        <v>7</v>
      </c>
      <c r="X2" t="s">
        <v>7</v>
      </c>
      <c r="AA2" t="s">
        <v>127</v>
      </c>
      <c r="AB2" t="s">
        <v>407</v>
      </c>
      <c r="AC2">
        <v>2940</v>
      </c>
      <c r="AD2" t="s">
        <v>233</v>
      </c>
      <c r="AE2">
        <v>1</v>
      </c>
      <c r="AF2">
        <v>78.66</v>
      </c>
    </row>
    <row r="3" spans="1:32" x14ac:dyDescent="0.3">
      <c r="A3" t="s">
        <v>353</v>
      </c>
      <c r="B3" t="s">
        <v>57</v>
      </c>
      <c r="C3" t="s">
        <v>117</v>
      </c>
      <c r="D3" t="s">
        <v>310</v>
      </c>
      <c r="E3" t="s">
        <v>1120</v>
      </c>
      <c r="F3" s="15">
        <v>46241.564421296294</v>
      </c>
      <c r="G3" t="s">
        <v>439</v>
      </c>
      <c r="H3">
        <v>26</v>
      </c>
      <c r="I3" t="s">
        <v>1121</v>
      </c>
      <c r="J3" s="15">
        <v>46248.417361111111</v>
      </c>
      <c r="K3" s="15">
        <v>46254.490972222222</v>
      </c>
      <c r="L3" s="15"/>
      <c r="M3">
        <v>26</v>
      </c>
      <c r="O3" t="s">
        <v>529</v>
      </c>
      <c r="S3" t="s">
        <v>373</v>
      </c>
      <c r="T3" t="s">
        <v>387</v>
      </c>
      <c r="U3" t="s">
        <v>293</v>
      </c>
      <c r="V3" t="s">
        <v>7</v>
      </c>
      <c r="W3" t="s">
        <v>7</v>
      </c>
      <c r="X3" t="s">
        <v>7</v>
      </c>
      <c r="AA3" t="s">
        <v>127</v>
      </c>
      <c r="AB3" t="s">
        <v>407</v>
      </c>
      <c r="AC3">
        <v>2940</v>
      </c>
      <c r="AD3" t="s">
        <v>233</v>
      </c>
      <c r="AE3">
        <v>2.6</v>
      </c>
    </row>
    <row r="4" spans="1:32" x14ac:dyDescent="0.3">
      <c r="A4" t="s">
        <v>353</v>
      </c>
      <c r="B4" t="s">
        <v>57</v>
      </c>
      <c r="C4" t="s">
        <v>117</v>
      </c>
      <c r="D4" t="s">
        <v>310</v>
      </c>
      <c r="E4" t="s">
        <v>1120</v>
      </c>
      <c r="F4" s="15">
        <v>46241.564421296294</v>
      </c>
      <c r="G4" t="s">
        <v>439</v>
      </c>
      <c r="H4">
        <v>6</v>
      </c>
      <c r="I4" t="s">
        <v>1121</v>
      </c>
      <c r="J4" s="15">
        <v>46248.417361111111</v>
      </c>
      <c r="K4" s="15">
        <v>46254.490972222222</v>
      </c>
      <c r="L4" s="15"/>
      <c r="M4">
        <v>6</v>
      </c>
      <c r="O4" t="s">
        <v>529</v>
      </c>
      <c r="S4" t="s">
        <v>373</v>
      </c>
      <c r="T4" t="s">
        <v>387</v>
      </c>
      <c r="U4" t="s">
        <v>293</v>
      </c>
      <c r="V4" t="s">
        <v>7</v>
      </c>
      <c r="W4" t="s">
        <v>7</v>
      </c>
      <c r="X4" t="s">
        <v>7</v>
      </c>
      <c r="AA4" t="s">
        <v>127</v>
      </c>
      <c r="AB4" t="s">
        <v>407</v>
      </c>
      <c r="AC4">
        <v>2940</v>
      </c>
      <c r="AD4" t="s">
        <v>233</v>
      </c>
      <c r="AE4">
        <v>1</v>
      </c>
    </row>
    <row r="5" spans="1:32" x14ac:dyDescent="0.3">
      <c r="A5" t="s">
        <v>353</v>
      </c>
      <c r="B5" t="s">
        <v>57</v>
      </c>
      <c r="C5" t="s">
        <v>117</v>
      </c>
      <c r="D5" t="s">
        <v>310</v>
      </c>
      <c r="E5" t="s">
        <v>1120</v>
      </c>
      <c r="F5" s="15">
        <v>46241.564421296294</v>
      </c>
      <c r="G5" t="s">
        <v>439</v>
      </c>
      <c r="H5">
        <v>7</v>
      </c>
      <c r="I5" t="s">
        <v>1121</v>
      </c>
      <c r="J5" s="15">
        <v>46248.417361111111</v>
      </c>
      <c r="K5" s="15">
        <v>46254.490972222222</v>
      </c>
      <c r="L5" s="15"/>
      <c r="M5">
        <v>7</v>
      </c>
      <c r="O5" t="s">
        <v>529</v>
      </c>
      <c r="S5" t="s">
        <v>373</v>
      </c>
      <c r="T5" t="s">
        <v>387</v>
      </c>
      <c r="U5" t="s">
        <v>293</v>
      </c>
      <c r="V5" t="s">
        <v>7</v>
      </c>
      <c r="W5" t="s">
        <v>7</v>
      </c>
      <c r="X5" t="s">
        <v>7</v>
      </c>
      <c r="AA5" t="s">
        <v>127</v>
      </c>
      <c r="AB5" t="s">
        <v>407</v>
      </c>
      <c r="AC5">
        <v>2940</v>
      </c>
      <c r="AD5" t="s">
        <v>233</v>
      </c>
      <c r="AE5">
        <v>1</v>
      </c>
    </row>
    <row r="6" spans="1:32" x14ac:dyDescent="0.3">
      <c r="A6" t="s">
        <v>353</v>
      </c>
      <c r="B6" t="s">
        <v>63</v>
      </c>
      <c r="C6" t="s">
        <v>95</v>
      </c>
      <c r="D6" t="s">
        <v>310</v>
      </c>
      <c r="E6" t="s">
        <v>1120</v>
      </c>
      <c r="F6" s="15">
        <v>46241.564421296294</v>
      </c>
      <c r="G6" t="s">
        <v>439</v>
      </c>
      <c r="H6">
        <v>6</v>
      </c>
      <c r="I6" t="s">
        <v>1121</v>
      </c>
      <c r="J6" s="15">
        <v>46248.417361111111</v>
      </c>
      <c r="K6" s="15">
        <v>46254.490972222222</v>
      </c>
      <c r="L6" s="15"/>
      <c r="M6">
        <v>6</v>
      </c>
      <c r="O6" t="s">
        <v>201</v>
      </c>
      <c r="P6" t="s">
        <v>532</v>
      </c>
      <c r="S6" t="s">
        <v>373</v>
      </c>
      <c r="T6" t="s">
        <v>387</v>
      </c>
      <c r="U6" t="s">
        <v>293</v>
      </c>
      <c r="V6" t="s">
        <v>7</v>
      </c>
      <c r="W6" t="s">
        <v>7</v>
      </c>
      <c r="X6" t="s">
        <v>7</v>
      </c>
      <c r="AA6" t="s">
        <v>96</v>
      </c>
      <c r="AB6" t="s">
        <v>407</v>
      </c>
      <c r="AC6">
        <v>2940</v>
      </c>
      <c r="AD6" t="s">
        <v>225</v>
      </c>
      <c r="AE6">
        <v>6</v>
      </c>
    </row>
    <row r="7" spans="1:32" x14ac:dyDescent="0.3">
      <c r="A7" t="s">
        <v>353</v>
      </c>
      <c r="B7" t="s">
        <v>63</v>
      </c>
      <c r="C7" t="s">
        <v>95</v>
      </c>
      <c r="D7" t="s">
        <v>310</v>
      </c>
      <c r="E7" t="s">
        <v>1120</v>
      </c>
      <c r="F7" s="15">
        <v>46241.564421296294</v>
      </c>
      <c r="G7" t="s">
        <v>439</v>
      </c>
      <c r="H7">
        <v>26</v>
      </c>
      <c r="I7" t="s">
        <v>1121</v>
      </c>
      <c r="J7" s="15">
        <v>46248.417361111111</v>
      </c>
      <c r="K7" s="15">
        <v>46254.490972222222</v>
      </c>
      <c r="L7" s="15"/>
      <c r="M7">
        <v>26</v>
      </c>
      <c r="O7" t="s">
        <v>529</v>
      </c>
      <c r="S7" t="s">
        <v>373</v>
      </c>
      <c r="T7" t="s">
        <v>387</v>
      </c>
      <c r="U7" t="s">
        <v>293</v>
      </c>
      <c r="V7" t="s">
        <v>7</v>
      </c>
      <c r="W7" t="s">
        <v>7</v>
      </c>
      <c r="X7" t="s">
        <v>7</v>
      </c>
      <c r="AA7" t="s">
        <v>96</v>
      </c>
      <c r="AB7" t="s">
        <v>407</v>
      </c>
      <c r="AC7">
        <v>2940</v>
      </c>
      <c r="AD7" t="s">
        <v>225</v>
      </c>
      <c r="AE7">
        <v>26</v>
      </c>
    </row>
    <row r="8" spans="1:32" x14ac:dyDescent="0.3">
      <c r="A8" t="s">
        <v>353</v>
      </c>
      <c r="B8" t="s">
        <v>63</v>
      </c>
      <c r="C8" t="s">
        <v>95</v>
      </c>
      <c r="D8" t="s">
        <v>310</v>
      </c>
      <c r="E8" t="s">
        <v>1120</v>
      </c>
      <c r="F8" s="15">
        <v>46241.564421296294</v>
      </c>
      <c r="G8" t="s">
        <v>439</v>
      </c>
      <c r="H8">
        <v>1</v>
      </c>
      <c r="I8" t="s">
        <v>1121</v>
      </c>
      <c r="J8" s="15">
        <v>46248.417361111111</v>
      </c>
      <c r="K8" s="15">
        <v>46254.490972222222</v>
      </c>
      <c r="L8" s="15"/>
      <c r="M8">
        <v>1</v>
      </c>
      <c r="O8" t="s">
        <v>529</v>
      </c>
      <c r="S8" t="s">
        <v>373</v>
      </c>
      <c r="T8" t="s">
        <v>387</v>
      </c>
      <c r="U8" t="s">
        <v>293</v>
      </c>
      <c r="V8" t="s">
        <v>7</v>
      </c>
      <c r="W8" t="s">
        <v>7</v>
      </c>
      <c r="X8" t="s">
        <v>7</v>
      </c>
      <c r="AA8" t="s">
        <v>96</v>
      </c>
      <c r="AB8" t="s">
        <v>407</v>
      </c>
      <c r="AC8">
        <v>2940</v>
      </c>
      <c r="AD8" t="s">
        <v>225</v>
      </c>
      <c r="AE8">
        <v>1</v>
      </c>
    </row>
    <row r="9" spans="1:32" x14ac:dyDescent="0.3">
      <c r="A9" t="s">
        <v>353</v>
      </c>
      <c r="B9" t="s">
        <v>63</v>
      </c>
      <c r="C9" t="s">
        <v>95</v>
      </c>
      <c r="D9" t="s">
        <v>310</v>
      </c>
      <c r="E9" t="s">
        <v>1120</v>
      </c>
      <c r="F9" s="15">
        <v>46241.564421296294</v>
      </c>
      <c r="G9" t="s">
        <v>439</v>
      </c>
      <c r="H9">
        <v>32</v>
      </c>
      <c r="I9" t="s">
        <v>1121</v>
      </c>
      <c r="J9" s="15">
        <v>46248.417361111111</v>
      </c>
      <c r="K9" s="15">
        <v>46254.490972222222</v>
      </c>
      <c r="L9" s="15"/>
      <c r="M9">
        <v>32</v>
      </c>
      <c r="O9" t="s">
        <v>529</v>
      </c>
      <c r="S9" t="s">
        <v>373</v>
      </c>
      <c r="T9" t="s">
        <v>387</v>
      </c>
      <c r="U9" t="s">
        <v>293</v>
      </c>
      <c r="V9" t="s">
        <v>7</v>
      </c>
      <c r="W9" t="s">
        <v>7</v>
      </c>
      <c r="X9" t="s">
        <v>7</v>
      </c>
      <c r="AA9" t="s">
        <v>96</v>
      </c>
      <c r="AB9" t="s">
        <v>407</v>
      </c>
      <c r="AC9">
        <v>2940</v>
      </c>
      <c r="AD9" t="s">
        <v>225</v>
      </c>
      <c r="AE9">
        <v>32</v>
      </c>
    </row>
    <row r="10" spans="1:32" x14ac:dyDescent="0.3">
      <c r="A10" t="s">
        <v>353</v>
      </c>
      <c r="B10" t="s">
        <v>63</v>
      </c>
      <c r="C10" t="s">
        <v>95</v>
      </c>
      <c r="D10" t="s">
        <v>310</v>
      </c>
      <c r="E10" t="s">
        <v>1120</v>
      </c>
      <c r="F10" s="15">
        <v>46241.564421296294</v>
      </c>
      <c r="G10" t="s">
        <v>439</v>
      </c>
      <c r="H10">
        <v>25</v>
      </c>
      <c r="I10" t="s">
        <v>1121</v>
      </c>
      <c r="J10" s="15">
        <v>46248.417361111111</v>
      </c>
      <c r="K10" s="15">
        <v>46254.490972222222</v>
      </c>
      <c r="L10" s="15"/>
      <c r="M10">
        <v>25</v>
      </c>
      <c r="O10" t="s">
        <v>529</v>
      </c>
      <c r="S10" t="s">
        <v>373</v>
      </c>
      <c r="T10" t="s">
        <v>387</v>
      </c>
      <c r="U10" t="s">
        <v>293</v>
      </c>
      <c r="V10" t="s">
        <v>7</v>
      </c>
      <c r="W10" t="s">
        <v>7</v>
      </c>
      <c r="X10" t="s">
        <v>7</v>
      </c>
      <c r="AA10" t="s">
        <v>96</v>
      </c>
      <c r="AB10" t="s">
        <v>407</v>
      </c>
      <c r="AC10">
        <v>2940</v>
      </c>
      <c r="AD10" t="s">
        <v>225</v>
      </c>
      <c r="AE10">
        <v>25</v>
      </c>
    </row>
    <row r="11" spans="1:32" x14ac:dyDescent="0.3">
      <c r="A11" t="s">
        <v>353</v>
      </c>
      <c r="B11" t="s">
        <v>63</v>
      </c>
      <c r="C11" t="s">
        <v>95</v>
      </c>
      <c r="D11" t="s">
        <v>310</v>
      </c>
      <c r="E11" t="s">
        <v>1120</v>
      </c>
      <c r="F11" s="15">
        <v>46241.564421296294</v>
      </c>
      <c r="G11" t="s">
        <v>439</v>
      </c>
      <c r="H11">
        <v>3</v>
      </c>
      <c r="I11" t="s">
        <v>1121</v>
      </c>
      <c r="J11" s="15">
        <v>46248.417361111111</v>
      </c>
      <c r="K11" s="15">
        <v>46254.490972222222</v>
      </c>
      <c r="L11" s="15"/>
      <c r="M11">
        <v>3</v>
      </c>
      <c r="O11" t="s">
        <v>529</v>
      </c>
      <c r="S11" t="s">
        <v>373</v>
      </c>
      <c r="T11" t="s">
        <v>387</v>
      </c>
      <c r="U11" t="s">
        <v>293</v>
      </c>
      <c r="V11" t="s">
        <v>7</v>
      </c>
      <c r="W11" t="s">
        <v>7</v>
      </c>
      <c r="X11" t="s">
        <v>7</v>
      </c>
      <c r="AA11" t="s">
        <v>96</v>
      </c>
      <c r="AB11" t="s">
        <v>407</v>
      </c>
      <c r="AC11">
        <v>2940</v>
      </c>
      <c r="AD11" t="s">
        <v>225</v>
      </c>
      <c r="AE11">
        <v>3</v>
      </c>
    </row>
    <row r="12" spans="1:32" x14ac:dyDescent="0.3">
      <c r="A12" t="s">
        <v>353</v>
      </c>
      <c r="B12" t="s">
        <v>63</v>
      </c>
      <c r="C12" t="s">
        <v>95</v>
      </c>
      <c r="D12" t="s">
        <v>310</v>
      </c>
      <c r="E12" t="s">
        <v>1120</v>
      </c>
      <c r="F12" s="15">
        <v>46241.564421296294</v>
      </c>
      <c r="G12" t="s">
        <v>439</v>
      </c>
      <c r="H12">
        <v>2</v>
      </c>
      <c r="I12" t="s">
        <v>1121</v>
      </c>
      <c r="J12" s="15">
        <v>46248.417361111111</v>
      </c>
      <c r="K12" s="15">
        <v>46254.490972222222</v>
      </c>
      <c r="L12" s="15"/>
      <c r="M12">
        <v>2</v>
      </c>
      <c r="O12" t="s">
        <v>529</v>
      </c>
      <c r="S12" t="s">
        <v>373</v>
      </c>
      <c r="T12" t="s">
        <v>387</v>
      </c>
      <c r="U12" t="s">
        <v>293</v>
      </c>
      <c r="V12" t="s">
        <v>7</v>
      </c>
      <c r="W12" t="s">
        <v>7</v>
      </c>
      <c r="X12" t="s">
        <v>7</v>
      </c>
      <c r="AA12" t="s">
        <v>96</v>
      </c>
      <c r="AB12" t="s">
        <v>407</v>
      </c>
      <c r="AC12">
        <v>2940</v>
      </c>
      <c r="AD12" t="s">
        <v>225</v>
      </c>
      <c r="AE12">
        <v>2</v>
      </c>
    </row>
    <row r="13" spans="1:32" x14ac:dyDescent="0.3">
      <c r="A13" t="s">
        <v>353</v>
      </c>
      <c r="B13" t="s">
        <v>63</v>
      </c>
      <c r="C13" t="s">
        <v>95</v>
      </c>
      <c r="D13" t="s">
        <v>310</v>
      </c>
      <c r="E13" t="s">
        <v>1120</v>
      </c>
      <c r="F13" s="15">
        <v>46241.564421296294</v>
      </c>
      <c r="G13" t="s">
        <v>439</v>
      </c>
      <c r="H13">
        <v>12</v>
      </c>
      <c r="I13" t="s">
        <v>1121</v>
      </c>
      <c r="J13" s="15">
        <v>46248.417361111111</v>
      </c>
      <c r="K13" s="15">
        <v>46254.490972222222</v>
      </c>
      <c r="L13" s="15"/>
      <c r="M13">
        <v>12</v>
      </c>
      <c r="O13" t="s">
        <v>529</v>
      </c>
      <c r="S13" t="s">
        <v>373</v>
      </c>
      <c r="T13" t="s">
        <v>387</v>
      </c>
      <c r="U13" t="s">
        <v>293</v>
      </c>
      <c r="V13" t="s">
        <v>7</v>
      </c>
      <c r="W13" t="s">
        <v>7</v>
      </c>
      <c r="X13" t="s">
        <v>7</v>
      </c>
      <c r="AA13" t="s">
        <v>96</v>
      </c>
      <c r="AB13" t="s">
        <v>407</v>
      </c>
      <c r="AC13">
        <v>2940</v>
      </c>
      <c r="AD13" t="s">
        <v>225</v>
      </c>
      <c r="AE13">
        <v>12</v>
      </c>
    </row>
    <row r="14" spans="1:32" x14ac:dyDescent="0.3">
      <c r="A14" t="s">
        <v>353</v>
      </c>
      <c r="B14" t="s">
        <v>57</v>
      </c>
      <c r="C14" t="s">
        <v>117</v>
      </c>
      <c r="D14" t="s">
        <v>310</v>
      </c>
      <c r="E14" t="s">
        <v>1120</v>
      </c>
      <c r="F14" s="15">
        <v>46241.564421296294</v>
      </c>
      <c r="G14" t="s">
        <v>439</v>
      </c>
      <c r="H14">
        <v>3</v>
      </c>
      <c r="I14" t="s">
        <v>1122</v>
      </c>
      <c r="J14" s="15">
        <v>46245.577777777777</v>
      </c>
      <c r="K14" s="15">
        <v>46253.505555555559</v>
      </c>
      <c r="L14" s="15"/>
      <c r="M14">
        <v>3</v>
      </c>
      <c r="O14" t="s">
        <v>201</v>
      </c>
      <c r="P14" t="s">
        <v>532</v>
      </c>
      <c r="S14" t="s">
        <v>373</v>
      </c>
      <c r="T14" t="s">
        <v>387</v>
      </c>
      <c r="U14" t="s">
        <v>293</v>
      </c>
      <c r="V14" t="s">
        <v>7</v>
      </c>
      <c r="W14" t="s">
        <v>7</v>
      </c>
      <c r="X14" t="s">
        <v>7</v>
      </c>
      <c r="AA14" t="s">
        <v>127</v>
      </c>
      <c r="AB14" t="s">
        <v>407</v>
      </c>
      <c r="AC14">
        <v>2940</v>
      </c>
      <c r="AD14" t="s">
        <v>233</v>
      </c>
      <c r="AE14">
        <v>1</v>
      </c>
      <c r="AF14">
        <v>195.69</v>
      </c>
    </row>
    <row r="15" spans="1:32" x14ac:dyDescent="0.3">
      <c r="A15" t="s">
        <v>353</v>
      </c>
      <c r="B15" t="s">
        <v>57</v>
      </c>
      <c r="C15" t="s">
        <v>117</v>
      </c>
      <c r="D15" t="s">
        <v>310</v>
      </c>
      <c r="E15" t="s">
        <v>1120</v>
      </c>
      <c r="F15" s="15">
        <v>46241.564421296294</v>
      </c>
      <c r="G15" t="s">
        <v>439</v>
      </c>
      <c r="H15">
        <v>5</v>
      </c>
      <c r="I15" t="s">
        <v>1122</v>
      </c>
      <c r="J15" s="15">
        <v>46245.577777777777</v>
      </c>
      <c r="K15" s="15">
        <v>46253.505555555559</v>
      </c>
      <c r="L15" s="15"/>
      <c r="M15">
        <v>5</v>
      </c>
      <c r="O15" t="s">
        <v>529</v>
      </c>
      <c r="S15" t="s">
        <v>373</v>
      </c>
      <c r="T15" t="s">
        <v>387</v>
      </c>
      <c r="U15" t="s">
        <v>293</v>
      </c>
      <c r="V15" t="s">
        <v>7</v>
      </c>
      <c r="W15" t="s">
        <v>7</v>
      </c>
      <c r="X15" t="s">
        <v>7</v>
      </c>
      <c r="AA15" t="s">
        <v>127</v>
      </c>
      <c r="AB15" t="s">
        <v>407</v>
      </c>
      <c r="AC15">
        <v>2940</v>
      </c>
      <c r="AD15" t="s">
        <v>233</v>
      </c>
      <c r="AE15">
        <v>1</v>
      </c>
    </row>
    <row r="16" spans="1:32" x14ac:dyDescent="0.3">
      <c r="A16" t="s">
        <v>353</v>
      </c>
      <c r="B16" t="s">
        <v>63</v>
      </c>
      <c r="C16" t="s">
        <v>95</v>
      </c>
      <c r="D16" t="s">
        <v>310</v>
      </c>
      <c r="E16" t="s">
        <v>1120</v>
      </c>
      <c r="F16" s="15">
        <v>46241.564421296294</v>
      </c>
      <c r="G16" t="s">
        <v>439</v>
      </c>
      <c r="H16">
        <v>3</v>
      </c>
      <c r="I16" t="s">
        <v>1122</v>
      </c>
      <c r="J16" s="15">
        <v>46245.577777777777</v>
      </c>
      <c r="K16" s="15">
        <v>46253.505555555559</v>
      </c>
      <c r="L16" s="15"/>
      <c r="M16">
        <v>3</v>
      </c>
      <c r="O16" t="s">
        <v>201</v>
      </c>
      <c r="P16" t="s">
        <v>532</v>
      </c>
      <c r="S16" t="s">
        <v>373</v>
      </c>
      <c r="T16" t="s">
        <v>387</v>
      </c>
      <c r="U16" t="s">
        <v>293</v>
      </c>
      <c r="V16" t="s">
        <v>7</v>
      </c>
      <c r="W16" t="s">
        <v>7</v>
      </c>
      <c r="X16" t="s">
        <v>7</v>
      </c>
      <c r="AA16" t="s">
        <v>96</v>
      </c>
      <c r="AB16" t="s">
        <v>407</v>
      </c>
      <c r="AC16">
        <v>2940</v>
      </c>
      <c r="AD16" t="s">
        <v>225</v>
      </c>
      <c r="AE16">
        <v>3</v>
      </c>
    </row>
    <row r="17" spans="1:31" x14ac:dyDescent="0.3">
      <c r="A17" t="s">
        <v>353</v>
      </c>
      <c r="B17" t="s">
        <v>63</v>
      </c>
      <c r="C17" t="s">
        <v>95</v>
      </c>
      <c r="D17" t="s">
        <v>310</v>
      </c>
      <c r="E17" t="s">
        <v>1120</v>
      </c>
      <c r="F17" s="15">
        <v>46241.564421296294</v>
      </c>
      <c r="G17" t="s">
        <v>439</v>
      </c>
      <c r="H17">
        <v>9</v>
      </c>
      <c r="I17" t="s">
        <v>1122</v>
      </c>
      <c r="J17" s="15">
        <v>46245.577777777777</v>
      </c>
      <c r="K17" s="15">
        <v>46253.505555555559</v>
      </c>
      <c r="L17" s="15"/>
      <c r="M17">
        <v>9</v>
      </c>
      <c r="O17" t="s">
        <v>529</v>
      </c>
      <c r="S17" t="s">
        <v>373</v>
      </c>
      <c r="T17" t="s">
        <v>387</v>
      </c>
      <c r="U17" t="s">
        <v>293</v>
      </c>
      <c r="V17" t="s">
        <v>7</v>
      </c>
      <c r="W17" t="s">
        <v>7</v>
      </c>
      <c r="X17" t="s">
        <v>7</v>
      </c>
      <c r="AA17" t="s">
        <v>96</v>
      </c>
      <c r="AB17" t="s">
        <v>407</v>
      </c>
      <c r="AC17">
        <v>2940</v>
      </c>
      <c r="AD17" t="s">
        <v>225</v>
      </c>
      <c r="AE17">
        <v>9</v>
      </c>
    </row>
    <row r="18" spans="1:31" x14ac:dyDescent="0.3">
      <c r="A18" t="s">
        <v>353</v>
      </c>
      <c r="B18" t="s">
        <v>63</v>
      </c>
      <c r="C18" t="s">
        <v>95</v>
      </c>
      <c r="D18" t="s">
        <v>310</v>
      </c>
      <c r="E18" t="s">
        <v>1120</v>
      </c>
      <c r="F18" s="15">
        <v>46241.564421296294</v>
      </c>
      <c r="G18" t="s">
        <v>439</v>
      </c>
      <c r="H18">
        <v>5</v>
      </c>
      <c r="I18" t="s">
        <v>1122</v>
      </c>
      <c r="J18" s="15">
        <v>46245.577777777777</v>
      </c>
      <c r="K18" s="15">
        <v>46253.505555555559</v>
      </c>
      <c r="L18" s="15"/>
      <c r="M18">
        <v>5</v>
      </c>
      <c r="O18" t="s">
        <v>529</v>
      </c>
      <c r="S18" t="s">
        <v>373</v>
      </c>
      <c r="T18" t="s">
        <v>387</v>
      </c>
      <c r="U18" t="s">
        <v>293</v>
      </c>
      <c r="V18" t="s">
        <v>7</v>
      </c>
      <c r="W18" t="s">
        <v>7</v>
      </c>
      <c r="X18" t="s">
        <v>7</v>
      </c>
      <c r="AA18" t="s">
        <v>96</v>
      </c>
      <c r="AB18" t="s">
        <v>407</v>
      </c>
      <c r="AC18">
        <v>2940</v>
      </c>
      <c r="AD18" t="s">
        <v>225</v>
      </c>
      <c r="AE18">
        <v>5</v>
      </c>
    </row>
    <row r="19" spans="1:31" x14ac:dyDescent="0.3">
      <c r="A19" t="s">
        <v>353</v>
      </c>
      <c r="B19" t="s">
        <v>279</v>
      </c>
      <c r="C19" t="s">
        <v>197</v>
      </c>
      <c r="D19" t="s">
        <v>310</v>
      </c>
      <c r="E19" t="s">
        <v>1120</v>
      </c>
      <c r="F19" s="15">
        <v>46241.564421296294</v>
      </c>
      <c r="G19" t="s">
        <v>439</v>
      </c>
      <c r="H19">
        <v>26</v>
      </c>
      <c r="I19" t="s">
        <v>1121</v>
      </c>
      <c r="J19" s="15">
        <v>46248.417361111111</v>
      </c>
      <c r="K19" s="15">
        <v>46254.490972222222</v>
      </c>
      <c r="L19" s="15"/>
      <c r="M19">
        <v>26</v>
      </c>
      <c r="O19" t="s">
        <v>201</v>
      </c>
      <c r="P19" t="s">
        <v>531</v>
      </c>
      <c r="S19" t="s">
        <v>373</v>
      </c>
      <c r="T19" t="s">
        <v>387</v>
      </c>
      <c r="U19" t="s">
        <v>293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407</v>
      </c>
      <c r="AC19">
        <v>2940</v>
      </c>
      <c r="AD19" t="s">
        <v>232</v>
      </c>
      <c r="AE19">
        <v>416</v>
      </c>
    </row>
    <row r="20" spans="1:31" x14ac:dyDescent="0.3">
      <c r="A20" t="s">
        <v>353</v>
      </c>
      <c r="B20" t="s">
        <v>279</v>
      </c>
      <c r="C20" t="s">
        <v>197</v>
      </c>
      <c r="D20" t="s">
        <v>310</v>
      </c>
      <c r="E20" t="s">
        <v>1120</v>
      </c>
      <c r="F20" s="15">
        <v>46241.564421296294</v>
      </c>
      <c r="G20" t="s">
        <v>439</v>
      </c>
      <c r="H20">
        <v>3</v>
      </c>
      <c r="I20" t="s">
        <v>1121</v>
      </c>
      <c r="J20" s="15">
        <v>46248.417361111111</v>
      </c>
      <c r="K20" s="15">
        <v>46254.490972222222</v>
      </c>
      <c r="L20" s="15"/>
      <c r="M20">
        <v>3</v>
      </c>
      <c r="O20" t="s">
        <v>529</v>
      </c>
      <c r="S20" t="s">
        <v>373</v>
      </c>
      <c r="T20" t="s">
        <v>387</v>
      </c>
      <c r="U20" t="s">
        <v>293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407</v>
      </c>
      <c r="AC20">
        <v>2940</v>
      </c>
      <c r="AD20" t="s">
        <v>232</v>
      </c>
      <c r="AE20">
        <v>48</v>
      </c>
    </row>
    <row r="21" spans="1:31" x14ac:dyDescent="0.3">
      <c r="A21" t="s">
        <v>353</v>
      </c>
      <c r="B21" t="s">
        <v>279</v>
      </c>
      <c r="C21" t="s">
        <v>197</v>
      </c>
      <c r="D21" t="s">
        <v>310</v>
      </c>
      <c r="E21" t="s">
        <v>1120</v>
      </c>
      <c r="F21" s="15">
        <v>46241.564421296294</v>
      </c>
      <c r="G21" t="s">
        <v>439</v>
      </c>
      <c r="H21">
        <v>6</v>
      </c>
      <c r="I21" t="s">
        <v>1121</v>
      </c>
      <c r="J21" s="15">
        <v>46248.417361111111</v>
      </c>
      <c r="K21" s="15">
        <v>46254.490972222222</v>
      </c>
      <c r="L21" s="15"/>
      <c r="M21">
        <v>6</v>
      </c>
      <c r="O21" t="s">
        <v>529</v>
      </c>
      <c r="S21" t="s">
        <v>373</v>
      </c>
      <c r="T21" t="s">
        <v>387</v>
      </c>
      <c r="U21" t="s">
        <v>293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407</v>
      </c>
      <c r="AC21">
        <v>2940</v>
      </c>
      <c r="AD21" t="s">
        <v>232</v>
      </c>
      <c r="AE21">
        <v>96</v>
      </c>
    </row>
    <row r="22" spans="1:31" x14ac:dyDescent="0.3">
      <c r="A22" t="s">
        <v>353</v>
      </c>
      <c r="B22" t="s">
        <v>279</v>
      </c>
      <c r="C22" t="s">
        <v>197</v>
      </c>
      <c r="D22" t="s">
        <v>310</v>
      </c>
      <c r="E22" t="s">
        <v>1120</v>
      </c>
      <c r="F22" s="15">
        <v>46241.564421296294</v>
      </c>
      <c r="G22" t="s">
        <v>439</v>
      </c>
      <c r="H22">
        <v>7</v>
      </c>
      <c r="I22" t="s">
        <v>1121</v>
      </c>
      <c r="J22" s="15">
        <v>46248.417361111111</v>
      </c>
      <c r="K22" s="15">
        <v>46254.490972222222</v>
      </c>
      <c r="L22" s="15"/>
      <c r="M22">
        <v>7</v>
      </c>
      <c r="O22" t="s">
        <v>529</v>
      </c>
      <c r="S22" t="s">
        <v>373</v>
      </c>
      <c r="T22" t="s">
        <v>387</v>
      </c>
      <c r="U22" t="s">
        <v>293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407</v>
      </c>
      <c r="AC22">
        <v>2940</v>
      </c>
      <c r="AD22" t="s">
        <v>232</v>
      </c>
      <c r="AE22">
        <v>112</v>
      </c>
    </row>
    <row r="23" spans="1:31" x14ac:dyDescent="0.3">
      <c r="A23" t="s">
        <v>353</v>
      </c>
      <c r="B23" t="s">
        <v>63</v>
      </c>
      <c r="C23" t="s">
        <v>95</v>
      </c>
      <c r="D23" t="s">
        <v>310</v>
      </c>
      <c r="E23" t="s">
        <v>1120</v>
      </c>
      <c r="F23" s="15">
        <v>46241.564421296294</v>
      </c>
      <c r="G23" t="s">
        <v>439</v>
      </c>
      <c r="H23">
        <v>7</v>
      </c>
      <c r="I23" t="s">
        <v>1123</v>
      </c>
      <c r="J23" s="15">
        <v>46245.47152777778</v>
      </c>
      <c r="K23" s="15">
        <v>46253.505555555559</v>
      </c>
      <c r="L23" s="15"/>
      <c r="M23">
        <v>7</v>
      </c>
      <c r="O23" t="s">
        <v>201</v>
      </c>
      <c r="P23" t="s">
        <v>532</v>
      </c>
      <c r="S23" t="s">
        <v>373</v>
      </c>
      <c r="T23" t="s">
        <v>387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407</v>
      </c>
      <c r="AC23">
        <v>2940</v>
      </c>
      <c r="AD23" t="s">
        <v>225</v>
      </c>
      <c r="AE23">
        <v>7</v>
      </c>
    </row>
    <row r="24" spans="1:31" x14ac:dyDescent="0.3">
      <c r="A24" t="s">
        <v>353</v>
      </c>
      <c r="B24" t="s">
        <v>279</v>
      </c>
      <c r="C24" t="s">
        <v>197</v>
      </c>
      <c r="D24" t="s">
        <v>310</v>
      </c>
      <c r="E24" t="s">
        <v>1120</v>
      </c>
      <c r="F24" s="15">
        <v>46241.564421296294</v>
      </c>
      <c r="G24" t="s">
        <v>439</v>
      </c>
      <c r="H24">
        <v>30</v>
      </c>
      <c r="I24" t="s">
        <v>1123</v>
      </c>
      <c r="J24" s="15">
        <v>46245.47152777778</v>
      </c>
      <c r="K24" s="15">
        <v>46253.505555555559</v>
      </c>
      <c r="L24" s="15"/>
      <c r="M24">
        <v>30</v>
      </c>
      <c r="O24" t="s">
        <v>201</v>
      </c>
      <c r="P24" t="s">
        <v>531</v>
      </c>
      <c r="S24" t="s">
        <v>373</v>
      </c>
      <c r="T24" t="s">
        <v>387</v>
      </c>
      <c r="U24" t="s">
        <v>293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407</v>
      </c>
      <c r="AC24">
        <v>2940</v>
      </c>
      <c r="AD24" t="s">
        <v>232</v>
      </c>
      <c r="AE24">
        <v>480</v>
      </c>
    </row>
    <row r="25" spans="1:31" x14ac:dyDescent="0.3">
      <c r="A25" t="s">
        <v>353</v>
      </c>
      <c r="B25" t="s">
        <v>279</v>
      </c>
      <c r="C25" t="s">
        <v>197</v>
      </c>
      <c r="D25" t="s">
        <v>310</v>
      </c>
      <c r="E25" t="s">
        <v>1120</v>
      </c>
      <c r="F25" s="15">
        <v>46241.564421296294</v>
      </c>
      <c r="G25" t="s">
        <v>439</v>
      </c>
      <c r="H25">
        <v>32</v>
      </c>
      <c r="I25" t="s">
        <v>1123</v>
      </c>
      <c r="J25" s="15">
        <v>46245.47152777778</v>
      </c>
      <c r="K25" s="15">
        <v>46253.505555555559</v>
      </c>
      <c r="L25" s="15"/>
      <c r="M25">
        <v>32</v>
      </c>
      <c r="O25" t="s">
        <v>529</v>
      </c>
      <c r="S25" t="s">
        <v>373</v>
      </c>
      <c r="T25" t="s">
        <v>387</v>
      </c>
      <c r="U25" t="s">
        <v>293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407</v>
      </c>
      <c r="AC25">
        <v>2940</v>
      </c>
      <c r="AD25" t="s">
        <v>232</v>
      </c>
      <c r="AE25">
        <v>512</v>
      </c>
    </row>
    <row r="26" spans="1:31" x14ac:dyDescent="0.3">
      <c r="A26" t="s">
        <v>353</v>
      </c>
      <c r="B26" t="s">
        <v>279</v>
      </c>
      <c r="C26" t="s">
        <v>197</v>
      </c>
      <c r="D26" t="s">
        <v>310</v>
      </c>
      <c r="E26" t="s">
        <v>1120</v>
      </c>
      <c r="F26" s="15">
        <v>46241.564421296294</v>
      </c>
      <c r="G26" t="s">
        <v>439</v>
      </c>
      <c r="H26">
        <v>25</v>
      </c>
      <c r="I26" t="s">
        <v>1123</v>
      </c>
      <c r="J26" s="15">
        <v>46245.47152777778</v>
      </c>
      <c r="K26" s="15">
        <v>46253.505555555559</v>
      </c>
      <c r="L26" s="15"/>
      <c r="M26">
        <v>25</v>
      </c>
      <c r="O26" t="s">
        <v>529</v>
      </c>
      <c r="S26" t="s">
        <v>373</v>
      </c>
      <c r="T26" t="s">
        <v>387</v>
      </c>
      <c r="U26" t="s">
        <v>293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407</v>
      </c>
      <c r="AC26">
        <v>2940</v>
      </c>
      <c r="AD26" t="s">
        <v>232</v>
      </c>
      <c r="AE26">
        <v>400</v>
      </c>
    </row>
    <row r="27" spans="1:31" x14ac:dyDescent="0.3">
      <c r="A27" t="s">
        <v>353</v>
      </c>
      <c r="B27" t="s">
        <v>279</v>
      </c>
      <c r="C27" t="s">
        <v>197</v>
      </c>
      <c r="D27" t="s">
        <v>310</v>
      </c>
      <c r="E27" t="s">
        <v>1120</v>
      </c>
      <c r="F27" s="15">
        <v>46241.564421296294</v>
      </c>
      <c r="G27" t="s">
        <v>439</v>
      </c>
      <c r="H27">
        <v>2</v>
      </c>
      <c r="I27" t="s">
        <v>1123</v>
      </c>
      <c r="J27" s="15">
        <v>46245.47152777778</v>
      </c>
      <c r="K27" s="15">
        <v>46253.505555555559</v>
      </c>
      <c r="L27" s="15"/>
      <c r="M27">
        <v>2</v>
      </c>
      <c r="O27" t="s">
        <v>529</v>
      </c>
      <c r="S27" t="s">
        <v>373</v>
      </c>
      <c r="T27" t="s">
        <v>387</v>
      </c>
      <c r="U27" t="s">
        <v>293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407</v>
      </c>
      <c r="AC27">
        <v>2940</v>
      </c>
      <c r="AD27" t="s">
        <v>232</v>
      </c>
      <c r="AE27">
        <v>32</v>
      </c>
    </row>
    <row r="28" spans="1:31" x14ac:dyDescent="0.3">
      <c r="A28" t="s">
        <v>353</v>
      </c>
      <c r="B28" t="s">
        <v>279</v>
      </c>
      <c r="C28" t="s">
        <v>197</v>
      </c>
      <c r="D28" t="s">
        <v>310</v>
      </c>
      <c r="E28" t="s">
        <v>1120</v>
      </c>
      <c r="F28" s="15">
        <v>46241.564421296294</v>
      </c>
      <c r="G28" t="s">
        <v>439</v>
      </c>
      <c r="H28">
        <v>12</v>
      </c>
      <c r="I28" t="s">
        <v>1123</v>
      </c>
      <c r="J28" s="15">
        <v>46245.47152777778</v>
      </c>
      <c r="K28" s="15">
        <v>46253.505555555559</v>
      </c>
      <c r="L28" s="15"/>
      <c r="M28">
        <v>12</v>
      </c>
      <c r="O28" t="s">
        <v>529</v>
      </c>
      <c r="S28" t="s">
        <v>373</v>
      </c>
      <c r="T28" t="s">
        <v>387</v>
      </c>
      <c r="U28" t="s">
        <v>293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407</v>
      </c>
      <c r="AC28">
        <v>2940</v>
      </c>
      <c r="AD28" t="s">
        <v>232</v>
      </c>
      <c r="AE28">
        <v>192</v>
      </c>
    </row>
    <row r="29" spans="1:31" x14ac:dyDescent="0.3">
      <c r="A29" t="s">
        <v>353</v>
      </c>
      <c r="B29" t="s">
        <v>279</v>
      </c>
      <c r="C29" t="s">
        <v>197</v>
      </c>
      <c r="D29" t="s">
        <v>310</v>
      </c>
      <c r="E29" t="s">
        <v>1120</v>
      </c>
      <c r="F29" s="15">
        <v>46241.564421296294</v>
      </c>
      <c r="G29" t="s">
        <v>439</v>
      </c>
      <c r="H29">
        <v>2</v>
      </c>
      <c r="I29" t="s">
        <v>1123</v>
      </c>
      <c r="J29" s="15">
        <v>46245.47152777778</v>
      </c>
      <c r="K29" s="15">
        <v>46253.505555555559</v>
      </c>
      <c r="L29" s="15"/>
      <c r="M29">
        <v>2</v>
      </c>
      <c r="O29" t="s">
        <v>529</v>
      </c>
      <c r="S29" t="s">
        <v>373</v>
      </c>
      <c r="T29" t="s">
        <v>387</v>
      </c>
      <c r="U29" t="s">
        <v>293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407</v>
      </c>
      <c r="AC29">
        <v>2940</v>
      </c>
      <c r="AD29" t="s">
        <v>232</v>
      </c>
      <c r="AE29">
        <v>32</v>
      </c>
    </row>
    <row r="30" spans="1:31" x14ac:dyDescent="0.3">
      <c r="A30" t="s">
        <v>353</v>
      </c>
      <c r="B30" t="s">
        <v>57</v>
      </c>
      <c r="C30" t="s">
        <v>117</v>
      </c>
      <c r="D30" t="s">
        <v>310</v>
      </c>
      <c r="E30" t="s">
        <v>1120</v>
      </c>
      <c r="F30" s="15">
        <v>46241.564421296294</v>
      </c>
      <c r="G30" t="s">
        <v>439</v>
      </c>
      <c r="H30">
        <v>1</v>
      </c>
      <c r="I30" t="s">
        <v>1123</v>
      </c>
      <c r="J30" s="15">
        <v>46245.47152777778</v>
      </c>
      <c r="K30" s="15">
        <v>46253.505555555559</v>
      </c>
      <c r="L30" s="15"/>
      <c r="M30">
        <v>1</v>
      </c>
      <c r="O30" t="s">
        <v>201</v>
      </c>
      <c r="P30" t="s">
        <v>532</v>
      </c>
      <c r="S30" t="s">
        <v>373</v>
      </c>
      <c r="T30" t="s">
        <v>387</v>
      </c>
      <c r="U30" t="s">
        <v>293</v>
      </c>
      <c r="V30" t="s">
        <v>7</v>
      </c>
      <c r="W30" t="s">
        <v>7</v>
      </c>
      <c r="X30" t="s">
        <v>7</v>
      </c>
      <c r="AA30" t="s">
        <v>127</v>
      </c>
      <c r="AB30" t="s">
        <v>407</v>
      </c>
      <c r="AC30">
        <v>2940</v>
      </c>
      <c r="AD30" t="s">
        <v>233</v>
      </c>
      <c r="AE30">
        <v>1</v>
      </c>
    </row>
    <row r="31" spans="1:31" x14ac:dyDescent="0.3">
      <c r="A31" t="s">
        <v>353</v>
      </c>
      <c r="B31" t="s">
        <v>57</v>
      </c>
      <c r="C31" t="s">
        <v>117</v>
      </c>
      <c r="D31" t="s">
        <v>310</v>
      </c>
      <c r="E31" t="s">
        <v>1120</v>
      </c>
      <c r="F31" s="15">
        <v>46241.564421296294</v>
      </c>
      <c r="G31" t="s">
        <v>439</v>
      </c>
      <c r="H31">
        <v>32</v>
      </c>
      <c r="I31" t="s">
        <v>1123</v>
      </c>
      <c r="J31" s="15">
        <v>46245.47152777778</v>
      </c>
      <c r="K31" s="15">
        <v>46253.505555555559</v>
      </c>
      <c r="L31" s="15"/>
      <c r="M31">
        <v>32</v>
      </c>
      <c r="O31" t="s">
        <v>529</v>
      </c>
      <c r="S31" t="s">
        <v>373</v>
      </c>
      <c r="T31" t="s">
        <v>387</v>
      </c>
      <c r="U31" t="s">
        <v>293</v>
      </c>
      <c r="V31" t="s">
        <v>7</v>
      </c>
      <c r="W31" t="s">
        <v>7</v>
      </c>
      <c r="X31" t="s">
        <v>7</v>
      </c>
      <c r="AA31" t="s">
        <v>127</v>
      </c>
      <c r="AB31" t="s">
        <v>407</v>
      </c>
      <c r="AC31">
        <v>2940</v>
      </c>
      <c r="AD31" t="s">
        <v>233</v>
      </c>
      <c r="AE31">
        <v>3.2</v>
      </c>
    </row>
    <row r="32" spans="1:31" x14ac:dyDescent="0.3">
      <c r="A32" t="s">
        <v>353</v>
      </c>
      <c r="B32" t="s">
        <v>57</v>
      </c>
      <c r="C32" t="s">
        <v>117</v>
      </c>
      <c r="D32" t="s">
        <v>310</v>
      </c>
      <c r="E32" t="s">
        <v>1120</v>
      </c>
      <c r="F32" s="15">
        <v>46241.564421296294</v>
      </c>
      <c r="G32" t="s">
        <v>439</v>
      </c>
      <c r="H32">
        <v>25</v>
      </c>
      <c r="I32" t="s">
        <v>1123</v>
      </c>
      <c r="J32" s="15">
        <v>46245.47152777778</v>
      </c>
      <c r="K32" s="15">
        <v>46253.505555555559</v>
      </c>
      <c r="L32" s="15"/>
      <c r="M32">
        <v>25</v>
      </c>
      <c r="O32" t="s">
        <v>529</v>
      </c>
      <c r="S32" t="s">
        <v>373</v>
      </c>
      <c r="T32" t="s">
        <v>387</v>
      </c>
      <c r="U32" t="s">
        <v>293</v>
      </c>
      <c r="V32" t="s">
        <v>7</v>
      </c>
      <c r="W32" t="s">
        <v>7</v>
      </c>
      <c r="X32" t="s">
        <v>7</v>
      </c>
      <c r="AA32" t="s">
        <v>127</v>
      </c>
      <c r="AB32" t="s">
        <v>407</v>
      </c>
      <c r="AC32">
        <v>2940</v>
      </c>
      <c r="AD32" t="s">
        <v>233</v>
      </c>
      <c r="AE32">
        <v>2.5</v>
      </c>
    </row>
    <row r="33" spans="1:32" x14ac:dyDescent="0.3">
      <c r="A33" t="s">
        <v>353</v>
      </c>
      <c r="B33" t="s">
        <v>57</v>
      </c>
      <c r="C33" t="s">
        <v>117</v>
      </c>
      <c r="D33" t="s">
        <v>310</v>
      </c>
      <c r="E33" t="s">
        <v>1120</v>
      </c>
      <c r="F33" s="15">
        <v>46241.564421296294</v>
      </c>
      <c r="G33" t="s">
        <v>439</v>
      </c>
      <c r="H33">
        <v>2</v>
      </c>
      <c r="I33" t="s">
        <v>1123</v>
      </c>
      <c r="J33" s="15">
        <v>46245.47152777778</v>
      </c>
      <c r="K33" s="15">
        <v>46253.505555555559</v>
      </c>
      <c r="L33" s="15"/>
      <c r="M33">
        <v>2</v>
      </c>
      <c r="O33" t="s">
        <v>529</v>
      </c>
      <c r="S33" t="s">
        <v>373</v>
      </c>
      <c r="T33" t="s">
        <v>387</v>
      </c>
      <c r="U33" t="s">
        <v>293</v>
      </c>
      <c r="V33" t="s">
        <v>7</v>
      </c>
      <c r="W33" t="s">
        <v>7</v>
      </c>
      <c r="X33" t="s">
        <v>7</v>
      </c>
      <c r="AA33" t="s">
        <v>127</v>
      </c>
      <c r="AB33" t="s">
        <v>407</v>
      </c>
      <c r="AC33">
        <v>2940</v>
      </c>
      <c r="AD33" t="s">
        <v>233</v>
      </c>
      <c r="AE33">
        <v>1</v>
      </c>
    </row>
    <row r="34" spans="1:32" x14ac:dyDescent="0.3">
      <c r="A34" t="s">
        <v>353</v>
      </c>
      <c r="B34" t="s">
        <v>57</v>
      </c>
      <c r="C34" t="s">
        <v>117</v>
      </c>
      <c r="D34" t="s">
        <v>310</v>
      </c>
      <c r="E34" t="s">
        <v>1120</v>
      </c>
      <c r="F34" s="15">
        <v>46241.564421296294</v>
      </c>
      <c r="G34" t="s">
        <v>439</v>
      </c>
      <c r="H34">
        <v>12</v>
      </c>
      <c r="I34" t="s">
        <v>1123</v>
      </c>
      <c r="J34" s="15">
        <v>46245.47152777778</v>
      </c>
      <c r="K34" s="15">
        <v>46253.505555555559</v>
      </c>
      <c r="L34" s="15"/>
      <c r="M34">
        <v>12</v>
      </c>
      <c r="O34" t="s">
        <v>529</v>
      </c>
      <c r="S34" t="s">
        <v>373</v>
      </c>
      <c r="T34" t="s">
        <v>387</v>
      </c>
      <c r="U34" t="s">
        <v>293</v>
      </c>
      <c r="V34" t="s">
        <v>7</v>
      </c>
      <c r="W34" t="s">
        <v>7</v>
      </c>
      <c r="X34" t="s">
        <v>7</v>
      </c>
      <c r="AA34" t="s">
        <v>127</v>
      </c>
      <c r="AB34" t="s">
        <v>407</v>
      </c>
      <c r="AC34">
        <v>2940</v>
      </c>
      <c r="AD34" t="s">
        <v>233</v>
      </c>
      <c r="AE34">
        <v>1.2</v>
      </c>
    </row>
    <row r="35" spans="1:32" x14ac:dyDescent="0.3">
      <c r="A35" t="s">
        <v>353</v>
      </c>
      <c r="B35" t="s">
        <v>279</v>
      </c>
      <c r="C35" t="s">
        <v>197</v>
      </c>
      <c r="D35" t="s">
        <v>310</v>
      </c>
      <c r="E35" t="s">
        <v>1120</v>
      </c>
      <c r="F35" s="15">
        <v>46241.564421296294</v>
      </c>
      <c r="G35" t="s">
        <v>439</v>
      </c>
      <c r="H35">
        <v>3</v>
      </c>
      <c r="I35" t="s">
        <v>1122</v>
      </c>
      <c r="J35" s="15">
        <v>46245.577777777777</v>
      </c>
      <c r="K35" s="15">
        <v>46253.505555555559</v>
      </c>
      <c r="L35" s="15"/>
      <c r="M35">
        <v>3</v>
      </c>
      <c r="O35" t="s">
        <v>201</v>
      </c>
      <c r="P35" t="s">
        <v>531</v>
      </c>
      <c r="S35" t="s">
        <v>373</v>
      </c>
      <c r="T35" t="s">
        <v>387</v>
      </c>
      <c r="U35" t="s">
        <v>293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407</v>
      </c>
      <c r="AC35">
        <v>2940</v>
      </c>
      <c r="AD35" t="s">
        <v>232</v>
      </c>
      <c r="AE35">
        <v>48</v>
      </c>
    </row>
    <row r="36" spans="1:32" x14ac:dyDescent="0.3">
      <c r="A36" t="s">
        <v>353</v>
      </c>
      <c r="B36" t="s">
        <v>279</v>
      </c>
      <c r="C36" t="s">
        <v>197</v>
      </c>
      <c r="D36" t="s">
        <v>310</v>
      </c>
      <c r="E36" t="s">
        <v>1120</v>
      </c>
      <c r="F36" s="15">
        <v>46241.564421296294</v>
      </c>
      <c r="G36" t="s">
        <v>439</v>
      </c>
      <c r="H36">
        <v>5</v>
      </c>
      <c r="I36" t="s">
        <v>1122</v>
      </c>
      <c r="J36" s="15">
        <v>46245.577777777777</v>
      </c>
      <c r="K36" s="15">
        <v>46253.505555555559</v>
      </c>
      <c r="L36" s="15"/>
      <c r="M36">
        <v>5</v>
      </c>
      <c r="O36" t="s">
        <v>529</v>
      </c>
      <c r="S36" t="s">
        <v>373</v>
      </c>
      <c r="T36" t="s">
        <v>387</v>
      </c>
      <c r="U36" t="s">
        <v>293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407</v>
      </c>
      <c r="AC36">
        <v>2940</v>
      </c>
      <c r="AD36" t="s">
        <v>232</v>
      </c>
      <c r="AE36">
        <v>80</v>
      </c>
    </row>
    <row r="37" spans="1:32" x14ac:dyDescent="0.3">
      <c r="A37" t="s">
        <v>353</v>
      </c>
      <c r="B37" t="s">
        <v>279</v>
      </c>
      <c r="C37" t="s">
        <v>197</v>
      </c>
      <c r="D37" t="s">
        <v>310</v>
      </c>
      <c r="E37" t="s">
        <v>1120</v>
      </c>
      <c r="F37" s="15">
        <v>46241.564421296294</v>
      </c>
      <c r="G37" t="s">
        <v>439</v>
      </c>
      <c r="H37">
        <v>9</v>
      </c>
      <c r="I37" t="s">
        <v>1122</v>
      </c>
      <c r="J37" s="15">
        <v>46245.577777777777</v>
      </c>
      <c r="K37" s="15">
        <v>46253.505555555559</v>
      </c>
      <c r="L37" s="15"/>
      <c r="M37">
        <v>9</v>
      </c>
      <c r="O37" t="s">
        <v>529</v>
      </c>
      <c r="S37" t="s">
        <v>373</v>
      </c>
      <c r="T37" t="s">
        <v>387</v>
      </c>
      <c r="U37" t="s">
        <v>293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407</v>
      </c>
      <c r="AC37">
        <v>2940</v>
      </c>
      <c r="AD37" t="s">
        <v>232</v>
      </c>
      <c r="AE37">
        <v>144</v>
      </c>
    </row>
    <row r="38" spans="1:32" x14ac:dyDescent="0.3">
      <c r="A38" t="s">
        <v>353</v>
      </c>
      <c r="B38" t="s">
        <v>57</v>
      </c>
      <c r="C38" t="s">
        <v>117</v>
      </c>
      <c r="D38" t="s">
        <v>310</v>
      </c>
      <c r="E38" t="s">
        <v>1120</v>
      </c>
      <c r="F38" s="15">
        <v>46241.564421296294</v>
      </c>
      <c r="G38" t="s">
        <v>439</v>
      </c>
      <c r="H38">
        <v>9</v>
      </c>
      <c r="I38" t="s">
        <v>1122</v>
      </c>
      <c r="J38" s="15">
        <v>46245.577777777777</v>
      </c>
      <c r="K38" s="15">
        <v>46253.505555555559</v>
      </c>
      <c r="L38" s="15"/>
      <c r="M38">
        <v>9</v>
      </c>
      <c r="O38" t="s">
        <v>529</v>
      </c>
      <c r="S38" t="s">
        <v>373</v>
      </c>
      <c r="T38" t="s">
        <v>387</v>
      </c>
      <c r="U38" t="s">
        <v>293</v>
      </c>
      <c r="V38" t="s">
        <v>7</v>
      </c>
      <c r="W38" t="s">
        <v>7</v>
      </c>
      <c r="X38" t="s">
        <v>7</v>
      </c>
      <c r="AA38" t="s">
        <v>127</v>
      </c>
      <c r="AB38" t="s">
        <v>407</v>
      </c>
      <c r="AC38">
        <v>2940</v>
      </c>
      <c r="AD38" t="s">
        <v>233</v>
      </c>
      <c r="AE38">
        <v>1</v>
      </c>
    </row>
    <row r="39" spans="1:32" x14ac:dyDescent="0.3">
      <c r="A39" t="s">
        <v>353</v>
      </c>
      <c r="B39" t="s">
        <v>63</v>
      </c>
      <c r="C39" t="s">
        <v>95</v>
      </c>
      <c r="D39" t="s">
        <v>310</v>
      </c>
      <c r="E39" t="s">
        <v>1120</v>
      </c>
      <c r="F39" s="15">
        <v>46241.564421296294</v>
      </c>
      <c r="G39" t="s">
        <v>439</v>
      </c>
      <c r="H39">
        <v>2</v>
      </c>
      <c r="I39" t="s">
        <v>1121</v>
      </c>
      <c r="J39" s="15">
        <v>46248.417361111111</v>
      </c>
      <c r="K39" s="15">
        <v>46254.490972222222</v>
      </c>
      <c r="L39" s="15"/>
      <c r="M39">
        <v>2</v>
      </c>
      <c r="O39" t="s">
        <v>529</v>
      </c>
      <c r="S39" t="s">
        <v>373</v>
      </c>
      <c r="T39" t="s">
        <v>387</v>
      </c>
      <c r="U39" t="s">
        <v>293</v>
      </c>
      <c r="V39" t="s">
        <v>7</v>
      </c>
      <c r="W39" t="s">
        <v>7</v>
      </c>
      <c r="X39" t="s">
        <v>7</v>
      </c>
      <c r="AA39" t="s">
        <v>96</v>
      </c>
      <c r="AB39" t="s">
        <v>407</v>
      </c>
      <c r="AC39">
        <v>2940</v>
      </c>
      <c r="AD39" t="s">
        <v>225</v>
      </c>
      <c r="AE39">
        <v>2</v>
      </c>
    </row>
    <row r="40" spans="1:32" x14ac:dyDescent="0.3">
      <c r="A40" t="s">
        <v>353</v>
      </c>
      <c r="B40" t="s">
        <v>57</v>
      </c>
      <c r="C40" t="s">
        <v>117</v>
      </c>
      <c r="D40" t="s">
        <v>310</v>
      </c>
      <c r="E40" t="s">
        <v>1120</v>
      </c>
      <c r="F40" s="15">
        <v>46241.564421296294</v>
      </c>
      <c r="G40" t="s">
        <v>439</v>
      </c>
      <c r="H40">
        <v>2</v>
      </c>
      <c r="I40" t="s">
        <v>1123</v>
      </c>
      <c r="J40" s="15">
        <v>46245.47152777778</v>
      </c>
      <c r="K40" s="15">
        <v>46253.505555555559</v>
      </c>
      <c r="L40" s="15"/>
      <c r="M40">
        <v>2</v>
      </c>
      <c r="O40" t="s">
        <v>529</v>
      </c>
      <c r="S40" t="s">
        <v>373</v>
      </c>
      <c r="T40" t="s">
        <v>387</v>
      </c>
      <c r="U40" t="s">
        <v>293</v>
      </c>
      <c r="V40" t="s">
        <v>7</v>
      </c>
      <c r="W40" t="s">
        <v>7</v>
      </c>
      <c r="X40" t="s">
        <v>7</v>
      </c>
      <c r="AA40" t="s">
        <v>127</v>
      </c>
      <c r="AB40" t="s">
        <v>407</v>
      </c>
      <c r="AC40">
        <v>2940</v>
      </c>
      <c r="AD40" t="s">
        <v>233</v>
      </c>
      <c r="AE40">
        <v>1</v>
      </c>
    </row>
    <row r="41" spans="1:32" x14ac:dyDescent="0.3">
      <c r="A41" t="s">
        <v>353</v>
      </c>
      <c r="B41" t="s">
        <v>63</v>
      </c>
      <c r="C41" t="s">
        <v>95</v>
      </c>
      <c r="D41" t="s">
        <v>310</v>
      </c>
      <c r="E41" t="s">
        <v>775</v>
      </c>
      <c r="F41" s="15">
        <v>46253.349317129629</v>
      </c>
      <c r="G41" t="s">
        <v>411</v>
      </c>
      <c r="H41">
        <v>1</v>
      </c>
      <c r="I41" t="s">
        <v>776</v>
      </c>
      <c r="J41" s="15">
        <v>46254.589212962965</v>
      </c>
      <c r="K41" s="15">
        <v>46254.65625</v>
      </c>
      <c r="L41" s="15"/>
      <c r="M41">
        <v>1</v>
      </c>
      <c r="O41" t="s">
        <v>201</v>
      </c>
      <c r="P41" t="s">
        <v>532</v>
      </c>
      <c r="S41" t="s">
        <v>371</v>
      </c>
      <c r="T41" t="s">
        <v>357</v>
      </c>
      <c r="U41" t="s">
        <v>262</v>
      </c>
      <c r="V41" t="s">
        <v>7</v>
      </c>
      <c r="W41" t="s">
        <v>7</v>
      </c>
      <c r="X41" t="s">
        <v>7</v>
      </c>
      <c r="AA41" t="s">
        <v>96</v>
      </c>
      <c r="AB41" t="s">
        <v>406</v>
      </c>
      <c r="AC41">
        <v>2011</v>
      </c>
      <c r="AD41" t="s">
        <v>225</v>
      </c>
      <c r="AE41">
        <v>1</v>
      </c>
      <c r="AF41">
        <v>8.6</v>
      </c>
    </row>
    <row r="42" spans="1:32" x14ac:dyDescent="0.3">
      <c r="A42" t="s">
        <v>353</v>
      </c>
      <c r="B42" t="s">
        <v>279</v>
      </c>
      <c r="C42" t="s">
        <v>192</v>
      </c>
      <c r="D42" t="s">
        <v>310</v>
      </c>
      <c r="E42" t="s">
        <v>773</v>
      </c>
      <c r="F42" s="15">
        <v>46253.579560185186</v>
      </c>
      <c r="G42" t="s">
        <v>411</v>
      </c>
      <c r="H42">
        <v>8</v>
      </c>
      <c r="I42" t="s">
        <v>774</v>
      </c>
      <c r="J42" s="15">
        <v>46258.391006944446</v>
      </c>
      <c r="K42" s="15">
        <v>46259.304861111108</v>
      </c>
      <c r="L42" s="15"/>
      <c r="M42">
        <v>8</v>
      </c>
      <c r="O42" t="s">
        <v>201</v>
      </c>
      <c r="P42" t="s">
        <v>532</v>
      </c>
      <c r="S42" t="s">
        <v>371</v>
      </c>
      <c r="T42" t="s">
        <v>357</v>
      </c>
      <c r="U42" t="s">
        <v>262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406</v>
      </c>
      <c r="AC42">
        <v>2011</v>
      </c>
      <c r="AD42" t="s">
        <v>232</v>
      </c>
      <c r="AE42">
        <v>8</v>
      </c>
      <c r="AF42">
        <v>1</v>
      </c>
    </row>
    <row r="43" spans="1:32" x14ac:dyDescent="0.3">
      <c r="A43" t="s">
        <v>353</v>
      </c>
      <c r="B43" t="s">
        <v>57</v>
      </c>
      <c r="C43" t="s">
        <v>117</v>
      </c>
      <c r="D43" t="s">
        <v>310</v>
      </c>
      <c r="E43" t="s">
        <v>773</v>
      </c>
      <c r="F43" s="15">
        <v>46253.579560185186</v>
      </c>
      <c r="G43" t="s">
        <v>411</v>
      </c>
      <c r="H43">
        <v>1</v>
      </c>
      <c r="I43" t="s">
        <v>774</v>
      </c>
      <c r="J43" s="15">
        <v>46258.391006944446</v>
      </c>
      <c r="K43" s="15">
        <v>46259.304861111108</v>
      </c>
      <c r="L43" s="15"/>
      <c r="M43">
        <v>1</v>
      </c>
      <c r="O43" t="s">
        <v>201</v>
      </c>
      <c r="P43" t="s">
        <v>532</v>
      </c>
      <c r="S43" t="s">
        <v>371</v>
      </c>
      <c r="T43" t="s">
        <v>357</v>
      </c>
      <c r="U43" t="s">
        <v>262</v>
      </c>
      <c r="V43" t="s">
        <v>7</v>
      </c>
      <c r="W43" t="s">
        <v>7</v>
      </c>
      <c r="X43" t="s">
        <v>7</v>
      </c>
      <c r="AA43" t="s">
        <v>127</v>
      </c>
      <c r="AB43" t="s">
        <v>406</v>
      </c>
      <c r="AC43">
        <v>2011</v>
      </c>
      <c r="AD43" t="s">
        <v>233</v>
      </c>
      <c r="AE43">
        <v>1</v>
      </c>
    </row>
    <row r="44" spans="1:32" x14ac:dyDescent="0.3">
      <c r="A44" t="s">
        <v>353</v>
      </c>
      <c r="B44" t="s">
        <v>63</v>
      </c>
      <c r="C44" t="s">
        <v>95</v>
      </c>
      <c r="D44" t="s">
        <v>310</v>
      </c>
      <c r="E44" t="s">
        <v>773</v>
      </c>
      <c r="F44" s="15">
        <v>46253.579560185186</v>
      </c>
      <c r="G44" t="s">
        <v>411</v>
      </c>
      <c r="H44">
        <v>1</v>
      </c>
      <c r="I44" t="s">
        <v>774</v>
      </c>
      <c r="J44" s="15">
        <v>46258.391006944446</v>
      </c>
      <c r="K44" s="15">
        <v>46259.304861111108</v>
      </c>
      <c r="L44" s="15"/>
      <c r="M44">
        <v>1</v>
      </c>
      <c r="O44" t="s">
        <v>201</v>
      </c>
      <c r="P44" t="s">
        <v>532</v>
      </c>
      <c r="S44" t="s">
        <v>371</v>
      </c>
      <c r="T44" t="s">
        <v>357</v>
      </c>
      <c r="U44" t="s">
        <v>262</v>
      </c>
      <c r="V44" t="s">
        <v>7</v>
      </c>
      <c r="W44" t="s">
        <v>7</v>
      </c>
      <c r="X44" t="s">
        <v>7</v>
      </c>
      <c r="AA44" t="s">
        <v>96</v>
      </c>
      <c r="AB44" t="s">
        <v>406</v>
      </c>
      <c r="AC44">
        <v>2011</v>
      </c>
      <c r="AD44" t="s">
        <v>225</v>
      </c>
      <c r="AE44">
        <v>1</v>
      </c>
    </row>
    <row r="45" spans="1:32" x14ac:dyDescent="0.3">
      <c r="A45" t="s">
        <v>353</v>
      </c>
      <c r="B45" t="s">
        <v>279</v>
      </c>
      <c r="C45" t="s">
        <v>192</v>
      </c>
      <c r="D45" t="s">
        <v>310</v>
      </c>
      <c r="E45" t="s">
        <v>770</v>
      </c>
      <c r="F45" s="15">
        <v>46247.459618055553</v>
      </c>
      <c r="G45" t="s">
        <v>771</v>
      </c>
      <c r="H45">
        <v>1</v>
      </c>
      <c r="I45" t="s">
        <v>772</v>
      </c>
      <c r="J45" s="15">
        <v>46247.561030092591</v>
      </c>
      <c r="K45" s="15">
        <v>46254.421527777777</v>
      </c>
      <c r="L45" s="15"/>
      <c r="M45">
        <v>1</v>
      </c>
      <c r="O45" t="s">
        <v>201</v>
      </c>
      <c r="P45" t="s">
        <v>531</v>
      </c>
      <c r="S45" t="s">
        <v>371</v>
      </c>
      <c r="T45" t="s">
        <v>357</v>
      </c>
      <c r="U45" t="s">
        <v>262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406</v>
      </c>
      <c r="AC45">
        <v>2011</v>
      </c>
      <c r="AD45" t="s">
        <v>232</v>
      </c>
      <c r="AE45">
        <v>1</v>
      </c>
    </row>
    <row r="46" spans="1:32" x14ac:dyDescent="0.3">
      <c r="A46" t="s">
        <v>353</v>
      </c>
      <c r="B46" t="s">
        <v>57</v>
      </c>
      <c r="C46" t="s">
        <v>117</v>
      </c>
      <c r="D46" t="s">
        <v>310</v>
      </c>
      <c r="E46" t="s">
        <v>783</v>
      </c>
      <c r="F46" s="15">
        <v>46251.30840277778</v>
      </c>
      <c r="G46" t="s">
        <v>417</v>
      </c>
      <c r="H46">
        <v>8</v>
      </c>
      <c r="I46" t="s">
        <v>784</v>
      </c>
      <c r="J46" s="15">
        <v>46251.581250000003</v>
      </c>
      <c r="K46" s="15">
        <v>46252.500694444447</v>
      </c>
      <c r="L46" s="15"/>
      <c r="M46">
        <v>8</v>
      </c>
      <c r="O46" t="s">
        <v>201</v>
      </c>
      <c r="P46" t="s">
        <v>532</v>
      </c>
      <c r="S46" t="s">
        <v>371</v>
      </c>
      <c r="T46" t="s">
        <v>357</v>
      </c>
      <c r="U46" t="s">
        <v>262</v>
      </c>
      <c r="V46" t="s">
        <v>7</v>
      </c>
      <c r="W46" t="s">
        <v>7</v>
      </c>
      <c r="X46" t="s">
        <v>7</v>
      </c>
      <c r="AA46" t="s">
        <v>127</v>
      </c>
      <c r="AB46" t="s">
        <v>406</v>
      </c>
      <c r="AC46">
        <v>2011</v>
      </c>
      <c r="AD46" t="s">
        <v>233</v>
      </c>
      <c r="AE46">
        <v>1</v>
      </c>
      <c r="AF46">
        <v>158.51</v>
      </c>
    </row>
    <row r="47" spans="1:32" x14ac:dyDescent="0.3">
      <c r="A47" t="s">
        <v>353</v>
      </c>
      <c r="B47" t="s">
        <v>63</v>
      </c>
      <c r="C47" t="s">
        <v>95</v>
      </c>
      <c r="D47" t="s">
        <v>310</v>
      </c>
      <c r="E47" t="s">
        <v>783</v>
      </c>
      <c r="F47" s="15">
        <v>46251.30840277778</v>
      </c>
      <c r="G47" t="s">
        <v>417</v>
      </c>
      <c r="H47">
        <v>8</v>
      </c>
      <c r="I47" t="s">
        <v>784</v>
      </c>
      <c r="J47" s="15">
        <v>46251.581250000003</v>
      </c>
      <c r="K47" s="15">
        <v>46252.500694444447</v>
      </c>
      <c r="L47" s="15"/>
      <c r="M47">
        <v>8</v>
      </c>
      <c r="O47" t="s">
        <v>201</v>
      </c>
      <c r="P47" t="s">
        <v>532</v>
      </c>
      <c r="S47" t="s">
        <v>371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406</v>
      </c>
      <c r="AC47">
        <v>2011</v>
      </c>
      <c r="AD47" t="s">
        <v>225</v>
      </c>
      <c r="AE47">
        <v>8</v>
      </c>
    </row>
    <row r="48" spans="1:32" x14ac:dyDescent="0.3">
      <c r="A48" t="s">
        <v>353</v>
      </c>
      <c r="B48" t="s">
        <v>279</v>
      </c>
      <c r="C48" t="s">
        <v>192</v>
      </c>
      <c r="D48" t="s">
        <v>310</v>
      </c>
      <c r="E48" t="s">
        <v>781</v>
      </c>
      <c r="F48" s="15">
        <v>46251.36582175926</v>
      </c>
      <c r="G48" t="s">
        <v>417</v>
      </c>
      <c r="H48">
        <v>908</v>
      </c>
      <c r="I48" t="s">
        <v>782</v>
      </c>
      <c r="J48" s="15">
        <v>46251.588622685187</v>
      </c>
      <c r="K48" s="15">
        <v>46252.654166666667</v>
      </c>
      <c r="L48" s="15"/>
      <c r="M48">
        <v>908</v>
      </c>
      <c r="O48" t="s">
        <v>201</v>
      </c>
      <c r="P48" t="s">
        <v>532</v>
      </c>
      <c r="S48" t="s">
        <v>371</v>
      </c>
      <c r="T48" t="s">
        <v>357</v>
      </c>
      <c r="U48" t="s">
        <v>262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406</v>
      </c>
      <c r="AC48">
        <v>2011</v>
      </c>
      <c r="AD48" t="s">
        <v>232</v>
      </c>
      <c r="AE48">
        <v>908</v>
      </c>
    </row>
    <row r="49" spans="1:32" x14ac:dyDescent="0.3">
      <c r="A49" t="s">
        <v>353</v>
      </c>
      <c r="B49" t="s">
        <v>57</v>
      </c>
      <c r="C49" t="s">
        <v>117</v>
      </c>
      <c r="D49" t="s">
        <v>310</v>
      </c>
      <c r="E49" t="s">
        <v>781</v>
      </c>
      <c r="F49" s="15">
        <v>46251.36582175926</v>
      </c>
      <c r="G49" t="s">
        <v>417</v>
      </c>
      <c r="H49">
        <v>11</v>
      </c>
      <c r="I49" t="s">
        <v>782</v>
      </c>
      <c r="J49" s="15">
        <v>46251.588622685187</v>
      </c>
      <c r="K49" s="15">
        <v>46252.654166666667</v>
      </c>
      <c r="L49" s="15"/>
      <c r="M49">
        <v>11</v>
      </c>
      <c r="O49" t="s">
        <v>201</v>
      </c>
      <c r="P49" t="s">
        <v>532</v>
      </c>
      <c r="S49" t="s">
        <v>371</v>
      </c>
      <c r="T49" t="s">
        <v>357</v>
      </c>
      <c r="U49" t="s">
        <v>262</v>
      </c>
      <c r="V49" t="s">
        <v>7</v>
      </c>
      <c r="W49" t="s">
        <v>7</v>
      </c>
      <c r="X49" t="s">
        <v>7</v>
      </c>
      <c r="AA49" t="s">
        <v>127</v>
      </c>
      <c r="AB49" t="s">
        <v>406</v>
      </c>
      <c r="AC49">
        <v>2011</v>
      </c>
      <c r="AD49" t="s">
        <v>233</v>
      </c>
      <c r="AE49">
        <v>1.1000000000000001</v>
      </c>
    </row>
    <row r="50" spans="1:32" x14ac:dyDescent="0.3">
      <c r="A50" t="s">
        <v>353</v>
      </c>
      <c r="B50" t="s">
        <v>63</v>
      </c>
      <c r="C50" t="s">
        <v>95</v>
      </c>
      <c r="D50" t="s">
        <v>310</v>
      </c>
      <c r="E50" t="s">
        <v>781</v>
      </c>
      <c r="F50" s="15">
        <v>46251.36582175926</v>
      </c>
      <c r="G50" t="s">
        <v>417</v>
      </c>
      <c r="H50">
        <v>11</v>
      </c>
      <c r="I50" t="s">
        <v>782</v>
      </c>
      <c r="J50" s="15">
        <v>46251.588622685187</v>
      </c>
      <c r="K50" s="15">
        <v>46252.654166666667</v>
      </c>
      <c r="L50" s="15"/>
      <c r="M50">
        <v>11</v>
      </c>
      <c r="O50" t="s">
        <v>201</v>
      </c>
      <c r="P50" t="s">
        <v>532</v>
      </c>
      <c r="S50" t="s">
        <v>371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AA50" t="s">
        <v>96</v>
      </c>
      <c r="AB50" t="s">
        <v>406</v>
      </c>
      <c r="AC50">
        <v>2011</v>
      </c>
      <c r="AD50" t="s">
        <v>225</v>
      </c>
      <c r="AE50">
        <v>11</v>
      </c>
    </row>
    <row r="51" spans="1:32" x14ac:dyDescent="0.3">
      <c r="A51" t="s">
        <v>353</v>
      </c>
      <c r="B51" t="s">
        <v>279</v>
      </c>
      <c r="C51" t="s">
        <v>192</v>
      </c>
      <c r="D51" t="s">
        <v>310</v>
      </c>
      <c r="E51" t="s">
        <v>777</v>
      </c>
      <c r="F51" s="15">
        <v>46253.33861111111</v>
      </c>
      <c r="G51" t="s">
        <v>417</v>
      </c>
      <c r="H51">
        <v>77</v>
      </c>
      <c r="I51" t="s">
        <v>778</v>
      </c>
      <c r="J51" s="15">
        <v>46254.578773148147</v>
      </c>
      <c r="K51" s="15">
        <v>46254.634722222225</v>
      </c>
      <c r="L51" s="15"/>
      <c r="M51">
        <v>77</v>
      </c>
      <c r="O51" t="s">
        <v>201</v>
      </c>
      <c r="P51" t="s">
        <v>532</v>
      </c>
      <c r="S51" t="s">
        <v>371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406</v>
      </c>
      <c r="AC51">
        <v>2011</v>
      </c>
      <c r="AD51" t="s">
        <v>232</v>
      </c>
      <c r="AE51">
        <v>77</v>
      </c>
    </row>
    <row r="52" spans="1:32" x14ac:dyDescent="0.3">
      <c r="A52" t="s">
        <v>353</v>
      </c>
      <c r="B52" t="s">
        <v>57</v>
      </c>
      <c r="C52" t="s">
        <v>117</v>
      </c>
      <c r="D52" t="s">
        <v>310</v>
      </c>
      <c r="E52" t="s">
        <v>777</v>
      </c>
      <c r="F52" s="15">
        <v>46253.33861111111</v>
      </c>
      <c r="G52" t="s">
        <v>417</v>
      </c>
      <c r="H52">
        <v>2</v>
      </c>
      <c r="I52" t="s">
        <v>778</v>
      </c>
      <c r="J52" s="15">
        <v>46254.578773148147</v>
      </c>
      <c r="K52" s="15">
        <v>46254.634722222225</v>
      </c>
      <c r="L52" s="15"/>
      <c r="M52">
        <v>2</v>
      </c>
      <c r="O52" t="s">
        <v>201</v>
      </c>
      <c r="P52" t="s">
        <v>532</v>
      </c>
      <c r="S52" t="s">
        <v>371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127</v>
      </c>
      <c r="AB52" t="s">
        <v>406</v>
      </c>
      <c r="AC52">
        <v>2011</v>
      </c>
      <c r="AD52" t="s">
        <v>233</v>
      </c>
      <c r="AE52">
        <v>1</v>
      </c>
    </row>
    <row r="53" spans="1:32" x14ac:dyDescent="0.3">
      <c r="A53" t="s">
        <v>353</v>
      </c>
      <c r="B53" t="s">
        <v>279</v>
      </c>
      <c r="C53" t="s">
        <v>192</v>
      </c>
      <c r="D53" t="s">
        <v>310</v>
      </c>
      <c r="E53" t="s">
        <v>775</v>
      </c>
      <c r="F53" s="15">
        <v>46253.349317129629</v>
      </c>
      <c r="G53" t="s">
        <v>411</v>
      </c>
      <c r="H53">
        <v>1</v>
      </c>
      <c r="I53" t="s">
        <v>776</v>
      </c>
      <c r="J53" s="15">
        <v>46254.589212962965</v>
      </c>
      <c r="K53" s="15">
        <v>46254.65625</v>
      </c>
      <c r="L53" s="15"/>
      <c r="M53">
        <v>1</v>
      </c>
      <c r="O53" t="s">
        <v>201</v>
      </c>
      <c r="P53" t="s">
        <v>532</v>
      </c>
      <c r="S53" t="s">
        <v>371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406</v>
      </c>
      <c r="AC53">
        <v>2011</v>
      </c>
      <c r="AD53" t="s">
        <v>232</v>
      </c>
      <c r="AE53">
        <v>1</v>
      </c>
    </row>
    <row r="54" spans="1:32" x14ac:dyDescent="0.3">
      <c r="A54" t="s">
        <v>353</v>
      </c>
      <c r="B54" t="s">
        <v>57</v>
      </c>
      <c r="C54" t="s">
        <v>117</v>
      </c>
      <c r="D54" t="s">
        <v>310</v>
      </c>
      <c r="E54" t="s">
        <v>775</v>
      </c>
      <c r="F54" s="15">
        <v>46253.349317129629</v>
      </c>
      <c r="G54" t="s">
        <v>411</v>
      </c>
      <c r="H54">
        <v>1</v>
      </c>
      <c r="I54" t="s">
        <v>776</v>
      </c>
      <c r="J54" s="15">
        <v>46254.589212962965</v>
      </c>
      <c r="K54" s="15">
        <v>46254.65625</v>
      </c>
      <c r="L54" s="15"/>
      <c r="M54">
        <v>1</v>
      </c>
      <c r="O54" t="s">
        <v>201</v>
      </c>
      <c r="P54" t="s">
        <v>532</v>
      </c>
      <c r="S54" t="s">
        <v>371</v>
      </c>
      <c r="T54" t="s">
        <v>357</v>
      </c>
      <c r="U54" t="s">
        <v>262</v>
      </c>
      <c r="V54" t="s">
        <v>7</v>
      </c>
      <c r="W54" t="s">
        <v>7</v>
      </c>
      <c r="X54" t="s">
        <v>7</v>
      </c>
      <c r="AA54" t="s">
        <v>127</v>
      </c>
      <c r="AB54" t="s">
        <v>406</v>
      </c>
      <c r="AC54">
        <v>2011</v>
      </c>
      <c r="AD54" t="s">
        <v>233</v>
      </c>
      <c r="AE54">
        <v>1</v>
      </c>
    </row>
    <row r="55" spans="1:32" x14ac:dyDescent="0.3">
      <c r="A55" t="s">
        <v>353</v>
      </c>
      <c r="B55" t="s">
        <v>279</v>
      </c>
      <c r="C55" t="s">
        <v>192</v>
      </c>
      <c r="D55" t="s">
        <v>310</v>
      </c>
      <c r="E55" t="s">
        <v>783</v>
      </c>
      <c r="F55" s="15">
        <v>46251.30840277778</v>
      </c>
      <c r="G55" t="s">
        <v>417</v>
      </c>
      <c r="H55">
        <v>656</v>
      </c>
      <c r="I55" t="s">
        <v>784</v>
      </c>
      <c r="J55" s="15">
        <v>46251.581250000003</v>
      </c>
      <c r="K55" s="15">
        <v>46252.500694444447</v>
      </c>
      <c r="L55" s="15"/>
      <c r="M55">
        <v>656</v>
      </c>
      <c r="O55" t="s">
        <v>201</v>
      </c>
      <c r="P55" t="s">
        <v>532</v>
      </c>
      <c r="S55" t="s">
        <v>371</v>
      </c>
      <c r="T55" t="s">
        <v>357</v>
      </c>
      <c r="U55" t="s">
        <v>262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406</v>
      </c>
      <c r="AC55">
        <v>2011</v>
      </c>
      <c r="AD55" t="s">
        <v>232</v>
      </c>
      <c r="AE55">
        <v>656</v>
      </c>
    </row>
    <row r="56" spans="1:32" x14ac:dyDescent="0.3">
      <c r="A56" t="s">
        <v>353</v>
      </c>
      <c r="B56" t="s">
        <v>63</v>
      </c>
      <c r="C56" t="s">
        <v>95</v>
      </c>
      <c r="D56" t="s">
        <v>310</v>
      </c>
      <c r="E56" t="s">
        <v>777</v>
      </c>
      <c r="F56" s="15">
        <v>46253.33861111111</v>
      </c>
      <c r="G56" t="s">
        <v>417</v>
      </c>
      <c r="H56">
        <v>2</v>
      </c>
      <c r="I56" t="s">
        <v>778</v>
      </c>
      <c r="J56" s="15">
        <v>46254.578773148147</v>
      </c>
      <c r="K56" s="15">
        <v>46254.634722222225</v>
      </c>
      <c r="L56" s="15"/>
      <c r="M56">
        <v>2</v>
      </c>
      <c r="O56" t="s">
        <v>201</v>
      </c>
      <c r="P56" t="s">
        <v>532</v>
      </c>
      <c r="S56" t="s">
        <v>371</v>
      </c>
      <c r="T56" t="s">
        <v>357</v>
      </c>
      <c r="U56" t="s">
        <v>262</v>
      </c>
      <c r="V56" t="s">
        <v>7</v>
      </c>
      <c r="W56" t="s">
        <v>7</v>
      </c>
      <c r="X56" t="s">
        <v>7</v>
      </c>
      <c r="AA56" t="s">
        <v>96</v>
      </c>
      <c r="AB56" t="s">
        <v>406</v>
      </c>
      <c r="AC56">
        <v>2011</v>
      </c>
      <c r="AD56" t="s">
        <v>225</v>
      </c>
      <c r="AE56">
        <v>2</v>
      </c>
    </row>
    <row r="57" spans="1:32" x14ac:dyDescent="0.3">
      <c r="A57" t="s">
        <v>353</v>
      </c>
      <c r="B57" t="s">
        <v>279</v>
      </c>
      <c r="C57" t="s">
        <v>192</v>
      </c>
      <c r="D57" t="s">
        <v>310</v>
      </c>
      <c r="E57" t="s">
        <v>787</v>
      </c>
      <c r="F57" s="15">
        <v>46176.3434837963</v>
      </c>
      <c r="G57" t="s">
        <v>417</v>
      </c>
      <c r="H57">
        <v>1289</v>
      </c>
      <c r="I57" t="s">
        <v>788</v>
      </c>
      <c r="J57" s="15">
        <v>46176.640972222223</v>
      </c>
      <c r="K57" s="15">
        <v>46232.525000000001</v>
      </c>
      <c r="L57" s="15"/>
      <c r="M57">
        <v>1289</v>
      </c>
      <c r="S57" t="s">
        <v>371</v>
      </c>
      <c r="T57" t="s">
        <v>357</v>
      </c>
      <c r="U57" t="s">
        <v>262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406</v>
      </c>
      <c r="AC57">
        <v>2011</v>
      </c>
      <c r="AD57" t="s">
        <v>232</v>
      </c>
      <c r="AE57">
        <v>1289</v>
      </c>
      <c r="AF57">
        <v>283.2</v>
      </c>
    </row>
    <row r="58" spans="1:32" x14ac:dyDescent="0.3">
      <c r="A58" t="s">
        <v>353</v>
      </c>
      <c r="B58" t="s">
        <v>51</v>
      </c>
      <c r="C58" t="s">
        <v>258</v>
      </c>
      <c r="D58" t="s">
        <v>310</v>
      </c>
      <c r="E58" t="s">
        <v>789</v>
      </c>
      <c r="F58" s="15">
        <v>46227.403078703705</v>
      </c>
      <c r="G58" t="s">
        <v>434</v>
      </c>
      <c r="H58">
        <v>40</v>
      </c>
      <c r="I58" t="s">
        <v>790</v>
      </c>
      <c r="J58" s="15">
        <v>46227.627268518518</v>
      </c>
      <c r="K58" s="15">
        <v>46234.486111111109</v>
      </c>
      <c r="L58" s="15"/>
      <c r="M58">
        <v>40</v>
      </c>
      <c r="O58" t="s">
        <v>201</v>
      </c>
      <c r="P58" t="s">
        <v>531</v>
      </c>
      <c r="S58" t="s">
        <v>371</v>
      </c>
      <c r="T58" t="s">
        <v>357</v>
      </c>
      <c r="U58" t="s">
        <v>262</v>
      </c>
      <c r="V58" t="s">
        <v>7</v>
      </c>
      <c r="W58" t="s">
        <v>7</v>
      </c>
      <c r="X58" t="s">
        <v>7</v>
      </c>
      <c r="AA58" t="s">
        <v>238</v>
      </c>
      <c r="AB58" t="s">
        <v>406</v>
      </c>
      <c r="AC58">
        <v>2011</v>
      </c>
      <c r="AD58" t="s">
        <v>7</v>
      </c>
      <c r="AF58">
        <v>379.28000000000003</v>
      </c>
    </row>
    <row r="59" spans="1:32" x14ac:dyDescent="0.3">
      <c r="A59" t="s">
        <v>353</v>
      </c>
      <c r="B59" t="s">
        <v>45</v>
      </c>
      <c r="C59" t="s">
        <v>68</v>
      </c>
      <c r="D59" t="s">
        <v>310</v>
      </c>
      <c r="E59" t="s">
        <v>791</v>
      </c>
      <c r="F59" s="15">
        <v>46223.312245370369</v>
      </c>
      <c r="G59" t="s">
        <v>440</v>
      </c>
      <c r="H59">
        <v>9</v>
      </c>
      <c r="I59" t="s">
        <v>792</v>
      </c>
      <c r="J59" s="15">
        <v>46223.463888888888</v>
      </c>
      <c r="K59" s="15">
        <v>46226.486805555556</v>
      </c>
      <c r="L59" s="15"/>
      <c r="M59">
        <v>9</v>
      </c>
      <c r="O59" t="s">
        <v>201</v>
      </c>
      <c r="P59" t="s">
        <v>531</v>
      </c>
      <c r="S59" t="s">
        <v>405</v>
      </c>
      <c r="T59" t="s">
        <v>386</v>
      </c>
      <c r="U59" t="s">
        <v>295</v>
      </c>
      <c r="V59" t="s">
        <v>353</v>
      </c>
      <c r="W59" t="s">
        <v>384</v>
      </c>
      <c r="X59" t="s">
        <v>262</v>
      </c>
      <c r="AA59" t="s">
        <v>67</v>
      </c>
      <c r="AB59" t="s">
        <v>405</v>
      </c>
      <c r="AD59" t="s">
        <v>217</v>
      </c>
      <c r="AE59">
        <v>1</v>
      </c>
      <c r="AF59">
        <v>1</v>
      </c>
    </row>
    <row r="60" spans="1:32" x14ac:dyDescent="0.3">
      <c r="A60" t="s">
        <v>353</v>
      </c>
      <c r="B60" t="s">
        <v>45</v>
      </c>
      <c r="C60" t="s">
        <v>68</v>
      </c>
      <c r="D60" t="s">
        <v>310</v>
      </c>
      <c r="E60" t="s">
        <v>793</v>
      </c>
      <c r="F60" s="15">
        <v>46217.387696759259</v>
      </c>
      <c r="G60" t="s">
        <v>435</v>
      </c>
      <c r="H60">
        <v>2</v>
      </c>
      <c r="I60" t="s">
        <v>794</v>
      </c>
      <c r="J60" s="15">
        <v>46217.475694444445</v>
      </c>
      <c r="K60" s="15">
        <v>46230.486111111109</v>
      </c>
      <c r="L60" s="15"/>
      <c r="M60">
        <v>2</v>
      </c>
      <c r="O60" t="s">
        <v>201</v>
      </c>
      <c r="P60" t="s">
        <v>531</v>
      </c>
      <c r="S60" t="s">
        <v>372</v>
      </c>
      <c r="T60" t="s">
        <v>385</v>
      </c>
      <c r="U60" t="s">
        <v>265</v>
      </c>
      <c r="V60" t="s">
        <v>353</v>
      </c>
      <c r="W60" t="s">
        <v>384</v>
      </c>
      <c r="X60" t="s">
        <v>262</v>
      </c>
      <c r="Y60">
        <v>678</v>
      </c>
      <c r="AA60" t="s">
        <v>67</v>
      </c>
      <c r="AB60" t="s">
        <v>372</v>
      </c>
      <c r="AC60">
        <v>1950</v>
      </c>
      <c r="AD60" t="s">
        <v>217</v>
      </c>
      <c r="AE60">
        <v>1</v>
      </c>
      <c r="AF60">
        <v>1</v>
      </c>
    </row>
    <row r="61" spans="1:32" x14ac:dyDescent="0.3">
      <c r="A61" t="s">
        <v>353</v>
      </c>
      <c r="B61" t="s">
        <v>63</v>
      </c>
      <c r="C61" t="s">
        <v>95</v>
      </c>
      <c r="D61" t="s">
        <v>310</v>
      </c>
      <c r="E61" t="s">
        <v>795</v>
      </c>
      <c r="F61" s="15">
        <v>46244.363599537035</v>
      </c>
      <c r="G61" t="s">
        <v>417</v>
      </c>
      <c r="H61">
        <v>9</v>
      </c>
      <c r="I61" t="s">
        <v>796</v>
      </c>
      <c r="J61" s="15">
        <v>46244.70039351852</v>
      </c>
      <c r="K61" s="15">
        <v>46246.680555555555</v>
      </c>
      <c r="L61" s="15"/>
      <c r="M61">
        <v>9</v>
      </c>
      <c r="O61" t="s">
        <v>201</v>
      </c>
      <c r="P61" t="s">
        <v>532</v>
      </c>
      <c r="S61" t="s">
        <v>371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406</v>
      </c>
      <c r="AC61">
        <v>2011</v>
      </c>
      <c r="AD61" t="s">
        <v>225</v>
      </c>
      <c r="AE61">
        <v>9</v>
      </c>
      <c r="AF61">
        <v>74</v>
      </c>
    </row>
    <row r="62" spans="1:32" x14ac:dyDescent="0.3">
      <c r="A62" t="s">
        <v>353</v>
      </c>
      <c r="B62" t="s">
        <v>57</v>
      </c>
      <c r="C62" t="s">
        <v>117</v>
      </c>
      <c r="D62" t="s">
        <v>310</v>
      </c>
      <c r="E62" t="s">
        <v>795</v>
      </c>
      <c r="F62" s="15">
        <v>46244.363599537035</v>
      </c>
      <c r="G62" t="s">
        <v>417</v>
      </c>
      <c r="H62">
        <v>9</v>
      </c>
      <c r="I62" t="s">
        <v>796</v>
      </c>
      <c r="J62" s="15">
        <v>46244.70039351852</v>
      </c>
      <c r="K62" s="15">
        <v>46246.680555555555</v>
      </c>
      <c r="L62" s="15"/>
      <c r="M62">
        <v>9</v>
      </c>
      <c r="O62" t="s">
        <v>201</v>
      </c>
      <c r="P62" t="s">
        <v>532</v>
      </c>
      <c r="S62" t="s">
        <v>371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127</v>
      </c>
      <c r="AB62" t="s">
        <v>406</v>
      </c>
      <c r="AC62">
        <v>2011</v>
      </c>
      <c r="AD62" t="s">
        <v>233</v>
      </c>
      <c r="AE62">
        <v>1</v>
      </c>
    </row>
    <row r="63" spans="1:32" x14ac:dyDescent="0.3">
      <c r="A63" t="s">
        <v>353</v>
      </c>
      <c r="B63" t="s">
        <v>279</v>
      </c>
      <c r="C63" t="s">
        <v>192</v>
      </c>
      <c r="D63" t="s">
        <v>310</v>
      </c>
      <c r="E63" t="s">
        <v>795</v>
      </c>
      <c r="F63" s="15">
        <v>46244.363599537035</v>
      </c>
      <c r="G63" t="s">
        <v>417</v>
      </c>
      <c r="H63">
        <v>730</v>
      </c>
      <c r="I63" t="s">
        <v>796</v>
      </c>
      <c r="J63" s="15">
        <v>46244.70039351852</v>
      </c>
      <c r="K63" s="15">
        <v>46246.680555555555</v>
      </c>
      <c r="L63" s="15"/>
      <c r="M63">
        <v>730</v>
      </c>
      <c r="O63" t="s">
        <v>201</v>
      </c>
      <c r="P63" t="s">
        <v>532</v>
      </c>
      <c r="S63" t="s">
        <v>371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406</v>
      </c>
      <c r="AC63">
        <v>2011</v>
      </c>
      <c r="AD63" t="s">
        <v>232</v>
      </c>
      <c r="AE63">
        <v>730</v>
      </c>
    </row>
    <row r="64" spans="1:32" x14ac:dyDescent="0.3">
      <c r="A64" t="s">
        <v>353</v>
      </c>
      <c r="B64" t="s">
        <v>63</v>
      </c>
      <c r="C64" t="s">
        <v>95</v>
      </c>
      <c r="D64" t="s">
        <v>310</v>
      </c>
      <c r="E64" t="s">
        <v>797</v>
      </c>
      <c r="F64" s="15">
        <v>46232.31826388889</v>
      </c>
      <c r="G64" t="s">
        <v>411</v>
      </c>
      <c r="H64">
        <v>1</v>
      </c>
      <c r="I64" t="s">
        <v>798</v>
      </c>
      <c r="J64" s="15">
        <v>46232.40520833333</v>
      </c>
      <c r="K64" s="15">
        <v>46239.288888888892</v>
      </c>
      <c r="L64" s="15"/>
      <c r="M64">
        <v>1</v>
      </c>
      <c r="O64" t="s">
        <v>201</v>
      </c>
      <c r="P64" t="s">
        <v>532</v>
      </c>
      <c r="S64" t="s">
        <v>371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406</v>
      </c>
      <c r="AC64">
        <v>2011</v>
      </c>
      <c r="AD64" t="s">
        <v>225</v>
      </c>
      <c r="AE64">
        <v>1</v>
      </c>
      <c r="AF64">
        <v>1</v>
      </c>
    </row>
    <row r="65" spans="1:32" x14ac:dyDescent="0.3">
      <c r="A65" t="s">
        <v>353</v>
      </c>
      <c r="B65" t="s">
        <v>57</v>
      </c>
      <c r="C65" t="s">
        <v>117</v>
      </c>
      <c r="D65" t="s">
        <v>310</v>
      </c>
      <c r="E65" t="s">
        <v>797</v>
      </c>
      <c r="F65" s="15">
        <v>46232.31826388889</v>
      </c>
      <c r="G65" t="s">
        <v>411</v>
      </c>
      <c r="H65">
        <v>1</v>
      </c>
      <c r="I65" t="s">
        <v>798</v>
      </c>
      <c r="J65" s="15">
        <v>46232.40520833333</v>
      </c>
      <c r="K65" s="15">
        <v>46239.288888888892</v>
      </c>
      <c r="L65" s="15"/>
      <c r="M65">
        <v>1</v>
      </c>
      <c r="O65" t="s">
        <v>201</v>
      </c>
      <c r="P65" t="s">
        <v>532</v>
      </c>
      <c r="S65" t="s">
        <v>371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127</v>
      </c>
      <c r="AB65" t="s">
        <v>406</v>
      </c>
      <c r="AC65">
        <v>2011</v>
      </c>
      <c r="AD65" t="s">
        <v>233</v>
      </c>
      <c r="AE65">
        <v>1</v>
      </c>
    </row>
    <row r="66" spans="1:32" x14ac:dyDescent="0.3">
      <c r="A66" t="s">
        <v>353</v>
      </c>
      <c r="B66" t="s">
        <v>279</v>
      </c>
      <c r="C66" t="s">
        <v>192</v>
      </c>
      <c r="D66" t="s">
        <v>310</v>
      </c>
      <c r="E66" t="s">
        <v>797</v>
      </c>
      <c r="F66" s="15">
        <v>46232.31826388889</v>
      </c>
      <c r="G66" t="s">
        <v>411</v>
      </c>
      <c r="H66">
        <v>8</v>
      </c>
      <c r="I66" t="s">
        <v>798</v>
      </c>
      <c r="J66" s="15">
        <v>46232.40520833333</v>
      </c>
      <c r="K66" s="15">
        <v>46239.288888888892</v>
      </c>
      <c r="L66" s="15"/>
      <c r="M66">
        <v>8</v>
      </c>
      <c r="O66" t="s">
        <v>201</v>
      </c>
      <c r="P66" t="s">
        <v>531</v>
      </c>
      <c r="S66" t="s">
        <v>371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406</v>
      </c>
      <c r="AC66">
        <v>2011</v>
      </c>
      <c r="AD66" t="s">
        <v>232</v>
      </c>
      <c r="AE66">
        <v>8</v>
      </c>
    </row>
    <row r="67" spans="1:32" x14ac:dyDescent="0.3">
      <c r="A67" t="s">
        <v>353</v>
      </c>
      <c r="B67" t="s">
        <v>63</v>
      </c>
      <c r="C67" t="s">
        <v>95</v>
      </c>
      <c r="D67" t="s">
        <v>310</v>
      </c>
      <c r="E67" t="s">
        <v>802</v>
      </c>
      <c r="F67" s="15">
        <v>46231.310787037037</v>
      </c>
      <c r="G67" t="s">
        <v>417</v>
      </c>
      <c r="H67">
        <v>13</v>
      </c>
      <c r="I67" t="s">
        <v>803</v>
      </c>
      <c r="J67" s="15">
        <v>46231.40347222222</v>
      </c>
      <c r="K67" s="15">
        <v>46233.611805555556</v>
      </c>
      <c r="L67" s="15"/>
      <c r="M67">
        <v>13</v>
      </c>
      <c r="O67" t="s">
        <v>201</v>
      </c>
      <c r="P67" t="s">
        <v>532</v>
      </c>
      <c r="S67" t="s">
        <v>371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406</v>
      </c>
      <c r="AC67">
        <v>2011</v>
      </c>
      <c r="AD67" t="s">
        <v>225</v>
      </c>
      <c r="AE67">
        <v>13</v>
      </c>
      <c r="AF67">
        <v>110.63</v>
      </c>
    </row>
    <row r="68" spans="1:32" x14ac:dyDescent="0.3">
      <c r="A68" t="s">
        <v>353</v>
      </c>
      <c r="B68" t="s">
        <v>57</v>
      </c>
      <c r="C68" t="s">
        <v>117</v>
      </c>
      <c r="D68" t="s">
        <v>310</v>
      </c>
      <c r="E68" t="s">
        <v>802</v>
      </c>
      <c r="F68" s="15">
        <v>46231.310787037037</v>
      </c>
      <c r="G68" t="s">
        <v>417</v>
      </c>
      <c r="H68">
        <v>13</v>
      </c>
      <c r="I68" t="s">
        <v>803</v>
      </c>
      <c r="J68" s="15">
        <v>46231.40347222222</v>
      </c>
      <c r="K68" s="15">
        <v>46233.611805555556</v>
      </c>
      <c r="L68" s="15"/>
      <c r="M68">
        <v>13</v>
      </c>
      <c r="O68" t="s">
        <v>201</v>
      </c>
      <c r="P68" t="s">
        <v>532</v>
      </c>
      <c r="S68" t="s">
        <v>371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AA68" t="s">
        <v>127</v>
      </c>
      <c r="AB68" t="s">
        <v>406</v>
      </c>
      <c r="AC68">
        <v>2011</v>
      </c>
      <c r="AD68" t="s">
        <v>233</v>
      </c>
      <c r="AE68">
        <v>1.3</v>
      </c>
    </row>
    <row r="69" spans="1:32" x14ac:dyDescent="0.3">
      <c r="A69" t="s">
        <v>353</v>
      </c>
      <c r="B69" t="s">
        <v>279</v>
      </c>
      <c r="C69" t="s">
        <v>192</v>
      </c>
      <c r="D69" t="s">
        <v>310</v>
      </c>
      <c r="E69" t="s">
        <v>802</v>
      </c>
      <c r="F69" s="15">
        <v>46231.310787037037</v>
      </c>
      <c r="G69" t="s">
        <v>417</v>
      </c>
      <c r="H69">
        <v>1092</v>
      </c>
      <c r="I69" t="s">
        <v>803</v>
      </c>
      <c r="J69" s="15">
        <v>46231.40347222222</v>
      </c>
      <c r="K69" s="15">
        <v>46233.611805555556</v>
      </c>
      <c r="L69" s="15"/>
      <c r="M69">
        <v>1092</v>
      </c>
      <c r="O69" t="s">
        <v>201</v>
      </c>
      <c r="P69" t="s">
        <v>532</v>
      </c>
      <c r="S69" t="s">
        <v>371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406</v>
      </c>
      <c r="AC69">
        <v>2011</v>
      </c>
      <c r="AD69" t="s">
        <v>232</v>
      </c>
      <c r="AE69">
        <v>1092</v>
      </c>
    </row>
    <row r="70" spans="1:32" x14ac:dyDescent="0.3">
      <c r="A70" t="s">
        <v>353</v>
      </c>
      <c r="B70" t="s">
        <v>63</v>
      </c>
      <c r="C70" t="s">
        <v>95</v>
      </c>
      <c r="D70" t="s">
        <v>310</v>
      </c>
      <c r="E70" t="s">
        <v>806</v>
      </c>
      <c r="F70" s="15">
        <v>46230.596712962964</v>
      </c>
      <c r="G70" t="s">
        <v>417</v>
      </c>
      <c r="H70">
        <v>4</v>
      </c>
      <c r="I70" t="s">
        <v>807</v>
      </c>
      <c r="J70" s="15">
        <v>46230.690266203703</v>
      </c>
      <c r="K70" s="15">
        <v>46232.591666666667</v>
      </c>
      <c r="L70" s="15"/>
      <c r="M70">
        <v>4</v>
      </c>
      <c r="O70" t="s">
        <v>201</v>
      </c>
      <c r="P70" t="s">
        <v>532</v>
      </c>
      <c r="S70" t="s">
        <v>371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AA70" t="s">
        <v>96</v>
      </c>
      <c r="AB70" t="s">
        <v>406</v>
      </c>
      <c r="AC70">
        <v>2011</v>
      </c>
      <c r="AD70" t="s">
        <v>225</v>
      </c>
      <c r="AE70">
        <v>4</v>
      </c>
    </row>
    <row r="71" spans="1:32" x14ac:dyDescent="0.3">
      <c r="A71" t="s">
        <v>353</v>
      </c>
      <c r="B71" t="s">
        <v>57</v>
      </c>
      <c r="C71" t="s">
        <v>117</v>
      </c>
      <c r="D71" t="s">
        <v>310</v>
      </c>
      <c r="E71" t="s">
        <v>806</v>
      </c>
      <c r="F71" s="15">
        <v>46230.596712962964</v>
      </c>
      <c r="G71" t="s">
        <v>417</v>
      </c>
      <c r="H71">
        <v>4</v>
      </c>
      <c r="I71" t="s">
        <v>807</v>
      </c>
      <c r="J71" s="15">
        <v>46230.690266203703</v>
      </c>
      <c r="K71" s="15">
        <v>46232.591666666667</v>
      </c>
      <c r="L71" s="15"/>
      <c r="M71">
        <v>4</v>
      </c>
      <c r="O71" t="s">
        <v>201</v>
      </c>
      <c r="P71" t="s">
        <v>532</v>
      </c>
      <c r="S71" t="s">
        <v>371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AA71" t="s">
        <v>127</v>
      </c>
      <c r="AB71" t="s">
        <v>406</v>
      </c>
      <c r="AC71">
        <v>2011</v>
      </c>
      <c r="AD71" t="s">
        <v>233</v>
      </c>
      <c r="AE71">
        <v>1</v>
      </c>
    </row>
    <row r="72" spans="1:32" x14ac:dyDescent="0.3">
      <c r="A72" t="s">
        <v>353</v>
      </c>
      <c r="B72" t="s">
        <v>279</v>
      </c>
      <c r="C72" t="s">
        <v>192</v>
      </c>
      <c r="D72" t="s">
        <v>310</v>
      </c>
      <c r="E72" t="s">
        <v>806</v>
      </c>
      <c r="F72" s="15">
        <v>46230.596712962964</v>
      </c>
      <c r="G72" t="s">
        <v>417</v>
      </c>
      <c r="H72">
        <v>409</v>
      </c>
      <c r="I72" t="s">
        <v>807</v>
      </c>
      <c r="J72" s="15">
        <v>46230.690266203703</v>
      </c>
      <c r="K72" s="15">
        <v>46232.591666666667</v>
      </c>
      <c r="L72" s="15"/>
      <c r="M72">
        <v>409</v>
      </c>
      <c r="O72" t="s">
        <v>201</v>
      </c>
      <c r="P72" t="s">
        <v>532</v>
      </c>
      <c r="S72" t="s">
        <v>371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406</v>
      </c>
      <c r="AC72">
        <v>2011</v>
      </c>
      <c r="AD72" t="s">
        <v>232</v>
      </c>
      <c r="AE72">
        <v>409</v>
      </c>
    </row>
    <row r="73" spans="1:32" x14ac:dyDescent="0.3">
      <c r="A73" t="s">
        <v>353</v>
      </c>
      <c r="B73" t="s">
        <v>63</v>
      </c>
      <c r="C73" t="s">
        <v>95</v>
      </c>
      <c r="D73" t="s">
        <v>310</v>
      </c>
      <c r="E73" t="s">
        <v>804</v>
      </c>
      <c r="F73" s="15">
        <v>46230.594074074077</v>
      </c>
      <c r="G73" t="s">
        <v>417</v>
      </c>
      <c r="H73">
        <v>14</v>
      </c>
      <c r="I73" t="s">
        <v>805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201</v>
      </c>
      <c r="P73" t="s">
        <v>532</v>
      </c>
      <c r="S73" t="s">
        <v>371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AA73" t="s">
        <v>96</v>
      </c>
      <c r="AB73" t="s">
        <v>406</v>
      </c>
      <c r="AC73">
        <v>2011</v>
      </c>
      <c r="AD73" t="s">
        <v>225</v>
      </c>
      <c r="AE73">
        <v>14</v>
      </c>
    </row>
    <row r="74" spans="1:32" x14ac:dyDescent="0.3">
      <c r="A74" t="s">
        <v>353</v>
      </c>
      <c r="B74" t="s">
        <v>57</v>
      </c>
      <c r="C74" t="s">
        <v>117</v>
      </c>
      <c r="D74" t="s">
        <v>310</v>
      </c>
      <c r="E74" t="s">
        <v>804</v>
      </c>
      <c r="F74" s="15">
        <v>46230.594074074077</v>
      </c>
      <c r="G74" t="s">
        <v>417</v>
      </c>
      <c r="H74">
        <v>14</v>
      </c>
      <c r="I74" t="s">
        <v>805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201</v>
      </c>
      <c r="P74" t="s">
        <v>532</v>
      </c>
      <c r="S74" t="s">
        <v>371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AA74" t="s">
        <v>127</v>
      </c>
      <c r="AB74" t="s">
        <v>406</v>
      </c>
      <c r="AC74">
        <v>2011</v>
      </c>
      <c r="AD74" t="s">
        <v>233</v>
      </c>
      <c r="AE74">
        <v>1.4</v>
      </c>
    </row>
    <row r="75" spans="1:32" x14ac:dyDescent="0.3">
      <c r="A75" t="s">
        <v>353</v>
      </c>
      <c r="B75" t="s">
        <v>279</v>
      </c>
      <c r="C75" t="s">
        <v>192</v>
      </c>
      <c r="D75" t="s">
        <v>310</v>
      </c>
      <c r="E75" t="s">
        <v>804</v>
      </c>
      <c r="F75" s="15">
        <v>46230.594074074077</v>
      </c>
      <c r="G75" t="s">
        <v>417</v>
      </c>
      <c r="H75">
        <v>1096</v>
      </c>
      <c r="I75" t="s">
        <v>805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201</v>
      </c>
      <c r="P75" t="s">
        <v>532</v>
      </c>
      <c r="S75" t="s">
        <v>371</v>
      </c>
      <c r="T75" t="s">
        <v>357</v>
      </c>
      <c r="U75" t="s">
        <v>262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406</v>
      </c>
      <c r="AC75">
        <v>2011</v>
      </c>
      <c r="AD75" t="s">
        <v>232</v>
      </c>
      <c r="AE75">
        <v>1096</v>
      </c>
    </row>
    <row r="76" spans="1:32" x14ac:dyDescent="0.3">
      <c r="A76" t="s">
        <v>353</v>
      </c>
      <c r="B76" t="s">
        <v>63</v>
      </c>
      <c r="C76" t="s">
        <v>95</v>
      </c>
      <c r="D76" t="s">
        <v>310</v>
      </c>
      <c r="E76" t="s">
        <v>808</v>
      </c>
      <c r="F76" s="15">
        <v>46192.397974537038</v>
      </c>
      <c r="G76" t="s">
        <v>411</v>
      </c>
      <c r="H76">
        <v>1</v>
      </c>
      <c r="I76" t="s">
        <v>809</v>
      </c>
      <c r="J76" s="15">
        <v>46192.704861111109</v>
      </c>
      <c r="K76" s="15">
        <v>46219.397222222222</v>
      </c>
      <c r="L76" s="15"/>
      <c r="M76">
        <v>1</v>
      </c>
      <c r="O76" t="s">
        <v>201</v>
      </c>
      <c r="P76" t="s">
        <v>532</v>
      </c>
      <c r="S76" t="s">
        <v>371</v>
      </c>
      <c r="T76" t="s">
        <v>357</v>
      </c>
      <c r="U76" t="s">
        <v>262</v>
      </c>
      <c r="V76" t="s">
        <v>7</v>
      </c>
      <c r="W76" t="s">
        <v>7</v>
      </c>
      <c r="X76" t="s">
        <v>7</v>
      </c>
      <c r="AA76" t="s">
        <v>96</v>
      </c>
      <c r="AB76" t="s">
        <v>406</v>
      </c>
      <c r="AC76">
        <v>2011</v>
      </c>
      <c r="AD76" t="s">
        <v>225</v>
      </c>
      <c r="AE76">
        <v>1</v>
      </c>
      <c r="AF76">
        <v>1</v>
      </c>
    </row>
    <row r="77" spans="1:32" x14ac:dyDescent="0.3">
      <c r="A77" t="s">
        <v>353</v>
      </c>
      <c r="B77" t="s">
        <v>57</v>
      </c>
      <c r="C77" t="s">
        <v>117</v>
      </c>
      <c r="D77" t="s">
        <v>310</v>
      </c>
      <c r="E77" t="s">
        <v>808</v>
      </c>
      <c r="F77" s="15">
        <v>46192.397974537038</v>
      </c>
      <c r="G77" t="s">
        <v>411</v>
      </c>
      <c r="H77">
        <v>1</v>
      </c>
      <c r="I77" t="s">
        <v>809</v>
      </c>
      <c r="J77" s="15">
        <v>46192.704861111109</v>
      </c>
      <c r="K77" s="15">
        <v>46219.397222222222</v>
      </c>
      <c r="L77" s="15"/>
      <c r="M77">
        <v>1</v>
      </c>
      <c r="O77" t="s">
        <v>201</v>
      </c>
      <c r="P77" t="s">
        <v>532</v>
      </c>
      <c r="S77" t="s">
        <v>371</v>
      </c>
      <c r="T77" t="s">
        <v>357</v>
      </c>
      <c r="U77" t="s">
        <v>262</v>
      </c>
      <c r="V77" t="s">
        <v>7</v>
      </c>
      <c r="W77" t="s">
        <v>7</v>
      </c>
      <c r="X77" t="s">
        <v>7</v>
      </c>
      <c r="AA77" t="s">
        <v>127</v>
      </c>
      <c r="AB77" t="s">
        <v>406</v>
      </c>
      <c r="AC77">
        <v>2011</v>
      </c>
      <c r="AD77" t="s">
        <v>233</v>
      </c>
      <c r="AE77">
        <v>1</v>
      </c>
    </row>
    <row r="78" spans="1:32" x14ac:dyDescent="0.3">
      <c r="A78" t="s">
        <v>353</v>
      </c>
      <c r="B78" t="s">
        <v>279</v>
      </c>
      <c r="C78" t="s">
        <v>192</v>
      </c>
      <c r="D78" t="s">
        <v>310</v>
      </c>
      <c r="E78" t="s">
        <v>808</v>
      </c>
      <c r="F78" s="15">
        <v>46192.397974537038</v>
      </c>
      <c r="G78" t="s">
        <v>411</v>
      </c>
      <c r="H78">
        <v>1</v>
      </c>
      <c r="I78" t="s">
        <v>809</v>
      </c>
      <c r="J78" s="15">
        <v>46192.704861111109</v>
      </c>
      <c r="K78" s="15">
        <v>46219.397222222222</v>
      </c>
      <c r="L78" s="15"/>
      <c r="M78">
        <v>1</v>
      </c>
      <c r="O78" t="s">
        <v>201</v>
      </c>
      <c r="P78" t="s">
        <v>531</v>
      </c>
      <c r="S78" t="s">
        <v>371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406</v>
      </c>
      <c r="AC78">
        <v>2011</v>
      </c>
      <c r="AD78" t="s">
        <v>232</v>
      </c>
      <c r="AE78">
        <v>1</v>
      </c>
    </row>
    <row r="79" spans="1:32" x14ac:dyDescent="0.3">
      <c r="A79" t="s">
        <v>353</v>
      </c>
      <c r="B79" t="s">
        <v>63</v>
      </c>
      <c r="C79" t="s">
        <v>95</v>
      </c>
      <c r="D79" t="s">
        <v>310</v>
      </c>
      <c r="E79" t="s">
        <v>808</v>
      </c>
      <c r="F79" s="15">
        <v>46192.397974537038</v>
      </c>
      <c r="G79" t="s">
        <v>411</v>
      </c>
      <c r="H79">
        <v>2</v>
      </c>
      <c r="I79" t="s">
        <v>809</v>
      </c>
      <c r="J79" s="15">
        <v>46192.704861111109</v>
      </c>
      <c r="K79" s="15">
        <v>46219.397222222222</v>
      </c>
      <c r="L79" s="15"/>
      <c r="M79">
        <v>1</v>
      </c>
      <c r="O79" t="s">
        <v>529</v>
      </c>
      <c r="S79" t="s">
        <v>371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96</v>
      </c>
      <c r="AB79" t="s">
        <v>406</v>
      </c>
      <c r="AC79">
        <v>2011</v>
      </c>
      <c r="AD79" t="s">
        <v>225</v>
      </c>
      <c r="AE79">
        <v>1</v>
      </c>
    </row>
    <row r="80" spans="1:32" x14ac:dyDescent="0.3">
      <c r="A80" t="s">
        <v>353</v>
      </c>
      <c r="B80" t="s">
        <v>57</v>
      </c>
      <c r="C80" t="s">
        <v>117</v>
      </c>
      <c r="D80" t="s">
        <v>310</v>
      </c>
      <c r="E80" t="s">
        <v>808</v>
      </c>
      <c r="F80" s="15">
        <v>46192.397974537038</v>
      </c>
      <c r="G80" t="s">
        <v>411</v>
      </c>
      <c r="H80">
        <v>2</v>
      </c>
      <c r="I80" t="s">
        <v>809</v>
      </c>
      <c r="J80" s="15">
        <v>46192.704861111109</v>
      </c>
      <c r="K80" s="15">
        <v>46219.397222222222</v>
      </c>
      <c r="L80" s="15"/>
      <c r="M80">
        <v>1</v>
      </c>
      <c r="O80" t="s">
        <v>529</v>
      </c>
      <c r="S80" t="s">
        <v>371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127</v>
      </c>
      <c r="AB80" t="s">
        <v>406</v>
      </c>
      <c r="AC80">
        <v>2011</v>
      </c>
      <c r="AD80" t="s">
        <v>233</v>
      </c>
      <c r="AE80">
        <v>1</v>
      </c>
    </row>
    <row r="81" spans="1:32" x14ac:dyDescent="0.3">
      <c r="A81" t="s">
        <v>353</v>
      </c>
      <c r="B81" t="s">
        <v>279</v>
      </c>
      <c r="C81" t="s">
        <v>192</v>
      </c>
      <c r="D81" t="s">
        <v>310</v>
      </c>
      <c r="E81" t="s">
        <v>808</v>
      </c>
      <c r="F81" s="15">
        <v>46192.397974537038</v>
      </c>
      <c r="G81" t="s">
        <v>411</v>
      </c>
      <c r="H81">
        <v>6</v>
      </c>
      <c r="I81" t="s">
        <v>809</v>
      </c>
      <c r="J81" s="15">
        <v>46192.704861111109</v>
      </c>
      <c r="K81" s="15">
        <v>46219.397222222222</v>
      </c>
      <c r="L81" s="15"/>
      <c r="M81">
        <v>5</v>
      </c>
      <c r="O81" t="s">
        <v>529</v>
      </c>
      <c r="S81" t="s">
        <v>371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406</v>
      </c>
      <c r="AC81">
        <v>2011</v>
      </c>
      <c r="AD81" t="s">
        <v>232</v>
      </c>
      <c r="AE81">
        <v>5</v>
      </c>
    </row>
    <row r="82" spans="1:32" x14ac:dyDescent="0.3">
      <c r="A82" t="s">
        <v>353</v>
      </c>
      <c r="B82" t="s">
        <v>63</v>
      </c>
      <c r="C82" t="s">
        <v>95</v>
      </c>
      <c r="D82" t="s">
        <v>310</v>
      </c>
      <c r="E82" t="s">
        <v>787</v>
      </c>
      <c r="F82" s="15">
        <v>46176.3434837963</v>
      </c>
      <c r="G82" t="s">
        <v>417</v>
      </c>
      <c r="H82">
        <v>16</v>
      </c>
      <c r="I82" t="s">
        <v>788</v>
      </c>
      <c r="J82" s="15">
        <v>46176.640972222223</v>
      </c>
      <c r="K82" s="15">
        <v>46232.525000000001</v>
      </c>
      <c r="L82" s="15"/>
      <c r="M82">
        <v>16</v>
      </c>
      <c r="O82" t="s">
        <v>201</v>
      </c>
      <c r="P82" t="s">
        <v>532</v>
      </c>
      <c r="S82" t="s">
        <v>371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AA82" t="s">
        <v>96</v>
      </c>
      <c r="AB82" t="s">
        <v>406</v>
      </c>
      <c r="AC82">
        <v>2011</v>
      </c>
      <c r="AD82" t="s">
        <v>225</v>
      </c>
      <c r="AE82">
        <v>16</v>
      </c>
    </row>
    <row r="83" spans="1:32" x14ac:dyDescent="0.3">
      <c r="A83" t="s">
        <v>353</v>
      </c>
      <c r="B83" t="s">
        <v>57</v>
      </c>
      <c r="C83" t="s">
        <v>117</v>
      </c>
      <c r="D83" t="s">
        <v>310</v>
      </c>
      <c r="E83" t="s">
        <v>787</v>
      </c>
      <c r="F83" s="15">
        <v>46176.3434837963</v>
      </c>
      <c r="G83" t="s">
        <v>417</v>
      </c>
      <c r="H83">
        <v>16</v>
      </c>
      <c r="I83" t="s">
        <v>788</v>
      </c>
      <c r="J83" s="15">
        <v>46176.640972222223</v>
      </c>
      <c r="K83" s="15">
        <v>46232.525000000001</v>
      </c>
      <c r="L83" s="15"/>
      <c r="M83">
        <v>16</v>
      </c>
      <c r="O83" t="s">
        <v>201</v>
      </c>
      <c r="P83" t="s">
        <v>532</v>
      </c>
      <c r="S83" t="s">
        <v>371</v>
      </c>
      <c r="T83" t="s">
        <v>357</v>
      </c>
      <c r="U83" t="s">
        <v>262</v>
      </c>
      <c r="V83" t="s">
        <v>7</v>
      </c>
      <c r="W83" t="s">
        <v>7</v>
      </c>
      <c r="X83" t="s">
        <v>7</v>
      </c>
      <c r="AA83" t="s">
        <v>127</v>
      </c>
      <c r="AB83" t="s">
        <v>406</v>
      </c>
      <c r="AC83">
        <v>2011</v>
      </c>
      <c r="AD83" t="s">
        <v>233</v>
      </c>
      <c r="AE83">
        <v>1.6</v>
      </c>
    </row>
    <row r="84" spans="1:32" x14ac:dyDescent="0.3">
      <c r="A84" t="s">
        <v>353</v>
      </c>
      <c r="B84" t="s">
        <v>279</v>
      </c>
      <c r="C84" t="s">
        <v>192</v>
      </c>
      <c r="D84" t="s">
        <v>310</v>
      </c>
      <c r="E84" t="s">
        <v>799</v>
      </c>
      <c r="F84" s="15">
        <v>46232.494386574072</v>
      </c>
      <c r="G84" t="s">
        <v>800</v>
      </c>
      <c r="H84">
        <v>2565</v>
      </c>
      <c r="I84" t="s">
        <v>801</v>
      </c>
      <c r="J84" s="15">
        <v>46232.61041666667</v>
      </c>
      <c r="K84" s="15">
        <v>46237.611111111109</v>
      </c>
      <c r="L84" s="15"/>
      <c r="M84">
        <v>2565</v>
      </c>
      <c r="O84" t="s">
        <v>201</v>
      </c>
      <c r="P84" t="s">
        <v>532</v>
      </c>
      <c r="S84" t="s">
        <v>371</v>
      </c>
      <c r="T84" t="s">
        <v>357</v>
      </c>
      <c r="U84" t="s">
        <v>262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406</v>
      </c>
      <c r="AC84">
        <v>2011</v>
      </c>
      <c r="AD84" t="s">
        <v>232</v>
      </c>
      <c r="AE84">
        <v>2565</v>
      </c>
      <c r="AF84">
        <v>260.13</v>
      </c>
    </row>
    <row r="85" spans="1:32" x14ac:dyDescent="0.3">
      <c r="A85" t="s">
        <v>353</v>
      </c>
      <c r="B85" t="s">
        <v>51</v>
      </c>
      <c r="C85" t="s">
        <v>258</v>
      </c>
      <c r="D85" t="s">
        <v>310</v>
      </c>
      <c r="E85" t="s">
        <v>810</v>
      </c>
      <c r="F85" s="15">
        <v>46223.473726851851</v>
      </c>
      <c r="G85" t="s">
        <v>412</v>
      </c>
      <c r="H85">
        <v>80</v>
      </c>
      <c r="I85" t="s">
        <v>811</v>
      </c>
      <c r="J85" s="15">
        <v>46223.613449074073</v>
      </c>
      <c r="K85" s="15">
        <v>46223.613449074073</v>
      </c>
      <c r="L85" s="15"/>
      <c r="M85">
        <v>80</v>
      </c>
      <c r="O85" t="s">
        <v>201</v>
      </c>
      <c r="P85" t="s">
        <v>532</v>
      </c>
      <c r="S85" t="s">
        <v>371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238</v>
      </c>
      <c r="AB85" t="s">
        <v>406</v>
      </c>
      <c r="AC85">
        <v>2011</v>
      </c>
      <c r="AD85" t="s">
        <v>7</v>
      </c>
      <c r="AF85">
        <v>0</v>
      </c>
    </row>
    <row r="86" spans="1:32" x14ac:dyDescent="0.3">
      <c r="A86" t="s">
        <v>353</v>
      </c>
      <c r="B86" t="s">
        <v>57</v>
      </c>
      <c r="C86" t="s">
        <v>117</v>
      </c>
      <c r="D86" t="s">
        <v>310</v>
      </c>
      <c r="E86" t="s">
        <v>799</v>
      </c>
      <c r="F86" s="15">
        <v>46232.494386574072</v>
      </c>
      <c r="G86" t="s">
        <v>800</v>
      </c>
      <c r="H86">
        <v>33</v>
      </c>
      <c r="I86" t="s">
        <v>801</v>
      </c>
      <c r="J86" s="15">
        <v>46232.61041666667</v>
      </c>
      <c r="K86" s="15">
        <v>46237.611111111109</v>
      </c>
      <c r="L86" s="15"/>
      <c r="M86">
        <v>33</v>
      </c>
      <c r="O86" t="s">
        <v>201</v>
      </c>
      <c r="P86" t="s">
        <v>532</v>
      </c>
      <c r="S86" t="s">
        <v>371</v>
      </c>
      <c r="T86" t="s">
        <v>357</v>
      </c>
      <c r="U86" t="s">
        <v>262</v>
      </c>
      <c r="V86" t="s">
        <v>7</v>
      </c>
      <c r="W86" t="s">
        <v>7</v>
      </c>
      <c r="X86" t="s">
        <v>7</v>
      </c>
      <c r="AA86" t="s">
        <v>127</v>
      </c>
      <c r="AB86" t="s">
        <v>406</v>
      </c>
      <c r="AC86">
        <v>2011</v>
      </c>
      <c r="AD86" t="s">
        <v>233</v>
      </c>
      <c r="AE86">
        <v>3.3</v>
      </c>
    </row>
    <row r="87" spans="1:32" x14ac:dyDescent="0.3">
      <c r="A87" t="s">
        <v>353</v>
      </c>
      <c r="B87" t="s">
        <v>279</v>
      </c>
      <c r="C87" t="s">
        <v>192</v>
      </c>
      <c r="D87" t="s">
        <v>310</v>
      </c>
      <c r="E87" t="s">
        <v>799</v>
      </c>
      <c r="F87" s="15">
        <v>46232.494386574072</v>
      </c>
      <c r="G87" t="s">
        <v>800</v>
      </c>
      <c r="H87">
        <v>2425</v>
      </c>
      <c r="I87" t="s">
        <v>801</v>
      </c>
      <c r="J87" s="15">
        <v>46232.61041666667</v>
      </c>
      <c r="K87" s="15">
        <v>46258.618750000001</v>
      </c>
      <c r="L87" s="15"/>
      <c r="M87">
        <v>2425</v>
      </c>
      <c r="O87" t="s">
        <v>529</v>
      </c>
      <c r="S87" t="s">
        <v>371</v>
      </c>
      <c r="T87" t="s">
        <v>357</v>
      </c>
      <c r="U87" t="s">
        <v>262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406</v>
      </c>
      <c r="AC87">
        <v>2011</v>
      </c>
      <c r="AD87" t="s">
        <v>232</v>
      </c>
      <c r="AE87">
        <v>2425</v>
      </c>
      <c r="AF87">
        <v>247.16</v>
      </c>
    </row>
    <row r="88" spans="1:32" x14ac:dyDescent="0.3">
      <c r="A88" t="s">
        <v>353</v>
      </c>
      <c r="B88" t="s">
        <v>51</v>
      </c>
      <c r="C88" t="s">
        <v>258</v>
      </c>
      <c r="D88" t="s">
        <v>310</v>
      </c>
      <c r="E88" t="s">
        <v>812</v>
      </c>
      <c r="F88" s="15">
        <v>46220.3280787037</v>
      </c>
      <c r="G88" t="s">
        <v>440</v>
      </c>
      <c r="H88">
        <v>200</v>
      </c>
      <c r="I88" t="s">
        <v>813</v>
      </c>
      <c r="J88" s="15">
        <v>46220.679861111108</v>
      </c>
      <c r="K88" s="15">
        <v>46226.486805555556</v>
      </c>
      <c r="L88" s="15"/>
      <c r="M88">
        <v>200</v>
      </c>
      <c r="O88" t="s">
        <v>201</v>
      </c>
      <c r="P88" t="s">
        <v>531</v>
      </c>
      <c r="S88" t="s">
        <v>405</v>
      </c>
      <c r="T88" t="s">
        <v>386</v>
      </c>
      <c r="U88" t="s">
        <v>295</v>
      </c>
      <c r="V88" t="s">
        <v>7</v>
      </c>
      <c r="W88" t="s">
        <v>7</v>
      </c>
      <c r="X88" t="s">
        <v>7</v>
      </c>
      <c r="AA88" t="s">
        <v>238</v>
      </c>
      <c r="AB88" t="s">
        <v>405</v>
      </c>
      <c r="AD88" t="s">
        <v>7</v>
      </c>
      <c r="AF88">
        <v>0</v>
      </c>
    </row>
    <row r="89" spans="1:32" x14ac:dyDescent="0.3">
      <c r="A89" t="s">
        <v>353</v>
      </c>
      <c r="B89" t="s">
        <v>63</v>
      </c>
      <c r="C89" t="s">
        <v>95</v>
      </c>
      <c r="D89" t="s">
        <v>310</v>
      </c>
      <c r="E89" t="s">
        <v>779</v>
      </c>
      <c r="F89" s="15">
        <v>46253.600624999999</v>
      </c>
      <c r="G89" t="s">
        <v>411</v>
      </c>
      <c r="H89">
        <v>1</v>
      </c>
      <c r="I89" t="s">
        <v>780</v>
      </c>
      <c r="J89" s="15">
        <v>46254.588888888888</v>
      </c>
      <c r="K89" s="15">
        <v>46258.355555555558</v>
      </c>
      <c r="L89" s="15"/>
      <c r="M89">
        <v>1</v>
      </c>
      <c r="O89" t="s">
        <v>201</v>
      </c>
      <c r="P89" t="s">
        <v>532</v>
      </c>
      <c r="S89" t="s">
        <v>371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AA89" t="s">
        <v>96</v>
      </c>
      <c r="AB89" t="s">
        <v>406</v>
      </c>
      <c r="AC89">
        <v>2011</v>
      </c>
      <c r="AD89" t="s">
        <v>225</v>
      </c>
      <c r="AE89">
        <v>1</v>
      </c>
    </row>
    <row r="90" spans="1:32" x14ac:dyDescent="0.3">
      <c r="A90" t="s">
        <v>353</v>
      </c>
      <c r="B90" t="s">
        <v>57</v>
      </c>
      <c r="C90" t="s">
        <v>117</v>
      </c>
      <c r="D90" t="s">
        <v>310</v>
      </c>
      <c r="E90" t="s">
        <v>779</v>
      </c>
      <c r="F90" s="15">
        <v>46253.600624999999</v>
      </c>
      <c r="G90" t="s">
        <v>411</v>
      </c>
      <c r="H90">
        <v>1</v>
      </c>
      <c r="I90" t="s">
        <v>780</v>
      </c>
      <c r="J90" s="15">
        <v>46254.588888888888</v>
      </c>
      <c r="K90" s="15">
        <v>46258.355555555558</v>
      </c>
      <c r="L90" s="15"/>
      <c r="M90">
        <v>1</v>
      </c>
      <c r="O90" t="s">
        <v>201</v>
      </c>
      <c r="P90" t="s">
        <v>532</v>
      </c>
      <c r="S90" t="s">
        <v>371</v>
      </c>
      <c r="T90" t="s">
        <v>357</v>
      </c>
      <c r="U90" t="s">
        <v>262</v>
      </c>
      <c r="V90" t="s">
        <v>7</v>
      </c>
      <c r="W90" t="s">
        <v>7</v>
      </c>
      <c r="X90" t="s">
        <v>7</v>
      </c>
      <c r="AA90" t="s">
        <v>127</v>
      </c>
      <c r="AB90" t="s">
        <v>406</v>
      </c>
      <c r="AC90">
        <v>2011</v>
      </c>
      <c r="AD90" t="s">
        <v>233</v>
      </c>
      <c r="AE90">
        <v>1</v>
      </c>
    </row>
    <row r="91" spans="1:32" x14ac:dyDescent="0.3">
      <c r="A91" t="s">
        <v>353</v>
      </c>
      <c r="B91" t="s">
        <v>279</v>
      </c>
      <c r="C91" t="s">
        <v>192</v>
      </c>
      <c r="D91" t="s">
        <v>310</v>
      </c>
      <c r="E91" t="s">
        <v>779</v>
      </c>
      <c r="F91" s="15">
        <v>46253.600624999999</v>
      </c>
      <c r="G91" t="s">
        <v>411</v>
      </c>
      <c r="H91">
        <v>5</v>
      </c>
      <c r="I91" t="s">
        <v>780</v>
      </c>
      <c r="J91" s="15">
        <v>46254.588888888888</v>
      </c>
      <c r="K91" s="15">
        <v>46258.355555555558</v>
      </c>
      <c r="L91" s="15"/>
      <c r="M91">
        <v>5</v>
      </c>
      <c r="O91" t="s">
        <v>201</v>
      </c>
      <c r="P91" t="s">
        <v>532</v>
      </c>
      <c r="S91" t="s">
        <v>371</v>
      </c>
      <c r="T91" t="s">
        <v>357</v>
      </c>
      <c r="U91" t="s">
        <v>262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406</v>
      </c>
      <c r="AC91">
        <v>2011</v>
      </c>
      <c r="AD91" t="s">
        <v>232</v>
      </c>
      <c r="AE91">
        <v>5</v>
      </c>
    </row>
    <row r="92" spans="1:32" x14ac:dyDescent="0.3">
      <c r="A92" t="s">
        <v>353</v>
      </c>
      <c r="B92" t="s">
        <v>63</v>
      </c>
      <c r="C92" t="s">
        <v>95</v>
      </c>
      <c r="D92" t="s">
        <v>310</v>
      </c>
      <c r="E92" t="s">
        <v>814</v>
      </c>
      <c r="F92" s="15">
        <v>46251.363252314812</v>
      </c>
      <c r="G92" t="s">
        <v>417</v>
      </c>
      <c r="H92">
        <v>9</v>
      </c>
      <c r="I92" t="s">
        <v>815</v>
      </c>
      <c r="J92" s="15">
        <v>46252.660416666666</v>
      </c>
      <c r="K92" s="15">
        <v>46253.341666666667</v>
      </c>
      <c r="L92" s="15"/>
      <c r="M92">
        <v>9</v>
      </c>
      <c r="O92" t="s">
        <v>201</v>
      </c>
      <c r="P92" t="s">
        <v>532</v>
      </c>
      <c r="S92" t="s">
        <v>371</v>
      </c>
      <c r="T92" t="s">
        <v>357</v>
      </c>
      <c r="U92" t="s">
        <v>262</v>
      </c>
      <c r="V92" t="s">
        <v>7</v>
      </c>
      <c r="W92" t="s">
        <v>7</v>
      </c>
      <c r="X92" t="s">
        <v>7</v>
      </c>
      <c r="AA92" t="s">
        <v>96</v>
      </c>
      <c r="AB92" t="s">
        <v>406</v>
      </c>
      <c r="AC92">
        <v>2011</v>
      </c>
      <c r="AD92" t="s">
        <v>225</v>
      </c>
      <c r="AE92">
        <v>9</v>
      </c>
      <c r="AF92">
        <v>76.400000000000006</v>
      </c>
    </row>
    <row r="93" spans="1:32" x14ac:dyDescent="0.3">
      <c r="A93" t="s">
        <v>353</v>
      </c>
      <c r="B93" t="s">
        <v>57</v>
      </c>
      <c r="C93" t="s">
        <v>117</v>
      </c>
      <c r="D93" t="s">
        <v>310</v>
      </c>
      <c r="E93" t="s">
        <v>814</v>
      </c>
      <c r="F93" s="15">
        <v>46251.363252314812</v>
      </c>
      <c r="G93" t="s">
        <v>417</v>
      </c>
      <c r="H93">
        <v>9</v>
      </c>
      <c r="I93" t="s">
        <v>815</v>
      </c>
      <c r="J93" s="15">
        <v>46252.660416666666</v>
      </c>
      <c r="K93" s="15">
        <v>46253.341666666667</v>
      </c>
      <c r="L93" s="15"/>
      <c r="M93">
        <v>9</v>
      </c>
      <c r="O93" t="s">
        <v>201</v>
      </c>
      <c r="P93" t="s">
        <v>532</v>
      </c>
      <c r="S93" t="s">
        <v>371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127</v>
      </c>
      <c r="AB93" t="s">
        <v>406</v>
      </c>
      <c r="AC93">
        <v>2011</v>
      </c>
      <c r="AD93" t="s">
        <v>233</v>
      </c>
      <c r="AE93">
        <v>1</v>
      </c>
    </row>
    <row r="94" spans="1:32" x14ac:dyDescent="0.3">
      <c r="A94" t="s">
        <v>353</v>
      </c>
      <c r="B94" t="s">
        <v>279</v>
      </c>
      <c r="C94" t="s">
        <v>192</v>
      </c>
      <c r="D94" t="s">
        <v>310</v>
      </c>
      <c r="E94" t="s">
        <v>814</v>
      </c>
      <c r="F94" s="15">
        <v>46251.363252314812</v>
      </c>
      <c r="G94" t="s">
        <v>417</v>
      </c>
      <c r="H94">
        <v>754</v>
      </c>
      <c r="I94" t="s">
        <v>815</v>
      </c>
      <c r="J94" s="15">
        <v>46252.660416666666</v>
      </c>
      <c r="K94" s="15">
        <v>46253.341666666667</v>
      </c>
      <c r="L94" s="15"/>
      <c r="M94">
        <v>754</v>
      </c>
      <c r="O94" t="s">
        <v>201</v>
      </c>
      <c r="P94" t="s">
        <v>532</v>
      </c>
      <c r="S94" t="s">
        <v>371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406</v>
      </c>
      <c r="AC94">
        <v>2011</v>
      </c>
      <c r="AD94" t="s">
        <v>232</v>
      </c>
      <c r="AE94">
        <v>754</v>
      </c>
    </row>
    <row r="95" spans="1:32" x14ac:dyDescent="0.3">
      <c r="A95" t="s">
        <v>353</v>
      </c>
      <c r="B95" t="s">
        <v>63</v>
      </c>
      <c r="C95" t="s">
        <v>95</v>
      </c>
      <c r="D95" t="s">
        <v>310</v>
      </c>
      <c r="E95" t="s">
        <v>785</v>
      </c>
      <c r="F95" s="15">
        <v>46251.313101851854</v>
      </c>
      <c r="G95" t="s">
        <v>417</v>
      </c>
      <c r="H95">
        <v>8</v>
      </c>
      <c r="I95" t="s">
        <v>786</v>
      </c>
      <c r="J95" s="15">
        <v>46251.351388888892</v>
      </c>
      <c r="K95" s="15">
        <v>46251.582638888889</v>
      </c>
      <c r="L95" s="15"/>
      <c r="M95">
        <v>8</v>
      </c>
      <c r="O95" t="s">
        <v>201</v>
      </c>
      <c r="P95" t="s">
        <v>532</v>
      </c>
      <c r="S95" t="s">
        <v>371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AA95" t="s">
        <v>96</v>
      </c>
      <c r="AB95" t="s">
        <v>406</v>
      </c>
      <c r="AC95">
        <v>2011</v>
      </c>
      <c r="AD95" t="s">
        <v>225</v>
      </c>
      <c r="AE95">
        <v>8</v>
      </c>
      <c r="AF95">
        <v>63</v>
      </c>
    </row>
    <row r="96" spans="1:32" x14ac:dyDescent="0.3">
      <c r="A96" t="s">
        <v>353</v>
      </c>
      <c r="B96" t="s">
        <v>57</v>
      </c>
      <c r="C96" t="s">
        <v>117</v>
      </c>
      <c r="D96" t="s">
        <v>310</v>
      </c>
      <c r="E96" t="s">
        <v>785</v>
      </c>
      <c r="F96" s="15">
        <v>46251.313101851854</v>
      </c>
      <c r="G96" t="s">
        <v>417</v>
      </c>
      <c r="H96">
        <v>8</v>
      </c>
      <c r="I96" t="s">
        <v>786</v>
      </c>
      <c r="J96" s="15">
        <v>46251.351388888892</v>
      </c>
      <c r="K96" s="15">
        <v>46251.582638888889</v>
      </c>
      <c r="L96" s="15"/>
      <c r="M96">
        <v>8</v>
      </c>
      <c r="O96" t="s">
        <v>201</v>
      </c>
      <c r="P96" t="s">
        <v>532</v>
      </c>
      <c r="S96" t="s">
        <v>371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127</v>
      </c>
      <c r="AB96" t="s">
        <v>406</v>
      </c>
      <c r="AC96">
        <v>2011</v>
      </c>
      <c r="AD96" t="s">
        <v>233</v>
      </c>
      <c r="AE96">
        <v>1</v>
      </c>
    </row>
    <row r="97" spans="1:32" x14ac:dyDescent="0.3">
      <c r="A97" t="s">
        <v>353</v>
      </c>
      <c r="B97" t="s">
        <v>279</v>
      </c>
      <c r="C97" t="s">
        <v>192</v>
      </c>
      <c r="D97" t="s">
        <v>310</v>
      </c>
      <c r="E97" t="s">
        <v>785</v>
      </c>
      <c r="F97" s="15">
        <v>46251.313101851854</v>
      </c>
      <c r="G97" t="s">
        <v>417</v>
      </c>
      <c r="H97">
        <v>621</v>
      </c>
      <c r="I97" t="s">
        <v>786</v>
      </c>
      <c r="J97" s="15">
        <v>46251.351388888892</v>
      </c>
      <c r="K97" s="15">
        <v>46251.582638888889</v>
      </c>
      <c r="L97" s="15"/>
      <c r="M97">
        <v>621</v>
      </c>
      <c r="O97" t="s">
        <v>201</v>
      </c>
      <c r="P97" t="s">
        <v>532</v>
      </c>
      <c r="S97" t="s">
        <v>371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406</v>
      </c>
      <c r="AC97">
        <v>2011</v>
      </c>
      <c r="AD97" t="s">
        <v>232</v>
      </c>
      <c r="AE97">
        <v>621</v>
      </c>
    </row>
    <row r="98" spans="1:32" x14ac:dyDescent="0.3">
      <c r="A98" t="s">
        <v>353</v>
      </c>
      <c r="B98" t="s">
        <v>57</v>
      </c>
      <c r="C98" t="s">
        <v>117</v>
      </c>
      <c r="D98" t="s">
        <v>310</v>
      </c>
      <c r="E98" t="s">
        <v>770</v>
      </c>
      <c r="F98" s="15">
        <v>46247.459618055553</v>
      </c>
      <c r="G98" t="s">
        <v>771</v>
      </c>
      <c r="H98">
        <v>1</v>
      </c>
      <c r="I98" t="s">
        <v>772</v>
      </c>
      <c r="J98" s="15">
        <v>46247.561030092591</v>
      </c>
      <c r="K98" s="15">
        <v>46254.421527777777</v>
      </c>
      <c r="L98" s="15"/>
      <c r="M98">
        <v>1</v>
      </c>
      <c r="O98" t="s">
        <v>201</v>
      </c>
      <c r="P98" t="s">
        <v>532</v>
      </c>
      <c r="S98" t="s">
        <v>371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127</v>
      </c>
      <c r="AB98" t="s">
        <v>406</v>
      </c>
      <c r="AC98">
        <v>2011</v>
      </c>
      <c r="AD98" t="s">
        <v>233</v>
      </c>
      <c r="AE98">
        <v>1</v>
      </c>
    </row>
    <row r="99" spans="1:32" x14ac:dyDescent="0.3">
      <c r="A99" t="s">
        <v>353</v>
      </c>
      <c r="B99" t="s">
        <v>63</v>
      </c>
      <c r="C99" t="s">
        <v>95</v>
      </c>
      <c r="D99" t="s">
        <v>310</v>
      </c>
      <c r="E99" t="s">
        <v>816</v>
      </c>
      <c r="F99" s="15">
        <v>46233.7187037037</v>
      </c>
      <c r="G99" t="s">
        <v>412</v>
      </c>
      <c r="H99">
        <v>59</v>
      </c>
      <c r="I99" t="s">
        <v>817</v>
      </c>
      <c r="J99" s="15">
        <v>46234.474305555559</v>
      </c>
      <c r="K99" s="15">
        <v>46238.618750000001</v>
      </c>
      <c r="L99" s="15"/>
      <c r="M99">
        <v>59</v>
      </c>
      <c r="O99" t="s">
        <v>201</v>
      </c>
      <c r="P99" t="s">
        <v>532</v>
      </c>
      <c r="S99" t="s">
        <v>371</v>
      </c>
      <c r="T99" t="s">
        <v>357</v>
      </c>
      <c r="U99" t="s">
        <v>262</v>
      </c>
      <c r="V99" t="s">
        <v>7</v>
      </c>
      <c r="W99" t="s">
        <v>7</v>
      </c>
      <c r="X99" t="s">
        <v>7</v>
      </c>
      <c r="AA99" t="s">
        <v>96</v>
      </c>
      <c r="AB99" t="s">
        <v>406</v>
      </c>
      <c r="AC99">
        <v>2011</v>
      </c>
      <c r="AD99" t="s">
        <v>225</v>
      </c>
      <c r="AE99">
        <v>59</v>
      </c>
      <c r="AF99">
        <v>457.78000000000003</v>
      </c>
    </row>
    <row r="100" spans="1:32" x14ac:dyDescent="0.3">
      <c r="A100" t="s">
        <v>353</v>
      </c>
      <c r="B100" t="s">
        <v>57</v>
      </c>
      <c r="C100" t="s">
        <v>117</v>
      </c>
      <c r="D100" t="s">
        <v>310</v>
      </c>
      <c r="E100" t="s">
        <v>816</v>
      </c>
      <c r="F100" s="15">
        <v>46233.7187037037</v>
      </c>
      <c r="G100" t="s">
        <v>412</v>
      </c>
      <c r="H100">
        <v>59</v>
      </c>
      <c r="I100" t="s">
        <v>817</v>
      </c>
      <c r="J100" s="15">
        <v>46234.474305555559</v>
      </c>
      <c r="K100" s="15">
        <v>46238.618750000001</v>
      </c>
      <c r="L100" s="15"/>
      <c r="M100">
        <v>59</v>
      </c>
      <c r="O100" t="s">
        <v>201</v>
      </c>
      <c r="P100" t="s">
        <v>532</v>
      </c>
      <c r="S100" t="s">
        <v>371</v>
      </c>
      <c r="T100" t="s">
        <v>357</v>
      </c>
      <c r="U100" t="s">
        <v>262</v>
      </c>
      <c r="V100" t="s">
        <v>7</v>
      </c>
      <c r="W100" t="s">
        <v>7</v>
      </c>
      <c r="X100" t="s">
        <v>7</v>
      </c>
      <c r="AA100" t="s">
        <v>127</v>
      </c>
      <c r="AB100" t="s">
        <v>406</v>
      </c>
      <c r="AC100">
        <v>2011</v>
      </c>
      <c r="AD100" t="s">
        <v>233</v>
      </c>
      <c r="AE100">
        <v>5.9</v>
      </c>
    </row>
    <row r="101" spans="1:32" x14ac:dyDescent="0.3">
      <c r="A101" t="s">
        <v>353</v>
      </c>
      <c r="B101" t="s">
        <v>279</v>
      </c>
      <c r="C101" t="s">
        <v>192</v>
      </c>
      <c r="D101" t="s">
        <v>310</v>
      </c>
      <c r="E101" t="s">
        <v>816</v>
      </c>
      <c r="F101" s="15">
        <v>46233.7187037037</v>
      </c>
      <c r="G101" t="s">
        <v>412</v>
      </c>
      <c r="H101">
        <v>2601</v>
      </c>
      <c r="I101" t="s">
        <v>817</v>
      </c>
      <c r="J101" s="15">
        <v>46234.474305555559</v>
      </c>
      <c r="K101" s="15">
        <v>46238.618750000001</v>
      </c>
      <c r="L101" s="15"/>
      <c r="M101">
        <v>2601</v>
      </c>
      <c r="O101" t="s">
        <v>201</v>
      </c>
      <c r="P101" t="s">
        <v>532</v>
      </c>
      <c r="S101" t="s">
        <v>371</v>
      </c>
      <c r="T101" t="s">
        <v>357</v>
      </c>
      <c r="U101" t="s">
        <v>262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406</v>
      </c>
      <c r="AC101">
        <v>2011</v>
      </c>
      <c r="AD101" t="s">
        <v>232</v>
      </c>
      <c r="AE101">
        <v>2601</v>
      </c>
    </row>
    <row r="102" spans="1:32" x14ac:dyDescent="0.3">
      <c r="A102" t="s">
        <v>353</v>
      </c>
      <c r="B102" t="s">
        <v>63</v>
      </c>
      <c r="C102" t="s">
        <v>95</v>
      </c>
      <c r="D102" t="s">
        <v>310</v>
      </c>
      <c r="E102" t="s">
        <v>818</v>
      </c>
      <c r="F102" s="15">
        <v>46233.717141203706</v>
      </c>
      <c r="G102" t="s">
        <v>412</v>
      </c>
      <c r="H102">
        <v>49</v>
      </c>
      <c r="I102" t="s">
        <v>819</v>
      </c>
      <c r="J102" s="15">
        <v>46234.470833333333</v>
      </c>
      <c r="K102" s="15">
        <v>46238.338888888888</v>
      </c>
      <c r="L102" s="15"/>
      <c r="M102">
        <v>49</v>
      </c>
      <c r="O102" t="s">
        <v>201</v>
      </c>
      <c r="P102" t="s">
        <v>532</v>
      </c>
      <c r="S102" t="s">
        <v>371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406</v>
      </c>
      <c r="AC102">
        <v>2011</v>
      </c>
      <c r="AD102" t="s">
        <v>225</v>
      </c>
      <c r="AE102">
        <v>49</v>
      </c>
    </row>
    <row r="103" spans="1:32" x14ac:dyDescent="0.3">
      <c r="A103" t="s">
        <v>353</v>
      </c>
      <c r="B103" t="s">
        <v>57</v>
      </c>
      <c r="C103" t="s">
        <v>117</v>
      </c>
      <c r="D103" t="s">
        <v>310</v>
      </c>
      <c r="E103" t="s">
        <v>818</v>
      </c>
      <c r="F103" s="15">
        <v>46233.717141203706</v>
      </c>
      <c r="G103" t="s">
        <v>412</v>
      </c>
      <c r="H103">
        <v>49</v>
      </c>
      <c r="I103" t="s">
        <v>819</v>
      </c>
      <c r="J103" s="15">
        <v>46234.470833333333</v>
      </c>
      <c r="K103" s="15">
        <v>46238.338888888888</v>
      </c>
      <c r="L103" s="15"/>
      <c r="M103">
        <v>49</v>
      </c>
      <c r="O103" t="s">
        <v>201</v>
      </c>
      <c r="P103" t="s">
        <v>532</v>
      </c>
      <c r="S103" t="s">
        <v>371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406</v>
      </c>
      <c r="AC103">
        <v>2011</v>
      </c>
      <c r="AD103" t="s">
        <v>233</v>
      </c>
      <c r="AE103">
        <v>4.9000000000000004</v>
      </c>
    </row>
    <row r="104" spans="1:32" x14ac:dyDescent="0.3">
      <c r="A104" t="s">
        <v>353</v>
      </c>
      <c r="B104" t="s">
        <v>279</v>
      </c>
      <c r="C104" t="s">
        <v>192</v>
      </c>
      <c r="D104" t="s">
        <v>310</v>
      </c>
      <c r="E104" t="s">
        <v>818</v>
      </c>
      <c r="F104" s="15">
        <v>46233.717141203706</v>
      </c>
      <c r="G104" t="s">
        <v>412</v>
      </c>
      <c r="H104">
        <v>1858</v>
      </c>
      <c r="I104" t="s">
        <v>819</v>
      </c>
      <c r="J104" s="15">
        <v>46234.470833333333</v>
      </c>
      <c r="K104" s="15">
        <v>46238.338888888888</v>
      </c>
      <c r="L104" s="15"/>
      <c r="M104">
        <v>1858</v>
      </c>
      <c r="O104" t="s">
        <v>201</v>
      </c>
      <c r="P104" t="s">
        <v>532</v>
      </c>
      <c r="S104" t="s">
        <v>371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406</v>
      </c>
      <c r="AC104">
        <v>2011</v>
      </c>
      <c r="AD104" t="s">
        <v>232</v>
      </c>
      <c r="AE104">
        <v>1858</v>
      </c>
    </row>
    <row r="105" spans="1:32" x14ac:dyDescent="0.3">
      <c r="A105" t="s">
        <v>353</v>
      </c>
      <c r="B105" t="s">
        <v>63</v>
      </c>
      <c r="C105" t="s">
        <v>95</v>
      </c>
      <c r="D105" t="s">
        <v>310</v>
      </c>
      <c r="E105" t="s">
        <v>799</v>
      </c>
      <c r="F105" s="15">
        <v>46232.494386574072</v>
      </c>
      <c r="G105" t="s">
        <v>800</v>
      </c>
      <c r="H105">
        <v>24</v>
      </c>
      <c r="I105" t="s">
        <v>801</v>
      </c>
      <c r="J105" s="15">
        <v>46232.61041666667</v>
      </c>
      <c r="K105" s="15">
        <v>46234.609722222223</v>
      </c>
      <c r="L105" s="15"/>
      <c r="M105">
        <v>24</v>
      </c>
      <c r="O105" t="s">
        <v>201</v>
      </c>
      <c r="P105" t="s">
        <v>532</v>
      </c>
      <c r="S105" t="s">
        <v>371</v>
      </c>
      <c r="T105" t="s">
        <v>357</v>
      </c>
      <c r="U105" t="s">
        <v>262</v>
      </c>
      <c r="V105" t="s">
        <v>7</v>
      </c>
      <c r="W105" t="s">
        <v>7</v>
      </c>
      <c r="X105" t="s">
        <v>7</v>
      </c>
      <c r="AA105" t="s">
        <v>96</v>
      </c>
      <c r="AB105" t="s">
        <v>406</v>
      </c>
      <c r="AC105">
        <v>2011</v>
      </c>
      <c r="AD105" t="s">
        <v>225</v>
      </c>
      <c r="AE105">
        <v>24</v>
      </c>
    </row>
    <row r="106" spans="1:32" x14ac:dyDescent="0.3">
      <c r="A106" t="s">
        <v>353</v>
      </c>
      <c r="B106" t="s">
        <v>57</v>
      </c>
      <c r="C106" t="s">
        <v>117</v>
      </c>
      <c r="D106" t="s">
        <v>310</v>
      </c>
      <c r="E106" t="s">
        <v>799</v>
      </c>
      <c r="F106" s="15">
        <v>46232.494386574072</v>
      </c>
      <c r="G106" t="s">
        <v>800</v>
      </c>
      <c r="H106">
        <v>24</v>
      </c>
      <c r="I106" t="s">
        <v>801</v>
      </c>
      <c r="J106" s="15">
        <v>46232.61041666667</v>
      </c>
      <c r="K106" s="15">
        <v>46234.609722222223</v>
      </c>
      <c r="L106" s="15"/>
      <c r="M106">
        <v>24</v>
      </c>
      <c r="O106" t="s">
        <v>529</v>
      </c>
      <c r="S106" t="s">
        <v>371</v>
      </c>
      <c r="T106" t="s">
        <v>357</v>
      </c>
      <c r="U106" t="s">
        <v>262</v>
      </c>
      <c r="V106" t="s">
        <v>7</v>
      </c>
      <c r="W106" t="s">
        <v>7</v>
      </c>
      <c r="X106" t="s">
        <v>7</v>
      </c>
      <c r="AA106" t="s">
        <v>127</v>
      </c>
      <c r="AB106" t="s">
        <v>406</v>
      </c>
      <c r="AC106">
        <v>2011</v>
      </c>
      <c r="AD106" t="s">
        <v>233</v>
      </c>
      <c r="AE106">
        <v>2.4</v>
      </c>
    </row>
    <row r="107" spans="1:32" x14ac:dyDescent="0.3">
      <c r="A107" t="s">
        <v>353</v>
      </c>
      <c r="B107" t="s">
        <v>279</v>
      </c>
      <c r="C107" t="s">
        <v>192</v>
      </c>
      <c r="D107" t="s">
        <v>310</v>
      </c>
      <c r="E107" t="s">
        <v>799</v>
      </c>
      <c r="F107" s="15">
        <v>46232.494386574072</v>
      </c>
      <c r="G107" t="s">
        <v>800</v>
      </c>
      <c r="H107">
        <v>1610</v>
      </c>
      <c r="I107" t="s">
        <v>801</v>
      </c>
      <c r="J107" s="15">
        <v>46232.61041666667</v>
      </c>
      <c r="K107" s="15">
        <v>46234.609722222223</v>
      </c>
      <c r="L107" s="15"/>
      <c r="M107">
        <v>1610</v>
      </c>
      <c r="O107" t="s">
        <v>529</v>
      </c>
      <c r="S107" t="s">
        <v>371</v>
      </c>
      <c r="T107" t="s">
        <v>357</v>
      </c>
      <c r="U107" t="s">
        <v>262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406</v>
      </c>
      <c r="AC107">
        <v>2011</v>
      </c>
      <c r="AD107" t="s">
        <v>232</v>
      </c>
      <c r="AE107">
        <v>1610</v>
      </c>
    </row>
    <row r="108" spans="1:32" x14ac:dyDescent="0.3">
      <c r="A108" t="s">
        <v>353</v>
      </c>
      <c r="B108" t="s">
        <v>63</v>
      </c>
      <c r="C108" t="s">
        <v>95</v>
      </c>
      <c r="D108" t="s">
        <v>310</v>
      </c>
      <c r="E108" t="s">
        <v>799</v>
      </c>
      <c r="F108" s="15">
        <v>46232.494386574072</v>
      </c>
      <c r="G108" t="s">
        <v>800</v>
      </c>
      <c r="H108">
        <v>24</v>
      </c>
      <c r="I108" t="s">
        <v>801</v>
      </c>
      <c r="J108" s="15">
        <v>46232.61041666667</v>
      </c>
      <c r="K108" s="15">
        <v>46234.683333333334</v>
      </c>
      <c r="L108" s="15"/>
      <c r="M108">
        <v>24</v>
      </c>
      <c r="O108" t="s">
        <v>529</v>
      </c>
      <c r="S108" t="s">
        <v>371</v>
      </c>
      <c r="T108" t="s">
        <v>357</v>
      </c>
      <c r="U108" t="s">
        <v>262</v>
      </c>
      <c r="V108" t="s">
        <v>7</v>
      </c>
      <c r="W108" t="s">
        <v>7</v>
      </c>
      <c r="X108" t="s">
        <v>7</v>
      </c>
      <c r="AA108" t="s">
        <v>96</v>
      </c>
      <c r="AB108" t="s">
        <v>406</v>
      </c>
      <c r="AC108">
        <v>2011</v>
      </c>
      <c r="AD108" t="s">
        <v>225</v>
      </c>
      <c r="AE108">
        <v>24</v>
      </c>
    </row>
    <row r="109" spans="1:32" x14ac:dyDescent="0.3">
      <c r="A109" t="s">
        <v>353</v>
      </c>
      <c r="B109" t="s">
        <v>57</v>
      </c>
      <c r="C109" t="s">
        <v>117</v>
      </c>
      <c r="D109" t="s">
        <v>310</v>
      </c>
      <c r="E109" t="s">
        <v>799</v>
      </c>
      <c r="F109" s="15">
        <v>46232.494386574072</v>
      </c>
      <c r="G109" t="s">
        <v>800</v>
      </c>
      <c r="H109">
        <v>24</v>
      </c>
      <c r="I109" t="s">
        <v>801</v>
      </c>
      <c r="J109" s="15">
        <v>46232.61041666667</v>
      </c>
      <c r="K109" s="15">
        <v>46234.683333333334</v>
      </c>
      <c r="L109" s="15"/>
      <c r="M109">
        <v>24</v>
      </c>
      <c r="O109" t="s">
        <v>529</v>
      </c>
      <c r="S109" t="s">
        <v>371</v>
      </c>
      <c r="T109" t="s">
        <v>357</v>
      </c>
      <c r="U109" t="s">
        <v>262</v>
      </c>
      <c r="V109" t="s">
        <v>7</v>
      </c>
      <c r="W109" t="s">
        <v>7</v>
      </c>
      <c r="X109" t="s">
        <v>7</v>
      </c>
      <c r="AA109" t="s">
        <v>127</v>
      </c>
      <c r="AB109" t="s">
        <v>406</v>
      </c>
      <c r="AC109">
        <v>2011</v>
      </c>
      <c r="AD109" t="s">
        <v>233</v>
      </c>
      <c r="AE109">
        <v>2.4</v>
      </c>
    </row>
    <row r="110" spans="1:32" x14ac:dyDescent="0.3">
      <c r="A110" t="s">
        <v>353</v>
      </c>
      <c r="B110" t="s">
        <v>279</v>
      </c>
      <c r="C110" t="s">
        <v>192</v>
      </c>
      <c r="D110" t="s">
        <v>310</v>
      </c>
      <c r="E110" t="s">
        <v>799</v>
      </c>
      <c r="F110" s="15">
        <v>46232.494386574072</v>
      </c>
      <c r="G110" t="s">
        <v>800</v>
      </c>
      <c r="H110">
        <v>2130</v>
      </c>
      <c r="I110" t="s">
        <v>801</v>
      </c>
      <c r="J110" s="15">
        <v>46232.61041666667</v>
      </c>
      <c r="K110" s="15">
        <v>46234.683333333334</v>
      </c>
      <c r="L110" s="15"/>
      <c r="M110">
        <v>2130</v>
      </c>
      <c r="O110" t="s">
        <v>529</v>
      </c>
      <c r="S110" t="s">
        <v>371</v>
      </c>
      <c r="T110" t="s">
        <v>357</v>
      </c>
      <c r="U110" t="s">
        <v>262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406</v>
      </c>
      <c r="AC110">
        <v>2011</v>
      </c>
      <c r="AD110" t="s">
        <v>232</v>
      </c>
      <c r="AE110">
        <v>2130</v>
      </c>
    </row>
    <row r="111" spans="1:32" x14ac:dyDescent="0.3">
      <c r="A111" t="s">
        <v>353</v>
      </c>
      <c r="B111" t="s">
        <v>63</v>
      </c>
      <c r="C111" t="s">
        <v>95</v>
      </c>
      <c r="D111" t="s">
        <v>310</v>
      </c>
      <c r="E111" t="s">
        <v>799</v>
      </c>
      <c r="F111" s="15">
        <v>46232.494386574072</v>
      </c>
      <c r="G111" t="s">
        <v>800</v>
      </c>
      <c r="H111">
        <v>36</v>
      </c>
      <c r="I111" t="s">
        <v>801</v>
      </c>
      <c r="J111" s="15">
        <v>46232.61041666667</v>
      </c>
      <c r="K111" s="15">
        <v>46258.618750000001</v>
      </c>
      <c r="L111" s="15"/>
      <c r="M111">
        <v>36</v>
      </c>
      <c r="O111" t="s">
        <v>529</v>
      </c>
      <c r="S111" t="s">
        <v>371</v>
      </c>
      <c r="T111" t="s">
        <v>357</v>
      </c>
      <c r="U111" t="s">
        <v>262</v>
      </c>
      <c r="V111" t="s">
        <v>7</v>
      </c>
      <c r="W111" t="s">
        <v>7</v>
      </c>
      <c r="X111" t="s">
        <v>7</v>
      </c>
      <c r="AA111" t="s">
        <v>96</v>
      </c>
      <c r="AB111" t="s">
        <v>406</v>
      </c>
      <c r="AC111">
        <v>2011</v>
      </c>
      <c r="AD111" t="s">
        <v>225</v>
      </c>
      <c r="AE111">
        <v>36</v>
      </c>
    </row>
    <row r="112" spans="1:32" x14ac:dyDescent="0.3">
      <c r="A112" t="s">
        <v>353</v>
      </c>
      <c r="B112" t="s">
        <v>57</v>
      </c>
      <c r="C112" t="s">
        <v>117</v>
      </c>
      <c r="D112" t="s">
        <v>310</v>
      </c>
      <c r="E112" t="s">
        <v>799</v>
      </c>
      <c r="F112" s="15">
        <v>46232.494386574072</v>
      </c>
      <c r="G112" t="s">
        <v>800</v>
      </c>
      <c r="H112">
        <v>36</v>
      </c>
      <c r="I112" t="s">
        <v>801</v>
      </c>
      <c r="J112" s="15">
        <v>46232.61041666667</v>
      </c>
      <c r="K112" s="15">
        <v>46258.618750000001</v>
      </c>
      <c r="L112" s="15"/>
      <c r="M112">
        <v>36</v>
      </c>
      <c r="O112" t="s">
        <v>529</v>
      </c>
      <c r="S112" t="s">
        <v>371</v>
      </c>
      <c r="T112" t="s">
        <v>357</v>
      </c>
      <c r="U112" t="s">
        <v>262</v>
      </c>
      <c r="V112" t="s">
        <v>7</v>
      </c>
      <c r="W112" t="s">
        <v>7</v>
      </c>
      <c r="X112" t="s">
        <v>7</v>
      </c>
      <c r="AA112" t="s">
        <v>127</v>
      </c>
      <c r="AB112" t="s">
        <v>406</v>
      </c>
      <c r="AC112">
        <v>2011</v>
      </c>
      <c r="AD112" t="s">
        <v>233</v>
      </c>
      <c r="AE112">
        <v>3.6</v>
      </c>
    </row>
    <row r="113" spans="1:31" x14ac:dyDescent="0.3">
      <c r="A113" t="s">
        <v>353</v>
      </c>
      <c r="B113" t="s">
        <v>63</v>
      </c>
      <c r="C113" t="s">
        <v>95</v>
      </c>
      <c r="D113" t="s">
        <v>310</v>
      </c>
      <c r="E113" t="s">
        <v>799</v>
      </c>
      <c r="F113" s="15">
        <v>46232.494386574072</v>
      </c>
      <c r="G113" t="s">
        <v>800</v>
      </c>
      <c r="H113">
        <v>33</v>
      </c>
      <c r="I113" t="s">
        <v>801</v>
      </c>
      <c r="J113" s="15">
        <v>46232.61041666667</v>
      </c>
      <c r="K113" s="15">
        <v>46237.611111111109</v>
      </c>
      <c r="L113" s="15"/>
      <c r="M113">
        <v>33</v>
      </c>
      <c r="O113" t="s">
        <v>529</v>
      </c>
      <c r="S113" t="s">
        <v>371</v>
      </c>
      <c r="T113" t="s">
        <v>357</v>
      </c>
      <c r="U113" t="s">
        <v>262</v>
      </c>
      <c r="V113" t="s">
        <v>7</v>
      </c>
      <c r="W113" t="s">
        <v>7</v>
      </c>
      <c r="X113" t="s">
        <v>7</v>
      </c>
      <c r="AA113" t="s">
        <v>96</v>
      </c>
      <c r="AB113" t="s">
        <v>406</v>
      </c>
      <c r="AC113">
        <v>2011</v>
      </c>
      <c r="AD113" t="s">
        <v>225</v>
      </c>
      <c r="AE113">
        <v>33</v>
      </c>
    </row>
    <row r="114" spans="1:31" x14ac:dyDescent="0.3">
      <c r="A114" t="s">
        <v>353</v>
      </c>
      <c r="B114" t="s">
        <v>63</v>
      </c>
      <c r="C114" t="s">
        <v>95</v>
      </c>
      <c r="D114" t="s">
        <v>310</v>
      </c>
      <c r="E114" t="s">
        <v>770</v>
      </c>
      <c r="F114" s="15">
        <v>46247.459618055553</v>
      </c>
      <c r="G114" t="s">
        <v>771</v>
      </c>
      <c r="H114">
        <v>1</v>
      </c>
      <c r="I114" t="s">
        <v>772</v>
      </c>
      <c r="J114" s="15">
        <v>46247.561030092591</v>
      </c>
      <c r="K114" s="15">
        <v>46254.421527777777</v>
      </c>
      <c r="L114" s="15"/>
      <c r="M114">
        <v>1</v>
      </c>
      <c r="O114" t="s">
        <v>201</v>
      </c>
      <c r="P114" t="s">
        <v>532</v>
      </c>
      <c r="S114" t="s">
        <v>371</v>
      </c>
      <c r="T114" t="s">
        <v>357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406</v>
      </c>
      <c r="AC114">
        <v>2011</v>
      </c>
      <c r="AD114" t="s">
        <v>225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353</v>
      </c>
      <c r="B2" t="s">
        <v>45</v>
      </c>
      <c r="C2" t="s">
        <v>68</v>
      </c>
      <c r="D2" s="15">
        <v>46223.312245370369</v>
      </c>
      <c r="E2" t="s">
        <v>440</v>
      </c>
      <c r="F2">
        <v>9</v>
      </c>
      <c r="G2" s="15">
        <v>46226.486805555556</v>
      </c>
      <c r="H2" t="s">
        <v>405</v>
      </c>
      <c r="I2" t="s">
        <v>386</v>
      </c>
      <c r="J2" t="s">
        <v>295</v>
      </c>
      <c r="K2" t="s">
        <v>353</v>
      </c>
      <c r="L2" t="s">
        <v>384</v>
      </c>
      <c r="M2" t="s">
        <v>262</v>
      </c>
      <c r="O2" t="s">
        <v>67</v>
      </c>
      <c r="P2" t="s">
        <v>405</v>
      </c>
      <c r="Q2" t="s">
        <v>217</v>
      </c>
      <c r="R2">
        <v>1</v>
      </c>
    </row>
    <row r="3" spans="1:18" x14ac:dyDescent="0.3">
      <c r="A3" t="s">
        <v>353</v>
      </c>
      <c r="B3" t="s">
        <v>45</v>
      </c>
      <c r="C3" t="s">
        <v>68</v>
      </c>
      <c r="D3" s="15">
        <v>46217.387696759259</v>
      </c>
      <c r="E3" t="s">
        <v>435</v>
      </c>
      <c r="F3">
        <v>2</v>
      </c>
      <c r="G3" s="15">
        <v>46230.486111111109</v>
      </c>
      <c r="H3" t="s">
        <v>372</v>
      </c>
      <c r="I3" t="s">
        <v>385</v>
      </c>
      <c r="J3" t="s">
        <v>265</v>
      </c>
      <c r="K3" t="s">
        <v>353</v>
      </c>
      <c r="L3" t="s">
        <v>384</v>
      </c>
      <c r="M3" t="s">
        <v>262</v>
      </c>
      <c r="N3">
        <v>678</v>
      </c>
      <c r="O3" t="s">
        <v>67</v>
      </c>
      <c r="P3" t="s">
        <v>372</v>
      </c>
      <c r="Q3" t="s">
        <v>217</v>
      </c>
      <c r="R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533</v>
      </c>
      <c r="C1" s="45" t="s">
        <v>2</v>
      </c>
      <c r="D1" s="45" t="s">
        <v>534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656</v>
      </c>
      <c r="K1" s="46" t="s">
        <v>210</v>
      </c>
    </row>
    <row r="2" spans="1:11" x14ac:dyDescent="0.3">
      <c r="A2" t="s">
        <v>352</v>
      </c>
      <c r="B2" t="s">
        <v>456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211</v>
      </c>
    </row>
    <row r="3" spans="1:11" x14ac:dyDescent="0.3">
      <c r="A3" t="s">
        <v>351</v>
      </c>
      <c r="B3" t="s">
        <v>456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211</v>
      </c>
    </row>
    <row r="4" spans="1:11" x14ac:dyDescent="0.3">
      <c r="A4" t="s">
        <v>351</v>
      </c>
      <c r="B4" t="s">
        <v>445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212</v>
      </c>
    </row>
    <row r="5" spans="1:11" x14ac:dyDescent="0.3">
      <c r="A5" t="s">
        <v>351</v>
      </c>
      <c r="B5" t="s">
        <v>446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447</v>
      </c>
      <c r="C6" t="s">
        <v>154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211</v>
      </c>
    </row>
    <row r="7" spans="1:11" x14ac:dyDescent="0.3">
      <c r="A7" t="s">
        <v>351</v>
      </c>
      <c r="B7" t="s">
        <v>448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449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450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451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1192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453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537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211</v>
      </c>
    </row>
    <row r="14" spans="1:11" x14ac:dyDescent="0.3">
      <c r="A14" t="s">
        <v>350</v>
      </c>
      <c r="B14" t="s">
        <v>447</v>
      </c>
      <c r="C14" t="s">
        <v>154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211</v>
      </c>
    </row>
    <row r="15" spans="1:11" x14ac:dyDescent="0.3">
      <c r="A15" t="s">
        <v>350</v>
      </c>
      <c r="B15" t="s">
        <v>454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211</v>
      </c>
    </row>
    <row r="16" spans="1:11" x14ac:dyDescent="0.3">
      <c r="A16" t="s">
        <v>350</v>
      </c>
      <c r="B16" t="s">
        <v>455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454</v>
      </c>
      <c r="C17" t="s">
        <v>538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448</v>
      </c>
      <c r="C18" t="s">
        <v>1191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445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450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539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451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450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539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457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211</v>
      </c>
    </row>
    <row r="26" spans="1:11" x14ac:dyDescent="0.3">
      <c r="A26" t="s">
        <v>353</v>
      </c>
      <c r="B26" t="s">
        <v>458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211</v>
      </c>
    </row>
    <row r="27" spans="1:11" x14ac:dyDescent="0.3">
      <c r="A27" t="s">
        <v>353</v>
      </c>
      <c r="B27" t="s">
        <v>459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211</v>
      </c>
    </row>
    <row r="28" spans="1:11" x14ac:dyDescent="0.3">
      <c r="A28" t="s">
        <v>353</v>
      </c>
      <c r="B28" t="s">
        <v>460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211</v>
      </c>
    </row>
    <row r="29" spans="1:11" x14ac:dyDescent="0.3">
      <c r="A29" t="s">
        <v>353</v>
      </c>
      <c r="B29" t="s">
        <v>461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211</v>
      </c>
    </row>
    <row r="30" spans="1:11" x14ac:dyDescent="0.3">
      <c r="A30" t="s">
        <v>353</v>
      </c>
      <c r="B30" t="s">
        <v>462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211</v>
      </c>
    </row>
    <row r="31" spans="1:11" x14ac:dyDescent="0.3">
      <c r="A31" t="s">
        <v>353</v>
      </c>
      <c r="B31" t="s">
        <v>463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211</v>
      </c>
    </row>
    <row r="32" spans="1:11" x14ac:dyDescent="0.3">
      <c r="A32" t="s">
        <v>353</v>
      </c>
      <c r="B32" t="s">
        <v>464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212</v>
      </c>
    </row>
    <row r="33" spans="1:11" x14ac:dyDescent="0.3">
      <c r="A33" t="s">
        <v>353</v>
      </c>
      <c r="B33" t="s">
        <v>465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466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213</v>
      </c>
    </row>
    <row r="35" spans="1:11" x14ac:dyDescent="0.3">
      <c r="A35" t="s">
        <v>353</v>
      </c>
      <c r="B35" t="s">
        <v>467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213</v>
      </c>
    </row>
    <row r="36" spans="1:11" x14ac:dyDescent="0.3">
      <c r="A36" t="s">
        <v>353</v>
      </c>
      <c r="B36" t="s">
        <v>468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213</v>
      </c>
    </row>
    <row r="37" spans="1:11" x14ac:dyDescent="0.3">
      <c r="A37" t="s">
        <v>353</v>
      </c>
      <c r="B37" t="s">
        <v>469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213</v>
      </c>
    </row>
    <row r="38" spans="1:11" x14ac:dyDescent="0.3">
      <c r="A38" t="s">
        <v>353</v>
      </c>
      <c r="B38" t="s">
        <v>769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85" t="s">
        <v>153</v>
      </c>
      <c r="B1" s="285"/>
      <c r="C1" s="286" t="s">
        <v>151</v>
      </c>
      <c r="D1" s="286"/>
      <c r="E1" s="286"/>
      <c r="F1" s="286"/>
      <c r="G1" s="286"/>
      <c r="H1" s="285" t="s">
        <v>152</v>
      </c>
      <c r="I1" s="285"/>
      <c r="J1" s="285"/>
      <c r="K1" s="285"/>
      <c r="L1" s="285"/>
      <c r="M1" s="286" t="s">
        <v>271</v>
      </c>
      <c r="N1" s="286"/>
      <c r="O1" s="286"/>
      <c r="P1" s="286"/>
      <c r="Q1" s="286"/>
      <c r="R1" s="285" t="s">
        <v>272</v>
      </c>
      <c r="S1" s="285"/>
      <c r="T1" s="285"/>
      <c r="U1" s="281" t="s">
        <v>273</v>
      </c>
      <c r="V1" s="282"/>
      <c r="W1" s="283"/>
      <c r="X1" s="284" t="s">
        <v>657</v>
      </c>
      <c r="Y1" s="284"/>
      <c r="Z1" s="284"/>
      <c r="AA1" s="284"/>
      <c r="AB1" s="284"/>
      <c r="AC1" s="284"/>
      <c r="AD1" s="284"/>
      <c r="AE1" s="162"/>
      <c r="AF1" s="162"/>
    </row>
    <row r="2" spans="1:32" x14ac:dyDescent="0.3">
      <c r="A2" s="215" t="s">
        <v>488</v>
      </c>
      <c r="B2" s="215" t="s">
        <v>0</v>
      </c>
      <c r="C2" s="215" t="s">
        <v>2</v>
      </c>
      <c r="D2" s="215" t="s">
        <v>138</v>
      </c>
      <c r="E2" s="215" t="s">
        <v>471</v>
      </c>
      <c r="F2" s="215" t="s">
        <v>474</v>
      </c>
      <c r="G2" s="215" t="s">
        <v>246</v>
      </c>
      <c r="H2" s="215" t="s">
        <v>472</v>
      </c>
      <c r="I2" s="215" t="s">
        <v>299</v>
      </c>
      <c r="J2" s="215" t="s">
        <v>139</v>
      </c>
      <c r="K2" s="215" t="s">
        <v>245</v>
      </c>
      <c r="L2" s="215" t="s">
        <v>247</v>
      </c>
      <c r="M2" s="215" t="s">
        <v>473</v>
      </c>
      <c r="N2" s="215" t="s">
        <v>140</v>
      </c>
      <c r="O2" s="215" t="s">
        <v>274</v>
      </c>
      <c r="P2" s="215" t="s">
        <v>145</v>
      </c>
      <c r="Q2" s="215" t="s">
        <v>664</v>
      </c>
      <c r="R2" s="215" t="s">
        <v>141</v>
      </c>
      <c r="S2" s="215" t="s">
        <v>658</v>
      </c>
      <c r="T2" s="215" t="s">
        <v>659</v>
      </c>
      <c r="U2" s="215" t="s">
        <v>660</v>
      </c>
      <c r="V2" s="215" t="s">
        <v>661</v>
      </c>
      <c r="W2" s="215" t="s">
        <v>662</v>
      </c>
      <c r="X2" s="215" t="s">
        <v>663</v>
      </c>
      <c r="Y2" s="47" t="s">
        <v>554</v>
      </c>
      <c r="Z2" s="47" t="s">
        <v>160</v>
      </c>
      <c r="AA2" s="47" t="s">
        <v>40</v>
      </c>
      <c r="AB2" s="47" t="s">
        <v>375</v>
      </c>
      <c r="AC2" s="47" t="s">
        <v>552</v>
      </c>
      <c r="AD2" s="47" t="s">
        <v>210</v>
      </c>
      <c r="AE2" s="47" t="s">
        <v>551</v>
      </c>
      <c r="AF2" s="215" t="s">
        <v>555</v>
      </c>
    </row>
    <row r="3" spans="1:32" x14ac:dyDescent="0.3">
      <c r="A3" s="215" t="s">
        <v>350</v>
      </c>
      <c r="B3" s="215" t="s">
        <v>43</v>
      </c>
      <c r="C3" s="215" t="s">
        <v>105</v>
      </c>
      <c r="D3" s="215" t="s">
        <v>310</v>
      </c>
      <c r="E3" s="215" t="s">
        <v>1142</v>
      </c>
      <c r="F3" s="15">
        <v>46240.387291666666</v>
      </c>
      <c r="G3" s="215" t="s">
        <v>412</v>
      </c>
      <c r="H3" s="215">
        <v>2</v>
      </c>
      <c r="I3" s="215" t="s">
        <v>1143</v>
      </c>
      <c r="J3" s="15">
        <v>46240.632638888892</v>
      </c>
      <c r="K3" s="15">
        <v>46241.395138888889</v>
      </c>
      <c r="L3" s="15"/>
      <c r="M3" s="215">
        <v>2</v>
      </c>
      <c r="N3" s="215"/>
      <c r="O3" s="215" t="s">
        <v>201</v>
      </c>
      <c r="P3" s="215" t="s">
        <v>532</v>
      </c>
      <c r="Q3" s="215"/>
      <c r="R3" s="215"/>
      <c r="S3" s="215" t="s">
        <v>366</v>
      </c>
      <c r="T3" s="215" t="s">
        <v>380</v>
      </c>
      <c r="U3" s="215" t="s">
        <v>240</v>
      </c>
      <c r="V3" s="215" t="s">
        <v>350</v>
      </c>
      <c r="W3" s="215" t="s">
        <v>356</v>
      </c>
      <c r="X3" s="215" t="s">
        <v>240</v>
      </c>
      <c r="Y3" s="215">
        <v>13</v>
      </c>
      <c r="Z3" s="215"/>
      <c r="AA3" s="215" t="s">
        <v>67</v>
      </c>
      <c r="AB3" s="215" t="s">
        <v>366</v>
      </c>
      <c r="AC3" s="215">
        <v>2480</v>
      </c>
      <c r="AD3" s="215" t="s">
        <v>217</v>
      </c>
      <c r="AE3" s="215">
        <v>1</v>
      </c>
      <c r="AF3" s="215">
        <v>1</v>
      </c>
    </row>
    <row r="4" spans="1:32" x14ac:dyDescent="0.3">
      <c r="A4" s="215" t="s">
        <v>350</v>
      </c>
      <c r="B4" s="215" t="s">
        <v>47</v>
      </c>
      <c r="C4" s="215" t="s">
        <v>68</v>
      </c>
      <c r="D4" s="215" t="s">
        <v>310</v>
      </c>
      <c r="E4" s="215" t="s">
        <v>1149</v>
      </c>
      <c r="F4" s="15">
        <v>46233.496469907404</v>
      </c>
      <c r="G4" s="215" t="s">
        <v>411</v>
      </c>
      <c r="H4" s="215">
        <v>2</v>
      </c>
      <c r="I4" s="215" t="s">
        <v>1150</v>
      </c>
      <c r="J4" s="15">
        <v>46233.658877314818</v>
      </c>
      <c r="K4" s="15">
        <v>46234.427083333336</v>
      </c>
      <c r="L4" s="15"/>
      <c r="M4" s="215">
        <v>2</v>
      </c>
      <c r="N4" s="215"/>
      <c r="O4" s="215" t="s">
        <v>146</v>
      </c>
      <c r="P4" s="215" t="s">
        <v>532</v>
      </c>
      <c r="Q4" s="215"/>
      <c r="R4" s="215"/>
      <c r="S4" s="215" t="s">
        <v>366</v>
      </c>
      <c r="T4" s="215" t="s">
        <v>380</v>
      </c>
      <c r="U4" s="215" t="s">
        <v>240</v>
      </c>
      <c r="V4" s="215" t="s">
        <v>350</v>
      </c>
      <c r="W4" s="215" t="s">
        <v>356</v>
      </c>
      <c r="X4" s="215" t="s">
        <v>240</v>
      </c>
      <c r="Y4" s="215">
        <v>13</v>
      </c>
      <c r="Z4" s="215"/>
      <c r="AA4" s="215" t="s">
        <v>90</v>
      </c>
      <c r="AB4" s="215" t="s">
        <v>366</v>
      </c>
      <c r="AC4" s="215">
        <v>2480</v>
      </c>
      <c r="AD4" s="215" t="s">
        <v>218</v>
      </c>
      <c r="AE4" s="215">
        <v>1</v>
      </c>
      <c r="AF4" s="215">
        <v>1</v>
      </c>
    </row>
    <row r="5" spans="1:32" x14ac:dyDescent="0.3">
      <c r="A5" s="215" t="s">
        <v>350</v>
      </c>
      <c r="B5" s="215" t="s">
        <v>45</v>
      </c>
      <c r="C5" s="215" t="s">
        <v>68</v>
      </c>
      <c r="D5" s="215" t="s">
        <v>310</v>
      </c>
      <c r="E5" s="215" t="s">
        <v>1151</v>
      </c>
      <c r="F5" s="15">
        <v>46218.662442129629</v>
      </c>
      <c r="G5" s="215" t="s">
        <v>428</v>
      </c>
      <c r="H5" s="215">
        <v>50</v>
      </c>
      <c r="I5" s="215" t="s">
        <v>1152</v>
      </c>
      <c r="J5" s="15">
        <v>46219.407569444447</v>
      </c>
      <c r="K5" s="15">
        <v>46224.486111111109</v>
      </c>
      <c r="L5" s="15">
        <v>46224.486111111109</v>
      </c>
      <c r="M5" s="215">
        <v>50</v>
      </c>
      <c r="N5" s="215"/>
      <c r="O5" s="215" t="s">
        <v>201</v>
      </c>
      <c r="P5" s="215" t="s">
        <v>531</v>
      </c>
      <c r="Q5" s="215"/>
      <c r="R5" s="215"/>
      <c r="S5" s="215" t="s">
        <v>366</v>
      </c>
      <c r="T5" s="215" t="s">
        <v>380</v>
      </c>
      <c r="U5" s="215" t="s">
        <v>240</v>
      </c>
      <c r="V5" s="215" t="s">
        <v>350</v>
      </c>
      <c r="W5" s="215" t="s">
        <v>356</v>
      </c>
      <c r="X5" s="215" t="s">
        <v>240</v>
      </c>
      <c r="Y5" s="215">
        <v>13</v>
      </c>
      <c r="Z5" s="215"/>
      <c r="AA5" s="215" t="s">
        <v>67</v>
      </c>
      <c r="AB5" s="215" t="s">
        <v>366</v>
      </c>
      <c r="AC5" s="215">
        <v>2480</v>
      </c>
      <c r="AD5" s="215" t="s">
        <v>217</v>
      </c>
      <c r="AE5" s="215">
        <v>5</v>
      </c>
      <c r="AF5" s="215">
        <v>1</v>
      </c>
    </row>
    <row r="6" spans="1:32" x14ac:dyDescent="0.3">
      <c r="A6" s="215" t="s">
        <v>350</v>
      </c>
      <c r="B6" s="215" t="s">
        <v>45</v>
      </c>
      <c r="C6" s="215" t="s">
        <v>68</v>
      </c>
      <c r="D6" s="215" t="s">
        <v>310</v>
      </c>
      <c r="E6" s="215" t="s">
        <v>1153</v>
      </c>
      <c r="F6" s="15">
        <v>46218.662719907406</v>
      </c>
      <c r="G6" s="215" t="s">
        <v>428</v>
      </c>
      <c r="H6" s="215">
        <v>50</v>
      </c>
      <c r="I6" s="215" t="s">
        <v>1154</v>
      </c>
      <c r="J6" s="15">
        <v>46219.408703703702</v>
      </c>
      <c r="K6" s="15">
        <v>46224.486111111109</v>
      </c>
      <c r="L6" s="15">
        <v>46224.486111111109</v>
      </c>
      <c r="M6" s="215">
        <v>50</v>
      </c>
      <c r="N6" s="215"/>
      <c r="O6" s="215" t="s">
        <v>201</v>
      </c>
      <c r="P6" s="215" t="s">
        <v>531</v>
      </c>
      <c r="Q6" s="215"/>
      <c r="R6" s="215"/>
      <c r="S6" s="215" t="s">
        <v>366</v>
      </c>
      <c r="T6" s="215" t="s">
        <v>380</v>
      </c>
      <c r="U6" s="215" t="s">
        <v>240</v>
      </c>
      <c r="V6" s="215" t="s">
        <v>350</v>
      </c>
      <c r="W6" s="215" t="s">
        <v>356</v>
      </c>
      <c r="X6" s="215" t="s">
        <v>240</v>
      </c>
      <c r="Y6" s="215"/>
      <c r="Z6" s="215"/>
      <c r="AA6" s="215" t="s">
        <v>67</v>
      </c>
      <c r="AB6" s="215" t="s">
        <v>366</v>
      </c>
      <c r="AC6" s="215">
        <v>2480</v>
      </c>
      <c r="AD6" s="215" t="s">
        <v>217</v>
      </c>
      <c r="AE6" s="215">
        <v>5</v>
      </c>
      <c r="AF6" s="215"/>
    </row>
    <row r="7" spans="1:32" x14ac:dyDescent="0.3">
      <c r="A7" s="215" t="s">
        <v>350</v>
      </c>
      <c r="B7" s="215" t="s">
        <v>48</v>
      </c>
      <c r="C7" s="215" t="s">
        <v>68</v>
      </c>
      <c r="D7" s="215" t="s">
        <v>310</v>
      </c>
      <c r="E7" s="215" t="s">
        <v>1155</v>
      </c>
      <c r="F7" s="15">
        <v>46156.383645833332</v>
      </c>
      <c r="G7" s="215" t="s">
        <v>412</v>
      </c>
      <c r="H7" s="215">
        <v>1</v>
      </c>
      <c r="I7" s="215" t="s">
        <v>1156</v>
      </c>
      <c r="J7" s="15">
        <v>46226.400000000001</v>
      </c>
      <c r="K7" s="15">
        <v>46230.438194444447</v>
      </c>
      <c r="L7" s="15"/>
      <c r="M7" s="215">
        <v>1</v>
      </c>
      <c r="N7" s="215"/>
      <c r="O7" s="215" t="s">
        <v>201</v>
      </c>
      <c r="P7" s="215" t="s">
        <v>531</v>
      </c>
      <c r="Q7" s="215"/>
      <c r="R7" s="215"/>
      <c r="S7" s="215" t="s">
        <v>366</v>
      </c>
      <c r="T7" s="215" t="s">
        <v>380</v>
      </c>
      <c r="U7" s="215" t="s">
        <v>240</v>
      </c>
      <c r="V7" s="215" t="s">
        <v>350</v>
      </c>
      <c r="W7" s="215" t="s">
        <v>356</v>
      </c>
      <c r="X7" s="215" t="s">
        <v>240</v>
      </c>
      <c r="Y7" s="215">
        <v>13</v>
      </c>
      <c r="Z7" s="215"/>
      <c r="AA7" s="215" t="s">
        <v>90</v>
      </c>
      <c r="AB7" s="215" t="s">
        <v>366</v>
      </c>
      <c r="AC7" s="215">
        <v>2480</v>
      </c>
      <c r="AD7" s="215" t="s">
        <v>217</v>
      </c>
      <c r="AE7" s="215">
        <v>1</v>
      </c>
      <c r="AF7" s="215">
        <v>1</v>
      </c>
    </row>
    <row r="8" spans="1:32" x14ac:dyDescent="0.3">
      <c r="A8" s="215" t="s">
        <v>351</v>
      </c>
      <c r="B8" s="215" t="s">
        <v>43</v>
      </c>
      <c r="C8" s="215" t="s">
        <v>105</v>
      </c>
      <c r="D8" s="215" t="s">
        <v>310</v>
      </c>
      <c r="E8" s="215" t="s">
        <v>1015</v>
      </c>
      <c r="F8" s="15">
        <v>46246.307928240742</v>
      </c>
      <c r="G8" s="215" t="s">
        <v>411</v>
      </c>
      <c r="H8" s="215">
        <v>1</v>
      </c>
      <c r="I8" s="215" t="s">
        <v>1016</v>
      </c>
      <c r="J8" s="15">
        <v>46246.375</v>
      </c>
      <c r="K8" s="15">
        <v>46247.461805555555</v>
      </c>
      <c r="L8" s="15"/>
      <c r="M8" s="215">
        <v>1</v>
      </c>
      <c r="N8" s="215"/>
      <c r="O8" s="215" t="s">
        <v>201</v>
      </c>
      <c r="P8" s="215" t="s">
        <v>532</v>
      </c>
      <c r="Q8" s="215"/>
      <c r="R8" s="215"/>
      <c r="S8" s="215" t="s">
        <v>363</v>
      </c>
      <c r="T8" s="215" t="s">
        <v>378</v>
      </c>
      <c r="U8" s="215" t="s">
        <v>239</v>
      </c>
      <c r="V8" s="215" t="s">
        <v>351</v>
      </c>
      <c r="W8" s="215" t="s">
        <v>378</v>
      </c>
      <c r="X8" s="215" t="s">
        <v>239</v>
      </c>
      <c r="Y8" s="215">
        <v>0</v>
      </c>
      <c r="Z8" s="215"/>
      <c r="AA8" s="215" t="s">
        <v>67</v>
      </c>
      <c r="AB8" s="215" t="s">
        <v>363</v>
      </c>
      <c r="AC8" s="215">
        <v>101</v>
      </c>
      <c r="AD8" s="215" t="s">
        <v>217</v>
      </c>
      <c r="AE8" s="215">
        <v>1</v>
      </c>
      <c r="AF8" s="215">
        <v>1</v>
      </c>
    </row>
    <row r="9" spans="1:32" x14ac:dyDescent="0.3">
      <c r="A9" s="215" t="s">
        <v>351</v>
      </c>
      <c r="B9" s="215" t="s">
        <v>43</v>
      </c>
      <c r="C9" s="215" t="s">
        <v>105</v>
      </c>
      <c r="D9" s="215" t="s">
        <v>310</v>
      </c>
      <c r="E9" s="215" t="s">
        <v>1017</v>
      </c>
      <c r="F9" s="15">
        <v>46244.651597222219</v>
      </c>
      <c r="G9" s="215" t="s">
        <v>411</v>
      </c>
      <c r="H9" s="215">
        <v>2</v>
      </c>
      <c r="I9" s="215" t="s">
        <v>1018</v>
      </c>
      <c r="J9" s="15">
        <v>46245.385416666664</v>
      </c>
      <c r="K9" s="15">
        <v>46246.481944444444</v>
      </c>
      <c r="L9" s="15"/>
      <c r="M9" s="215">
        <v>2</v>
      </c>
      <c r="N9" s="215"/>
      <c r="O9" s="215" t="s">
        <v>201</v>
      </c>
      <c r="P9" s="215" t="s">
        <v>532</v>
      </c>
      <c r="Q9" s="215"/>
      <c r="R9" s="215"/>
      <c r="S9" s="215" t="s">
        <v>363</v>
      </c>
      <c r="T9" s="215" t="s">
        <v>378</v>
      </c>
      <c r="U9" s="215" t="s">
        <v>239</v>
      </c>
      <c r="V9" s="215" t="s">
        <v>351</v>
      </c>
      <c r="W9" s="215" t="s">
        <v>378</v>
      </c>
      <c r="X9" s="215" t="s">
        <v>239</v>
      </c>
      <c r="Y9" s="215">
        <v>0</v>
      </c>
      <c r="Z9" s="215"/>
      <c r="AA9" s="215" t="s">
        <v>67</v>
      </c>
      <c r="AB9" s="215" t="s">
        <v>363</v>
      </c>
      <c r="AC9" s="215">
        <v>101</v>
      </c>
      <c r="AD9" s="215" t="s">
        <v>217</v>
      </c>
      <c r="AE9" s="215">
        <v>1</v>
      </c>
      <c r="AF9" s="215">
        <v>1</v>
      </c>
    </row>
    <row r="10" spans="1:32" x14ac:dyDescent="0.3">
      <c r="A10" s="215" t="s">
        <v>351</v>
      </c>
      <c r="B10" s="215" t="s">
        <v>43</v>
      </c>
      <c r="C10" s="215" t="s">
        <v>105</v>
      </c>
      <c r="D10" s="215" t="s">
        <v>310</v>
      </c>
      <c r="E10" s="215" t="s">
        <v>1019</v>
      </c>
      <c r="F10" s="15">
        <v>46241.373356481483</v>
      </c>
      <c r="G10" s="215" t="s">
        <v>411</v>
      </c>
      <c r="H10" s="215">
        <v>2</v>
      </c>
      <c r="I10" s="215" t="s">
        <v>1020</v>
      </c>
      <c r="J10" s="15">
        <v>46241.399305555555</v>
      </c>
      <c r="K10" s="15">
        <v>46244.479166666664</v>
      </c>
      <c r="L10" s="15"/>
      <c r="M10" s="215">
        <v>2</v>
      </c>
      <c r="N10" s="215"/>
      <c r="O10" s="215" t="s">
        <v>201</v>
      </c>
      <c r="P10" s="215" t="s">
        <v>532</v>
      </c>
      <c r="Q10" s="215"/>
      <c r="R10" s="215"/>
      <c r="S10" s="215" t="s">
        <v>363</v>
      </c>
      <c r="T10" s="215" t="s">
        <v>378</v>
      </c>
      <c r="U10" s="215" t="s">
        <v>239</v>
      </c>
      <c r="V10" s="215" t="s">
        <v>351</v>
      </c>
      <c r="W10" s="215" t="s">
        <v>378</v>
      </c>
      <c r="X10" s="215" t="s">
        <v>239</v>
      </c>
      <c r="Y10" s="215">
        <v>0</v>
      </c>
      <c r="Z10" s="215"/>
      <c r="AA10" s="215" t="s">
        <v>67</v>
      </c>
      <c r="AB10" s="215" t="s">
        <v>363</v>
      </c>
      <c r="AC10" s="215">
        <v>101</v>
      </c>
      <c r="AD10" s="215" t="s">
        <v>217</v>
      </c>
      <c r="AE10" s="215">
        <v>1</v>
      </c>
      <c r="AF10" s="215">
        <v>1</v>
      </c>
    </row>
    <row r="11" spans="1:32" x14ac:dyDescent="0.3">
      <c r="A11" s="215" t="s">
        <v>351</v>
      </c>
      <c r="B11" s="215" t="s">
        <v>43</v>
      </c>
      <c r="C11" s="215" t="s">
        <v>105</v>
      </c>
      <c r="D11" s="215" t="s">
        <v>310</v>
      </c>
      <c r="E11" s="215" t="s">
        <v>1021</v>
      </c>
      <c r="F11" s="15">
        <v>46239.511006944442</v>
      </c>
      <c r="G11" s="215" t="s">
        <v>411</v>
      </c>
      <c r="H11" s="215">
        <v>3</v>
      </c>
      <c r="I11" s="215" t="s">
        <v>1022</v>
      </c>
      <c r="J11" s="15">
        <v>46239.690972222219</v>
      </c>
      <c r="K11" s="15">
        <v>46240.486805555556</v>
      </c>
      <c r="L11" s="15"/>
      <c r="M11" s="215">
        <v>3</v>
      </c>
      <c r="N11" s="215"/>
      <c r="O11" s="215" t="s">
        <v>201</v>
      </c>
      <c r="P11" s="215" t="s">
        <v>532</v>
      </c>
      <c r="Q11" s="215"/>
      <c r="R11" s="215"/>
      <c r="S11" s="215" t="s">
        <v>363</v>
      </c>
      <c r="T11" s="215" t="s">
        <v>378</v>
      </c>
      <c r="U11" s="215" t="s">
        <v>239</v>
      </c>
      <c r="V11" s="215" t="s">
        <v>351</v>
      </c>
      <c r="W11" s="215" t="s">
        <v>378</v>
      </c>
      <c r="X11" s="215" t="s">
        <v>239</v>
      </c>
      <c r="Y11" s="215">
        <v>0</v>
      </c>
      <c r="Z11" s="215"/>
      <c r="AA11" s="215" t="s">
        <v>67</v>
      </c>
      <c r="AB11" s="215" t="s">
        <v>363</v>
      </c>
      <c r="AC11" s="215">
        <v>101</v>
      </c>
      <c r="AD11" s="215" t="s">
        <v>217</v>
      </c>
      <c r="AE11" s="215">
        <v>1</v>
      </c>
      <c r="AF11" s="215">
        <v>1</v>
      </c>
    </row>
    <row r="12" spans="1:32" x14ac:dyDescent="0.3">
      <c r="A12" s="215" t="s">
        <v>351</v>
      </c>
      <c r="B12" s="215" t="s">
        <v>45</v>
      </c>
      <c r="C12" s="215" t="s">
        <v>68</v>
      </c>
      <c r="D12" s="215" t="s">
        <v>310</v>
      </c>
      <c r="E12" s="215" t="s">
        <v>912</v>
      </c>
      <c r="F12" s="15">
        <v>46238.581493055557</v>
      </c>
      <c r="G12" s="215" t="s">
        <v>411</v>
      </c>
      <c r="H12" s="215">
        <v>9</v>
      </c>
      <c r="I12" s="215" t="s">
        <v>913</v>
      </c>
      <c r="J12" s="15">
        <v>46239.600694444445</v>
      </c>
      <c r="K12" s="15">
        <v>46240.479166666664</v>
      </c>
      <c r="L12" s="15"/>
      <c r="M12" s="215">
        <v>9</v>
      </c>
      <c r="N12" s="215"/>
      <c r="O12" s="215" t="s">
        <v>201</v>
      </c>
      <c r="P12" s="215" t="s">
        <v>532</v>
      </c>
      <c r="Q12" s="215"/>
      <c r="R12" s="215"/>
      <c r="S12" s="215" t="s">
        <v>363</v>
      </c>
      <c r="T12" s="215" t="s">
        <v>378</v>
      </c>
      <c r="U12" s="215" t="s">
        <v>239</v>
      </c>
      <c r="V12" s="215" t="s">
        <v>351</v>
      </c>
      <c r="W12" s="215" t="s">
        <v>378</v>
      </c>
      <c r="X12" s="215" t="s">
        <v>239</v>
      </c>
      <c r="Y12" s="215"/>
      <c r="Z12" s="215"/>
      <c r="AA12" s="215" t="s">
        <v>67</v>
      </c>
      <c r="AB12" s="215" t="s">
        <v>363</v>
      </c>
      <c r="AC12" s="215">
        <v>101</v>
      </c>
      <c r="AD12" s="215" t="s">
        <v>217</v>
      </c>
      <c r="AE12" s="215">
        <v>1</v>
      </c>
      <c r="AF12" s="215"/>
    </row>
    <row r="13" spans="1:32" x14ac:dyDescent="0.3">
      <c r="A13" s="215" t="s">
        <v>351</v>
      </c>
      <c r="B13" s="215" t="s">
        <v>47</v>
      </c>
      <c r="C13" s="215" t="s">
        <v>68</v>
      </c>
      <c r="D13" s="215" t="s">
        <v>310</v>
      </c>
      <c r="E13" s="215" t="s">
        <v>914</v>
      </c>
      <c r="F13" s="15">
        <v>46239.471967592595</v>
      </c>
      <c r="G13" s="215" t="s">
        <v>411</v>
      </c>
      <c r="H13" s="215">
        <v>1</v>
      </c>
      <c r="I13" s="215" t="s">
        <v>915</v>
      </c>
      <c r="J13" s="15">
        <v>46239.673611111109</v>
      </c>
      <c r="K13" s="15">
        <v>46240.488194444442</v>
      </c>
      <c r="L13" s="15"/>
      <c r="M13" s="215">
        <v>1</v>
      </c>
      <c r="N13" s="215"/>
      <c r="O13" s="215" t="s">
        <v>146</v>
      </c>
      <c r="P13" s="215" t="s">
        <v>532</v>
      </c>
      <c r="Q13" s="215"/>
      <c r="R13" s="215"/>
      <c r="S13" s="215" t="s">
        <v>363</v>
      </c>
      <c r="T13" s="215" t="s">
        <v>378</v>
      </c>
      <c r="U13" s="215" t="s">
        <v>239</v>
      </c>
      <c r="V13" s="215" t="s">
        <v>351</v>
      </c>
      <c r="W13" s="215" t="s">
        <v>378</v>
      </c>
      <c r="X13" s="215" t="s">
        <v>239</v>
      </c>
      <c r="Y13" s="215">
        <v>0</v>
      </c>
      <c r="Z13" s="215"/>
      <c r="AA13" s="215" t="s">
        <v>90</v>
      </c>
      <c r="AB13" s="215" t="s">
        <v>363</v>
      </c>
      <c r="AC13" s="215">
        <v>101</v>
      </c>
      <c r="AD13" s="215" t="s">
        <v>218</v>
      </c>
      <c r="AE13" s="215">
        <v>1</v>
      </c>
      <c r="AF13" s="215"/>
    </row>
    <row r="14" spans="1:32" x14ac:dyDescent="0.3">
      <c r="A14" s="215" t="s">
        <v>351</v>
      </c>
      <c r="B14" s="215" t="s">
        <v>47</v>
      </c>
      <c r="C14" s="215" t="s">
        <v>68</v>
      </c>
      <c r="D14" s="215" t="s">
        <v>310</v>
      </c>
      <c r="E14" s="215" t="s">
        <v>1185</v>
      </c>
      <c r="F14" s="15">
        <v>46239.466099537036</v>
      </c>
      <c r="G14" s="215" t="s">
        <v>411</v>
      </c>
      <c r="H14" s="215">
        <v>1</v>
      </c>
      <c r="I14" s="215" t="s">
        <v>1186</v>
      </c>
      <c r="J14" s="15">
        <v>46239.635162037041</v>
      </c>
      <c r="K14" s="15">
        <v>46240.467361111114</v>
      </c>
      <c r="L14" s="15"/>
      <c r="M14" s="215">
        <v>1</v>
      </c>
      <c r="N14" s="215"/>
      <c r="O14" s="215" t="s">
        <v>146</v>
      </c>
      <c r="P14" s="215" t="s">
        <v>532</v>
      </c>
      <c r="Q14" s="215"/>
      <c r="R14" s="215"/>
      <c r="S14" s="215" t="s">
        <v>363</v>
      </c>
      <c r="T14" s="215" t="s">
        <v>378</v>
      </c>
      <c r="U14" s="215" t="s">
        <v>239</v>
      </c>
      <c r="V14" s="215" t="s">
        <v>351</v>
      </c>
      <c r="W14" s="215" t="s">
        <v>378</v>
      </c>
      <c r="X14" s="215" t="s">
        <v>239</v>
      </c>
      <c r="Y14" s="215"/>
      <c r="Z14" s="215"/>
      <c r="AA14" s="215" t="s">
        <v>90</v>
      </c>
      <c r="AB14" s="215" t="s">
        <v>363</v>
      </c>
      <c r="AC14" s="215">
        <v>101</v>
      </c>
      <c r="AD14" s="215" t="s">
        <v>218</v>
      </c>
      <c r="AE14" s="215">
        <v>1</v>
      </c>
      <c r="AF14" s="215"/>
    </row>
    <row r="15" spans="1:32" x14ac:dyDescent="0.3">
      <c r="A15" s="215" t="s">
        <v>351</v>
      </c>
      <c r="B15" s="215" t="s">
        <v>43</v>
      </c>
      <c r="C15" s="215" t="s">
        <v>105</v>
      </c>
      <c r="D15" s="215" t="s">
        <v>310</v>
      </c>
      <c r="E15" s="215" t="s">
        <v>1031</v>
      </c>
      <c r="F15" s="15">
        <v>46232.641296296293</v>
      </c>
      <c r="G15" s="215" t="s">
        <v>411</v>
      </c>
      <c r="H15" s="215">
        <v>3</v>
      </c>
      <c r="I15" s="215" t="s">
        <v>1032</v>
      </c>
      <c r="J15" s="15">
        <v>46232.691562499997</v>
      </c>
      <c r="K15" s="15">
        <v>46233.513888888891</v>
      </c>
      <c r="L15" s="15"/>
      <c r="M15" s="215">
        <v>3</v>
      </c>
      <c r="N15" s="215"/>
      <c r="O15" s="215" t="s">
        <v>201</v>
      </c>
      <c r="P15" s="215" t="s">
        <v>532</v>
      </c>
      <c r="Q15" s="215"/>
      <c r="R15" s="215"/>
      <c r="S15" s="215" t="s">
        <v>363</v>
      </c>
      <c r="T15" s="215" t="s">
        <v>378</v>
      </c>
      <c r="U15" s="215" t="s">
        <v>239</v>
      </c>
      <c r="V15" s="215" t="s">
        <v>351</v>
      </c>
      <c r="W15" s="215" t="s">
        <v>378</v>
      </c>
      <c r="X15" s="215" t="s">
        <v>239</v>
      </c>
      <c r="Y15" s="215">
        <v>0</v>
      </c>
      <c r="Z15" s="215"/>
      <c r="AA15" s="215" t="s">
        <v>67</v>
      </c>
      <c r="AB15" s="215" t="s">
        <v>363</v>
      </c>
      <c r="AC15" s="215">
        <v>101</v>
      </c>
      <c r="AD15" s="215" t="s">
        <v>217</v>
      </c>
      <c r="AE15" s="215">
        <v>1</v>
      </c>
      <c r="AF15" s="215">
        <v>1</v>
      </c>
    </row>
    <row r="16" spans="1:32" x14ac:dyDescent="0.3">
      <c r="A16" s="215" t="s">
        <v>351</v>
      </c>
      <c r="B16" s="215" t="s">
        <v>43</v>
      </c>
      <c r="C16" s="215" t="s">
        <v>105</v>
      </c>
      <c r="D16" s="215" t="s">
        <v>310</v>
      </c>
      <c r="E16" s="215" t="s">
        <v>1067</v>
      </c>
      <c r="F16" s="15">
        <v>46220.487835648149</v>
      </c>
      <c r="G16" s="215" t="s">
        <v>411</v>
      </c>
      <c r="H16" s="215">
        <v>3</v>
      </c>
      <c r="I16" s="215" t="s">
        <v>1068</v>
      </c>
      <c r="J16" s="15">
        <v>46220.6875</v>
      </c>
      <c r="K16" s="15">
        <v>46224.423611111109</v>
      </c>
      <c r="L16" s="15"/>
      <c r="M16" s="215">
        <v>3</v>
      </c>
      <c r="N16" s="215"/>
      <c r="O16" s="215" t="s">
        <v>201</v>
      </c>
      <c r="P16" s="215" t="s">
        <v>532</v>
      </c>
      <c r="Q16" s="215"/>
      <c r="R16" s="215"/>
      <c r="S16" s="215" t="s">
        <v>363</v>
      </c>
      <c r="T16" s="215" t="s">
        <v>378</v>
      </c>
      <c r="U16" s="215" t="s">
        <v>239</v>
      </c>
      <c r="V16" s="215" t="s">
        <v>351</v>
      </c>
      <c r="W16" s="215" t="s">
        <v>378</v>
      </c>
      <c r="X16" s="215" t="s">
        <v>239</v>
      </c>
      <c r="Y16" s="215">
        <v>0</v>
      </c>
      <c r="Z16" s="215"/>
      <c r="AA16" s="215" t="s">
        <v>67</v>
      </c>
      <c r="AB16" s="215" t="s">
        <v>363</v>
      </c>
      <c r="AC16" s="215">
        <v>101</v>
      </c>
      <c r="AD16" s="215" t="s">
        <v>217</v>
      </c>
      <c r="AE16" s="215">
        <v>1</v>
      </c>
      <c r="AF16" s="215">
        <v>1</v>
      </c>
    </row>
    <row r="17" spans="1:32" x14ac:dyDescent="0.3">
      <c r="A17" s="215" t="s">
        <v>351</v>
      </c>
      <c r="B17" s="215" t="s">
        <v>47</v>
      </c>
      <c r="C17" s="215" t="s">
        <v>68</v>
      </c>
      <c r="D17" s="215" t="s">
        <v>310</v>
      </c>
      <c r="E17" s="215" t="s">
        <v>1012</v>
      </c>
      <c r="F17" s="15">
        <v>46233.500243055554</v>
      </c>
      <c r="G17" s="215" t="s">
        <v>411</v>
      </c>
      <c r="H17" s="215">
        <v>2</v>
      </c>
      <c r="I17" s="215" t="s">
        <v>1013</v>
      </c>
      <c r="J17" s="15">
        <v>46233.712500000001</v>
      </c>
      <c r="K17" s="15">
        <v>46234.449305555558</v>
      </c>
      <c r="L17" s="15"/>
      <c r="M17" s="215">
        <v>2</v>
      </c>
      <c r="N17" s="215"/>
      <c r="O17" s="215" t="s">
        <v>146</v>
      </c>
      <c r="P17" s="215" t="s">
        <v>532</v>
      </c>
      <c r="Q17" s="215"/>
      <c r="R17" s="215"/>
      <c r="S17" s="215" t="s">
        <v>363</v>
      </c>
      <c r="T17" s="215" t="s">
        <v>378</v>
      </c>
      <c r="U17" s="215" t="s">
        <v>239</v>
      </c>
      <c r="V17" s="215" t="s">
        <v>351</v>
      </c>
      <c r="W17" s="215" t="s">
        <v>378</v>
      </c>
      <c r="X17" s="215" t="s">
        <v>239</v>
      </c>
      <c r="Y17" s="215">
        <v>0</v>
      </c>
      <c r="Z17" s="215"/>
      <c r="AA17" s="215" t="s">
        <v>90</v>
      </c>
      <c r="AB17" s="215" t="s">
        <v>363</v>
      </c>
      <c r="AC17" s="215">
        <v>101</v>
      </c>
      <c r="AD17" s="215" t="s">
        <v>218</v>
      </c>
      <c r="AE17" s="215">
        <v>1</v>
      </c>
      <c r="AF17" s="215">
        <v>1</v>
      </c>
    </row>
    <row r="18" spans="1:32" x14ac:dyDescent="0.3">
      <c r="A18" s="215" t="s">
        <v>351</v>
      </c>
      <c r="B18" s="215" t="s">
        <v>48</v>
      </c>
      <c r="C18" s="215" t="s">
        <v>68</v>
      </c>
      <c r="D18" s="215" t="s">
        <v>310</v>
      </c>
      <c r="E18" s="215" t="s">
        <v>1053</v>
      </c>
      <c r="F18" s="15">
        <v>46224.393900462965</v>
      </c>
      <c r="G18" s="215" t="s">
        <v>411</v>
      </c>
      <c r="H18" s="215">
        <v>1</v>
      </c>
      <c r="I18" s="215" t="s">
        <v>1054</v>
      </c>
      <c r="J18" s="15">
        <v>46233.604861111111</v>
      </c>
      <c r="K18" s="15">
        <v>46234.497916666667</v>
      </c>
      <c r="L18" s="15"/>
      <c r="M18" s="215">
        <v>1</v>
      </c>
      <c r="N18" s="215"/>
      <c r="O18" s="215" t="s">
        <v>201</v>
      </c>
      <c r="P18" s="215" t="s">
        <v>532</v>
      </c>
      <c r="Q18" s="215"/>
      <c r="R18" s="215"/>
      <c r="S18" s="215" t="s">
        <v>363</v>
      </c>
      <c r="T18" s="215" t="s">
        <v>378</v>
      </c>
      <c r="U18" s="215" t="s">
        <v>239</v>
      </c>
      <c r="V18" s="215" t="s">
        <v>351</v>
      </c>
      <c r="W18" s="215" t="s">
        <v>378</v>
      </c>
      <c r="X18" s="215" t="s">
        <v>239</v>
      </c>
      <c r="Y18" s="215">
        <v>0</v>
      </c>
      <c r="Z18" s="215"/>
      <c r="AA18" s="215" t="s">
        <v>90</v>
      </c>
      <c r="AB18" s="215" t="s">
        <v>363</v>
      </c>
      <c r="AC18" s="215">
        <v>101</v>
      </c>
      <c r="AD18" s="215" t="s">
        <v>217</v>
      </c>
      <c r="AE18" s="215">
        <v>1</v>
      </c>
      <c r="AF18" s="215"/>
    </row>
    <row r="19" spans="1:32" x14ac:dyDescent="0.3">
      <c r="A19" s="215" t="s">
        <v>351</v>
      </c>
      <c r="B19" s="215" t="s">
        <v>47</v>
      </c>
      <c r="C19" s="215" t="s">
        <v>68</v>
      </c>
      <c r="D19" s="215" t="s">
        <v>310</v>
      </c>
      <c r="E19" s="215" t="s">
        <v>1014</v>
      </c>
      <c r="F19" s="15">
        <v>46240.53496527778</v>
      </c>
      <c r="G19" s="215" t="s">
        <v>411</v>
      </c>
      <c r="H19" s="215">
        <v>1</v>
      </c>
      <c r="I19" s="215" t="s">
        <v>963</v>
      </c>
      <c r="J19" s="15">
        <v>46240.617361111108</v>
      </c>
      <c r="K19" s="15">
        <v>46241.430555555555</v>
      </c>
      <c r="L19" s="15"/>
      <c r="M19" s="215">
        <v>1</v>
      </c>
      <c r="N19" s="215"/>
      <c r="O19" s="215" t="s">
        <v>146</v>
      </c>
      <c r="P19" s="215" t="s">
        <v>532</v>
      </c>
      <c r="Q19" s="215"/>
      <c r="R19" s="215"/>
      <c r="S19" s="215" t="s">
        <v>363</v>
      </c>
      <c r="T19" s="215" t="s">
        <v>378</v>
      </c>
      <c r="U19" s="215" t="s">
        <v>239</v>
      </c>
      <c r="V19" s="215" t="s">
        <v>351</v>
      </c>
      <c r="W19" s="215" t="s">
        <v>378</v>
      </c>
      <c r="X19" s="215" t="s">
        <v>239</v>
      </c>
      <c r="Y19" s="215">
        <v>0</v>
      </c>
      <c r="Z19" s="215"/>
      <c r="AA19" s="215" t="s">
        <v>90</v>
      </c>
      <c r="AB19" s="215" t="s">
        <v>363</v>
      </c>
      <c r="AC19" s="215">
        <v>101</v>
      </c>
      <c r="AD19" s="215" t="s">
        <v>218</v>
      </c>
      <c r="AE19" s="215">
        <v>1</v>
      </c>
      <c r="AF19" s="215">
        <v>1</v>
      </c>
    </row>
    <row r="20" spans="1:32" x14ac:dyDescent="0.3">
      <c r="A20" s="215" t="s">
        <v>351</v>
      </c>
      <c r="B20" s="215" t="s">
        <v>48</v>
      </c>
      <c r="C20" s="215" t="s">
        <v>68</v>
      </c>
      <c r="D20" s="215" t="s">
        <v>310</v>
      </c>
      <c r="E20" s="215" t="s">
        <v>978</v>
      </c>
      <c r="F20" s="15">
        <v>46246.518310185187</v>
      </c>
      <c r="G20" s="215" t="s">
        <v>411</v>
      </c>
      <c r="H20" s="215">
        <v>1</v>
      </c>
      <c r="I20" s="215" t="s">
        <v>979</v>
      </c>
      <c r="J20" s="15">
        <v>46252.508333333331</v>
      </c>
      <c r="K20" s="15">
        <v>46254.573611111111</v>
      </c>
      <c r="L20" s="15"/>
      <c r="M20" s="215">
        <v>1</v>
      </c>
      <c r="N20" s="215"/>
      <c r="O20" s="215" t="s">
        <v>201</v>
      </c>
      <c r="P20" s="215" t="s">
        <v>531</v>
      </c>
      <c r="Q20" s="215"/>
      <c r="R20" s="215"/>
      <c r="S20" s="215" t="s">
        <v>363</v>
      </c>
      <c r="T20" s="215" t="s">
        <v>378</v>
      </c>
      <c r="U20" s="215" t="s">
        <v>239</v>
      </c>
      <c r="V20" s="215" t="s">
        <v>351</v>
      </c>
      <c r="W20" s="215" t="s">
        <v>378</v>
      </c>
      <c r="X20" s="215" t="s">
        <v>239</v>
      </c>
      <c r="Y20" s="215">
        <v>0</v>
      </c>
      <c r="Z20" s="215"/>
      <c r="AA20" s="215" t="s">
        <v>90</v>
      </c>
      <c r="AB20" s="215" t="s">
        <v>363</v>
      </c>
      <c r="AC20" s="215">
        <v>101</v>
      </c>
      <c r="AD20" s="215" t="s">
        <v>217</v>
      </c>
      <c r="AE20" s="215">
        <v>1</v>
      </c>
      <c r="AF20" s="215">
        <v>1</v>
      </c>
    </row>
    <row r="21" spans="1:32" x14ac:dyDescent="0.3">
      <c r="A21" s="215" t="s">
        <v>351</v>
      </c>
      <c r="B21" s="215" t="s">
        <v>48</v>
      </c>
      <c r="C21" s="215" t="s">
        <v>68</v>
      </c>
      <c r="D21" s="215" t="s">
        <v>310</v>
      </c>
      <c r="E21" s="215" t="s">
        <v>980</v>
      </c>
      <c r="F21" s="15">
        <v>46251.526550925926</v>
      </c>
      <c r="G21" s="215" t="s">
        <v>411</v>
      </c>
      <c r="H21" s="215">
        <v>1</v>
      </c>
      <c r="I21" s="215" t="s">
        <v>981</v>
      </c>
      <c r="J21" s="15">
        <v>46252.671527777777</v>
      </c>
      <c r="K21" s="15">
        <v>46254.573611111111</v>
      </c>
      <c r="L21" s="15"/>
      <c r="M21" s="215">
        <v>1</v>
      </c>
      <c r="N21" s="215"/>
      <c r="O21" s="215" t="s">
        <v>201</v>
      </c>
      <c r="P21" s="215" t="s">
        <v>531</v>
      </c>
      <c r="Q21" s="215"/>
      <c r="R21" s="215"/>
      <c r="S21" s="215" t="s">
        <v>363</v>
      </c>
      <c r="T21" s="215" t="s">
        <v>378</v>
      </c>
      <c r="U21" s="215" t="s">
        <v>239</v>
      </c>
      <c r="V21" s="215" t="s">
        <v>351</v>
      </c>
      <c r="W21" s="215" t="s">
        <v>378</v>
      </c>
      <c r="X21" s="215" t="s">
        <v>239</v>
      </c>
      <c r="Y21" s="215"/>
      <c r="Z21" s="215"/>
      <c r="AA21" s="215" t="s">
        <v>90</v>
      </c>
      <c r="AB21" s="215" t="s">
        <v>363</v>
      </c>
      <c r="AC21" s="215">
        <v>101</v>
      </c>
      <c r="AD21" s="215" t="s">
        <v>217</v>
      </c>
      <c r="AE21" s="215">
        <v>1</v>
      </c>
      <c r="AF21" s="215"/>
    </row>
    <row r="22" spans="1:32" x14ac:dyDescent="0.3">
      <c r="A22" s="215" t="s">
        <v>351</v>
      </c>
      <c r="B22" s="215" t="s">
        <v>48</v>
      </c>
      <c r="C22" s="215" t="s">
        <v>68</v>
      </c>
      <c r="D22" s="215" t="s">
        <v>310</v>
      </c>
      <c r="E22" s="215" t="s">
        <v>980</v>
      </c>
      <c r="F22" s="15">
        <v>46251.620995370373</v>
      </c>
      <c r="G22" s="215" t="s">
        <v>411</v>
      </c>
      <c r="H22" s="215">
        <v>2</v>
      </c>
      <c r="I22" s="215" t="s">
        <v>982</v>
      </c>
      <c r="J22" s="15">
        <v>46252.650694444441</v>
      </c>
      <c r="K22" s="15">
        <v>46254.573611111111</v>
      </c>
      <c r="L22" s="15"/>
      <c r="M22" s="215">
        <v>2</v>
      </c>
      <c r="N22" s="215"/>
      <c r="O22" s="215" t="s">
        <v>201</v>
      </c>
      <c r="P22" s="215" t="s">
        <v>531</v>
      </c>
      <c r="Q22" s="215"/>
      <c r="R22" s="215"/>
      <c r="S22" s="215" t="s">
        <v>363</v>
      </c>
      <c r="T22" s="215" t="s">
        <v>378</v>
      </c>
      <c r="U22" s="215" t="s">
        <v>239</v>
      </c>
      <c r="V22" s="215" t="s">
        <v>351</v>
      </c>
      <c r="W22" s="215" t="s">
        <v>378</v>
      </c>
      <c r="X22" s="215" t="s">
        <v>239</v>
      </c>
      <c r="Y22" s="215"/>
      <c r="Z22" s="215"/>
      <c r="AA22" s="215" t="s">
        <v>90</v>
      </c>
      <c r="AB22" s="215" t="s">
        <v>363</v>
      </c>
      <c r="AC22" s="215">
        <v>101</v>
      </c>
      <c r="AD22" s="215" t="s">
        <v>217</v>
      </c>
      <c r="AE22" s="215">
        <v>1</v>
      </c>
      <c r="AF22" s="215"/>
    </row>
    <row r="23" spans="1:32" x14ac:dyDescent="0.3">
      <c r="A23" s="215" t="s">
        <v>351</v>
      </c>
      <c r="B23" s="215" t="s">
        <v>48</v>
      </c>
      <c r="C23" s="215" t="s">
        <v>68</v>
      </c>
      <c r="D23" s="215" t="s">
        <v>310</v>
      </c>
      <c r="E23" s="215" t="s">
        <v>983</v>
      </c>
      <c r="F23" s="15">
        <v>46254.383645833332</v>
      </c>
      <c r="G23" s="215" t="s">
        <v>411</v>
      </c>
      <c r="H23" s="215">
        <v>1</v>
      </c>
      <c r="I23" s="215" t="s">
        <v>984</v>
      </c>
      <c r="J23" s="15">
        <v>46255.375694444447</v>
      </c>
      <c r="K23" s="15">
        <v>46258.484027777777</v>
      </c>
      <c r="L23" s="15"/>
      <c r="M23" s="215">
        <v>1</v>
      </c>
      <c r="N23" s="215"/>
      <c r="O23" s="215" t="s">
        <v>201</v>
      </c>
      <c r="P23" s="215" t="s">
        <v>531</v>
      </c>
      <c r="Q23" s="215"/>
      <c r="R23" s="215"/>
      <c r="S23" s="215" t="s">
        <v>363</v>
      </c>
      <c r="T23" s="215" t="s">
        <v>378</v>
      </c>
      <c r="U23" s="215" t="s">
        <v>239</v>
      </c>
      <c r="V23" s="215" t="s">
        <v>351</v>
      </c>
      <c r="W23" s="215" t="s">
        <v>378</v>
      </c>
      <c r="X23" s="215" t="s">
        <v>239</v>
      </c>
      <c r="Y23" s="215">
        <v>0</v>
      </c>
      <c r="Z23" s="215"/>
      <c r="AA23" s="215" t="s">
        <v>90</v>
      </c>
      <c r="AB23" s="215" t="s">
        <v>363</v>
      </c>
      <c r="AC23" s="215">
        <v>101</v>
      </c>
      <c r="AD23" s="215" t="s">
        <v>217</v>
      </c>
      <c r="AE23" s="215">
        <v>1</v>
      </c>
      <c r="AF23" s="215">
        <v>1</v>
      </c>
    </row>
    <row r="24" spans="1:32" x14ac:dyDescent="0.3">
      <c r="A24" s="215" t="s">
        <v>351</v>
      </c>
      <c r="B24" s="215" t="s">
        <v>48</v>
      </c>
      <c r="C24" s="215" t="s">
        <v>68</v>
      </c>
      <c r="D24" s="215" t="s">
        <v>310</v>
      </c>
      <c r="E24" s="215" t="s">
        <v>985</v>
      </c>
      <c r="F24" s="15">
        <v>46246.459398148145</v>
      </c>
      <c r="G24" s="215" t="s">
        <v>411</v>
      </c>
      <c r="H24" s="215">
        <v>1</v>
      </c>
      <c r="I24" s="215" t="s">
        <v>986</v>
      </c>
      <c r="J24" s="15">
        <v>46255.427777777775</v>
      </c>
      <c r="K24" s="15">
        <v>46258.484027777777</v>
      </c>
      <c r="L24" s="15"/>
      <c r="M24" s="215">
        <v>1</v>
      </c>
      <c r="N24" s="215"/>
      <c r="O24" s="215" t="s">
        <v>201</v>
      </c>
      <c r="P24" s="215" t="s">
        <v>531</v>
      </c>
      <c r="Q24" s="215"/>
      <c r="R24" s="215"/>
      <c r="S24" s="215" t="s">
        <v>363</v>
      </c>
      <c r="T24" s="215" t="s">
        <v>378</v>
      </c>
      <c r="U24" s="215" t="s">
        <v>239</v>
      </c>
      <c r="V24" s="215" t="s">
        <v>351</v>
      </c>
      <c r="W24" s="215" t="s">
        <v>378</v>
      </c>
      <c r="X24" s="215" t="s">
        <v>239</v>
      </c>
      <c r="Y24" s="215"/>
      <c r="Z24" s="215"/>
      <c r="AA24" s="215" t="s">
        <v>90</v>
      </c>
      <c r="AB24" s="215" t="s">
        <v>363</v>
      </c>
      <c r="AC24" s="215">
        <v>101</v>
      </c>
      <c r="AD24" s="215" t="s">
        <v>217</v>
      </c>
      <c r="AE24" s="215">
        <v>1</v>
      </c>
      <c r="AF24" s="215"/>
    </row>
    <row r="25" spans="1:32" x14ac:dyDescent="0.3">
      <c r="A25" s="215" t="s">
        <v>351</v>
      </c>
      <c r="B25" s="215" t="s">
        <v>48</v>
      </c>
      <c r="C25" s="215" t="s">
        <v>68</v>
      </c>
      <c r="D25" s="215" t="s">
        <v>310</v>
      </c>
      <c r="E25" s="215" t="s">
        <v>987</v>
      </c>
      <c r="F25" s="15">
        <v>46245.580497685187</v>
      </c>
      <c r="G25" s="215" t="s">
        <v>411</v>
      </c>
      <c r="H25" s="215">
        <v>1</v>
      </c>
      <c r="I25" s="215" t="s">
        <v>986</v>
      </c>
      <c r="J25" s="15">
        <v>46255.427777777775</v>
      </c>
      <c r="K25" s="15">
        <v>46258.484027777777</v>
      </c>
      <c r="L25" s="15"/>
      <c r="M25" s="215">
        <v>1</v>
      </c>
      <c r="N25" s="215"/>
      <c r="O25" s="215" t="s">
        <v>201</v>
      </c>
      <c r="P25" s="215" t="s">
        <v>531</v>
      </c>
      <c r="Q25" s="215"/>
      <c r="R25" s="215"/>
      <c r="S25" s="215" t="s">
        <v>363</v>
      </c>
      <c r="T25" s="215" t="s">
        <v>378</v>
      </c>
      <c r="U25" s="215" t="s">
        <v>239</v>
      </c>
      <c r="V25" s="215" t="s">
        <v>351</v>
      </c>
      <c r="W25" s="215" t="s">
        <v>378</v>
      </c>
      <c r="X25" s="215" t="s">
        <v>239</v>
      </c>
      <c r="Y25" s="215"/>
      <c r="Z25" s="215"/>
      <c r="AA25" s="215" t="s">
        <v>90</v>
      </c>
      <c r="AB25" s="215" t="s">
        <v>363</v>
      </c>
      <c r="AC25" s="215">
        <v>101</v>
      </c>
      <c r="AD25" s="215" t="s">
        <v>217</v>
      </c>
      <c r="AE25" s="215">
        <v>1</v>
      </c>
      <c r="AF25" s="215"/>
    </row>
    <row r="26" spans="1:32" x14ac:dyDescent="0.3">
      <c r="A26" s="215" t="s">
        <v>351</v>
      </c>
      <c r="B26" s="215" t="s">
        <v>48</v>
      </c>
      <c r="C26" s="215" t="s">
        <v>68</v>
      </c>
      <c r="D26" s="215" t="s">
        <v>310</v>
      </c>
      <c r="E26" s="215" t="s">
        <v>988</v>
      </c>
      <c r="F26" s="15">
        <v>46253.381192129629</v>
      </c>
      <c r="G26" s="215" t="s">
        <v>411</v>
      </c>
      <c r="H26" s="215">
        <v>1</v>
      </c>
      <c r="I26" s="215" t="s">
        <v>989</v>
      </c>
      <c r="J26" s="15">
        <v>46254.517361111109</v>
      </c>
      <c r="K26" s="15">
        <v>46255.386805555558</v>
      </c>
      <c r="L26" s="15"/>
      <c r="M26" s="215">
        <v>1</v>
      </c>
      <c r="N26" s="215"/>
      <c r="O26" s="215" t="s">
        <v>201</v>
      </c>
      <c r="P26" s="215" t="s">
        <v>532</v>
      </c>
      <c r="Q26" s="215"/>
      <c r="R26" s="215"/>
      <c r="S26" s="215" t="s">
        <v>363</v>
      </c>
      <c r="T26" s="215" t="s">
        <v>378</v>
      </c>
      <c r="U26" s="215" t="s">
        <v>239</v>
      </c>
      <c r="V26" s="215" t="s">
        <v>351</v>
      </c>
      <c r="W26" s="215" t="s">
        <v>378</v>
      </c>
      <c r="X26" s="215" t="s">
        <v>239</v>
      </c>
      <c r="Y26" s="215">
        <v>0</v>
      </c>
      <c r="Z26" s="215"/>
      <c r="AA26" s="215" t="s">
        <v>90</v>
      </c>
      <c r="AB26" s="215" t="s">
        <v>363</v>
      </c>
      <c r="AC26" s="215">
        <v>101</v>
      </c>
      <c r="AD26" s="215" t="s">
        <v>217</v>
      </c>
      <c r="AE26" s="215">
        <v>1</v>
      </c>
      <c r="AF26" s="215">
        <v>1</v>
      </c>
    </row>
    <row r="27" spans="1:32" x14ac:dyDescent="0.3">
      <c r="A27" s="215" t="s">
        <v>351</v>
      </c>
      <c r="B27" s="215" t="s">
        <v>48</v>
      </c>
      <c r="C27" s="215" t="s">
        <v>68</v>
      </c>
      <c r="D27" s="215" t="s">
        <v>310</v>
      </c>
      <c r="E27" s="215" t="s">
        <v>990</v>
      </c>
      <c r="F27" s="15">
        <v>46237.501354166663</v>
      </c>
      <c r="G27" s="215" t="s">
        <v>411</v>
      </c>
      <c r="H27" s="215">
        <v>1</v>
      </c>
      <c r="I27" s="215" t="s">
        <v>991</v>
      </c>
      <c r="J27" s="15">
        <v>46237.692361111112</v>
      </c>
      <c r="K27" s="15">
        <v>46239.477777777778</v>
      </c>
      <c r="L27" s="15"/>
      <c r="M27" s="215">
        <v>1</v>
      </c>
      <c r="N27" s="215"/>
      <c r="O27" s="215" t="s">
        <v>201</v>
      </c>
      <c r="P27" s="215" t="s">
        <v>531</v>
      </c>
      <c r="Q27" s="215"/>
      <c r="R27" s="215"/>
      <c r="S27" s="215" t="s">
        <v>363</v>
      </c>
      <c r="T27" s="215" t="s">
        <v>378</v>
      </c>
      <c r="U27" s="215" t="s">
        <v>239</v>
      </c>
      <c r="V27" s="215" t="s">
        <v>351</v>
      </c>
      <c r="W27" s="215" t="s">
        <v>378</v>
      </c>
      <c r="X27" s="215" t="s">
        <v>239</v>
      </c>
      <c r="Y27" s="215">
        <v>0</v>
      </c>
      <c r="Z27" s="215"/>
      <c r="AA27" s="215" t="s">
        <v>90</v>
      </c>
      <c r="AB27" s="215" t="s">
        <v>363</v>
      </c>
      <c r="AC27" s="215">
        <v>101</v>
      </c>
      <c r="AD27" s="215" t="s">
        <v>217</v>
      </c>
      <c r="AE27" s="215">
        <v>1</v>
      </c>
      <c r="AF27" s="215">
        <v>1</v>
      </c>
    </row>
    <row r="28" spans="1:32" x14ac:dyDescent="0.3">
      <c r="A28" s="215" t="s">
        <v>351</v>
      </c>
      <c r="B28" s="215" t="s">
        <v>48</v>
      </c>
      <c r="C28" s="215" t="s">
        <v>68</v>
      </c>
      <c r="D28" s="215" t="s">
        <v>310</v>
      </c>
      <c r="E28" s="215" t="s">
        <v>1097</v>
      </c>
      <c r="F28" s="15">
        <v>46237.522916666669</v>
      </c>
      <c r="G28" s="215" t="s">
        <v>411</v>
      </c>
      <c r="H28" s="215">
        <v>2</v>
      </c>
      <c r="I28" s="215" t="s">
        <v>1098</v>
      </c>
      <c r="J28" s="15">
        <v>46237.661747685182</v>
      </c>
      <c r="K28" s="15">
        <v>46239.477777777778</v>
      </c>
      <c r="L28" s="15"/>
      <c r="M28" s="215">
        <v>2</v>
      </c>
      <c r="N28" s="215"/>
      <c r="O28" s="215" t="s">
        <v>201</v>
      </c>
      <c r="P28" s="215" t="s">
        <v>531</v>
      </c>
      <c r="Q28" s="215"/>
      <c r="R28" s="215"/>
      <c r="S28" s="215" t="s">
        <v>363</v>
      </c>
      <c r="T28" s="215" t="s">
        <v>378</v>
      </c>
      <c r="U28" s="215" t="s">
        <v>239</v>
      </c>
      <c r="V28" s="215" t="s">
        <v>351</v>
      </c>
      <c r="W28" s="215" t="s">
        <v>378</v>
      </c>
      <c r="X28" s="215" t="s">
        <v>239</v>
      </c>
      <c r="Y28" s="215"/>
      <c r="Z28" s="215"/>
      <c r="AA28" s="215" t="s">
        <v>90</v>
      </c>
      <c r="AB28" s="215" t="s">
        <v>363</v>
      </c>
      <c r="AC28" s="215">
        <v>101</v>
      </c>
      <c r="AD28" s="215" t="s">
        <v>217</v>
      </c>
      <c r="AE28" s="215">
        <v>1</v>
      </c>
      <c r="AF28" s="215"/>
    </row>
    <row r="29" spans="1:32" x14ac:dyDescent="0.3">
      <c r="A29" s="215" t="s">
        <v>351</v>
      </c>
      <c r="B29" s="215" t="s">
        <v>48</v>
      </c>
      <c r="C29" s="215" t="s">
        <v>68</v>
      </c>
      <c r="D29" s="215" t="s">
        <v>310</v>
      </c>
      <c r="E29" s="215" t="s">
        <v>1047</v>
      </c>
      <c r="F29" s="15">
        <v>46226.405069444445</v>
      </c>
      <c r="G29" s="215" t="s">
        <v>411</v>
      </c>
      <c r="H29" s="215">
        <v>2</v>
      </c>
      <c r="I29" s="215" t="s">
        <v>1048</v>
      </c>
      <c r="J29" s="15">
        <v>46226.479988425926</v>
      </c>
      <c r="K29" s="15">
        <v>46230.652777777781</v>
      </c>
      <c r="L29" s="15"/>
      <c r="M29" s="215">
        <v>2</v>
      </c>
      <c r="N29" s="215"/>
      <c r="O29" s="215" t="s">
        <v>201</v>
      </c>
      <c r="P29" s="215" t="s">
        <v>531</v>
      </c>
      <c r="Q29" s="215"/>
      <c r="R29" s="215"/>
      <c r="S29" s="215" t="s">
        <v>363</v>
      </c>
      <c r="T29" s="215" t="s">
        <v>378</v>
      </c>
      <c r="U29" s="215" t="s">
        <v>239</v>
      </c>
      <c r="V29" s="215" t="s">
        <v>351</v>
      </c>
      <c r="W29" s="215" t="s">
        <v>378</v>
      </c>
      <c r="X29" s="215" t="s">
        <v>239</v>
      </c>
      <c r="Y29" s="215">
        <v>0</v>
      </c>
      <c r="Z29" s="215"/>
      <c r="AA29" s="215" t="s">
        <v>90</v>
      </c>
      <c r="AB29" s="215" t="s">
        <v>363</v>
      </c>
      <c r="AC29" s="215">
        <v>101</v>
      </c>
      <c r="AD29" s="215" t="s">
        <v>217</v>
      </c>
      <c r="AE29" s="215">
        <v>1</v>
      </c>
      <c r="AF29" s="215">
        <v>1</v>
      </c>
    </row>
    <row r="30" spans="1:32" x14ac:dyDescent="0.3">
      <c r="A30" s="215" t="s">
        <v>351</v>
      </c>
      <c r="B30" s="215" t="s">
        <v>43</v>
      </c>
      <c r="C30" s="215" t="s">
        <v>105</v>
      </c>
      <c r="D30" s="215" t="s">
        <v>310</v>
      </c>
      <c r="E30" s="215" t="s">
        <v>1025</v>
      </c>
      <c r="F30" s="15">
        <v>46244.369768518518</v>
      </c>
      <c r="G30" s="215" t="s">
        <v>412</v>
      </c>
      <c r="H30" s="215">
        <v>4</v>
      </c>
      <c r="I30" s="215" t="s">
        <v>1026</v>
      </c>
      <c r="J30" s="15">
        <v>46244.668749999997</v>
      </c>
      <c r="K30" s="15">
        <v>46246.443055555559</v>
      </c>
      <c r="L30" s="15"/>
      <c r="M30" s="215">
        <v>4</v>
      </c>
      <c r="N30" s="215"/>
      <c r="O30" s="215" t="s">
        <v>201</v>
      </c>
      <c r="P30" s="215" t="s">
        <v>532</v>
      </c>
      <c r="Q30" s="215"/>
      <c r="R30" s="215"/>
      <c r="S30" s="215" t="s">
        <v>360</v>
      </c>
      <c r="T30" s="215" t="s">
        <v>378</v>
      </c>
      <c r="U30" s="215" t="s">
        <v>239</v>
      </c>
      <c r="V30" s="215" t="s">
        <v>351</v>
      </c>
      <c r="W30" s="215" t="s">
        <v>378</v>
      </c>
      <c r="X30" s="215" t="s">
        <v>239</v>
      </c>
      <c r="Y30" s="215">
        <v>0</v>
      </c>
      <c r="Z30" s="215"/>
      <c r="AA30" s="215" t="s">
        <v>67</v>
      </c>
      <c r="AB30" s="215" t="s">
        <v>360</v>
      </c>
      <c r="AC30" s="215">
        <v>50</v>
      </c>
      <c r="AD30" s="215" t="s">
        <v>217</v>
      </c>
      <c r="AE30" s="215">
        <v>1</v>
      </c>
      <c r="AF30" s="215">
        <v>1</v>
      </c>
    </row>
    <row r="31" spans="1:32" x14ac:dyDescent="0.3">
      <c r="A31" s="215" t="s">
        <v>351</v>
      </c>
      <c r="B31" s="215" t="s">
        <v>48</v>
      </c>
      <c r="C31" s="215" t="s">
        <v>68</v>
      </c>
      <c r="D31" s="215" t="s">
        <v>310</v>
      </c>
      <c r="E31" s="215" t="s">
        <v>1181</v>
      </c>
      <c r="F31" s="15">
        <v>46244.381539351853</v>
      </c>
      <c r="G31" s="215" t="s">
        <v>412</v>
      </c>
      <c r="H31" s="215">
        <v>1</v>
      </c>
      <c r="I31" s="215" t="s">
        <v>1182</v>
      </c>
      <c r="J31" s="15">
        <v>46244.708368055559</v>
      </c>
      <c r="K31" s="15">
        <v>46246.443055555559</v>
      </c>
      <c r="L31" s="15"/>
      <c r="M31" s="215">
        <v>1</v>
      </c>
      <c r="N31" s="215"/>
      <c r="O31" s="215" t="s">
        <v>201</v>
      </c>
      <c r="P31" s="215" t="s">
        <v>531</v>
      </c>
      <c r="Q31" s="215"/>
      <c r="R31" s="215"/>
      <c r="S31" s="215" t="s">
        <v>360</v>
      </c>
      <c r="T31" s="215" t="s">
        <v>378</v>
      </c>
      <c r="U31" s="215" t="s">
        <v>239</v>
      </c>
      <c r="V31" s="215" t="s">
        <v>351</v>
      </c>
      <c r="W31" s="215" t="s">
        <v>378</v>
      </c>
      <c r="X31" s="215" t="s">
        <v>239</v>
      </c>
      <c r="Y31" s="215"/>
      <c r="Z31" s="215"/>
      <c r="AA31" s="215" t="s">
        <v>90</v>
      </c>
      <c r="AB31" s="215" t="s">
        <v>360</v>
      </c>
      <c r="AC31" s="215">
        <v>50</v>
      </c>
      <c r="AD31" s="215" t="s">
        <v>217</v>
      </c>
      <c r="AE31" s="215">
        <v>1</v>
      </c>
      <c r="AF31" s="215"/>
    </row>
    <row r="32" spans="1:32" x14ac:dyDescent="0.3">
      <c r="A32" s="215" t="s">
        <v>351</v>
      </c>
      <c r="B32" s="215" t="s">
        <v>43</v>
      </c>
      <c r="C32" s="215" t="s">
        <v>105</v>
      </c>
      <c r="D32" s="215" t="s">
        <v>310</v>
      </c>
      <c r="E32" s="215" t="s">
        <v>1037</v>
      </c>
      <c r="F32" s="15">
        <v>46227.579050925924</v>
      </c>
      <c r="G32" s="215" t="s">
        <v>412</v>
      </c>
      <c r="H32" s="215">
        <v>2</v>
      </c>
      <c r="I32" s="215" t="s">
        <v>1038</v>
      </c>
      <c r="J32" s="15">
        <v>46227.624965277777</v>
      </c>
      <c r="K32" s="15">
        <v>46231.416666666664</v>
      </c>
      <c r="L32" s="15"/>
      <c r="M32" s="215">
        <v>2</v>
      </c>
      <c r="N32" s="215"/>
      <c r="O32" s="215" t="s">
        <v>201</v>
      </c>
      <c r="P32" s="215" t="s">
        <v>532</v>
      </c>
      <c r="Q32" s="215"/>
      <c r="R32" s="215"/>
      <c r="S32" s="215" t="s">
        <v>360</v>
      </c>
      <c r="T32" s="215" t="s">
        <v>378</v>
      </c>
      <c r="U32" s="215" t="s">
        <v>239</v>
      </c>
      <c r="V32" s="215" t="s">
        <v>351</v>
      </c>
      <c r="W32" s="215" t="s">
        <v>378</v>
      </c>
      <c r="X32" s="215" t="s">
        <v>239</v>
      </c>
      <c r="Y32" s="215">
        <v>0</v>
      </c>
      <c r="Z32" s="215"/>
      <c r="AA32" s="215" t="s">
        <v>67</v>
      </c>
      <c r="AB32" s="215" t="s">
        <v>360</v>
      </c>
      <c r="AC32" s="215">
        <v>50</v>
      </c>
      <c r="AD32" s="215" t="s">
        <v>217</v>
      </c>
      <c r="AE32" s="215">
        <v>1</v>
      </c>
      <c r="AF32" s="215">
        <v>1</v>
      </c>
    </row>
    <row r="33" spans="1:32" x14ac:dyDescent="0.3">
      <c r="A33" s="215" t="s">
        <v>351</v>
      </c>
      <c r="B33" s="215" t="s">
        <v>47</v>
      </c>
      <c r="C33" s="215" t="s">
        <v>68</v>
      </c>
      <c r="D33" s="215" t="s">
        <v>310</v>
      </c>
      <c r="E33" s="215" t="s">
        <v>962</v>
      </c>
      <c r="F33" s="15">
        <v>46240.53496527778</v>
      </c>
      <c r="G33" s="215" t="s">
        <v>411</v>
      </c>
      <c r="H33" s="215">
        <v>1</v>
      </c>
      <c r="I33" s="215" t="s">
        <v>963</v>
      </c>
      <c r="J33" s="15">
        <v>46240.617361111108</v>
      </c>
      <c r="K33" s="15">
        <v>46241.430555555555</v>
      </c>
      <c r="L33" s="15"/>
      <c r="M33" s="215">
        <v>2</v>
      </c>
      <c r="N33" s="215"/>
      <c r="O33" s="215" t="s">
        <v>146</v>
      </c>
      <c r="P33" s="215" t="s">
        <v>532</v>
      </c>
      <c r="Q33" s="215"/>
      <c r="R33" s="215"/>
      <c r="S33" s="215" t="s">
        <v>360</v>
      </c>
      <c r="T33" s="215" t="s">
        <v>378</v>
      </c>
      <c r="U33" s="215" t="s">
        <v>239</v>
      </c>
      <c r="V33" s="215" t="s">
        <v>351</v>
      </c>
      <c r="W33" s="215" t="s">
        <v>378</v>
      </c>
      <c r="X33" s="215" t="s">
        <v>239</v>
      </c>
      <c r="Y33" s="215">
        <v>0</v>
      </c>
      <c r="Z33" s="215"/>
      <c r="AA33" s="215" t="s">
        <v>90</v>
      </c>
      <c r="AB33" s="215" t="s">
        <v>360</v>
      </c>
      <c r="AC33" s="215">
        <v>50</v>
      </c>
      <c r="AD33" s="215" t="s">
        <v>218</v>
      </c>
      <c r="AE33" s="215">
        <v>1</v>
      </c>
      <c r="AF33" s="215">
        <v>1</v>
      </c>
    </row>
    <row r="34" spans="1:32" x14ac:dyDescent="0.3">
      <c r="A34" s="215" t="s">
        <v>351</v>
      </c>
      <c r="B34" s="215" t="s">
        <v>45</v>
      </c>
      <c r="C34" s="215" t="s">
        <v>68</v>
      </c>
      <c r="D34" s="215" t="s">
        <v>310</v>
      </c>
      <c r="E34" s="215" t="s">
        <v>954</v>
      </c>
      <c r="F34" s="15">
        <v>46238.415856481479</v>
      </c>
      <c r="G34" s="215" t="s">
        <v>419</v>
      </c>
      <c r="H34" s="215">
        <v>3</v>
      </c>
      <c r="I34" s="215" t="s">
        <v>955</v>
      </c>
      <c r="J34" s="15">
        <v>46238.662499999999</v>
      </c>
      <c r="K34" s="15">
        <v>46240.430555555555</v>
      </c>
      <c r="L34" s="15"/>
      <c r="M34" s="215">
        <v>3</v>
      </c>
      <c r="N34" s="215"/>
      <c r="O34" s="215" t="s">
        <v>201</v>
      </c>
      <c r="P34" s="215" t="s">
        <v>531</v>
      </c>
      <c r="Q34" s="215"/>
      <c r="R34" s="215"/>
      <c r="S34" s="215" t="s">
        <v>360</v>
      </c>
      <c r="T34" s="215" t="s">
        <v>378</v>
      </c>
      <c r="U34" s="215" t="s">
        <v>239</v>
      </c>
      <c r="V34" s="215" t="s">
        <v>351</v>
      </c>
      <c r="W34" s="215" t="s">
        <v>378</v>
      </c>
      <c r="X34" s="215" t="s">
        <v>239</v>
      </c>
      <c r="Y34" s="215">
        <v>0</v>
      </c>
      <c r="Z34" s="215"/>
      <c r="AA34" s="215" t="s">
        <v>67</v>
      </c>
      <c r="AB34" s="215" t="s">
        <v>360</v>
      </c>
      <c r="AC34" s="215">
        <v>50</v>
      </c>
      <c r="AD34" s="215" t="s">
        <v>217</v>
      </c>
      <c r="AE34" s="215">
        <v>1</v>
      </c>
      <c r="AF34" s="215">
        <v>1</v>
      </c>
    </row>
    <row r="35" spans="1:32" x14ac:dyDescent="0.3">
      <c r="A35" s="215" t="s">
        <v>351</v>
      </c>
      <c r="B35" s="215" t="s">
        <v>45</v>
      </c>
      <c r="C35" s="215" t="s">
        <v>68</v>
      </c>
      <c r="D35" s="215" t="s">
        <v>310</v>
      </c>
      <c r="E35" s="215" t="s">
        <v>956</v>
      </c>
      <c r="F35" s="15">
        <v>46238.416307870371</v>
      </c>
      <c r="G35" s="215" t="s">
        <v>419</v>
      </c>
      <c r="H35" s="215">
        <v>10</v>
      </c>
      <c r="I35" s="215" t="s">
        <v>957</v>
      </c>
      <c r="J35" s="15">
        <v>46238.654166666667</v>
      </c>
      <c r="K35" s="15">
        <v>46240.430555555555</v>
      </c>
      <c r="L35" s="15"/>
      <c r="M35" s="215">
        <v>10</v>
      </c>
      <c r="N35" s="215"/>
      <c r="O35" s="215" t="s">
        <v>201</v>
      </c>
      <c r="P35" s="215" t="s">
        <v>531</v>
      </c>
      <c r="Q35" s="215"/>
      <c r="R35" s="215"/>
      <c r="S35" s="215" t="s">
        <v>360</v>
      </c>
      <c r="T35" s="215" t="s">
        <v>378</v>
      </c>
      <c r="U35" s="215" t="s">
        <v>239</v>
      </c>
      <c r="V35" s="215" t="s">
        <v>351</v>
      </c>
      <c r="W35" s="215" t="s">
        <v>378</v>
      </c>
      <c r="X35" s="215" t="s">
        <v>239</v>
      </c>
      <c r="Y35" s="215"/>
      <c r="Z35" s="215"/>
      <c r="AA35" s="215" t="s">
        <v>67</v>
      </c>
      <c r="AB35" s="215" t="s">
        <v>360</v>
      </c>
      <c r="AC35" s="215">
        <v>50</v>
      </c>
      <c r="AD35" s="215" t="s">
        <v>217</v>
      </c>
      <c r="AE35" s="215">
        <v>1</v>
      </c>
      <c r="AF35" s="215"/>
    </row>
    <row r="36" spans="1:32" x14ac:dyDescent="0.3">
      <c r="A36" s="215" t="s">
        <v>351</v>
      </c>
      <c r="B36" s="215" t="s">
        <v>45</v>
      </c>
      <c r="C36" s="215" t="s">
        <v>68</v>
      </c>
      <c r="D36" s="215" t="s">
        <v>310</v>
      </c>
      <c r="E36" s="215" t="s">
        <v>958</v>
      </c>
      <c r="F36" s="15">
        <v>46238.415497685186</v>
      </c>
      <c r="G36" s="215" t="s">
        <v>419</v>
      </c>
      <c r="H36" s="215">
        <v>9</v>
      </c>
      <c r="I36" s="215" t="s">
        <v>959</v>
      </c>
      <c r="J36" s="15">
        <v>46238.628472222219</v>
      </c>
      <c r="K36" s="15">
        <v>46240.430555555555</v>
      </c>
      <c r="L36" s="15"/>
      <c r="M36" s="215">
        <v>9</v>
      </c>
      <c r="N36" s="215"/>
      <c r="O36" s="215" t="s">
        <v>201</v>
      </c>
      <c r="P36" s="215" t="s">
        <v>531</v>
      </c>
      <c r="Q36" s="215"/>
      <c r="R36" s="215"/>
      <c r="S36" s="215" t="s">
        <v>360</v>
      </c>
      <c r="T36" s="215" t="s">
        <v>378</v>
      </c>
      <c r="U36" s="215" t="s">
        <v>239</v>
      </c>
      <c r="V36" s="215" t="s">
        <v>351</v>
      </c>
      <c r="W36" s="215" t="s">
        <v>378</v>
      </c>
      <c r="X36" s="215" t="s">
        <v>239</v>
      </c>
      <c r="Y36" s="215"/>
      <c r="Z36" s="215"/>
      <c r="AA36" s="215" t="s">
        <v>67</v>
      </c>
      <c r="AB36" s="215" t="s">
        <v>360</v>
      </c>
      <c r="AC36" s="215">
        <v>50</v>
      </c>
      <c r="AD36" s="215" t="s">
        <v>217</v>
      </c>
      <c r="AE36" s="215">
        <v>1</v>
      </c>
      <c r="AF36" s="215"/>
    </row>
    <row r="37" spans="1:32" x14ac:dyDescent="0.3">
      <c r="A37" s="215" t="s">
        <v>351</v>
      </c>
      <c r="B37" s="215" t="s">
        <v>45</v>
      </c>
      <c r="C37" s="215" t="s">
        <v>68</v>
      </c>
      <c r="D37" s="215" t="s">
        <v>310</v>
      </c>
      <c r="E37" s="215" t="s">
        <v>960</v>
      </c>
      <c r="F37" s="15">
        <v>46237.469942129632</v>
      </c>
      <c r="G37" s="215" t="s">
        <v>412</v>
      </c>
      <c r="H37" s="215">
        <v>1</v>
      </c>
      <c r="I37" s="215" t="s">
        <v>961</v>
      </c>
      <c r="J37" s="15">
        <v>46240.430555555555</v>
      </c>
      <c r="K37" s="15">
        <v>46240.388888888891</v>
      </c>
      <c r="L37" s="15"/>
      <c r="M37" s="215">
        <v>1</v>
      </c>
      <c r="N37" s="215"/>
      <c r="O37" s="215" t="s">
        <v>201</v>
      </c>
      <c r="P37" s="215" t="s">
        <v>532</v>
      </c>
      <c r="Q37" s="215"/>
      <c r="R37" s="215"/>
      <c r="S37" s="215" t="s">
        <v>360</v>
      </c>
      <c r="T37" s="215" t="s">
        <v>378</v>
      </c>
      <c r="U37" s="215" t="s">
        <v>239</v>
      </c>
      <c r="V37" s="215" t="s">
        <v>351</v>
      </c>
      <c r="W37" s="215" t="s">
        <v>378</v>
      </c>
      <c r="X37" s="215" t="s">
        <v>239</v>
      </c>
      <c r="Y37" s="215">
        <v>0</v>
      </c>
      <c r="Z37" s="215"/>
      <c r="AA37" s="215" t="s">
        <v>67</v>
      </c>
      <c r="AB37" s="215" t="s">
        <v>360</v>
      </c>
      <c r="AC37" s="215">
        <v>50</v>
      </c>
      <c r="AD37" s="215" t="s">
        <v>217</v>
      </c>
      <c r="AE37" s="215">
        <v>1</v>
      </c>
      <c r="AF37" s="215"/>
    </row>
    <row r="38" spans="1:32" x14ac:dyDescent="0.3">
      <c r="A38" s="215" t="s">
        <v>351</v>
      </c>
      <c r="B38" s="215" t="s">
        <v>48</v>
      </c>
      <c r="C38" s="215" t="s">
        <v>68</v>
      </c>
      <c r="D38" s="215" t="s">
        <v>310</v>
      </c>
      <c r="E38" s="215" t="s">
        <v>1002</v>
      </c>
      <c r="F38" s="15">
        <v>46233.385277777779</v>
      </c>
      <c r="G38" s="215" t="s">
        <v>412</v>
      </c>
      <c r="H38" s="215">
        <v>1</v>
      </c>
      <c r="I38" s="215" t="s">
        <v>1003</v>
      </c>
      <c r="J38" s="15">
        <v>46239.651388888888</v>
      </c>
      <c r="K38" s="15">
        <v>46240.420138888891</v>
      </c>
      <c r="L38" s="15"/>
      <c r="M38" s="215">
        <v>1</v>
      </c>
      <c r="N38" s="215"/>
      <c r="O38" s="215" t="s">
        <v>201</v>
      </c>
      <c r="P38" s="215" t="s">
        <v>532</v>
      </c>
      <c r="Q38" s="215"/>
      <c r="R38" s="215"/>
      <c r="S38" s="215" t="s">
        <v>360</v>
      </c>
      <c r="T38" s="215" t="s">
        <v>378</v>
      </c>
      <c r="U38" s="215" t="s">
        <v>239</v>
      </c>
      <c r="V38" s="215" t="s">
        <v>351</v>
      </c>
      <c r="W38" s="215" t="s">
        <v>378</v>
      </c>
      <c r="X38" s="215" t="s">
        <v>239</v>
      </c>
      <c r="Y38" s="215">
        <v>0</v>
      </c>
      <c r="Z38" s="215"/>
      <c r="AA38" s="215" t="s">
        <v>90</v>
      </c>
      <c r="AB38" s="215" t="s">
        <v>360</v>
      </c>
      <c r="AC38" s="215">
        <v>50</v>
      </c>
      <c r="AD38" s="215" t="s">
        <v>217</v>
      </c>
      <c r="AE38" s="215">
        <v>1</v>
      </c>
      <c r="AF38" s="215"/>
    </row>
    <row r="39" spans="1:32" x14ac:dyDescent="0.3">
      <c r="A39" s="215" t="s">
        <v>351</v>
      </c>
      <c r="B39" s="215" t="s">
        <v>45</v>
      </c>
      <c r="C39" s="215" t="s">
        <v>68</v>
      </c>
      <c r="D39" s="215" t="s">
        <v>310</v>
      </c>
      <c r="E39" s="215" t="s">
        <v>1061</v>
      </c>
      <c r="F39" s="15">
        <v>46225.311331018522</v>
      </c>
      <c r="G39" s="215" t="s">
        <v>409</v>
      </c>
      <c r="H39" s="215">
        <v>3</v>
      </c>
      <c r="I39" s="215" t="s">
        <v>1062</v>
      </c>
      <c r="J39" s="15">
        <v>46225.67083333333</v>
      </c>
      <c r="K39" s="15">
        <v>46227.42291666667</v>
      </c>
      <c r="L39" s="15"/>
      <c r="M39" s="215">
        <v>3</v>
      </c>
      <c r="N39" s="215"/>
      <c r="O39" s="215" t="s">
        <v>201</v>
      </c>
      <c r="P39" s="215" t="s">
        <v>531</v>
      </c>
      <c r="Q39" s="215"/>
      <c r="R39" s="215"/>
      <c r="S39" s="215" t="s">
        <v>360</v>
      </c>
      <c r="T39" s="215" t="s">
        <v>378</v>
      </c>
      <c r="U39" s="215" t="s">
        <v>239</v>
      </c>
      <c r="V39" s="215" t="s">
        <v>351</v>
      </c>
      <c r="W39" s="215" t="s">
        <v>378</v>
      </c>
      <c r="X39" s="215" t="s">
        <v>239</v>
      </c>
      <c r="Y39" s="215">
        <v>0</v>
      </c>
      <c r="Z39" s="215"/>
      <c r="AA39" s="215" t="s">
        <v>67</v>
      </c>
      <c r="AB39" s="215" t="s">
        <v>360</v>
      </c>
      <c r="AC39" s="215">
        <v>50</v>
      </c>
      <c r="AD39" s="215" t="s">
        <v>217</v>
      </c>
      <c r="AE39" s="215">
        <v>1</v>
      </c>
      <c r="AF39" s="215">
        <v>1</v>
      </c>
    </row>
    <row r="40" spans="1:32" x14ac:dyDescent="0.3">
      <c r="A40" s="215" t="s">
        <v>351</v>
      </c>
      <c r="B40" s="215" t="s">
        <v>45</v>
      </c>
      <c r="C40" s="215" t="s">
        <v>68</v>
      </c>
      <c r="D40" s="215" t="s">
        <v>310</v>
      </c>
      <c r="E40" s="215" t="s">
        <v>1063</v>
      </c>
      <c r="F40" s="15">
        <v>46225.310555555552</v>
      </c>
      <c r="G40" s="215" t="s">
        <v>409</v>
      </c>
      <c r="H40" s="215">
        <v>4</v>
      </c>
      <c r="I40" s="215" t="s">
        <v>1062</v>
      </c>
      <c r="J40" s="15">
        <v>46225.67083333333</v>
      </c>
      <c r="K40" s="15">
        <v>46227.42291666667</v>
      </c>
      <c r="L40" s="15"/>
      <c r="M40" s="215">
        <v>4</v>
      </c>
      <c r="N40" s="215"/>
      <c r="O40" s="215" t="s">
        <v>201</v>
      </c>
      <c r="P40" s="215" t="s">
        <v>531</v>
      </c>
      <c r="Q40" s="215"/>
      <c r="R40" s="215"/>
      <c r="S40" s="215" t="s">
        <v>360</v>
      </c>
      <c r="T40" s="215" t="s">
        <v>378</v>
      </c>
      <c r="U40" s="215" t="s">
        <v>239</v>
      </c>
      <c r="V40" s="215" t="s">
        <v>351</v>
      </c>
      <c r="W40" s="215" t="s">
        <v>378</v>
      </c>
      <c r="X40" s="215" t="s">
        <v>239</v>
      </c>
      <c r="Y40" s="215"/>
      <c r="Z40" s="215"/>
      <c r="AA40" s="215" t="s">
        <v>67</v>
      </c>
      <c r="AB40" s="215" t="s">
        <v>360</v>
      </c>
      <c r="AC40" s="215">
        <v>50</v>
      </c>
      <c r="AD40" s="215" t="s">
        <v>217</v>
      </c>
      <c r="AE40" s="215">
        <v>1</v>
      </c>
      <c r="AF40" s="215"/>
    </row>
    <row r="41" spans="1:32" x14ac:dyDescent="0.3">
      <c r="A41" s="215" t="s">
        <v>351</v>
      </c>
      <c r="B41" s="215" t="s">
        <v>48</v>
      </c>
      <c r="C41" s="215" t="s">
        <v>68</v>
      </c>
      <c r="D41" s="215" t="s">
        <v>310</v>
      </c>
      <c r="E41" s="215" t="s">
        <v>1093</v>
      </c>
      <c r="F41" s="15">
        <v>46225.384560185186</v>
      </c>
      <c r="G41" s="215" t="s">
        <v>412</v>
      </c>
      <c r="H41" s="215">
        <v>1</v>
      </c>
      <c r="I41" s="215" t="s">
        <v>1094</v>
      </c>
      <c r="J41" s="15">
        <v>46225.698611111111</v>
      </c>
      <c r="K41" s="15">
        <v>46227.40347222222</v>
      </c>
      <c r="L41" s="15"/>
      <c r="M41" s="215">
        <v>1</v>
      </c>
      <c r="N41" s="215"/>
      <c r="O41" s="215" t="s">
        <v>201</v>
      </c>
      <c r="P41" s="215" t="s">
        <v>531</v>
      </c>
      <c r="Q41" s="215"/>
      <c r="R41" s="215"/>
      <c r="S41" s="215" t="s">
        <v>360</v>
      </c>
      <c r="T41" s="215" t="s">
        <v>378</v>
      </c>
      <c r="U41" s="215" t="s">
        <v>239</v>
      </c>
      <c r="V41" s="215" t="s">
        <v>351</v>
      </c>
      <c r="W41" s="215" t="s">
        <v>378</v>
      </c>
      <c r="X41" s="215" t="s">
        <v>239</v>
      </c>
      <c r="Y41" s="215"/>
      <c r="Z41" s="215"/>
      <c r="AA41" s="215" t="s">
        <v>90</v>
      </c>
      <c r="AB41" s="215" t="s">
        <v>360</v>
      </c>
      <c r="AC41" s="215">
        <v>50</v>
      </c>
      <c r="AD41" s="215" t="s">
        <v>217</v>
      </c>
      <c r="AE41" s="215">
        <v>1</v>
      </c>
      <c r="AF41" s="215"/>
    </row>
    <row r="42" spans="1:32" x14ac:dyDescent="0.3">
      <c r="A42" s="215" t="s">
        <v>351</v>
      </c>
      <c r="B42" s="215" t="s">
        <v>48</v>
      </c>
      <c r="C42" s="215" t="s">
        <v>68</v>
      </c>
      <c r="D42" s="215" t="s">
        <v>310</v>
      </c>
      <c r="E42" s="215" t="s">
        <v>1070</v>
      </c>
      <c r="F42" s="15">
        <v>46225.554189814815</v>
      </c>
      <c r="G42" s="215" t="s">
        <v>412</v>
      </c>
      <c r="H42" s="215">
        <v>1</v>
      </c>
      <c r="I42" s="215" t="s">
        <v>1071</v>
      </c>
      <c r="J42" s="15">
        <v>46225.708333333336</v>
      </c>
      <c r="K42" s="15">
        <v>46227.40347222222</v>
      </c>
      <c r="L42" s="15"/>
      <c r="M42" s="215">
        <v>1</v>
      </c>
      <c r="N42" s="215"/>
      <c r="O42" s="215" t="s">
        <v>201</v>
      </c>
      <c r="P42" s="215" t="s">
        <v>531</v>
      </c>
      <c r="Q42" s="215"/>
      <c r="R42" s="215"/>
      <c r="S42" s="215" t="s">
        <v>360</v>
      </c>
      <c r="T42" s="215" t="s">
        <v>378</v>
      </c>
      <c r="U42" s="215" t="s">
        <v>239</v>
      </c>
      <c r="V42" s="215" t="s">
        <v>351</v>
      </c>
      <c r="W42" s="215" t="s">
        <v>378</v>
      </c>
      <c r="X42" s="215" t="s">
        <v>239</v>
      </c>
      <c r="Y42" s="215"/>
      <c r="Z42" s="215"/>
      <c r="AA42" s="215" t="s">
        <v>90</v>
      </c>
      <c r="AB42" s="215" t="s">
        <v>360</v>
      </c>
      <c r="AC42" s="215">
        <v>50</v>
      </c>
      <c r="AD42" s="215" t="s">
        <v>217</v>
      </c>
      <c r="AE42" s="215">
        <v>1</v>
      </c>
      <c r="AF42" s="215"/>
    </row>
    <row r="43" spans="1:32" x14ac:dyDescent="0.3">
      <c r="A43" s="215" t="s">
        <v>351</v>
      </c>
      <c r="B43" s="215" t="s">
        <v>43</v>
      </c>
      <c r="C43" s="215" t="s">
        <v>105</v>
      </c>
      <c r="D43" s="215" t="s">
        <v>310</v>
      </c>
      <c r="E43" s="215" t="s">
        <v>1091</v>
      </c>
      <c r="F43" s="15">
        <v>46226.328611111108</v>
      </c>
      <c r="G43" s="215" t="s">
        <v>412</v>
      </c>
      <c r="H43" s="215">
        <v>6</v>
      </c>
      <c r="I43" s="215" t="s">
        <v>1092</v>
      </c>
      <c r="J43" s="15">
        <v>46226.431250000001</v>
      </c>
      <c r="K43" s="15">
        <v>46227.40347222222</v>
      </c>
      <c r="L43" s="15"/>
      <c r="M43" s="215">
        <v>6</v>
      </c>
      <c r="N43" s="215"/>
      <c r="O43" s="215" t="s">
        <v>201</v>
      </c>
      <c r="P43" s="215" t="s">
        <v>532</v>
      </c>
      <c r="Q43" s="215"/>
      <c r="R43" s="215"/>
      <c r="S43" s="215" t="s">
        <v>360</v>
      </c>
      <c r="T43" s="215" t="s">
        <v>378</v>
      </c>
      <c r="U43" s="215" t="s">
        <v>239</v>
      </c>
      <c r="V43" s="215" t="s">
        <v>351</v>
      </c>
      <c r="W43" s="215" t="s">
        <v>378</v>
      </c>
      <c r="X43" s="215" t="s">
        <v>239</v>
      </c>
      <c r="Y43" s="215"/>
      <c r="Z43" s="215"/>
      <c r="AA43" s="215" t="s">
        <v>67</v>
      </c>
      <c r="AB43" s="215" t="s">
        <v>360</v>
      </c>
      <c r="AC43" s="215">
        <v>50</v>
      </c>
      <c r="AD43" s="215" t="s">
        <v>217</v>
      </c>
      <c r="AE43" s="215">
        <v>1</v>
      </c>
      <c r="AF43" s="215"/>
    </row>
    <row r="44" spans="1:32" x14ac:dyDescent="0.3">
      <c r="A44" s="215" t="s">
        <v>351</v>
      </c>
      <c r="B44" s="215" t="s">
        <v>48</v>
      </c>
      <c r="C44" s="215" t="s">
        <v>68</v>
      </c>
      <c r="D44" s="215" t="s">
        <v>310</v>
      </c>
      <c r="E44" s="215" t="s">
        <v>995</v>
      </c>
      <c r="F44" s="15">
        <v>46252.400995370372</v>
      </c>
      <c r="G44" s="215" t="s">
        <v>412</v>
      </c>
      <c r="H44" s="215">
        <v>1</v>
      </c>
      <c r="I44" s="215" t="s">
        <v>996</v>
      </c>
      <c r="J44" s="15">
        <v>46253.65</v>
      </c>
      <c r="K44" s="15">
        <v>46254.420138888891</v>
      </c>
      <c r="L44" s="15"/>
      <c r="M44" s="215">
        <v>1</v>
      </c>
      <c r="N44" s="215"/>
      <c r="O44" s="215" t="s">
        <v>201</v>
      </c>
      <c r="P44" s="215" t="s">
        <v>532</v>
      </c>
      <c r="Q44" s="215"/>
      <c r="R44" s="215"/>
      <c r="S44" s="215" t="s">
        <v>360</v>
      </c>
      <c r="T44" s="215" t="s">
        <v>378</v>
      </c>
      <c r="U44" s="215" t="s">
        <v>239</v>
      </c>
      <c r="V44" s="215" t="s">
        <v>351</v>
      </c>
      <c r="W44" s="215" t="s">
        <v>378</v>
      </c>
      <c r="X44" s="215" t="s">
        <v>239</v>
      </c>
      <c r="Y44" s="215">
        <v>0</v>
      </c>
      <c r="Z44" s="215"/>
      <c r="AA44" s="215" t="s">
        <v>90</v>
      </c>
      <c r="AB44" s="215" t="s">
        <v>360</v>
      </c>
      <c r="AC44" s="215">
        <v>50</v>
      </c>
      <c r="AD44" s="215" t="s">
        <v>217</v>
      </c>
      <c r="AE44" s="215">
        <v>1</v>
      </c>
      <c r="AF44" s="215">
        <v>1</v>
      </c>
    </row>
    <row r="45" spans="1:32" x14ac:dyDescent="0.3">
      <c r="A45" s="215" t="s">
        <v>351</v>
      </c>
      <c r="B45" s="215" t="s">
        <v>48</v>
      </c>
      <c r="C45" s="215" t="s">
        <v>68</v>
      </c>
      <c r="D45" s="215" t="s">
        <v>310</v>
      </c>
      <c r="E45" s="215" t="s">
        <v>995</v>
      </c>
      <c r="F45" s="15">
        <v>46252.400995370372</v>
      </c>
      <c r="G45" s="215" t="s">
        <v>412</v>
      </c>
      <c r="H45" s="215">
        <v>1</v>
      </c>
      <c r="I45" s="215" t="s">
        <v>997</v>
      </c>
      <c r="J45" s="15">
        <v>46253.374305555553</v>
      </c>
      <c r="K45" s="15">
        <v>46254.420138888891</v>
      </c>
      <c r="L45" s="15"/>
      <c r="M45" s="215">
        <v>1</v>
      </c>
      <c r="N45" s="215"/>
      <c r="O45" s="215" t="s">
        <v>201</v>
      </c>
      <c r="P45" s="215" t="s">
        <v>531</v>
      </c>
      <c r="Q45" s="215"/>
      <c r="R45" s="215"/>
      <c r="S45" s="215" t="s">
        <v>360</v>
      </c>
      <c r="T45" s="215" t="s">
        <v>378</v>
      </c>
      <c r="U45" s="215" t="s">
        <v>239</v>
      </c>
      <c r="V45" s="215" t="s">
        <v>351</v>
      </c>
      <c r="W45" s="215" t="s">
        <v>378</v>
      </c>
      <c r="X45" s="215" t="s">
        <v>239</v>
      </c>
      <c r="Y45" s="215"/>
      <c r="Z45" s="215"/>
      <c r="AA45" s="215" t="s">
        <v>90</v>
      </c>
      <c r="AB45" s="215" t="s">
        <v>360</v>
      </c>
      <c r="AC45" s="215">
        <v>50</v>
      </c>
      <c r="AD45" s="215" t="s">
        <v>217</v>
      </c>
      <c r="AE45" s="215">
        <v>1</v>
      </c>
      <c r="AF45" s="215"/>
    </row>
    <row r="46" spans="1:32" x14ac:dyDescent="0.3">
      <c r="A46" s="215" t="s">
        <v>351</v>
      </c>
      <c r="B46" s="215" t="s">
        <v>48</v>
      </c>
      <c r="C46" s="215" t="s">
        <v>68</v>
      </c>
      <c r="D46" s="215" t="s">
        <v>310</v>
      </c>
      <c r="E46" s="215" t="s">
        <v>998</v>
      </c>
      <c r="F46" s="15">
        <v>46251.60728009259</v>
      </c>
      <c r="G46" s="215" t="s">
        <v>412</v>
      </c>
      <c r="H46" s="215">
        <v>1</v>
      </c>
      <c r="I46" s="215" t="s">
        <v>999</v>
      </c>
      <c r="J46" s="15">
        <v>46252.679166666669</v>
      </c>
      <c r="K46" s="15">
        <v>46254.420138888891</v>
      </c>
      <c r="L46" s="15"/>
      <c r="M46" s="215">
        <v>1</v>
      </c>
      <c r="N46" s="215"/>
      <c r="O46" s="215" t="s">
        <v>201</v>
      </c>
      <c r="P46" s="215" t="s">
        <v>531</v>
      </c>
      <c r="Q46" s="215"/>
      <c r="R46" s="215"/>
      <c r="S46" s="215" t="s">
        <v>360</v>
      </c>
      <c r="T46" s="215" t="s">
        <v>378</v>
      </c>
      <c r="U46" s="215" t="s">
        <v>239</v>
      </c>
      <c r="V46" s="215" t="s">
        <v>351</v>
      </c>
      <c r="W46" s="215" t="s">
        <v>378</v>
      </c>
      <c r="X46" s="215" t="s">
        <v>239</v>
      </c>
      <c r="Y46" s="215">
        <v>0</v>
      </c>
      <c r="Z46" s="215"/>
      <c r="AA46" s="215" t="s">
        <v>90</v>
      </c>
      <c r="AB46" s="215" t="s">
        <v>360</v>
      </c>
      <c r="AC46" s="215">
        <v>50</v>
      </c>
      <c r="AD46" s="215" t="s">
        <v>217</v>
      </c>
      <c r="AE46" s="215">
        <v>1</v>
      </c>
      <c r="AF46" s="215"/>
    </row>
    <row r="47" spans="1:32" x14ac:dyDescent="0.3">
      <c r="A47" s="215" t="s">
        <v>351</v>
      </c>
      <c r="B47" s="215" t="s">
        <v>48</v>
      </c>
      <c r="C47" s="215" t="s">
        <v>68</v>
      </c>
      <c r="D47" s="215" t="s">
        <v>310</v>
      </c>
      <c r="E47" s="215" t="s">
        <v>1000</v>
      </c>
      <c r="F47" s="15">
        <v>46237.403981481482</v>
      </c>
      <c r="G47" s="215" t="s">
        <v>412</v>
      </c>
      <c r="H47" s="215">
        <v>1</v>
      </c>
      <c r="I47" s="215" t="s">
        <v>1001</v>
      </c>
      <c r="J47" s="15">
        <v>46237.502083333333</v>
      </c>
      <c r="K47" s="15">
        <v>46239.458333333336</v>
      </c>
      <c r="L47" s="15"/>
      <c r="M47" s="215">
        <v>1</v>
      </c>
      <c r="N47" s="215"/>
      <c r="O47" s="215" t="s">
        <v>201</v>
      </c>
      <c r="P47" s="215" t="s">
        <v>531</v>
      </c>
      <c r="Q47" s="215"/>
      <c r="R47" s="215"/>
      <c r="S47" s="215" t="s">
        <v>360</v>
      </c>
      <c r="T47" s="215" t="s">
        <v>378</v>
      </c>
      <c r="U47" s="215" t="s">
        <v>239</v>
      </c>
      <c r="V47" s="215" t="s">
        <v>351</v>
      </c>
      <c r="W47" s="215" t="s">
        <v>378</v>
      </c>
      <c r="X47" s="215" t="s">
        <v>239</v>
      </c>
      <c r="Y47" s="215">
        <v>0</v>
      </c>
      <c r="Z47" s="215"/>
      <c r="AA47" s="215" t="s">
        <v>90</v>
      </c>
      <c r="AB47" s="215" t="s">
        <v>360</v>
      </c>
      <c r="AC47" s="215">
        <v>50</v>
      </c>
      <c r="AD47" s="215" t="s">
        <v>217</v>
      </c>
      <c r="AE47" s="215">
        <v>1</v>
      </c>
      <c r="AF47" s="215">
        <v>1</v>
      </c>
    </row>
    <row r="48" spans="1:32" x14ac:dyDescent="0.3">
      <c r="A48" s="215" t="s">
        <v>351</v>
      </c>
      <c r="B48" s="215" t="s">
        <v>48</v>
      </c>
      <c r="C48" s="215" t="s">
        <v>68</v>
      </c>
      <c r="D48" s="215" t="s">
        <v>310</v>
      </c>
      <c r="E48" s="215" t="s">
        <v>1004</v>
      </c>
      <c r="F48" s="15">
        <v>46245.504618055558</v>
      </c>
      <c r="G48" s="215" t="s">
        <v>412</v>
      </c>
      <c r="H48" s="215">
        <v>1</v>
      </c>
      <c r="I48" s="215" t="s">
        <v>1005</v>
      </c>
      <c r="J48" s="15">
        <v>46251.37777777778</v>
      </c>
      <c r="K48" s="15">
        <v>46252.390972222223</v>
      </c>
      <c r="L48" s="15"/>
      <c r="M48" s="215">
        <v>1</v>
      </c>
      <c r="N48" s="215"/>
      <c r="O48" s="215" t="s">
        <v>201</v>
      </c>
      <c r="P48" s="215" t="s">
        <v>531</v>
      </c>
      <c r="Q48" s="215"/>
      <c r="R48" s="215"/>
      <c r="S48" s="215" t="s">
        <v>360</v>
      </c>
      <c r="T48" s="215" t="s">
        <v>378</v>
      </c>
      <c r="U48" s="215" t="s">
        <v>239</v>
      </c>
      <c r="V48" s="215" t="s">
        <v>351</v>
      </c>
      <c r="W48" s="215" t="s">
        <v>378</v>
      </c>
      <c r="X48" s="215" t="s">
        <v>239</v>
      </c>
      <c r="Y48" s="215">
        <v>0</v>
      </c>
      <c r="Z48" s="215"/>
      <c r="AA48" s="215" t="s">
        <v>90</v>
      </c>
      <c r="AB48" s="215" t="s">
        <v>360</v>
      </c>
      <c r="AC48" s="215">
        <v>50</v>
      </c>
      <c r="AD48" s="215" t="s">
        <v>217</v>
      </c>
      <c r="AE48" s="215">
        <v>1</v>
      </c>
      <c r="AF48" s="215">
        <v>1</v>
      </c>
    </row>
    <row r="49" spans="1:32" x14ac:dyDescent="0.3">
      <c r="A49" s="215" t="s">
        <v>351</v>
      </c>
      <c r="B49" s="215" t="s">
        <v>48</v>
      </c>
      <c r="C49" s="215" t="s">
        <v>68</v>
      </c>
      <c r="D49" s="215" t="s">
        <v>310</v>
      </c>
      <c r="E49" s="215" t="s">
        <v>1051</v>
      </c>
      <c r="F49" s="15">
        <v>46224.674085648148</v>
      </c>
      <c r="G49" s="215" t="s">
        <v>412</v>
      </c>
      <c r="H49" s="215">
        <v>1</v>
      </c>
      <c r="I49" s="215" t="s">
        <v>1052</v>
      </c>
      <c r="J49" s="15">
        <v>46226.561562499999</v>
      </c>
      <c r="K49" s="15">
        <v>46230.489583333336</v>
      </c>
      <c r="L49" s="15"/>
      <c r="M49" s="215">
        <v>1</v>
      </c>
      <c r="N49" s="215"/>
      <c r="O49" s="215" t="s">
        <v>201</v>
      </c>
      <c r="P49" s="215" t="s">
        <v>531</v>
      </c>
      <c r="Q49" s="215"/>
      <c r="R49" s="215"/>
      <c r="S49" s="215" t="s">
        <v>360</v>
      </c>
      <c r="T49" s="215" t="s">
        <v>378</v>
      </c>
      <c r="U49" s="215" t="s">
        <v>239</v>
      </c>
      <c r="V49" s="215" t="s">
        <v>351</v>
      </c>
      <c r="W49" s="215" t="s">
        <v>378</v>
      </c>
      <c r="X49" s="215" t="s">
        <v>239</v>
      </c>
      <c r="Y49" s="215">
        <v>0</v>
      </c>
      <c r="Z49" s="215"/>
      <c r="AA49" s="215" t="s">
        <v>90</v>
      </c>
      <c r="AB49" s="215" t="s">
        <v>360</v>
      </c>
      <c r="AC49" s="215">
        <v>50</v>
      </c>
      <c r="AD49" s="215" t="s">
        <v>217</v>
      </c>
      <c r="AE49" s="215">
        <v>1</v>
      </c>
      <c r="AF49" s="215">
        <v>1</v>
      </c>
    </row>
    <row r="50" spans="1:32" x14ac:dyDescent="0.3">
      <c r="A50" s="215" t="s">
        <v>351</v>
      </c>
      <c r="B50" s="215" t="s">
        <v>48</v>
      </c>
      <c r="C50" s="215" t="s">
        <v>68</v>
      </c>
      <c r="D50" s="215" t="s">
        <v>310</v>
      </c>
      <c r="E50" s="215" t="s">
        <v>1057</v>
      </c>
      <c r="F50" s="15">
        <v>46220.546053240738</v>
      </c>
      <c r="G50" s="215" t="s">
        <v>412</v>
      </c>
      <c r="H50" s="215">
        <v>1</v>
      </c>
      <c r="I50" s="215" t="s">
        <v>1058</v>
      </c>
      <c r="J50" s="15">
        <v>46224.709398148145</v>
      </c>
      <c r="K50" s="15">
        <v>46226.411805555559</v>
      </c>
      <c r="L50" s="15"/>
      <c r="M50" s="215">
        <v>1</v>
      </c>
      <c r="N50" s="215"/>
      <c r="O50" s="215" t="s">
        <v>201</v>
      </c>
      <c r="P50" s="215" t="s">
        <v>531</v>
      </c>
      <c r="Q50" s="215"/>
      <c r="R50" s="215"/>
      <c r="S50" s="215" t="s">
        <v>360</v>
      </c>
      <c r="T50" s="215" t="s">
        <v>378</v>
      </c>
      <c r="U50" s="215" t="s">
        <v>239</v>
      </c>
      <c r="V50" s="215" t="s">
        <v>351</v>
      </c>
      <c r="W50" s="215" t="s">
        <v>378</v>
      </c>
      <c r="X50" s="215" t="s">
        <v>239</v>
      </c>
      <c r="Y50" s="215">
        <v>0</v>
      </c>
      <c r="Z50" s="215"/>
      <c r="AA50" s="215" t="s">
        <v>90</v>
      </c>
      <c r="AB50" s="215" t="s">
        <v>360</v>
      </c>
      <c r="AC50" s="215">
        <v>50</v>
      </c>
      <c r="AD50" s="215" t="s">
        <v>217</v>
      </c>
      <c r="AE50" s="215">
        <v>1</v>
      </c>
      <c r="AF50" s="215">
        <v>1</v>
      </c>
    </row>
    <row r="51" spans="1:32" x14ac:dyDescent="0.3">
      <c r="A51" s="215" t="s">
        <v>351</v>
      </c>
      <c r="B51" s="215" t="s">
        <v>51</v>
      </c>
      <c r="C51" s="215" t="s">
        <v>258</v>
      </c>
      <c r="D51" s="215" t="s">
        <v>310</v>
      </c>
      <c r="E51" s="215" t="s">
        <v>854</v>
      </c>
      <c r="F51" s="15">
        <v>46232.614351851851</v>
      </c>
      <c r="G51" s="215" t="s">
        <v>412</v>
      </c>
      <c r="H51" s="215">
        <v>50</v>
      </c>
      <c r="I51" s="215" t="s">
        <v>855</v>
      </c>
      <c r="J51" s="15">
        <v>46232.63958333333</v>
      </c>
      <c r="K51" s="15">
        <v>46233.408333333333</v>
      </c>
      <c r="L51" s="15"/>
      <c r="M51" s="215">
        <v>50</v>
      </c>
      <c r="N51" s="215"/>
      <c r="O51" s="215" t="s">
        <v>201</v>
      </c>
      <c r="P51" s="215" t="s">
        <v>532</v>
      </c>
      <c r="Q51" s="215"/>
      <c r="R51" s="215"/>
      <c r="S51" s="215" t="s">
        <v>361</v>
      </c>
      <c r="T51" s="215" t="s">
        <v>378</v>
      </c>
      <c r="U51" s="215" t="s">
        <v>239</v>
      </c>
      <c r="V51" s="215" t="s">
        <v>7</v>
      </c>
      <c r="W51" s="215" t="s">
        <v>7</v>
      </c>
      <c r="X51" s="215" t="s">
        <v>7</v>
      </c>
      <c r="Y51" s="215"/>
      <c r="Z51" s="215"/>
      <c r="AA51" s="215" t="s">
        <v>238</v>
      </c>
      <c r="AB51" s="215" t="s">
        <v>361</v>
      </c>
      <c r="AC51" s="215">
        <v>2200</v>
      </c>
      <c r="AD51" s="215" t="s">
        <v>7</v>
      </c>
      <c r="AE51" s="215"/>
      <c r="AF51" s="215">
        <v>0</v>
      </c>
    </row>
    <row r="52" spans="1:32" x14ac:dyDescent="0.3">
      <c r="A52" s="215" t="s">
        <v>351</v>
      </c>
      <c r="B52" s="215" t="s">
        <v>51</v>
      </c>
      <c r="C52" s="215" t="s">
        <v>258</v>
      </c>
      <c r="D52" s="215" t="s">
        <v>310</v>
      </c>
      <c r="E52" s="215" t="s">
        <v>850</v>
      </c>
      <c r="F52" s="15">
        <v>46252.483842592592</v>
      </c>
      <c r="G52" s="215" t="s">
        <v>412</v>
      </c>
      <c r="H52" s="215">
        <v>50</v>
      </c>
      <c r="I52" s="215" t="s">
        <v>851</v>
      </c>
      <c r="J52" s="15">
        <v>46253.598611111112</v>
      </c>
      <c r="K52" s="15">
        <v>46254.503472222219</v>
      </c>
      <c r="L52" s="15"/>
      <c r="M52" s="215">
        <v>50</v>
      </c>
      <c r="N52" s="215"/>
      <c r="O52" s="215" t="s">
        <v>201</v>
      </c>
      <c r="P52" s="215" t="s">
        <v>532</v>
      </c>
      <c r="Q52" s="215"/>
      <c r="R52" s="215"/>
      <c r="S52" s="215" t="s">
        <v>361</v>
      </c>
      <c r="T52" s="215" t="s">
        <v>378</v>
      </c>
      <c r="U52" s="215" t="s">
        <v>239</v>
      </c>
      <c r="V52" s="215" t="s">
        <v>7</v>
      </c>
      <c r="W52" s="215" t="s">
        <v>7</v>
      </c>
      <c r="X52" s="215" t="s">
        <v>7</v>
      </c>
      <c r="Y52" s="215"/>
      <c r="Z52" s="215"/>
      <c r="AA52" s="215" t="s">
        <v>238</v>
      </c>
      <c r="AB52" s="215" t="s">
        <v>361</v>
      </c>
      <c r="AC52" s="215">
        <v>2200</v>
      </c>
      <c r="AD52" s="215" t="s">
        <v>7</v>
      </c>
      <c r="AE52" s="215"/>
      <c r="AF52" s="215">
        <v>0</v>
      </c>
    </row>
    <row r="53" spans="1:32" x14ac:dyDescent="0.3">
      <c r="A53" s="215" t="s">
        <v>351</v>
      </c>
      <c r="B53" s="215" t="s">
        <v>51</v>
      </c>
      <c r="C53" s="215" t="s">
        <v>258</v>
      </c>
      <c r="D53" s="215" t="s">
        <v>310</v>
      </c>
      <c r="E53" s="215" t="s">
        <v>853</v>
      </c>
      <c r="F53" s="15">
        <v>46252.480428240742</v>
      </c>
      <c r="G53" s="215" t="s">
        <v>412</v>
      </c>
      <c r="H53" s="215">
        <v>50</v>
      </c>
      <c r="I53" s="215" t="s">
        <v>851</v>
      </c>
      <c r="J53" s="15">
        <v>46253.598611111112</v>
      </c>
      <c r="K53" s="15">
        <v>46254.503472222219</v>
      </c>
      <c r="L53" s="15"/>
      <c r="M53" s="215">
        <v>50</v>
      </c>
      <c r="N53" s="215"/>
      <c r="O53" s="215" t="s">
        <v>201</v>
      </c>
      <c r="P53" s="215" t="s">
        <v>532</v>
      </c>
      <c r="Q53" s="215"/>
      <c r="R53" s="215"/>
      <c r="S53" s="215" t="s">
        <v>361</v>
      </c>
      <c r="T53" s="215" t="s">
        <v>378</v>
      </c>
      <c r="U53" s="215" t="s">
        <v>239</v>
      </c>
      <c r="V53" s="215" t="s">
        <v>7</v>
      </c>
      <c r="W53" s="215" t="s">
        <v>7</v>
      </c>
      <c r="X53" s="215" t="s">
        <v>7</v>
      </c>
      <c r="Y53" s="215"/>
      <c r="Z53" s="215"/>
      <c r="AA53" s="215" t="s">
        <v>238</v>
      </c>
      <c r="AB53" s="215" t="s">
        <v>361</v>
      </c>
      <c r="AC53" s="215">
        <v>2200</v>
      </c>
      <c r="AD53" s="215" t="s">
        <v>7</v>
      </c>
      <c r="AE53" s="215"/>
      <c r="AF53" s="215"/>
    </row>
    <row r="54" spans="1:32" x14ac:dyDescent="0.3">
      <c r="A54" s="215" t="s">
        <v>351</v>
      </c>
      <c r="B54" s="215" t="s">
        <v>51</v>
      </c>
      <c r="C54" s="215" t="s">
        <v>258</v>
      </c>
      <c r="D54" s="215" t="s">
        <v>310</v>
      </c>
      <c r="E54" s="215" t="s">
        <v>852</v>
      </c>
      <c r="F54" s="15">
        <v>46252.482303240744</v>
      </c>
      <c r="G54" s="215" t="s">
        <v>412</v>
      </c>
      <c r="H54" s="215">
        <v>50</v>
      </c>
      <c r="I54" s="215" t="s">
        <v>851</v>
      </c>
      <c r="J54" s="15">
        <v>46253.598611111112</v>
      </c>
      <c r="K54" s="15">
        <v>46254.503472222219</v>
      </c>
      <c r="L54" s="15"/>
      <c r="M54" s="215">
        <v>50</v>
      </c>
      <c r="N54" s="215"/>
      <c r="O54" s="215" t="s">
        <v>201</v>
      </c>
      <c r="P54" s="215" t="s">
        <v>532</v>
      </c>
      <c r="Q54" s="215"/>
      <c r="R54" s="215"/>
      <c r="S54" s="215" t="s">
        <v>361</v>
      </c>
      <c r="T54" s="215" t="s">
        <v>378</v>
      </c>
      <c r="U54" s="215" t="s">
        <v>239</v>
      </c>
      <c r="V54" s="215" t="s">
        <v>7</v>
      </c>
      <c r="W54" s="215" t="s">
        <v>7</v>
      </c>
      <c r="X54" s="215" t="s">
        <v>7</v>
      </c>
      <c r="Y54" s="215"/>
      <c r="Z54" s="215"/>
      <c r="AA54" s="215" t="s">
        <v>238</v>
      </c>
      <c r="AB54" s="215" t="s">
        <v>361</v>
      </c>
      <c r="AC54" s="215">
        <v>2200</v>
      </c>
      <c r="AD54" s="215" t="s">
        <v>7</v>
      </c>
      <c r="AE54" s="215"/>
      <c r="AF54" s="215"/>
    </row>
    <row r="55" spans="1:32" x14ac:dyDescent="0.3">
      <c r="A55" s="215" t="s">
        <v>351</v>
      </c>
      <c r="B55" s="215" t="s">
        <v>51</v>
      </c>
      <c r="C55" s="215" t="s">
        <v>258</v>
      </c>
      <c r="D55" s="215" t="s">
        <v>310</v>
      </c>
      <c r="E55" s="215" t="s">
        <v>862</v>
      </c>
      <c r="F55" s="15">
        <v>46227.419386574074</v>
      </c>
      <c r="G55" s="215" t="s">
        <v>412</v>
      </c>
      <c r="H55" s="215">
        <v>100</v>
      </c>
      <c r="I55" s="215" t="s">
        <v>863</v>
      </c>
      <c r="J55" s="15">
        <v>46227.607638888891</v>
      </c>
      <c r="K55" s="15">
        <v>46231.386805555558</v>
      </c>
      <c r="L55" s="15"/>
      <c r="M55" s="215">
        <v>100</v>
      </c>
      <c r="N55" s="215"/>
      <c r="O55" s="215" t="s">
        <v>201</v>
      </c>
      <c r="P55" s="215" t="s">
        <v>531</v>
      </c>
      <c r="Q55" s="215"/>
      <c r="R55" s="215"/>
      <c r="S55" s="215" t="s">
        <v>360</v>
      </c>
      <c r="T55" s="215" t="s">
        <v>378</v>
      </c>
      <c r="U55" s="215" t="s">
        <v>239</v>
      </c>
      <c r="V55" s="215" t="s">
        <v>7</v>
      </c>
      <c r="W55" s="215" t="s">
        <v>7</v>
      </c>
      <c r="X55" s="215" t="s">
        <v>7</v>
      </c>
      <c r="Y55" s="215"/>
      <c r="Z55" s="215"/>
      <c r="AA55" s="215" t="s">
        <v>238</v>
      </c>
      <c r="AB55" s="215" t="s">
        <v>360</v>
      </c>
      <c r="AC55" s="215">
        <v>50</v>
      </c>
      <c r="AD55" s="215" t="s">
        <v>7</v>
      </c>
      <c r="AE55" s="215"/>
      <c r="AF55" s="215">
        <v>0</v>
      </c>
    </row>
    <row r="56" spans="1:32" x14ac:dyDescent="0.3">
      <c r="A56" s="215" t="s">
        <v>351</v>
      </c>
      <c r="B56" s="215" t="s">
        <v>51</v>
      </c>
      <c r="C56" s="215" t="s">
        <v>258</v>
      </c>
      <c r="D56" s="215" t="s">
        <v>310</v>
      </c>
      <c r="E56" s="215" t="s">
        <v>864</v>
      </c>
      <c r="F56" s="15">
        <v>46225.586296296293</v>
      </c>
      <c r="G56" s="215" t="s">
        <v>865</v>
      </c>
      <c r="H56" s="215">
        <v>5</v>
      </c>
      <c r="I56" s="215" t="s">
        <v>866</v>
      </c>
      <c r="J56" s="15">
        <v>46225.654861111114</v>
      </c>
      <c r="K56" s="15">
        <v>46230.291666666664</v>
      </c>
      <c r="L56" s="15"/>
      <c r="M56" s="215">
        <v>5</v>
      </c>
      <c r="N56" s="215"/>
      <c r="O56" s="215" t="s">
        <v>201</v>
      </c>
      <c r="P56" s="215" t="s">
        <v>531</v>
      </c>
      <c r="Q56" s="215"/>
      <c r="R56" s="215"/>
      <c r="S56" s="215" t="s">
        <v>360</v>
      </c>
      <c r="T56" s="215" t="s">
        <v>378</v>
      </c>
      <c r="U56" s="215" t="s">
        <v>239</v>
      </c>
      <c r="V56" s="215" t="s">
        <v>7</v>
      </c>
      <c r="W56" s="215" t="s">
        <v>7</v>
      </c>
      <c r="X56" s="215" t="s">
        <v>7</v>
      </c>
      <c r="Y56" s="215"/>
      <c r="Z56" s="215"/>
      <c r="AA56" s="215" t="s">
        <v>238</v>
      </c>
      <c r="AB56" s="215" t="s">
        <v>360</v>
      </c>
      <c r="AC56" s="215">
        <v>50</v>
      </c>
      <c r="AD56" s="215" t="s">
        <v>7</v>
      </c>
      <c r="AE56" s="215"/>
      <c r="AF56" s="215">
        <v>0</v>
      </c>
    </row>
    <row r="57" spans="1:32" x14ac:dyDescent="0.3">
      <c r="A57" s="215" t="s">
        <v>351</v>
      </c>
      <c r="B57" s="215" t="s">
        <v>51</v>
      </c>
      <c r="C57" s="215" t="s">
        <v>258</v>
      </c>
      <c r="D57" s="215" t="s">
        <v>310</v>
      </c>
      <c r="E57" s="215" t="s">
        <v>909</v>
      </c>
      <c r="F57" s="15">
        <v>46225.464629629627</v>
      </c>
      <c r="G57" s="215" t="s">
        <v>910</v>
      </c>
      <c r="H57" s="215">
        <v>18</v>
      </c>
      <c r="I57" s="215" t="s">
        <v>911</v>
      </c>
      <c r="J57" s="15">
        <v>46225.601388888892</v>
      </c>
      <c r="K57" s="15">
        <v>46231.378472222219</v>
      </c>
      <c r="L57" s="15"/>
      <c r="M57" s="215">
        <v>18</v>
      </c>
      <c r="N57" s="215"/>
      <c r="O57" s="215" t="s">
        <v>201</v>
      </c>
      <c r="P57" s="215" t="s">
        <v>531</v>
      </c>
      <c r="Q57" s="215"/>
      <c r="R57" s="215"/>
      <c r="S57" s="215" t="s">
        <v>362</v>
      </c>
      <c r="T57" s="215" t="s">
        <v>378</v>
      </c>
      <c r="U57" s="215" t="s">
        <v>239</v>
      </c>
      <c r="V57" s="215" t="s">
        <v>7</v>
      </c>
      <c r="W57" s="215" t="s">
        <v>7</v>
      </c>
      <c r="X57" s="215" t="s">
        <v>7</v>
      </c>
      <c r="Y57" s="215"/>
      <c r="Z57" s="215"/>
      <c r="AA57" s="215" t="s">
        <v>238</v>
      </c>
      <c r="AB57" s="215" t="s">
        <v>362</v>
      </c>
      <c r="AC57" s="215">
        <v>109</v>
      </c>
      <c r="AD57" s="215" t="s">
        <v>7</v>
      </c>
      <c r="AE57" s="215"/>
      <c r="AF57" s="215">
        <v>0</v>
      </c>
    </row>
    <row r="58" spans="1:32" x14ac:dyDescent="0.3">
      <c r="A58" s="215" t="s">
        <v>350</v>
      </c>
      <c r="B58" s="215" t="s">
        <v>51</v>
      </c>
      <c r="C58" s="215" t="s">
        <v>258</v>
      </c>
      <c r="D58" s="215" t="s">
        <v>310</v>
      </c>
      <c r="E58" s="215" t="s">
        <v>1147</v>
      </c>
      <c r="F58" s="15">
        <v>46232.64707175926</v>
      </c>
      <c r="G58" s="215" t="s">
        <v>1145</v>
      </c>
      <c r="H58" s="215">
        <v>150</v>
      </c>
      <c r="I58" s="215" t="s">
        <v>1148</v>
      </c>
      <c r="J58" s="15">
        <v>46233.367361111108</v>
      </c>
      <c r="K58" s="15">
        <v>46234.420138888891</v>
      </c>
      <c r="L58" s="15"/>
      <c r="M58" s="215">
        <v>150</v>
      </c>
      <c r="N58" s="215"/>
      <c r="O58" s="215" t="s">
        <v>201</v>
      </c>
      <c r="P58" s="215" t="s">
        <v>532</v>
      </c>
      <c r="Q58" s="215"/>
      <c r="R58" s="215"/>
      <c r="S58" s="215" t="s">
        <v>366</v>
      </c>
      <c r="T58" s="215" t="s">
        <v>380</v>
      </c>
      <c r="U58" s="215" t="s">
        <v>240</v>
      </c>
      <c r="V58" s="215" t="s">
        <v>7</v>
      </c>
      <c r="W58" s="215" t="s">
        <v>7</v>
      </c>
      <c r="X58" s="215" t="s">
        <v>7</v>
      </c>
      <c r="Y58" s="215"/>
      <c r="Z58" s="215"/>
      <c r="AA58" s="215" t="s">
        <v>238</v>
      </c>
      <c r="AB58" s="215" t="s">
        <v>366</v>
      </c>
      <c r="AC58" s="215">
        <v>2480</v>
      </c>
      <c r="AD58" s="215" t="s">
        <v>7</v>
      </c>
      <c r="AE58" s="215"/>
      <c r="AF58" s="215">
        <v>0</v>
      </c>
    </row>
    <row r="59" spans="1:32" x14ac:dyDescent="0.3">
      <c r="A59" s="215" t="s">
        <v>350</v>
      </c>
      <c r="B59" s="215" t="s">
        <v>51</v>
      </c>
      <c r="C59" s="215" t="s">
        <v>258</v>
      </c>
      <c r="D59" s="215" t="s">
        <v>310</v>
      </c>
      <c r="E59" s="215" t="s">
        <v>1144</v>
      </c>
      <c r="F59" s="15">
        <v>46232.645833333336</v>
      </c>
      <c r="G59" s="215" t="s">
        <v>1145</v>
      </c>
      <c r="H59" s="215">
        <v>150</v>
      </c>
      <c r="I59" s="215" t="s">
        <v>1146</v>
      </c>
      <c r="J59" s="15">
        <v>46232.686111111114</v>
      </c>
      <c r="K59" s="15">
        <v>46234.420138888891</v>
      </c>
      <c r="L59" s="15"/>
      <c r="M59" s="215">
        <v>150</v>
      </c>
      <c r="N59" s="215"/>
      <c r="O59" s="215" t="s">
        <v>201</v>
      </c>
      <c r="P59" s="215" t="s">
        <v>532</v>
      </c>
      <c r="Q59" s="215"/>
      <c r="R59" s="215"/>
      <c r="S59" s="215" t="s">
        <v>366</v>
      </c>
      <c r="T59" s="215" t="s">
        <v>380</v>
      </c>
      <c r="U59" s="215" t="s">
        <v>240</v>
      </c>
      <c r="V59" s="215" t="s">
        <v>7</v>
      </c>
      <c r="W59" s="215" t="s">
        <v>7</v>
      </c>
      <c r="X59" s="215" t="s">
        <v>7</v>
      </c>
      <c r="Y59" s="215"/>
      <c r="Z59" s="215"/>
      <c r="AA59" s="215" t="s">
        <v>238</v>
      </c>
      <c r="AB59" s="215" t="s">
        <v>366</v>
      </c>
      <c r="AC59" s="215">
        <v>2480</v>
      </c>
      <c r="AD59" s="215" t="s">
        <v>7</v>
      </c>
      <c r="AE59" s="215"/>
      <c r="AF59" s="215"/>
    </row>
    <row r="60" spans="1:32" x14ac:dyDescent="0.3">
      <c r="A60" s="215" t="s">
        <v>351</v>
      </c>
      <c r="B60" s="215" t="s">
        <v>45</v>
      </c>
      <c r="C60" s="215" t="s">
        <v>68</v>
      </c>
      <c r="D60" s="215" t="s">
        <v>310</v>
      </c>
      <c r="E60" s="215" t="s">
        <v>970</v>
      </c>
      <c r="F60" s="15">
        <v>46255.309004629627</v>
      </c>
      <c r="G60" s="215" t="s">
        <v>412</v>
      </c>
      <c r="H60" s="215">
        <v>9</v>
      </c>
      <c r="I60" s="215" t="s">
        <v>971</v>
      </c>
      <c r="J60" s="15">
        <v>46255.447222222225</v>
      </c>
      <c r="K60" s="15">
        <v>46258.458333333336</v>
      </c>
      <c r="L60" s="15"/>
      <c r="M60" s="215">
        <v>9</v>
      </c>
      <c r="N60" s="215"/>
      <c r="O60" s="215" t="s">
        <v>201</v>
      </c>
      <c r="P60" s="215" t="s">
        <v>531</v>
      </c>
      <c r="Q60" s="215"/>
      <c r="R60" s="215"/>
      <c r="S60" s="215" t="s">
        <v>361</v>
      </c>
      <c r="T60" s="215" t="s">
        <v>378</v>
      </c>
      <c r="U60" s="215" t="s">
        <v>239</v>
      </c>
      <c r="V60" s="215" t="s">
        <v>351</v>
      </c>
      <c r="W60" s="215" t="s">
        <v>378</v>
      </c>
      <c r="X60" s="215" t="s">
        <v>239</v>
      </c>
      <c r="Y60" s="215">
        <v>0</v>
      </c>
      <c r="Z60" s="215"/>
      <c r="AA60" s="215" t="s">
        <v>67</v>
      </c>
      <c r="AB60" s="215" t="s">
        <v>361</v>
      </c>
      <c r="AC60" s="215">
        <v>2200</v>
      </c>
      <c r="AD60" s="215" t="s">
        <v>217</v>
      </c>
      <c r="AE60" s="215">
        <v>1</v>
      </c>
      <c r="AF60" s="215">
        <v>1</v>
      </c>
    </row>
    <row r="61" spans="1:32" x14ac:dyDescent="0.3">
      <c r="A61" s="215" t="s">
        <v>351</v>
      </c>
      <c r="B61" s="215" t="s">
        <v>45</v>
      </c>
      <c r="C61" s="215" t="s">
        <v>68</v>
      </c>
      <c r="D61" s="215" t="s">
        <v>310</v>
      </c>
      <c r="E61" s="215" t="s">
        <v>972</v>
      </c>
      <c r="F61" s="15">
        <v>46254.394618055558</v>
      </c>
      <c r="G61" s="215" t="s">
        <v>412</v>
      </c>
      <c r="H61" s="215">
        <v>3</v>
      </c>
      <c r="I61" s="215" t="s">
        <v>973</v>
      </c>
      <c r="J61" s="15">
        <v>46254.607638888891</v>
      </c>
      <c r="K61" s="15">
        <v>46255.493055555555</v>
      </c>
      <c r="L61" s="15"/>
      <c r="M61" s="215">
        <v>3</v>
      </c>
      <c r="N61" s="215"/>
      <c r="O61" s="215" t="s">
        <v>201</v>
      </c>
      <c r="P61" s="215" t="s">
        <v>532</v>
      </c>
      <c r="Q61" s="215"/>
      <c r="R61" s="215"/>
      <c r="S61" s="215" t="s">
        <v>361</v>
      </c>
      <c r="T61" s="215" t="s">
        <v>378</v>
      </c>
      <c r="U61" s="215" t="s">
        <v>239</v>
      </c>
      <c r="V61" s="215" t="s">
        <v>351</v>
      </c>
      <c r="W61" s="215" t="s">
        <v>378</v>
      </c>
      <c r="X61" s="215" t="s">
        <v>239</v>
      </c>
      <c r="Y61" s="215">
        <v>0</v>
      </c>
      <c r="Z61" s="215"/>
      <c r="AA61" s="215" t="s">
        <v>67</v>
      </c>
      <c r="AB61" s="215" t="s">
        <v>361</v>
      </c>
      <c r="AC61" s="215">
        <v>2200</v>
      </c>
      <c r="AD61" s="215" t="s">
        <v>217</v>
      </c>
      <c r="AE61" s="215">
        <v>1</v>
      </c>
      <c r="AF61" s="215">
        <v>1</v>
      </c>
    </row>
    <row r="62" spans="1:32" x14ac:dyDescent="0.3">
      <c r="A62" s="215" t="s">
        <v>351</v>
      </c>
      <c r="B62" s="215" t="s">
        <v>45</v>
      </c>
      <c r="C62" s="215" t="s">
        <v>68</v>
      </c>
      <c r="D62" s="215" t="s">
        <v>310</v>
      </c>
      <c r="E62" s="215" t="s">
        <v>974</v>
      </c>
      <c r="F62" s="15">
        <v>46254.395497685182</v>
      </c>
      <c r="G62" s="215" t="s">
        <v>412</v>
      </c>
      <c r="H62" s="215">
        <v>7</v>
      </c>
      <c r="I62" s="215" t="s">
        <v>973</v>
      </c>
      <c r="J62" s="15">
        <v>46254.607638888891</v>
      </c>
      <c r="K62" s="15">
        <v>46255.493055555555</v>
      </c>
      <c r="L62" s="15"/>
      <c r="M62" s="215">
        <v>7</v>
      </c>
      <c r="N62" s="215"/>
      <c r="O62" s="215" t="s">
        <v>201</v>
      </c>
      <c r="P62" s="215" t="s">
        <v>532</v>
      </c>
      <c r="Q62" s="215"/>
      <c r="R62" s="215"/>
      <c r="S62" s="215" t="s">
        <v>361</v>
      </c>
      <c r="T62" s="215" t="s">
        <v>378</v>
      </c>
      <c r="U62" s="215" t="s">
        <v>239</v>
      </c>
      <c r="V62" s="215" t="s">
        <v>351</v>
      </c>
      <c r="W62" s="215" t="s">
        <v>378</v>
      </c>
      <c r="X62" s="215" t="s">
        <v>239</v>
      </c>
      <c r="Y62" s="215"/>
      <c r="Z62" s="215"/>
      <c r="AA62" s="215" t="s">
        <v>67</v>
      </c>
      <c r="AB62" s="215" t="s">
        <v>361</v>
      </c>
      <c r="AC62" s="215">
        <v>2200</v>
      </c>
      <c r="AD62" s="215" t="s">
        <v>217</v>
      </c>
      <c r="AE62" s="215">
        <v>1</v>
      </c>
      <c r="AF62" s="215"/>
    </row>
    <row r="63" spans="1:32" x14ac:dyDescent="0.3">
      <c r="A63" s="215" t="s">
        <v>351</v>
      </c>
      <c r="B63" s="215" t="s">
        <v>45</v>
      </c>
      <c r="C63" s="215" t="s">
        <v>68</v>
      </c>
      <c r="D63" s="215" t="s">
        <v>310</v>
      </c>
      <c r="E63" s="215" t="s">
        <v>975</v>
      </c>
      <c r="F63" s="15">
        <v>46254.396273148152</v>
      </c>
      <c r="G63" s="215" t="s">
        <v>412</v>
      </c>
      <c r="H63" s="215">
        <v>6</v>
      </c>
      <c r="I63" s="215" t="s">
        <v>973</v>
      </c>
      <c r="J63" s="15">
        <v>46254.607638888891</v>
      </c>
      <c r="K63" s="15">
        <v>46255.493055555555</v>
      </c>
      <c r="L63" s="15"/>
      <c r="M63" s="215">
        <v>6</v>
      </c>
      <c r="N63" s="215"/>
      <c r="O63" s="215" t="s">
        <v>201</v>
      </c>
      <c r="P63" s="215" t="s">
        <v>532</v>
      </c>
      <c r="Q63" s="215"/>
      <c r="R63" s="215"/>
      <c r="S63" s="215" t="s">
        <v>361</v>
      </c>
      <c r="T63" s="215" t="s">
        <v>378</v>
      </c>
      <c r="U63" s="215" t="s">
        <v>239</v>
      </c>
      <c r="V63" s="215" t="s">
        <v>351</v>
      </c>
      <c r="W63" s="215" t="s">
        <v>378</v>
      </c>
      <c r="X63" s="215" t="s">
        <v>239</v>
      </c>
      <c r="Y63" s="215"/>
      <c r="Z63" s="215"/>
      <c r="AA63" s="215" t="s">
        <v>67</v>
      </c>
      <c r="AB63" s="215" t="s">
        <v>361</v>
      </c>
      <c r="AC63" s="215">
        <v>2200</v>
      </c>
      <c r="AD63" s="215" t="s">
        <v>217</v>
      </c>
      <c r="AE63" s="215">
        <v>1</v>
      </c>
      <c r="AF63" s="215"/>
    </row>
    <row r="64" spans="1:32" x14ac:dyDescent="0.3">
      <c r="A64" s="215" t="s">
        <v>351</v>
      </c>
      <c r="B64" s="215" t="s">
        <v>45</v>
      </c>
      <c r="C64" s="215" t="s">
        <v>68</v>
      </c>
      <c r="D64" s="215" t="s">
        <v>310</v>
      </c>
      <c r="E64" s="215" t="s">
        <v>1074</v>
      </c>
      <c r="F64" s="15">
        <v>46231.659247685187</v>
      </c>
      <c r="G64" s="215" t="s">
        <v>1075</v>
      </c>
      <c r="H64" s="215">
        <v>13</v>
      </c>
      <c r="I64" s="215" t="s">
        <v>1076</v>
      </c>
      <c r="J64" s="15">
        <v>46231.713194444441</v>
      </c>
      <c r="K64" s="15">
        <v>46233.416666666664</v>
      </c>
      <c r="L64" s="15"/>
      <c r="M64" s="215">
        <v>13</v>
      </c>
      <c r="N64" s="215"/>
      <c r="O64" s="215" t="s">
        <v>201</v>
      </c>
      <c r="P64" s="215" t="s">
        <v>531</v>
      </c>
      <c r="Q64" s="215"/>
      <c r="R64" s="215"/>
      <c r="S64" s="215" t="s">
        <v>361</v>
      </c>
      <c r="T64" s="215" t="s">
        <v>378</v>
      </c>
      <c r="U64" s="215" t="s">
        <v>239</v>
      </c>
      <c r="V64" s="215" t="s">
        <v>351</v>
      </c>
      <c r="W64" s="215" t="s">
        <v>378</v>
      </c>
      <c r="X64" s="215" t="s">
        <v>239</v>
      </c>
      <c r="Y64" s="215">
        <v>0</v>
      </c>
      <c r="Z64" s="215"/>
      <c r="AA64" s="215" t="s">
        <v>67</v>
      </c>
      <c r="AB64" s="215" t="s">
        <v>361</v>
      </c>
      <c r="AC64" s="215">
        <v>2200</v>
      </c>
      <c r="AD64" s="215" t="s">
        <v>217</v>
      </c>
      <c r="AE64" s="215">
        <v>1.3</v>
      </c>
      <c r="AF64" s="215">
        <v>1</v>
      </c>
    </row>
    <row r="65" spans="1:32" x14ac:dyDescent="0.3">
      <c r="A65" s="215" t="s">
        <v>351</v>
      </c>
      <c r="B65" s="215" t="s">
        <v>45</v>
      </c>
      <c r="C65" s="215" t="s">
        <v>68</v>
      </c>
      <c r="D65" s="215" t="s">
        <v>310</v>
      </c>
      <c r="E65" s="215" t="s">
        <v>1077</v>
      </c>
      <c r="F65" s="15">
        <v>46231.635254629633</v>
      </c>
      <c r="G65" s="215" t="s">
        <v>1075</v>
      </c>
      <c r="H65" s="215">
        <v>6</v>
      </c>
      <c r="I65" s="215" t="s">
        <v>1076</v>
      </c>
      <c r="J65" s="15">
        <v>46231.713194444441</v>
      </c>
      <c r="K65" s="15">
        <v>46233.416666666664</v>
      </c>
      <c r="L65" s="15"/>
      <c r="M65" s="215">
        <v>6</v>
      </c>
      <c r="N65" s="215"/>
      <c r="O65" s="215" t="s">
        <v>201</v>
      </c>
      <c r="P65" s="215" t="s">
        <v>531</v>
      </c>
      <c r="Q65" s="215"/>
      <c r="R65" s="215"/>
      <c r="S65" s="215" t="s">
        <v>361</v>
      </c>
      <c r="T65" s="215" t="s">
        <v>378</v>
      </c>
      <c r="U65" s="215" t="s">
        <v>239</v>
      </c>
      <c r="V65" s="215" t="s">
        <v>351</v>
      </c>
      <c r="W65" s="215" t="s">
        <v>378</v>
      </c>
      <c r="X65" s="215" t="s">
        <v>239</v>
      </c>
      <c r="Y65" s="215"/>
      <c r="Z65" s="215"/>
      <c r="AA65" s="215" t="s">
        <v>67</v>
      </c>
      <c r="AB65" s="215" t="s">
        <v>361</v>
      </c>
      <c r="AC65" s="215">
        <v>2200</v>
      </c>
      <c r="AD65" s="215" t="s">
        <v>217</v>
      </c>
      <c r="AE65" s="215">
        <v>1</v>
      </c>
      <c r="AF65" s="215"/>
    </row>
    <row r="66" spans="1:32" x14ac:dyDescent="0.3">
      <c r="A66" s="215" t="s">
        <v>351</v>
      </c>
      <c r="B66" s="215" t="s">
        <v>45</v>
      </c>
      <c r="C66" s="215" t="s">
        <v>68</v>
      </c>
      <c r="D66" s="215" t="s">
        <v>310</v>
      </c>
      <c r="E66" s="215" t="s">
        <v>1078</v>
      </c>
      <c r="F66" s="15">
        <v>46231.634583333333</v>
      </c>
      <c r="G66" s="215" t="s">
        <v>1075</v>
      </c>
      <c r="H66" s="215">
        <v>4</v>
      </c>
      <c r="I66" s="215" t="s">
        <v>1076</v>
      </c>
      <c r="J66" s="15">
        <v>46231.713194444441</v>
      </c>
      <c r="K66" s="15">
        <v>46233.416666666664</v>
      </c>
      <c r="L66" s="15"/>
      <c r="M66" s="215">
        <v>4</v>
      </c>
      <c r="N66" s="215"/>
      <c r="O66" s="215" t="s">
        <v>201</v>
      </c>
      <c r="P66" s="215" t="s">
        <v>531</v>
      </c>
      <c r="Q66" s="215"/>
      <c r="R66" s="215"/>
      <c r="S66" s="215" t="s">
        <v>361</v>
      </c>
      <c r="T66" s="215" t="s">
        <v>378</v>
      </c>
      <c r="U66" s="215" t="s">
        <v>239</v>
      </c>
      <c r="V66" s="215" t="s">
        <v>351</v>
      </c>
      <c r="W66" s="215" t="s">
        <v>378</v>
      </c>
      <c r="X66" s="215" t="s">
        <v>239</v>
      </c>
      <c r="Y66" s="215"/>
      <c r="Z66" s="215"/>
      <c r="AA66" s="215" t="s">
        <v>67</v>
      </c>
      <c r="AB66" s="215" t="s">
        <v>361</v>
      </c>
      <c r="AC66" s="215">
        <v>2200</v>
      </c>
      <c r="AD66" s="215" t="s">
        <v>217</v>
      </c>
      <c r="AE66" s="215">
        <v>1</v>
      </c>
      <c r="AF66" s="215"/>
    </row>
    <row r="67" spans="1:32" x14ac:dyDescent="0.3">
      <c r="A67" s="215" t="s">
        <v>351</v>
      </c>
      <c r="B67" s="215" t="s">
        <v>45</v>
      </c>
      <c r="C67" s="215" t="s">
        <v>68</v>
      </c>
      <c r="D67" s="215" t="s">
        <v>310</v>
      </c>
      <c r="E67" s="215" t="s">
        <v>1079</v>
      </c>
      <c r="F67" s="15">
        <v>46231.633784722224</v>
      </c>
      <c r="G67" s="215" t="s">
        <v>1075</v>
      </c>
      <c r="H67" s="215">
        <v>4</v>
      </c>
      <c r="I67" s="215" t="s">
        <v>1076</v>
      </c>
      <c r="J67" s="15">
        <v>46231.713194444441</v>
      </c>
      <c r="K67" s="15">
        <v>46233.416666666664</v>
      </c>
      <c r="L67" s="15"/>
      <c r="M67" s="215">
        <v>4</v>
      </c>
      <c r="N67" s="215"/>
      <c r="O67" s="215" t="s">
        <v>201</v>
      </c>
      <c r="P67" s="215" t="s">
        <v>531</v>
      </c>
      <c r="Q67" s="215"/>
      <c r="R67" s="215"/>
      <c r="S67" s="215" t="s">
        <v>361</v>
      </c>
      <c r="T67" s="215" t="s">
        <v>378</v>
      </c>
      <c r="U67" s="215" t="s">
        <v>239</v>
      </c>
      <c r="V67" s="215" t="s">
        <v>351</v>
      </c>
      <c r="W67" s="215" t="s">
        <v>378</v>
      </c>
      <c r="X67" s="215" t="s">
        <v>239</v>
      </c>
      <c r="Y67" s="215"/>
      <c r="Z67" s="215"/>
      <c r="AA67" s="215" t="s">
        <v>67</v>
      </c>
      <c r="AB67" s="215" t="s">
        <v>361</v>
      </c>
      <c r="AC67" s="215">
        <v>2200</v>
      </c>
      <c r="AD67" s="215" t="s">
        <v>217</v>
      </c>
      <c r="AE67" s="215">
        <v>1</v>
      </c>
      <c r="AF67" s="215"/>
    </row>
    <row r="68" spans="1:32" x14ac:dyDescent="0.3">
      <c r="A68" s="215" t="s">
        <v>351</v>
      </c>
      <c r="B68" s="215" t="s">
        <v>45</v>
      </c>
      <c r="C68" s="215" t="s">
        <v>68</v>
      </c>
      <c r="D68" s="215" t="s">
        <v>310</v>
      </c>
      <c r="E68" s="215" t="s">
        <v>1080</v>
      </c>
      <c r="F68" s="15">
        <v>46231.632465277777</v>
      </c>
      <c r="G68" s="215" t="s">
        <v>1075</v>
      </c>
      <c r="H68" s="215">
        <v>1</v>
      </c>
      <c r="I68" s="215" t="s">
        <v>1076</v>
      </c>
      <c r="J68" s="15">
        <v>46231.713194444441</v>
      </c>
      <c r="K68" s="15">
        <v>46233.416666666664</v>
      </c>
      <c r="L68" s="15"/>
      <c r="M68" s="215">
        <v>1</v>
      </c>
      <c r="N68" s="215"/>
      <c r="O68" s="215" t="s">
        <v>201</v>
      </c>
      <c r="P68" s="215" t="s">
        <v>531</v>
      </c>
      <c r="Q68" s="215"/>
      <c r="R68" s="215"/>
      <c r="S68" s="215" t="s">
        <v>361</v>
      </c>
      <c r="T68" s="215" t="s">
        <v>378</v>
      </c>
      <c r="U68" s="215" t="s">
        <v>239</v>
      </c>
      <c r="V68" s="215" t="s">
        <v>351</v>
      </c>
      <c r="W68" s="215" t="s">
        <v>378</v>
      </c>
      <c r="X68" s="215" t="s">
        <v>239</v>
      </c>
      <c r="Y68" s="215"/>
      <c r="Z68" s="215"/>
      <c r="AA68" s="215" t="s">
        <v>67</v>
      </c>
      <c r="AB68" s="215" t="s">
        <v>361</v>
      </c>
      <c r="AC68" s="215">
        <v>2200</v>
      </c>
      <c r="AD68" s="215" t="s">
        <v>217</v>
      </c>
      <c r="AE68" s="215">
        <v>1</v>
      </c>
      <c r="AF68" s="215"/>
    </row>
    <row r="69" spans="1:32" x14ac:dyDescent="0.3">
      <c r="A69" s="215" t="s">
        <v>351</v>
      </c>
      <c r="B69" s="215" t="s">
        <v>45</v>
      </c>
      <c r="C69" s="215" t="s">
        <v>68</v>
      </c>
      <c r="D69" s="215" t="s">
        <v>310</v>
      </c>
      <c r="E69" s="215" t="s">
        <v>1081</v>
      </c>
      <c r="F69" s="15">
        <v>46231.631620370368</v>
      </c>
      <c r="G69" s="215" t="s">
        <v>412</v>
      </c>
      <c r="H69" s="215">
        <v>1</v>
      </c>
      <c r="I69" s="215" t="s">
        <v>1082</v>
      </c>
      <c r="J69" s="15">
        <v>46231.706250000003</v>
      </c>
      <c r="K69" s="15">
        <v>46233.416666666664</v>
      </c>
      <c r="L69" s="15"/>
      <c r="M69" s="215">
        <v>1</v>
      </c>
      <c r="N69" s="215"/>
      <c r="O69" s="215" t="s">
        <v>201</v>
      </c>
      <c r="P69" s="215" t="s">
        <v>531</v>
      </c>
      <c r="Q69" s="215"/>
      <c r="R69" s="215"/>
      <c r="S69" s="215" t="s">
        <v>361</v>
      </c>
      <c r="T69" s="215" t="s">
        <v>378</v>
      </c>
      <c r="U69" s="215" t="s">
        <v>239</v>
      </c>
      <c r="V69" s="215" t="s">
        <v>351</v>
      </c>
      <c r="W69" s="215" t="s">
        <v>378</v>
      </c>
      <c r="X69" s="215" t="s">
        <v>239</v>
      </c>
      <c r="Y69" s="215"/>
      <c r="Z69" s="215"/>
      <c r="AA69" s="215" t="s">
        <v>67</v>
      </c>
      <c r="AB69" s="215" t="s">
        <v>361</v>
      </c>
      <c r="AC69" s="215">
        <v>2200</v>
      </c>
      <c r="AD69" s="215" t="s">
        <v>217</v>
      </c>
      <c r="AE69" s="215">
        <v>1</v>
      </c>
      <c r="AF69" s="215"/>
    </row>
    <row r="70" spans="1:32" x14ac:dyDescent="0.3">
      <c r="A70" s="215" t="s">
        <v>351</v>
      </c>
      <c r="B70" s="215" t="s">
        <v>48</v>
      </c>
      <c r="C70" s="215" t="s">
        <v>68</v>
      </c>
      <c r="D70" s="215" t="s">
        <v>310</v>
      </c>
      <c r="E70" s="215" t="s">
        <v>992</v>
      </c>
      <c r="F70" s="15">
        <v>46245.434259259258</v>
      </c>
      <c r="G70" s="215" t="s">
        <v>412</v>
      </c>
      <c r="H70" s="215">
        <v>3</v>
      </c>
      <c r="I70" s="215" t="s">
        <v>994</v>
      </c>
      <c r="J70" s="15">
        <v>46246.470138888886</v>
      </c>
      <c r="K70" s="15">
        <v>46247.425694444442</v>
      </c>
      <c r="L70" s="15"/>
      <c r="M70" s="215">
        <v>3</v>
      </c>
      <c r="N70" s="215"/>
      <c r="O70" s="215" t="s">
        <v>201</v>
      </c>
      <c r="P70" s="215" t="s">
        <v>532</v>
      </c>
      <c r="Q70" s="215"/>
      <c r="R70" s="215"/>
      <c r="S70" s="215" t="s">
        <v>361</v>
      </c>
      <c r="T70" s="215" t="s">
        <v>378</v>
      </c>
      <c r="U70" s="215" t="s">
        <v>239</v>
      </c>
      <c r="V70" s="215" t="s">
        <v>351</v>
      </c>
      <c r="W70" s="215" t="s">
        <v>378</v>
      </c>
      <c r="X70" s="215" t="s">
        <v>239</v>
      </c>
      <c r="Y70" s="215">
        <v>0</v>
      </c>
      <c r="Z70" s="215"/>
      <c r="AA70" s="215" t="s">
        <v>90</v>
      </c>
      <c r="AB70" s="215" t="s">
        <v>361</v>
      </c>
      <c r="AC70" s="215">
        <v>2200</v>
      </c>
      <c r="AD70" s="215" t="s">
        <v>217</v>
      </c>
      <c r="AE70" s="215">
        <v>1</v>
      </c>
      <c r="AF70" s="215">
        <v>1</v>
      </c>
    </row>
    <row r="71" spans="1:32" x14ac:dyDescent="0.3">
      <c r="A71" s="215" t="s">
        <v>351</v>
      </c>
      <c r="B71" s="215" t="s">
        <v>48</v>
      </c>
      <c r="C71" s="215" t="s">
        <v>68</v>
      </c>
      <c r="D71" s="215" t="s">
        <v>310</v>
      </c>
      <c r="E71" s="215" t="s">
        <v>992</v>
      </c>
      <c r="F71" s="15">
        <v>46245.434259259258</v>
      </c>
      <c r="G71" s="215" t="s">
        <v>412</v>
      </c>
      <c r="H71" s="215">
        <v>1</v>
      </c>
      <c r="I71" s="215" t="s">
        <v>993</v>
      </c>
      <c r="J71" s="15">
        <v>46252.685416666667</v>
      </c>
      <c r="K71" s="15">
        <v>46254.503472222219</v>
      </c>
      <c r="L71" s="15"/>
      <c r="M71" s="215">
        <v>1</v>
      </c>
      <c r="N71" s="215"/>
      <c r="O71" s="215" t="s">
        <v>201</v>
      </c>
      <c r="P71" s="215" t="s">
        <v>531</v>
      </c>
      <c r="Q71" s="215"/>
      <c r="R71" s="215"/>
      <c r="S71" s="215" t="s">
        <v>361</v>
      </c>
      <c r="T71" s="215" t="s">
        <v>378</v>
      </c>
      <c r="U71" s="215" t="s">
        <v>239</v>
      </c>
      <c r="V71" s="215" t="s">
        <v>351</v>
      </c>
      <c r="W71" s="215" t="s">
        <v>378</v>
      </c>
      <c r="X71" s="215" t="s">
        <v>239</v>
      </c>
      <c r="Y71" s="215">
        <v>0</v>
      </c>
      <c r="Z71" s="215"/>
      <c r="AA71" s="215" t="s">
        <v>90</v>
      </c>
      <c r="AB71" s="215" t="s">
        <v>361</v>
      </c>
      <c r="AC71" s="215">
        <v>2200</v>
      </c>
      <c r="AD71" s="215" t="s">
        <v>217</v>
      </c>
      <c r="AE71" s="215">
        <v>1</v>
      </c>
      <c r="AF71" s="215">
        <v>1</v>
      </c>
    </row>
    <row r="72" spans="1:32" x14ac:dyDescent="0.3">
      <c r="A72" s="215" t="s">
        <v>351</v>
      </c>
      <c r="B72" s="215" t="s">
        <v>48</v>
      </c>
      <c r="C72" s="215" t="s">
        <v>68</v>
      </c>
      <c r="D72" s="215" t="s">
        <v>310</v>
      </c>
      <c r="E72" s="215" t="s">
        <v>1045</v>
      </c>
      <c r="F72" s="15">
        <v>46213.750648148147</v>
      </c>
      <c r="G72" s="215" t="s">
        <v>412</v>
      </c>
      <c r="H72" s="215">
        <v>5</v>
      </c>
      <c r="I72" s="215" t="s">
        <v>1046</v>
      </c>
      <c r="J72" s="15">
        <v>46230.428946759261</v>
      </c>
      <c r="K72" s="15">
        <v>46231.397222222222</v>
      </c>
      <c r="L72" s="15"/>
      <c r="M72" s="215">
        <v>5</v>
      </c>
      <c r="N72" s="215"/>
      <c r="O72" s="215" t="s">
        <v>201</v>
      </c>
      <c r="P72" s="215" t="s">
        <v>532</v>
      </c>
      <c r="Q72" s="215"/>
      <c r="R72" s="215"/>
      <c r="S72" s="215" t="s">
        <v>361</v>
      </c>
      <c r="T72" s="215" t="s">
        <v>378</v>
      </c>
      <c r="U72" s="215" t="s">
        <v>239</v>
      </c>
      <c r="V72" s="215" t="s">
        <v>351</v>
      </c>
      <c r="W72" s="215" t="s">
        <v>378</v>
      </c>
      <c r="X72" s="215" t="s">
        <v>239</v>
      </c>
      <c r="Y72" s="215">
        <v>0</v>
      </c>
      <c r="Z72" s="215"/>
      <c r="AA72" s="215" t="s">
        <v>90</v>
      </c>
      <c r="AB72" s="215" t="s">
        <v>361</v>
      </c>
      <c r="AC72" s="215">
        <v>2200</v>
      </c>
      <c r="AD72" s="215" t="s">
        <v>217</v>
      </c>
      <c r="AE72" s="215">
        <v>1</v>
      </c>
      <c r="AF72" s="215">
        <v>1</v>
      </c>
    </row>
    <row r="73" spans="1:32" x14ac:dyDescent="0.3">
      <c r="A73" s="215" t="s">
        <v>351</v>
      </c>
      <c r="B73" s="215" t="s">
        <v>45</v>
      </c>
      <c r="C73" s="215" t="s">
        <v>68</v>
      </c>
      <c r="D73" s="215" t="s">
        <v>310</v>
      </c>
      <c r="E73" s="215" t="s">
        <v>968</v>
      </c>
      <c r="F73" s="15">
        <v>46251.387743055559</v>
      </c>
      <c r="G73" s="215" t="s">
        <v>413</v>
      </c>
      <c r="H73" s="215">
        <v>15</v>
      </c>
      <c r="I73" s="215" t="s">
        <v>969</v>
      </c>
      <c r="J73" s="15">
        <v>46251.49722222222</v>
      </c>
      <c r="K73" s="15">
        <v>46252.638888888891</v>
      </c>
      <c r="L73" s="15"/>
      <c r="M73" s="215">
        <v>15</v>
      </c>
      <c r="N73" s="215"/>
      <c r="O73" s="215" t="s">
        <v>201</v>
      </c>
      <c r="P73" s="215" t="s">
        <v>531</v>
      </c>
      <c r="Q73" s="215"/>
      <c r="R73" s="215"/>
      <c r="S73" s="215" t="s">
        <v>362</v>
      </c>
      <c r="T73" s="215" t="s">
        <v>378</v>
      </c>
      <c r="U73" s="215" t="s">
        <v>239</v>
      </c>
      <c r="V73" s="215" t="s">
        <v>351</v>
      </c>
      <c r="W73" s="215" t="s">
        <v>378</v>
      </c>
      <c r="X73" s="215" t="s">
        <v>239</v>
      </c>
      <c r="Y73" s="215">
        <v>0</v>
      </c>
      <c r="Z73" s="215"/>
      <c r="AA73" s="215" t="s">
        <v>67</v>
      </c>
      <c r="AB73" s="215" t="s">
        <v>362</v>
      </c>
      <c r="AC73" s="215">
        <v>109</v>
      </c>
      <c r="AD73" s="215" t="s">
        <v>217</v>
      </c>
      <c r="AE73" s="215">
        <v>1.5</v>
      </c>
      <c r="AF73" s="215">
        <v>1</v>
      </c>
    </row>
    <row r="74" spans="1:32" x14ac:dyDescent="0.3">
      <c r="A74" s="215" t="s">
        <v>351</v>
      </c>
      <c r="B74" s="215" t="s">
        <v>45</v>
      </c>
      <c r="C74" s="215" t="s">
        <v>68</v>
      </c>
      <c r="D74" s="215" t="s">
        <v>310</v>
      </c>
      <c r="E74" s="215" t="s">
        <v>1027</v>
      </c>
      <c r="F74" s="15">
        <v>46230.391215277778</v>
      </c>
      <c r="G74" s="215" t="s">
        <v>413</v>
      </c>
      <c r="H74" s="215">
        <v>15</v>
      </c>
      <c r="I74" s="215" t="s">
        <v>1028</v>
      </c>
      <c r="J74" s="15">
        <v>46230.46465277778</v>
      </c>
      <c r="K74" s="15">
        <v>46231.458333333336</v>
      </c>
      <c r="L74" s="15"/>
      <c r="M74" s="215">
        <v>15</v>
      </c>
      <c r="N74" s="215"/>
      <c r="O74" s="215" t="s">
        <v>201</v>
      </c>
      <c r="P74" s="215" t="s">
        <v>532</v>
      </c>
      <c r="Q74" s="215"/>
      <c r="R74" s="215"/>
      <c r="S74" s="215" t="s">
        <v>362</v>
      </c>
      <c r="T74" s="215" t="s">
        <v>378</v>
      </c>
      <c r="U74" s="215" t="s">
        <v>239</v>
      </c>
      <c r="V74" s="215" t="s">
        <v>351</v>
      </c>
      <c r="W74" s="215" t="s">
        <v>378</v>
      </c>
      <c r="X74" s="215" t="s">
        <v>239</v>
      </c>
      <c r="Y74" s="215">
        <v>0</v>
      </c>
      <c r="Z74" s="215"/>
      <c r="AA74" s="215" t="s">
        <v>67</v>
      </c>
      <c r="AB74" s="215" t="s">
        <v>362</v>
      </c>
      <c r="AC74" s="215">
        <v>109</v>
      </c>
      <c r="AD74" s="215" t="s">
        <v>217</v>
      </c>
      <c r="AE74" s="215">
        <v>1.5</v>
      </c>
      <c r="AF74" s="215">
        <v>1</v>
      </c>
    </row>
    <row r="75" spans="1:32" x14ac:dyDescent="0.3">
      <c r="A75" s="215" t="s">
        <v>351</v>
      </c>
      <c r="B75" s="215" t="s">
        <v>45</v>
      </c>
      <c r="C75" s="215" t="s">
        <v>68</v>
      </c>
      <c r="D75" s="215" t="s">
        <v>310</v>
      </c>
      <c r="E75" s="215" t="s">
        <v>1085</v>
      </c>
      <c r="F75" s="15">
        <v>46230.398877314816</v>
      </c>
      <c r="G75" s="215" t="s">
        <v>413</v>
      </c>
      <c r="H75" s="215">
        <v>10</v>
      </c>
      <c r="I75" s="215" t="s">
        <v>1086</v>
      </c>
      <c r="J75" s="15">
        <v>46230.632638888892</v>
      </c>
      <c r="K75" s="15">
        <v>46232.696527777778</v>
      </c>
      <c r="L75" s="15"/>
      <c r="M75" s="215">
        <v>10</v>
      </c>
      <c r="N75" s="215"/>
      <c r="O75" s="215" t="s">
        <v>201</v>
      </c>
      <c r="P75" s="215" t="s">
        <v>531</v>
      </c>
      <c r="Q75" s="215"/>
      <c r="R75" s="215"/>
      <c r="S75" s="215" t="s">
        <v>362</v>
      </c>
      <c r="T75" s="215" t="s">
        <v>378</v>
      </c>
      <c r="U75" s="215" t="s">
        <v>239</v>
      </c>
      <c r="V75" s="215" t="s">
        <v>351</v>
      </c>
      <c r="W75" s="215" t="s">
        <v>378</v>
      </c>
      <c r="X75" s="215" t="s">
        <v>239</v>
      </c>
      <c r="Y75" s="215"/>
      <c r="Z75" s="215"/>
      <c r="AA75" s="215" t="s">
        <v>67</v>
      </c>
      <c r="AB75" s="215" t="s">
        <v>362</v>
      </c>
      <c r="AC75" s="215">
        <v>109</v>
      </c>
      <c r="AD75" s="215" t="s">
        <v>217</v>
      </c>
      <c r="AE75" s="215">
        <v>1</v>
      </c>
      <c r="AF75" s="215">
        <v>1</v>
      </c>
    </row>
    <row r="76" spans="1:32" x14ac:dyDescent="0.3">
      <c r="A76" s="215" t="s">
        <v>351</v>
      </c>
      <c r="B76" s="215" t="s">
        <v>48</v>
      </c>
      <c r="C76" s="215" t="s">
        <v>68</v>
      </c>
      <c r="D76" s="215" t="s">
        <v>310</v>
      </c>
      <c r="E76" s="215" t="s">
        <v>1006</v>
      </c>
      <c r="F76" s="15">
        <v>46252.576365740744</v>
      </c>
      <c r="G76" s="215" t="s">
        <v>905</v>
      </c>
      <c r="H76" s="215">
        <v>25</v>
      </c>
      <c r="I76" s="215" t="s">
        <v>1007</v>
      </c>
      <c r="J76" s="15">
        <v>46253.647222222222</v>
      </c>
      <c r="K76" s="15">
        <v>46255.477083333331</v>
      </c>
      <c r="L76" s="15"/>
      <c r="M76" s="215">
        <v>25</v>
      </c>
      <c r="N76" s="215"/>
      <c r="O76" s="215" t="s">
        <v>201</v>
      </c>
      <c r="P76" s="215" t="s">
        <v>531</v>
      </c>
      <c r="Q76" s="215"/>
      <c r="R76" s="215"/>
      <c r="S76" s="215" t="s">
        <v>362</v>
      </c>
      <c r="T76" s="215" t="s">
        <v>378</v>
      </c>
      <c r="U76" s="215" t="s">
        <v>239</v>
      </c>
      <c r="V76" s="215" t="s">
        <v>351</v>
      </c>
      <c r="W76" s="215" t="s">
        <v>378</v>
      </c>
      <c r="X76" s="215" t="s">
        <v>239</v>
      </c>
      <c r="Y76" s="215">
        <v>0</v>
      </c>
      <c r="Z76" s="215"/>
      <c r="AA76" s="215" t="s">
        <v>90</v>
      </c>
      <c r="AB76" s="215" t="s">
        <v>362</v>
      </c>
      <c r="AC76" s="215">
        <v>109</v>
      </c>
      <c r="AD76" s="215" t="s">
        <v>217</v>
      </c>
      <c r="AE76" s="215">
        <v>2.5</v>
      </c>
      <c r="AF76" s="215">
        <v>1</v>
      </c>
    </row>
    <row r="77" spans="1:32" x14ac:dyDescent="0.3">
      <c r="A77" s="215" t="s">
        <v>351</v>
      </c>
      <c r="B77" s="215" t="s">
        <v>48</v>
      </c>
      <c r="C77" s="215" t="s">
        <v>68</v>
      </c>
      <c r="D77" s="215" t="s">
        <v>310</v>
      </c>
      <c r="E77" s="215" t="s">
        <v>1008</v>
      </c>
      <c r="F77" s="15">
        <v>46252.581203703703</v>
      </c>
      <c r="G77" s="215" t="s">
        <v>905</v>
      </c>
      <c r="H77" s="215">
        <v>15</v>
      </c>
      <c r="I77" s="215" t="s">
        <v>1009</v>
      </c>
      <c r="J77" s="15">
        <v>46254.392361111109</v>
      </c>
      <c r="K77" s="15">
        <v>46255.477083333331</v>
      </c>
      <c r="L77" s="15"/>
      <c r="M77" s="215">
        <v>15</v>
      </c>
      <c r="N77" s="215"/>
      <c r="O77" s="215" t="s">
        <v>201</v>
      </c>
      <c r="P77" s="215" t="s">
        <v>531</v>
      </c>
      <c r="Q77" s="215"/>
      <c r="R77" s="215"/>
      <c r="S77" s="215" t="s">
        <v>362</v>
      </c>
      <c r="T77" s="215" t="s">
        <v>378</v>
      </c>
      <c r="U77" s="215" t="s">
        <v>239</v>
      </c>
      <c r="V77" s="215" t="s">
        <v>351</v>
      </c>
      <c r="W77" s="215" t="s">
        <v>378</v>
      </c>
      <c r="X77" s="215" t="s">
        <v>239</v>
      </c>
      <c r="Y77" s="215">
        <v>0</v>
      </c>
      <c r="Z77" s="215"/>
      <c r="AA77" s="215" t="s">
        <v>90</v>
      </c>
      <c r="AB77" s="215" t="s">
        <v>362</v>
      </c>
      <c r="AC77" s="215">
        <v>109</v>
      </c>
      <c r="AD77" s="215" t="s">
        <v>217</v>
      </c>
      <c r="AE77" s="215">
        <v>1.5</v>
      </c>
      <c r="AF77" s="215"/>
    </row>
    <row r="78" spans="1:32" x14ac:dyDescent="0.3">
      <c r="A78" s="215" t="s">
        <v>351</v>
      </c>
      <c r="B78" s="215" t="s">
        <v>48</v>
      </c>
      <c r="C78" s="215" t="s">
        <v>68</v>
      </c>
      <c r="D78" s="215" t="s">
        <v>310</v>
      </c>
      <c r="E78" s="215" t="s">
        <v>1034</v>
      </c>
      <c r="F78" s="15">
        <v>46231.625231481485</v>
      </c>
      <c r="G78" s="215" t="s">
        <v>1035</v>
      </c>
      <c r="H78" s="215">
        <v>10</v>
      </c>
      <c r="I78" s="215" t="s">
        <v>1036</v>
      </c>
      <c r="J78" s="15">
        <v>46234.652581018519</v>
      </c>
      <c r="K78" s="15">
        <v>46238.509722222225</v>
      </c>
      <c r="L78" s="15"/>
      <c r="M78" s="215">
        <v>10</v>
      </c>
      <c r="N78" s="215"/>
      <c r="O78" s="215" t="s">
        <v>201</v>
      </c>
      <c r="P78" s="215" t="s">
        <v>531</v>
      </c>
      <c r="Q78" s="215"/>
      <c r="R78" s="215"/>
      <c r="S78" s="215" t="s">
        <v>362</v>
      </c>
      <c r="T78" s="215" t="s">
        <v>378</v>
      </c>
      <c r="U78" s="215" t="s">
        <v>239</v>
      </c>
      <c r="V78" s="215" t="s">
        <v>351</v>
      </c>
      <c r="W78" s="215" t="s">
        <v>378</v>
      </c>
      <c r="X78" s="215" t="s">
        <v>239</v>
      </c>
      <c r="Y78" s="215">
        <v>0</v>
      </c>
      <c r="Z78" s="215"/>
      <c r="AA78" s="215" t="s">
        <v>90</v>
      </c>
      <c r="AB78" s="215" t="s">
        <v>362</v>
      </c>
      <c r="AC78" s="215">
        <v>109</v>
      </c>
      <c r="AD78" s="215" t="s">
        <v>217</v>
      </c>
      <c r="AE78" s="215">
        <v>1</v>
      </c>
      <c r="AF78" s="215">
        <v>1</v>
      </c>
    </row>
    <row r="79" spans="1:32" x14ac:dyDescent="0.3">
      <c r="A79" s="215" t="s">
        <v>351</v>
      </c>
      <c r="B79" s="215" t="s">
        <v>48</v>
      </c>
      <c r="C79" s="215" t="s">
        <v>68</v>
      </c>
      <c r="D79" s="215" t="s">
        <v>310</v>
      </c>
      <c r="E79" s="215" t="s">
        <v>1029</v>
      </c>
      <c r="F79" s="15">
        <v>46227.725787037038</v>
      </c>
      <c r="G79" s="215" t="s">
        <v>413</v>
      </c>
      <c r="H79" s="215">
        <v>16</v>
      </c>
      <c r="I79" s="215" t="s">
        <v>1030</v>
      </c>
      <c r="J79" s="15">
        <v>46232.603437500002</v>
      </c>
      <c r="K79" s="15">
        <v>46234.413194444445</v>
      </c>
      <c r="L79" s="15"/>
      <c r="M79" s="215">
        <v>16</v>
      </c>
      <c r="N79" s="215"/>
      <c r="O79" s="215" t="s">
        <v>201</v>
      </c>
      <c r="P79" s="215" t="s">
        <v>531</v>
      </c>
      <c r="Q79" s="215"/>
      <c r="R79" s="215"/>
      <c r="S79" s="215" t="s">
        <v>362</v>
      </c>
      <c r="T79" s="215" t="s">
        <v>378</v>
      </c>
      <c r="U79" s="215" t="s">
        <v>239</v>
      </c>
      <c r="V79" s="215" t="s">
        <v>351</v>
      </c>
      <c r="W79" s="215" t="s">
        <v>378</v>
      </c>
      <c r="X79" s="215" t="s">
        <v>239</v>
      </c>
      <c r="Y79" s="215">
        <v>0</v>
      </c>
      <c r="Z79" s="215"/>
      <c r="AA79" s="215" t="s">
        <v>90</v>
      </c>
      <c r="AB79" s="215" t="s">
        <v>362</v>
      </c>
      <c r="AC79" s="215">
        <v>109</v>
      </c>
      <c r="AD79" s="215" t="s">
        <v>217</v>
      </c>
      <c r="AE79" s="215">
        <v>1.6</v>
      </c>
      <c r="AF79" s="215">
        <v>1</v>
      </c>
    </row>
    <row r="80" spans="1:32" x14ac:dyDescent="0.3">
      <c r="A80" s="215" t="s">
        <v>351</v>
      </c>
      <c r="B80" s="215" t="s">
        <v>45</v>
      </c>
      <c r="C80" s="215" t="s">
        <v>68</v>
      </c>
      <c r="D80" s="215" t="s">
        <v>310</v>
      </c>
      <c r="E80" s="215" t="s">
        <v>964</v>
      </c>
      <c r="F80" s="15">
        <v>46245.50304398148</v>
      </c>
      <c r="G80" s="215" t="s">
        <v>420</v>
      </c>
      <c r="H80" s="215">
        <v>5</v>
      </c>
      <c r="I80" s="215" t="s">
        <v>965</v>
      </c>
      <c r="J80" s="15">
        <v>46245.540277777778</v>
      </c>
      <c r="K80" s="15">
        <v>46247.46875</v>
      </c>
      <c r="L80" s="15"/>
      <c r="M80" s="215">
        <v>5</v>
      </c>
      <c r="N80" s="215"/>
      <c r="O80" s="215" t="s">
        <v>201</v>
      </c>
      <c r="P80" s="215" t="s">
        <v>531</v>
      </c>
      <c r="Q80" s="215"/>
      <c r="R80" s="215"/>
      <c r="S80" s="215" t="s">
        <v>486</v>
      </c>
      <c r="T80" s="215" t="s">
        <v>378</v>
      </c>
      <c r="U80" s="215" t="s">
        <v>239</v>
      </c>
      <c r="V80" s="215" t="s">
        <v>351</v>
      </c>
      <c r="W80" s="215" t="s">
        <v>378</v>
      </c>
      <c r="X80" s="215" t="s">
        <v>239</v>
      </c>
      <c r="Y80" s="215"/>
      <c r="Z80" s="215"/>
      <c r="AA80" s="215" t="s">
        <v>67</v>
      </c>
      <c r="AB80" s="215" t="s">
        <v>486</v>
      </c>
      <c r="AC80" s="215">
        <v>288</v>
      </c>
      <c r="AD80" s="215" t="s">
        <v>217</v>
      </c>
      <c r="AE80" s="215">
        <v>1</v>
      </c>
      <c r="AF80" s="215">
        <v>1</v>
      </c>
    </row>
    <row r="81" spans="1:32" x14ac:dyDescent="0.3">
      <c r="A81" s="215" t="s">
        <v>351</v>
      </c>
      <c r="B81" s="215" t="s">
        <v>45</v>
      </c>
      <c r="C81" s="215" t="s">
        <v>68</v>
      </c>
      <c r="D81" s="215" t="s">
        <v>310</v>
      </c>
      <c r="E81" s="215" t="s">
        <v>966</v>
      </c>
      <c r="F81" s="15">
        <v>46245.502650462964</v>
      </c>
      <c r="G81" s="215" t="s">
        <v>420</v>
      </c>
      <c r="H81" s="215">
        <v>11</v>
      </c>
      <c r="I81" s="215" t="s">
        <v>967</v>
      </c>
      <c r="J81" s="15">
        <v>46245.53125</v>
      </c>
      <c r="K81" s="15">
        <v>46247.46875</v>
      </c>
      <c r="L81" s="15"/>
      <c r="M81" s="215">
        <v>11</v>
      </c>
      <c r="N81" s="215"/>
      <c r="O81" s="215" t="s">
        <v>201</v>
      </c>
      <c r="P81" s="215" t="s">
        <v>531</v>
      </c>
      <c r="Q81" s="215"/>
      <c r="R81" s="215"/>
      <c r="S81" s="215" t="s">
        <v>486</v>
      </c>
      <c r="T81" s="215" t="s">
        <v>378</v>
      </c>
      <c r="U81" s="215" t="s">
        <v>239</v>
      </c>
      <c r="V81" s="215" t="s">
        <v>351</v>
      </c>
      <c r="W81" s="215" t="s">
        <v>378</v>
      </c>
      <c r="X81" s="215" t="s">
        <v>239</v>
      </c>
      <c r="Y81" s="215"/>
      <c r="Z81" s="215"/>
      <c r="AA81" s="215" t="s">
        <v>67</v>
      </c>
      <c r="AB81" s="215" t="s">
        <v>486</v>
      </c>
      <c r="AC81" s="215">
        <v>288</v>
      </c>
      <c r="AD81" s="215" t="s">
        <v>217</v>
      </c>
      <c r="AE81" s="215">
        <v>1.1000000000000001</v>
      </c>
      <c r="AF81" s="215"/>
    </row>
    <row r="82" spans="1:32" x14ac:dyDescent="0.3">
      <c r="A82" s="215" t="s">
        <v>351</v>
      </c>
      <c r="B82" s="215" t="s">
        <v>48</v>
      </c>
      <c r="C82" s="215" t="s">
        <v>68</v>
      </c>
      <c r="D82" s="215" t="s">
        <v>310</v>
      </c>
      <c r="E82" s="215" t="s">
        <v>1010</v>
      </c>
      <c r="F82" s="15">
        <v>46252.486481481479</v>
      </c>
      <c r="G82" s="215" t="s">
        <v>420</v>
      </c>
      <c r="H82" s="215">
        <v>5</v>
      </c>
      <c r="I82" s="215" t="s">
        <v>1011</v>
      </c>
      <c r="J82" s="15">
        <v>46253.540277777778</v>
      </c>
      <c r="K82" s="15">
        <v>46254.458333333336</v>
      </c>
      <c r="L82" s="15"/>
      <c r="M82" s="215">
        <v>5</v>
      </c>
      <c r="N82" s="215"/>
      <c r="O82" s="215" t="s">
        <v>201</v>
      </c>
      <c r="P82" s="215" t="s">
        <v>532</v>
      </c>
      <c r="Q82" s="215"/>
      <c r="R82" s="215"/>
      <c r="S82" s="215" t="s">
        <v>486</v>
      </c>
      <c r="T82" s="215" t="s">
        <v>378</v>
      </c>
      <c r="U82" s="215" t="s">
        <v>239</v>
      </c>
      <c r="V82" s="215" t="s">
        <v>351</v>
      </c>
      <c r="W82" s="215" t="s">
        <v>378</v>
      </c>
      <c r="X82" s="215" t="s">
        <v>239</v>
      </c>
      <c r="Y82" s="215"/>
      <c r="Z82" s="215"/>
      <c r="AA82" s="215" t="s">
        <v>90</v>
      </c>
      <c r="AB82" s="215" t="s">
        <v>486</v>
      </c>
      <c r="AC82" s="215">
        <v>288</v>
      </c>
      <c r="AD82" s="215" t="s">
        <v>217</v>
      </c>
      <c r="AE82" s="215">
        <v>1</v>
      </c>
      <c r="AF82" s="215">
        <v>1</v>
      </c>
    </row>
    <row r="83" spans="1:32" x14ac:dyDescent="0.3">
      <c r="A83" s="215" t="s">
        <v>351</v>
      </c>
      <c r="B83" s="215" t="s">
        <v>48</v>
      </c>
      <c r="C83" s="215" t="s">
        <v>68</v>
      </c>
      <c r="D83" s="215" t="s">
        <v>310</v>
      </c>
      <c r="E83" s="215" t="s">
        <v>1072</v>
      </c>
      <c r="F83" s="15">
        <v>46231.743472222224</v>
      </c>
      <c r="G83" s="215" t="s">
        <v>412</v>
      </c>
      <c r="H83" s="215">
        <v>1</v>
      </c>
      <c r="I83" s="215" t="s">
        <v>1073</v>
      </c>
      <c r="J83" s="15">
        <v>46239.520138888889</v>
      </c>
      <c r="K83" s="15">
        <v>46240.513194444444</v>
      </c>
      <c r="L83" s="15"/>
      <c r="M83" s="215">
        <v>1</v>
      </c>
      <c r="N83" s="215"/>
      <c r="O83" s="215" t="s">
        <v>201</v>
      </c>
      <c r="P83" s="215" t="s">
        <v>531</v>
      </c>
      <c r="Q83" s="215"/>
      <c r="R83" s="215"/>
      <c r="S83" s="215" t="s">
        <v>361</v>
      </c>
      <c r="T83" s="215" t="s">
        <v>378</v>
      </c>
      <c r="U83" s="215" t="s">
        <v>239</v>
      </c>
      <c r="V83" s="215" t="s">
        <v>351</v>
      </c>
      <c r="W83" s="215" t="s">
        <v>378</v>
      </c>
      <c r="X83" s="215" t="s">
        <v>239</v>
      </c>
      <c r="Y83" s="215">
        <v>0</v>
      </c>
      <c r="Z83" s="215"/>
      <c r="AA83" s="215" t="s">
        <v>90</v>
      </c>
      <c r="AB83" s="215" t="s">
        <v>361</v>
      </c>
      <c r="AC83" s="215">
        <v>2200</v>
      </c>
      <c r="AD83" s="215" t="s">
        <v>217</v>
      </c>
      <c r="AE83" s="215">
        <v>1</v>
      </c>
      <c r="AF83" s="215">
        <v>1</v>
      </c>
    </row>
    <row r="84" spans="1:32" x14ac:dyDescent="0.3">
      <c r="A84" s="215" t="s">
        <v>351</v>
      </c>
      <c r="B84" s="215" t="s">
        <v>48</v>
      </c>
      <c r="C84" s="215" t="s">
        <v>68</v>
      </c>
      <c r="D84" s="215" t="s">
        <v>310</v>
      </c>
      <c r="E84" s="215" t="s">
        <v>1083</v>
      </c>
      <c r="F84" s="15">
        <v>46231.307928240742</v>
      </c>
      <c r="G84" s="215" t="s">
        <v>411</v>
      </c>
      <c r="H84" s="215">
        <v>1</v>
      </c>
      <c r="I84" s="215" t="s">
        <v>1084</v>
      </c>
      <c r="J84" s="15">
        <v>46231.367361111108</v>
      </c>
      <c r="K84" s="15">
        <v>46232.486111111109</v>
      </c>
      <c r="L84" s="15"/>
      <c r="M84" s="215">
        <v>1</v>
      </c>
      <c r="N84" s="215"/>
      <c r="O84" s="215" t="s">
        <v>201</v>
      </c>
      <c r="P84" s="215" t="s">
        <v>531</v>
      </c>
      <c r="Q84" s="215"/>
      <c r="R84" s="215"/>
      <c r="S84" s="215" t="s">
        <v>363</v>
      </c>
      <c r="T84" s="215" t="s">
        <v>378</v>
      </c>
      <c r="U84" s="215" t="s">
        <v>239</v>
      </c>
      <c r="V84" s="215" t="s">
        <v>351</v>
      </c>
      <c r="W84" s="215" t="s">
        <v>378</v>
      </c>
      <c r="X84" s="215" t="s">
        <v>239</v>
      </c>
      <c r="Y84" s="215">
        <v>0</v>
      </c>
      <c r="Z84" s="215"/>
      <c r="AA84" s="215" t="s">
        <v>90</v>
      </c>
      <c r="AB84" s="215" t="s">
        <v>363</v>
      </c>
      <c r="AC84" s="215">
        <v>101</v>
      </c>
      <c r="AD84" s="215" t="s">
        <v>217</v>
      </c>
      <c r="AE84" s="215">
        <v>1</v>
      </c>
      <c r="AF84" s="215">
        <v>1</v>
      </c>
    </row>
    <row r="85" spans="1:32" x14ac:dyDescent="0.3">
      <c r="A85" s="215" t="s">
        <v>351</v>
      </c>
      <c r="B85" s="215" t="s">
        <v>48</v>
      </c>
      <c r="C85" s="215" t="s">
        <v>68</v>
      </c>
      <c r="D85" s="215" t="s">
        <v>310</v>
      </c>
      <c r="E85" s="215" t="s">
        <v>1087</v>
      </c>
      <c r="F85" s="15">
        <v>46227.576932870368</v>
      </c>
      <c r="G85" s="215" t="s">
        <v>412</v>
      </c>
      <c r="H85" s="215">
        <v>1</v>
      </c>
      <c r="I85" s="215" t="s">
        <v>1088</v>
      </c>
      <c r="J85" s="15">
        <v>46233.393819444442</v>
      </c>
      <c r="K85" s="15">
        <v>46234.439583333333</v>
      </c>
      <c r="L85" s="15"/>
      <c r="M85" s="215">
        <v>1</v>
      </c>
      <c r="N85" s="215"/>
      <c r="O85" s="215" t="s">
        <v>201</v>
      </c>
      <c r="P85" s="215" t="s">
        <v>531</v>
      </c>
      <c r="Q85" s="215"/>
      <c r="R85" s="215"/>
      <c r="S85" s="215" t="s">
        <v>360</v>
      </c>
      <c r="T85" s="215" t="s">
        <v>378</v>
      </c>
      <c r="U85" s="215" t="s">
        <v>239</v>
      </c>
      <c r="V85" s="215" t="s">
        <v>351</v>
      </c>
      <c r="W85" s="215" t="s">
        <v>378</v>
      </c>
      <c r="X85" s="215" t="s">
        <v>239</v>
      </c>
      <c r="Y85" s="215">
        <v>0</v>
      </c>
      <c r="Z85" s="215"/>
      <c r="AA85" s="215" t="s">
        <v>90</v>
      </c>
      <c r="AB85" s="215" t="s">
        <v>360</v>
      </c>
      <c r="AC85" s="215">
        <v>50</v>
      </c>
      <c r="AD85" s="215" t="s">
        <v>217</v>
      </c>
      <c r="AE85" s="215">
        <v>1</v>
      </c>
      <c r="AF85" s="215">
        <v>1</v>
      </c>
    </row>
    <row r="86" spans="1:32" x14ac:dyDescent="0.3">
      <c r="A86" s="215" t="s">
        <v>351</v>
      </c>
      <c r="B86" s="215" t="s">
        <v>57</v>
      </c>
      <c r="C86" s="215" t="s">
        <v>117</v>
      </c>
      <c r="D86" s="215" t="s">
        <v>310</v>
      </c>
      <c r="E86" s="215" t="s">
        <v>838</v>
      </c>
      <c r="F86" s="15">
        <v>46248.437847222223</v>
      </c>
      <c r="G86" s="215" t="s">
        <v>411</v>
      </c>
      <c r="H86" s="215">
        <v>1</v>
      </c>
      <c r="I86" s="215" t="s">
        <v>839</v>
      </c>
      <c r="J86" s="15">
        <v>46248.662499999999</v>
      </c>
      <c r="K86" s="15">
        <v>46253.628472222219</v>
      </c>
      <c r="L86" s="15"/>
      <c r="M86" s="215">
        <v>1</v>
      </c>
      <c r="N86" s="215"/>
      <c r="O86" s="215" t="s">
        <v>201</v>
      </c>
      <c r="P86" s="215" t="s">
        <v>532</v>
      </c>
      <c r="Q86" s="215"/>
      <c r="R86" s="215"/>
      <c r="S86" s="215" t="s">
        <v>363</v>
      </c>
      <c r="T86" s="215" t="s">
        <v>378</v>
      </c>
      <c r="U86" s="215" t="s">
        <v>239</v>
      </c>
      <c r="V86" s="215" t="s">
        <v>7</v>
      </c>
      <c r="W86" s="215" t="s">
        <v>7</v>
      </c>
      <c r="X86" s="215" t="s">
        <v>7</v>
      </c>
      <c r="Y86" s="215"/>
      <c r="Z86" s="215"/>
      <c r="AA86" s="215" t="s">
        <v>127</v>
      </c>
      <c r="AB86" s="215" t="s">
        <v>363</v>
      </c>
      <c r="AC86" s="215">
        <v>101</v>
      </c>
      <c r="AD86" s="215" t="s">
        <v>233</v>
      </c>
      <c r="AE86" s="215">
        <v>1</v>
      </c>
      <c r="AF86" s="215">
        <v>1</v>
      </c>
    </row>
    <row r="87" spans="1:32" x14ac:dyDescent="0.3">
      <c r="A87" s="215" t="s">
        <v>351</v>
      </c>
      <c r="B87" s="215" t="s">
        <v>279</v>
      </c>
      <c r="C87" s="215" t="s">
        <v>192</v>
      </c>
      <c r="D87" s="215" t="s">
        <v>310</v>
      </c>
      <c r="E87" s="215" t="s">
        <v>838</v>
      </c>
      <c r="F87" s="15">
        <v>46248.437847222223</v>
      </c>
      <c r="G87" s="215" t="s">
        <v>411</v>
      </c>
      <c r="H87" s="215">
        <v>8</v>
      </c>
      <c r="I87" s="215" t="s">
        <v>839</v>
      </c>
      <c r="J87" s="15">
        <v>46248.662499999999</v>
      </c>
      <c r="K87" s="15">
        <v>46253.628472222219</v>
      </c>
      <c r="L87" s="15"/>
      <c r="M87" s="215">
        <v>8</v>
      </c>
      <c r="N87" s="215"/>
      <c r="O87" s="215" t="s">
        <v>201</v>
      </c>
      <c r="P87" s="215" t="s">
        <v>532</v>
      </c>
      <c r="Q87" s="215"/>
      <c r="R87" s="215"/>
      <c r="S87" s="215" t="s">
        <v>363</v>
      </c>
      <c r="T87" s="215" t="s">
        <v>378</v>
      </c>
      <c r="U87" s="215" t="s">
        <v>239</v>
      </c>
      <c r="V87" s="215" t="s">
        <v>7</v>
      </c>
      <c r="W87" s="215" t="s">
        <v>7</v>
      </c>
      <c r="X87" s="215" t="s">
        <v>7</v>
      </c>
      <c r="Y87" s="215"/>
      <c r="Z87" s="215">
        <v>1</v>
      </c>
      <c r="AA87" s="215" t="s">
        <v>122</v>
      </c>
      <c r="AB87" s="215" t="s">
        <v>363</v>
      </c>
      <c r="AC87" s="215">
        <v>101</v>
      </c>
      <c r="AD87" s="215" t="s">
        <v>232</v>
      </c>
      <c r="AE87" s="215">
        <v>8</v>
      </c>
      <c r="AF87" s="215"/>
    </row>
    <row r="88" spans="1:32" x14ac:dyDescent="0.3">
      <c r="A88" s="215" t="s">
        <v>351</v>
      </c>
      <c r="B88" s="215" t="s">
        <v>57</v>
      </c>
      <c r="C88" s="215" t="s">
        <v>117</v>
      </c>
      <c r="D88" s="215" t="s">
        <v>310</v>
      </c>
      <c r="E88" s="215" t="s">
        <v>840</v>
      </c>
      <c r="F88" s="15">
        <v>46239.634884259256</v>
      </c>
      <c r="G88" s="215" t="s">
        <v>411</v>
      </c>
      <c r="H88" s="215">
        <v>1</v>
      </c>
      <c r="I88" s="215" t="s">
        <v>841</v>
      </c>
      <c r="J88" s="15">
        <v>46240.408333333333</v>
      </c>
      <c r="K88" s="15">
        <v>46246.645833333336</v>
      </c>
      <c r="L88" s="15"/>
      <c r="M88" s="215">
        <v>1</v>
      </c>
      <c r="N88" s="215"/>
      <c r="O88" s="215" t="s">
        <v>201</v>
      </c>
      <c r="P88" s="215" t="s">
        <v>532</v>
      </c>
      <c r="Q88" s="215"/>
      <c r="R88" s="215"/>
      <c r="S88" s="215" t="s">
        <v>363</v>
      </c>
      <c r="T88" s="215" t="s">
        <v>378</v>
      </c>
      <c r="U88" s="215" t="s">
        <v>239</v>
      </c>
      <c r="V88" s="215" t="s">
        <v>7</v>
      </c>
      <c r="W88" s="215" t="s">
        <v>7</v>
      </c>
      <c r="X88" s="215" t="s">
        <v>7</v>
      </c>
      <c r="Y88" s="215"/>
      <c r="Z88" s="215"/>
      <c r="AA88" s="215" t="s">
        <v>127</v>
      </c>
      <c r="AB88" s="215" t="s">
        <v>363</v>
      </c>
      <c r="AC88" s="215">
        <v>101</v>
      </c>
      <c r="AD88" s="215" t="s">
        <v>233</v>
      </c>
      <c r="AE88" s="215">
        <v>1</v>
      </c>
      <c r="AF88" s="215">
        <v>35.200000000000003</v>
      </c>
    </row>
    <row r="89" spans="1:32" x14ac:dyDescent="0.3">
      <c r="A89" s="215" t="s">
        <v>351</v>
      </c>
      <c r="B89" s="215" t="s">
        <v>279</v>
      </c>
      <c r="C89" s="215" t="s">
        <v>192</v>
      </c>
      <c r="D89" s="215" t="s">
        <v>310</v>
      </c>
      <c r="E89" s="215" t="s">
        <v>840</v>
      </c>
      <c r="F89" s="15">
        <v>46239.634884259256</v>
      </c>
      <c r="G89" s="215" t="s">
        <v>411</v>
      </c>
      <c r="H89" s="215">
        <v>350</v>
      </c>
      <c r="I89" s="215" t="s">
        <v>841</v>
      </c>
      <c r="J89" s="15">
        <v>46240.408333333333</v>
      </c>
      <c r="K89" s="15">
        <v>46246.645833333336</v>
      </c>
      <c r="L89" s="15"/>
      <c r="M89" s="215">
        <v>350</v>
      </c>
      <c r="N89" s="215"/>
      <c r="O89" s="215" t="s">
        <v>201</v>
      </c>
      <c r="P89" s="215" t="s">
        <v>531</v>
      </c>
      <c r="Q89" s="215"/>
      <c r="R89" s="215"/>
      <c r="S89" s="215" t="s">
        <v>363</v>
      </c>
      <c r="T89" s="215" t="s">
        <v>378</v>
      </c>
      <c r="U89" s="215" t="s">
        <v>239</v>
      </c>
      <c r="V89" s="215" t="s">
        <v>7</v>
      </c>
      <c r="W89" s="215" t="s">
        <v>7</v>
      </c>
      <c r="X89" s="215" t="s">
        <v>7</v>
      </c>
      <c r="Y89" s="215"/>
      <c r="Z89" s="215">
        <v>1</v>
      </c>
      <c r="AA89" s="215" t="s">
        <v>122</v>
      </c>
      <c r="AB89" s="215" t="s">
        <v>363</v>
      </c>
      <c r="AC89" s="215">
        <v>101</v>
      </c>
      <c r="AD89" s="215" t="s">
        <v>232</v>
      </c>
      <c r="AE89" s="215">
        <v>350</v>
      </c>
      <c r="AF89" s="215"/>
    </row>
    <row r="90" spans="1:32" x14ac:dyDescent="0.3">
      <c r="A90" s="215" t="s">
        <v>351</v>
      </c>
      <c r="B90" s="215" t="s">
        <v>57</v>
      </c>
      <c r="C90" s="215" t="s">
        <v>117</v>
      </c>
      <c r="D90" s="215" t="s">
        <v>310</v>
      </c>
      <c r="E90" s="215" t="s">
        <v>842</v>
      </c>
      <c r="F90" s="15">
        <v>46245.601261574076</v>
      </c>
      <c r="G90" s="215" t="s">
        <v>417</v>
      </c>
      <c r="H90" s="215">
        <v>1</v>
      </c>
      <c r="I90" s="215" t="s">
        <v>843</v>
      </c>
      <c r="J90" s="15">
        <v>46246.638194444444</v>
      </c>
      <c r="K90" s="15">
        <v>46252.386805555558</v>
      </c>
      <c r="L90" s="15"/>
      <c r="M90" s="215">
        <v>1</v>
      </c>
      <c r="N90" s="215"/>
      <c r="O90" s="215" t="s">
        <v>201</v>
      </c>
      <c r="P90" s="215" t="s">
        <v>532</v>
      </c>
      <c r="Q90" s="215"/>
      <c r="R90" s="215"/>
      <c r="S90" s="215" t="s">
        <v>361</v>
      </c>
      <c r="T90" s="215" t="s">
        <v>378</v>
      </c>
      <c r="U90" s="215" t="s">
        <v>239</v>
      </c>
      <c r="V90" s="215" t="s">
        <v>7</v>
      </c>
      <c r="W90" s="215" t="s">
        <v>7</v>
      </c>
      <c r="X90" s="215" t="s">
        <v>7</v>
      </c>
      <c r="Y90" s="215"/>
      <c r="Z90" s="215"/>
      <c r="AA90" s="215" t="s">
        <v>127</v>
      </c>
      <c r="AB90" s="215" t="s">
        <v>361</v>
      </c>
      <c r="AC90" s="215">
        <v>2200</v>
      </c>
      <c r="AD90" s="215" t="s">
        <v>233</v>
      </c>
      <c r="AE90" s="215">
        <v>1</v>
      </c>
      <c r="AF90" s="215">
        <v>47.3</v>
      </c>
    </row>
    <row r="91" spans="1:32" x14ac:dyDescent="0.3">
      <c r="A91" s="215" t="s">
        <v>351</v>
      </c>
      <c r="B91" s="215" t="s">
        <v>279</v>
      </c>
      <c r="C91" s="215" t="s">
        <v>192</v>
      </c>
      <c r="D91" s="215" t="s">
        <v>310</v>
      </c>
      <c r="E91" s="215" t="s">
        <v>842</v>
      </c>
      <c r="F91" s="15">
        <v>46245.601261574076</v>
      </c>
      <c r="G91" s="215" t="s">
        <v>417</v>
      </c>
      <c r="H91" s="215">
        <v>471</v>
      </c>
      <c r="I91" s="215" t="s">
        <v>843</v>
      </c>
      <c r="J91" s="15">
        <v>46246.638194444444</v>
      </c>
      <c r="K91" s="15">
        <v>46252.386805555558</v>
      </c>
      <c r="L91" s="15"/>
      <c r="M91" s="215">
        <v>471</v>
      </c>
      <c r="N91" s="215"/>
      <c r="O91" s="215" t="s">
        <v>201</v>
      </c>
      <c r="P91" s="215" t="s">
        <v>531</v>
      </c>
      <c r="Q91" s="215"/>
      <c r="R91" s="215"/>
      <c r="S91" s="215" t="s">
        <v>361</v>
      </c>
      <c r="T91" s="215" t="s">
        <v>378</v>
      </c>
      <c r="U91" s="215" t="s">
        <v>239</v>
      </c>
      <c r="V91" s="215" t="s">
        <v>7</v>
      </c>
      <c r="W91" s="215" t="s">
        <v>7</v>
      </c>
      <c r="X91" s="215" t="s">
        <v>7</v>
      </c>
      <c r="Y91" s="215"/>
      <c r="Z91" s="215">
        <v>1</v>
      </c>
      <c r="AA91" s="215" t="s">
        <v>122</v>
      </c>
      <c r="AB91" s="215" t="s">
        <v>361</v>
      </c>
      <c r="AC91" s="215">
        <v>2200</v>
      </c>
      <c r="AD91" s="215" t="s">
        <v>232</v>
      </c>
      <c r="AE91" s="215">
        <v>471</v>
      </c>
      <c r="AF91" s="215"/>
    </row>
    <row r="92" spans="1:32" x14ac:dyDescent="0.3">
      <c r="A92" s="215" t="s">
        <v>351</v>
      </c>
      <c r="B92" s="215" t="s">
        <v>57</v>
      </c>
      <c r="C92" s="215" t="s">
        <v>117</v>
      </c>
      <c r="D92" s="215" t="s">
        <v>310</v>
      </c>
      <c r="E92" s="215" t="s">
        <v>844</v>
      </c>
      <c r="F92" s="15">
        <v>46245.375648148147</v>
      </c>
      <c r="G92" s="215" t="s">
        <v>412</v>
      </c>
      <c r="H92" s="215">
        <v>5</v>
      </c>
      <c r="I92" s="215" t="s">
        <v>845</v>
      </c>
      <c r="J92" s="15">
        <v>46246.395138888889</v>
      </c>
      <c r="K92" s="15">
        <v>46248.681250000001</v>
      </c>
      <c r="L92" s="15"/>
      <c r="M92" s="215">
        <v>5</v>
      </c>
      <c r="N92" s="215"/>
      <c r="O92" s="215" t="s">
        <v>201</v>
      </c>
      <c r="P92" s="215" t="s">
        <v>532</v>
      </c>
      <c r="Q92" s="215"/>
      <c r="R92" s="215"/>
      <c r="S92" s="215" t="s">
        <v>361</v>
      </c>
      <c r="T92" s="215" t="s">
        <v>378</v>
      </c>
      <c r="U92" s="215" t="s">
        <v>239</v>
      </c>
      <c r="V92" s="215" t="s">
        <v>7</v>
      </c>
      <c r="W92" s="215" t="s">
        <v>7</v>
      </c>
      <c r="X92" s="215" t="s">
        <v>7</v>
      </c>
      <c r="Y92" s="215"/>
      <c r="Z92" s="215"/>
      <c r="AA92" s="215" t="s">
        <v>127</v>
      </c>
      <c r="AB92" s="215" t="s">
        <v>361</v>
      </c>
      <c r="AC92" s="215">
        <v>2200</v>
      </c>
      <c r="AD92" s="215" t="s">
        <v>233</v>
      </c>
      <c r="AE92" s="215">
        <v>1</v>
      </c>
      <c r="AF92" s="215">
        <v>181.1</v>
      </c>
    </row>
    <row r="93" spans="1:32" x14ac:dyDescent="0.3">
      <c r="A93" s="215" t="s">
        <v>351</v>
      </c>
      <c r="B93" s="215" t="s">
        <v>279</v>
      </c>
      <c r="C93" s="215" t="s">
        <v>192</v>
      </c>
      <c r="D93" s="215" t="s">
        <v>310</v>
      </c>
      <c r="E93" s="215" t="s">
        <v>844</v>
      </c>
      <c r="F93" s="15">
        <v>46245.375648148147</v>
      </c>
      <c r="G93" s="215" t="s">
        <v>412</v>
      </c>
      <c r="H93" s="215">
        <v>1805</v>
      </c>
      <c r="I93" s="215" t="s">
        <v>845</v>
      </c>
      <c r="J93" s="15">
        <v>46246.395138888889</v>
      </c>
      <c r="K93" s="15">
        <v>46248.681250000001</v>
      </c>
      <c r="L93" s="15"/>
      <c r="M93" s="215">
        <v>1805</v>
      </c>
      <c r="N93" s="215"/>
      <c r="O93" s="215" t="s">
        <v>201</v>
      </c>
      <c r="P93" s="215" t="s">
        <v>532</v>
      </c>
      <c r="Q93" s="215"/>
      <c r="R93" s="215"/>
      <c r="S93" s="215" t="s">
        <v>361</v>
      </c>
      <c r="T93" s="215" t="s">
        <v>378</v>
      </c>
      <c r="U93" s="215" t="s">
        <v>239</v>
      </c>
      <c r="V93" s="215" t="s">
        <v>7</v>
      </c>
      <c r="W93" s="215" t="s">
        <v>7</v>
      </c>
      <c r="X93" s="215" t="s">
        <v>7</v>
      </c>
      <c r="Y93" s="215"/>
      <c r="Z93" s="215">
        <v>1</v>
      </c>
      <c r="AA93" s="215" t="s">
        <v>122</v>
      </c>
      <c r="AB93" s="215" t="s">
        <v>361</v>
      </c>
      <c r="AC93" s="215">
        <v>2200</v>
      </c>
      <c r="AD93" s="215" t="s">
        <v>232</v>
      </c>
      <c r="AE93" s="215">
        <v>1805</v>
      </c>
      <c r="AF93" s="215"/>
    </row>
    <row r="94" spans="1:32" x14ac:dyDescent="0.3">
      <c r="A94" s="215" t="s">
        <v>351</v>
      </c>
      <c r="B94" s="215" t="s">
        <v>57</v>
      </c>
      <c r="C94" s="215" t="s">
        <v>117</v>
      </c>
      <c r="D94" s="215" t="s">
        <v>310</v>
      </c>
      <c r="E94" s="215" t="s">
        <v>846</v>
      </c>
      <c r="F94" s="15">
        <v>46239.715613425928</v>
      </c>
      <c r="G94" s="215" t="s">
        <v>412</v>
      </c>
      <c r="H94" s="215">
        <v>3</v>
      </c>
      <c r="I94" s="215" t="s">
        <v>847</v>
      </c>
      <c r="J94" s="15">
        <v>46241.71597222222</v>
      </c>
      <c r="K94" s="15">
        <v>46246.671527777777</v>
      </c>
      <c r="L94" s="15"/>
      <c r="M94" s="215">
        <v>3</v>
      </c>
      <c r="N94" s="215"/>
      <c r="O94" s="215" t="s">
        <v>201</v>
      </c>
      <c r="P94" s="215" t="s">
        <v>532</v>
      </c>
      <c r="Q94" s="215"/>
      <c r="R94" s="215"/>
      <c r="S94" s="215" t="s">
        <v>361</v>
      </c>
      <c r="T94" s="215" t="s">
        <v>378</v>
      </c>
      <c r="U94" s="215" t="s">
        <v>239</v>
      </c>
      <c r="V94" s="215" t="s">
        <v>7</v>
      </c>
      <c r="W94" s="215" t="s">
        <v>7</v>
      </c>
      <c r="X94" s="215" t="s">
        <v>7</v>
      </c>
      <c r="Y94" s="215"/>
      <c r="Z94" s="215"/>
      <c r="AA94" s="215" t="s">
        <v>127</v>
      </c>
      <c r="AB94" s="215" t="s">
        <v>361</v>
      </c>
      <c r="AC94" s="215">
        <v>2200</v>
      </c>
      <c r="AD94" s="215" t="s">
        <v>233</v>
      </c>
      <c r="AE94" s="215">
        <v>1</v>
      </c>
      <c r="AF94" s="215">
        <v>283.2</v>
      </c>
    </row>
    <row r="95" spans="1:32" x14ac:dyDescent="0.3">
      <c r="A95" s="215" t="s">
        <v>351</v>
      </c>
      <c r="B95" s="215" t="s">
        <v>279</v>
      </c>
      <c r="C95" s="215" t="s">
        <v>192</v>
      </c>
      <c r="D95" s="215" t="s">
        <v>310</v>
      </c>
      <c r="E95" s="215" t="s">
        <v>846</v>
      </c>
      <c r="F95" s="15">
        <v>46239.715613425928</v>
      </c>
      <c r="G95" s="215" t="s">
        <v>412</v>
      </c>
      <c r="H95" s="215">
        <v>1580</v>
      </c>
      <c r="I95" s="215" t="s">
        <v>847</v>
      </c>
      <c r="J95" s="15">
        <v>46241.71597222222</v>
      </c>
      <c r="K95" s="15">
        <v>46246.671527777777</v>
      </c>
      <c r="L95" s="15"/>
      <c r="M95" s="215">
        <v>1580</v>
      </c>
      <c r="N95" s="215"/>
      <c r="O95" s="215" t="s">
        <v>201</v>
      </c>
      <c r="P95" s="215" t="s">
        <v>532</v>
      </c>
      <c r="Q95" s="215"/>
      <c r="R95" s="215"/>
      <c r="S95" s="215" t="s">
        <v>361</v>
      </c>
      <c r="T95" s="215" t="s">
        <v>378</v>
      </c>
      <c r="U95" s="215" t="s">
        <v>239</v>
      </c>
      <c r="V95" s="215" t="s">
        <v>7</v>
      </c>
      <c r="W95" s="215" t="s">
        <v>7</v>
      </c>
      <c r="X95" s="215" t="s">
        <v>7</v>
      </c>
      <c r="Y95" s="215"/>
      <c r="Z95" s="215">
        <v>1</v>
      </c>
      <c r="AA95" s="215" t="s">
        <v>122</v>
      </c>
      <c r="AB95" s="215" t="s">
        <v>361</v>
      </c>
      <c r="AC95" s="215">
        <v>2200</v>
      </c>
      <c r="AD95" s="215" t="s">
        <v>232</v>
      </c>
      <c r="AE95" s="215">
        <v>1580</v>
      </c>
      <c r="AF95" s="215"/>
    </row>
    <row r="96" spans="1:32" x14ac:dyDescent="0.3">
      <c r="A96" s="215" t="s">
        <v>351</v>
      </c>
      <c r="B96" s="215" t="s">
        <v>57</v>
      </c>
      <c r="C96" s="215" t="s">
        <v>117</v>
      </c>
      <c r="D96" s="215" t="s">
        <v>310</v>
      </c>
      <c r="E96" s="215" t="s">
        <v>848</v>
      </c>
      <c r="F96" s="15">
        <v>46238.474398148152</v>
      </c>
      <c r="G96" s="215" t="s">
        <v>412</v>
      </c>
      <c r="H96" s="215">
        <v>1</v>
      </c>
      <c r="I96" s="215" t="s">
        <v>849</v>
      </c>
      <c r="J96" s="15">
        <v>46238.659722222219</v>
      </c>
      <c r="K96" s="15">
        <v>46241.456944444442</v>
      </c>
      <c r="L96" s="15"/>
      <c r="M96" s="215">
        <v>1</v>
      </c>
      <c r="N96" s="215"/>
      <c r="O96" s="215" t="s">
        <v>201</v>
      </c>
      <c r="P96" s="215" t="s">
        <v>532</v>
      </c>
      <c r="Q96" s="215"/>
      <c r="R96" s="215"/>
      <c r="S96" s="215" t="s">
        <v>361</v>
      </c>
      <c r="T96" s="215" t="s">
        <v>378</v>
      </c>
      <c r="U96" s="215" t="s">
        <v>239</v>
      </c>
      <c r="V96" s="215" t="s">
        <v>7</v>
      </c>
      <c r="W96" s="215" t="s">
        <v>7</v>
      </c>
      <c r="X96" s="215" t="s">
        <v>7</v>
      </c>
      <c r="Y96" s="215"/>
      <c r="Z96" s="215"/>
      <c r="AA96" s="215" t="s">
        <v>127</v>
      </c>
      <c r="AB96" s="215" t="s">
        <v>361</v>
      </c>
      <c r="AC96" s="215">
        <v>2200</v>
      </c>
      <c r="AD96" s="215" t="s">
        <v>233</v>
      </c>
      <c r="AE96" s="215">
        <v>1</v>
      </c>
      <c r="AF96" s="215">
        <v>1.5</v>
      </c>
    </row>
    <row r="97" spans="1:32" x14ac:dyDescent="0.3">
      <c r="A97" s="215" t="s">
        <v>351</v>
      </c>
      <c r="B97" s="215" t="s">
        <v>279</v>
      </c>
      <c r="C97" s="215" t="s">
        <v>192</v>
      </c>
      <c r="D97" s="215" t="s">
        <v>310</v>
      </c>
      <c r="E97" s="215" t="s">
        <v>848</v>
      </c>
      <c r="F97" s="15">
        <v>46238.474398148152</v>
      </c>
      <c r="G97" s="215" t="s">
        <v>412</v>
      </c>
      <c r="H97" s="215">
        <v>13</v>
      </c>
      <c r="I97" s="215" t="s">
        <v>849</v>
      </c>
      <c r="J97" s="15">
        <v>46238.659722222219</v>
      </c>
      <c r="K97" s="15">
        <v>46241.456944444442</v>
      </c>
      <c r="L97" s="15"/>
      <c r="M97" s="215">
        <v>13</v>
      </c>
      <c r="N97" s="215"/>
      <c r="O97" s="215" t="s">
        <v>201</v>
      </c>
      <c r="P97" s="215" t="s">
        <v>532</v>
      </c>
      <c r="Q97" s="215"/>
      <c r="R97" s="215"/>
      <c r="S97" s="215" t="s">
        <v>361</v>
      </c>
      <c r="T97" s="215" t="s">
        <v>378</v>
      </c>
      <c r="U97" s="215" t="s">
        <v>239</v>
      </c>
      <c r="V97" s="215" t="s">
        <v>7</v>
      </c>
      <c r="W97" s="215" t="s">
        <v>7</v>
      </c>
      <c r="X97" s="215" t="s">
        <v>7</v>
      </c>
      <c r="Y97" s="215"/>
      <c r="Z97" s="215">
        <v>1</v>
      </c>
      <c r="AA97" s="215" t="s">
        <v>122</v>
      </c>
      <c r="AB97" s="215" t="s">
        <v>361</v>
      </c>
      <c r="AC97" s="215">
        <v>2200</v>
      </c>
      <c r="AD97" s="215" t="s">
        <v>232</v>
      </c>
      <c r="AE97" s="215">
        <v>13</v>
      </c>
      <c r="AF97" s="215"/>
    </row>
    <row r="98" spans="1:32" x14ac:dyDescent="0.3">
      <c r="A98" s="215" t="s">
        <v>351</v>
      </c>
      <c r="B98" s="215" t="s">
        <v>57</v>
      </c>
      <c r="C98" s="215" t="s">
        <v>117</v>
      </c>
      <c r="D98" s="215" t="s">
        <v>310</v>
      </c>
      <c r="E98" s="215" t="s">
        <v>856</v>
      </c>
      <c r="F98" s="15">
        <v>46244.43917824074</v>
      </c>
      <c r="G98" s="215" t="s">
        <v>419</v>
      </c>
      <c r="H98" s="215">
        <v>1</v>
      </c>
      <c r="I98" s="215" t="s">
        <v>857</v>
      </c>
      <c r="J98" s="15">
        <v>46245.671527777777</v>
      </c>
      <c r="K98" s="15">
        <v>46251.602083333331</v>
      </c>
      <c r="L98" s="15"/>
      <c r="M98" s="215">
        <v>1</v>
      </c>
      <c r="N98" s="215"/>
      <c r="O98" s="215" t="s">
        <v>201</v>
      </c>
      <c r="P98" s="215" t="s">
        <v>532</v>
      </c>
      <c r="Q98" s="215"/>
      <c r="R98" s="215"/>
      <c r="S98" s="215" t="s">
        <v>360</v>
      </c>
      <c r="T98" s="215" t="s">
        <v>378</v>
      </c>
      <c r="U98" s="215" t="s">
        <v>239</v>
      </c>
      <c r="V98" s="215" t="s">
        <v>7</v>
      </c>
      <c r="W98" s="215" t="s">
        <v>7</v>
      </c>
      <c r="X98" s="215" t="s">
        <v>7</v>
      </c>
      <c r="Y98" s="215"/>
      <c r="Z98" s="215"/>
      <c r="AA98" s="215" t="s">
        <v>127</v>
      </c>
      <c r="AB98" s="215" t="s">
        <v>360</v>
      </c>
      <c r="AC98" s="215">
        <v>50</v>
      </c>
      <c r="AD98" s="215" t="s">
        <v>233</v>
      </c>
      <c r="AE98" s="215">
        <v>1</v>
      </c>
      <c r="AF98" s="215">
        <v>1748.2</v>
      </c>
    </row>
    <row r="99" spans="1:32" x14ac:dyDescent="0.3">
      <c r="A99" s="215" t="s">
        <v>351</v>
      </c>
      <c r="B99" s="215" t="s">
        <v>57</v>
      </c>
      <c r="C99" s="215" t="s">
        <v>117</v>
      </c>
      <c r="D99" s="215" t="s">
        <v>310</v>
      </c>
      <c r="E99" s="215" t="s">
        <v>856</v>
      </c>
      <c r="F99" s="15">
        <v>46244.43917824074</v>
      </c>
      <c r="G99" s="215" t="s">
        <v>419</v>
      </c>
      <c r="H99" s="215">
        <v>2</v>
      </c>
      <c r="I99" s="215" t="s">
        <v>857</v>
      </c>
      <c r="J99" s="15">
        <v>46245.671527777777</v>
      </c>
      <c r="K99" s="15">
        <v>46251.602083333331</v>
      </c>
      <c r="L99" s="15"/>
      <c r="M99" s="215">
        <v>2</v>
      </c>
      <c r="N99" s="215"/>
      <c r="O99" s="215" t="s">
        <v>529</v>
      </c>
      <c r="P99" s="215"/>
      <c r="Q99" s="215"/>
      <c r="R99" s="215"/>
      <c r="S99" s="215" t="s">
        <v>360</v>
      </c>
      <c r="T99" s="215" t="s">
        <v>378</v>
      </c>
      <c r="U99" s="215" t="s">
        <v>239</v>
      </c>
      <c r="V99" s="215" t="s">
        <v>7</v>
      </c>
      <c r="W99" s="215" t="s">
        <v>7</v>
      </c>
      <c r="X99" s="215" t="s">
        <v>7</v>
      </c>
      <c r="Y99" s="215"/>
      <c r="Z99" s="215"/>
      <c r="AA99" s="215" t="s">
        <v>127</v>
      </c>
      <c r="AB99" s="215" t="s">
        <v>360</v>
      </c>
      <c r="AC99" s="215">
        <v>50</v>
      </c>
      <c r="AD99" s="215" t="s">
        <v>233</v>
      </c>
      <c r="AE99" s="215">
        <v>1</v>
      </c>
      <c r="AF99" s="215"/>
    </row>
    <row r="100" spans="1:32" x14ac:dyDescent="0.3">
      <c r="A100" s="215" t="s">
        <v>351</v>
      </c>
      <c r="B100" s="215" t="s">
        <v>57</v>
      </c>
      <c r="C100" s="215" t="s">
        <v>117</v>
      </c>
      <c r="D100" s="215" t="s">
        <v>310</v>
      </c>
      <c r="E100" s="215" t="s">
        <v>856</v>
      </c>
      <c r="F100" s="15">
        <v>46244.43917824074</v>
      </c>
      <c r="G100" s="215" t="s">
        <v>419</v>
      </c>
      <c r="H100" s="215">
        <v>4</v>
      </c>
      <c r="I100" s="215" t="s">
        <v>857</v>
      </c>
      <c r="J100" s="15">
        <v>46245.671527777777</v>
      </c>
      <c r="K100" s="15">
        <v>46251.602083333331</v>
      </c>
      <c r="L100" s="15"/>
      <c r="M100" s="215">
        <v>4</v>
      </c>
      <c r="N100" s="215"/>
      <c r="O100" s="215" t="s">
        <v>529</v>
      </c>
      <c r="P100" s="215"/>
      <c r="Q100" s="215"/>
      <c r="R100" s="215"/>
      <c r="S100" s="215" t="s">
        <v>360</v>
      </c>
      <c r="T100" s="215" t="s">
        <v>378</v>
      </c>
      <c r="U100" s="215" t="s">
        <v>239</v>
      </c>
      <c r="V100" s="215" t="s">
        <v>7</v>
      </c>
      <c r="W100" s="215" t="s">
        <v>7</v>
      </c>
      <c r="X100" s="215" t="s">
        <v>7</v>
      </c>
      <c r="Y100" s="215"/>
      <c r="Z100" s="215"/>
      <c r="AA100" s="215" t="s">
        <v>127</v>
      </c>
      <c r="AB100" s="215" t="s">
        <v>360</v>
      </c>
      <c r="AC100" s="215">
        <v>50</v>
      </c>
      <c r="AD100" s="215" t="s">
        <v>233</v>
      </c>
      <c r="AE100" s="215">
        <v>1</v>
      </c>
      <c r="AF100" s="215"/>
    </row>
    <row r="101" spans="1:32" x14ac:dyDescent="0.3">
      <c r="A101" s="215" t="s">
        <v>351</v>
      </c>
      <c r="B101" s="215" t="s">
        <v>57</v>
      </c>
      <c r="C101" s="215" t="s">
        <v>117</v>
      </c>
      <c r="D101" s="215" t="s">
        <v>310</v>
      </c>
      <c r="E101" s="215" t="s">
        <v>856</v>
      </c>
      <c r="F101" s="15">
        <v>46244.43917824074</v>
      </c>
      <c r="G101" s="215" t="s">
        <v>419</v>
      </c>
      <c r="H101" s="215">
        <v>1</v>
      </c>
      <c r="I101" s="215" t="s">
        <v>857</v>
      </c>
      <c r="J101" s="15">
        <v>46245.671527777777</v>
      </c>
      <c r="K101" s="15">
        <v>46251.602083333331</v>
      </c>
      <c r="L101" s="15"/>
      <c r="M101" s="215">
        <v>1</v>
      </c>
      <c r="N101" s="215"/>
      <c r="O101" s="215" t="s">
        <v>529</v>
      </c>
      <c r="P101" s="215"/>
      <c r="Q101" s="215"/>
      <c r="R101" s="215"/>
      <c r="S101" s="215" t="s">
        <v>360</v>
      </c>
      <c r="T101" s="215" t="s">
        <v>378</v>
      </c>
      <c r="U101" s="215" t="s">
        <v>239</v>
      </c>
      <c r="V101" s="215" t="s">
        <v>7</v>
      </c>
      <c r="W101" s="215" t="s">
        <v>7</v>
      </c>
      <c r="X101" s="215" t="s">
        <v>7</v>
      </c>
      <c r="Y101" s="215"/>
      <c r="Z101" s="215"/>
      <c r="AA101" s="215" t="s">
        <v>127</v>
      </c>
      <c r="AB101" s="215" t="s">
        <v>360</v>
      </c>
      <c r="AC101" s="215">
        <v>50</v>
      </c>
      <c r="AD101" s="215" t="s">
        <v>233</v>
      </c>
      <c r="AE101" s="215">
        <v>1</v>
      </c>
      <c r="AF101" s="215"/>
    </row>
    <row r="102" spans="1:32" x14ac:dyDescent="0.3">
      <c r="A102" s="215" t="s">
        <v>351</v>
      </c>
      <c r="B102" s="215" t="s">
        <v>57</v>
      </c>
      <c r="C102" s="215" t="s">
        <v>117</v>
      </c>
      <c r="D102" s="215" t="s">
        <v>310</v>
      </c>
      <c r="E102" s="215" t="s">
        <v>856</v>
      </c>
      <c r="F102" s="15">
        <v>46244.43917824074</v>
      </c>
      <c r="G102" s="215" t="s">
        <v>419</v>
      </c>
      <c r="H102" s="215">
        <v>3</v>
      </c>
      <c r="I102" s="215" t="s">
        <v>857</v>
      </c>
      <c r="J102" s="15">
        <v>46245.671527777777</v>
      </c>
      <c r="K102" s="15">
        <v>46251.602083333331</v>
      </c>
      <c r="L102" s="15"/>
      <c r="M102" s="215">
        <v>3</v>
      </c>
      <c r="N102" s="215"/>
      <c r="O102" s="215" t="s">
        <v>529</v>
      </c>
      <c r="P102" s="215"/>
      <c r="Q102" s="215"/>
      <c r="R102" s="215"/>
      <c r="S102" s="215" t="s">
        <v>360</v>
      </c>
      <c r="T102" s="215" t="s">
        <v>378</v>
      </c>
      <c r="U102" s="215" t="s">
        <v>239</v>
      </c>
      <c r="V102" s="215" t="s">
        <v>7</v>
      </c>
      <c r="W102" s="215" t="s">
        <v>7</v>
      </c>
      <c r="X102" s="215" t="s">
        <v>7</v>
      </c>
      <c r="Y102" s="215"/>
      <c r="Z102" s="215"/>
      <c r="AA102" s="215" t="s">
        <v>127</v>
      </c>
      <c r="AB102" s="215" t="s">
        <v>360</v>
      </c>
      <c r="AC102" s="215">
        <v>50</v>
      </c>
      <c r="AD102" s="215" t="s">
        <v>233</v>
      </c>
      <c r="AE102" s="215">
        <v>1</v>
      </c>
      <c r="AF102" s="215"/>
    </row>
    <row r="103" spans="1:32" x14ac:dyDescent="0.3">
      <c r="A103" s="215" t="s">
        <v>351</v>
      </c>
      <c r="B103" s="215" t="s">
        <v>57</v>
      </c>
      <c r="C103" s="215" t="s">
        <v>117</v>
      </c>
      <c r="D103" s="215" t="s">
        <v>310</v>
      </c>
      <c r="E103" s="215" t="s">
        <v>856</v>
      </c>
      <c r="F103" s="15">
        <v>46244.43917824074</v>
      </c>
      <c r="G103" s="215" t="s">
        <v>419</v>
      </c>
      <c r="H103" s="215">
        <v>4</v>
      </c>
      <c r="I103" s="215" t="s">
        <v>857</v>
      </c>
      <c r="J103" s="15">
        <v>46245.671527777777</v>
      </c>
      <c r="K103" s="15">
        <v>46251.602083333331</v>
      </c>
      <c r="L103" s="15"/>
      <c r="M103" s="215">
        <v>4</v>
      </c>
      <c r="N103" s="215"/>
      <c r="O103" s="215" t="s">
        <v>529</v>
      </c>
      <c r="P103" s="215"/>
      <c r="Q103" s="215"/>
      <c r="R103" s="215"/>
      <c r="S103" s="215" t="s">
        <v>360</v>
      </c>
      <c r="T103" s="215" t="s">
        <v>378</v>
      </c>
      <c r="U103" s="215" t="s">
        <v>239</v>
      </c>
      <c r="V103" s="215" t="s">
        <v>7</v>
      </c>
      <c r="W103" s="215" t="s">
        <v>7</v>
      </c>
      <c r="X103" s="215" t="s">
        <v>7</v>
      </c>
      <c r="Y103" s="215"/>
      <c r="Z103" s="215"/>
      <c r="AA103" s="215" t="s">
        <v>127</v>
      </c>
      <c r="AB103" s="215" t="s">
        <v>360</v>
      </c>
      <c r="AC103" s="215">
        <v>50</v>
      </c>
      <c r="AD103" s="215" t="s">
        <v>233</v>
      </c>
      <c r="AE103" s="215">
        <v>1</v>
      </c>
      <c r="AF103" s="215"/>
    </row>
    <row r="104" spans="1:32" x14ac:dyDescent="0.3">
      <c r="A104" s="215" t="s">
        <v>351</v>
      </c>
      <c r="B104" s="215" t="s">
        <v>57</v>
      </c>
      <c r="C104" s="215" t="s">
        <v>117</v>
      </c>
      <c r="D104" s="215" t="s">
        <v>310</v>
      </c>
      <c r="E104" s="215" t="s">
        <v>856</v>
      </c>
      <c r="F104" s="15">
        <v>46244.43917824074</v>
      </c>
      <c r="G104" s="215" t="s">
        <v>419</v>
      </c>
      <c r="H104" s="215">
        <v>2</v>
      </c>
      <c r="I104" s="215" t="s">
        <v>857</v>
      </c>
      <c r="J104" s="15">
        <v>46245.671527777777</v>
      </c>
      <c r="K104" s="15">
        <v>46251.602083333331</v>
      </c>
      <c r="L104" s="15"/>
      <c r="M104" s="215">
        <v>2</v>
      </c>
      <c r="N104" s="215"/>
      <c r="O104" s="215" t="s">
        <v>529</v>
      </c>
      <c r="P104" s="215"/>
      <c r="Q104" s="215"/>
      <c r="R104" s="215"/>
      <c r="S104" s="215" t="s">
        <v>360</v>
      </c>
      <c r="T104" s="215" t="s">
        <v>378</v>
      </c>
      <c r="U104" s="215" t="s">
        <v>239</v>
      </c>
      <c r="V104" s="215" t="s">
        <v>7</v>
      </c>
      <c r="W104" s="215" t="s">
        <v>7</v>
      </c>
      <c r="X104" s="215" t="s">
        <v>7</v>
      </c>
      <c r="Y104" s="215"/>
      <c r="Z104" s="215"/>
      <c r="AA104" s="215" t="s">
        <v>127</v>
      </c>
      <c r="AB104" s="215" t="s">
        <v>360</v>
      </c>
      <c r="AC104" s="215">
        <v>50</v>
      </c>
      <c r="AD104" s="215" t="s">
        <v>233</v>
      </c>
      <c r="AE104" s="215">
        <v>1</v>
      </c>
      <c r="AF104" s="215"/>
    </row>
    <row r="105" spans="1:32" x14ac:dyDescent="0.3">
      <c r="A105" s="215" t="s">
        <v>351</v>
      </c>
      <c r="B105" s="215" t="s">
        <v>57</v>
      </c>
      <c r="C105" s="215" t="s">
        <v>117</v>
      </c>
      <c r="D105" s="215" t="s">
        <v>310</v>
      </c>
      <c r="E105" s="215" t="s">
        <v>856</v>
      </c>
      <c r="F105" s="15">
        <v>46244.43917824074</v>
      </c>
      <c r="G105" s="215" t="s">
        <v>419</v>
      </c>
      <c r="H105" s="215">
        <v>2</v>
      </c>
      <c r="I105" s="215" t="s">
        <v>857</v>
      </c>
      <c r="J105" s="15">
        <v>46245.671527777777</v>
      </c>
      <c r="K105" s="15">
        <v>46251.602083333331</v>
      </c>
      <c r="L105" s="15"/>
      <c r="M105" s="215">
        <v>2</v>
      </c>
      <c r="N105" s="215"/>
      <c r="O105" s="215" t="s">
        <v>529</v>
      </c>
      <c r="P105" s="215"/>
      <c r="Q105" s="215"/>
      <c r="R105" s="215"/>
      <c r="S105" s="215" t="s">
        <v>360</v>
      </c>
      <c r="T105" s="215" t="s">
        <v>378</v>
      </c>
      <c r="U105" s="215" t="s">
        <v>239</v>
      </c>
      <c r="V105" s="215" t="s">
        <v>7</v>
      </c>
      <c r="W105" s="215" t="s">
        <v>7</v>
      </c>
      <c r="X105" s="215" t="s">
        <v>7</v>
      </c>
      <c r="Y105" s="215"/>
      <c r="Z105" s="215"/>
      <c r="AA105" s="215" t="s">
        <v>127</v>
      </c>
      <c r="AB105" s="215" t="s">
        <v>360</v>
      </c>
      <c r="AC105" s="215">
        <v>50</v>
      </c>
      <c r="AD105" s="215" t="s">
        <v>233</v>
      </c>
      <c r="AE105" s="215">
        <v>1</v>
      </c>
      <c r="AF105" s="215"/>
    </row>
    <row r="106" spans="1:32" x14ac:dyDescent="0.3">
      <c r="A106" s="215" t="s">
        <v>351</v>
      </c>
      <c r="B106" s="215" t="s">
        <v>57</v>
      </c>
      <c r="C106" s="215" t="s">
        <v>117</v>
      </c>
      <c r="D106" s="215" t="s">
        <v>310</v>
      </c>
      <c r="E106" s="215" t="s">
        <v>856</v>
      </c>
      <c r="F106" s="15">
        <v>46244.43917824074</v>
      </c>
      <c r="G106" s="215" t="s">
        <v>419</v>
      </c>
      <c r="H106" s="215">
        <v>2</v>
      </c>
      <c r="I106" s="215" t="s">
        <v>857</v>
      </c>
      <c r="J106" s="15">
        <v>46245.671527777777</v>
      </c>
      <c r="K106" s="15">
        <v>46251.602083333331</v>
      </c>
      <c r="L106" s="15"/>
      <c r="M106" s="215">
        <v>2</v>
      </c>
      <c r="N106" s="215"/>
      <c r="O106" s="215" t="s">
        <v>529</v>
      </c>
      <c r="P106" s="215"/>
      <c r="Q106" s="215"/>
      <c r="R106" s="215"/>
      <c r="S106" s="215" t="s">
        <v>360</v>
      </c>
      <c r="T106" s="215" t="s">
        <v>378</v>
      </c>
      <c r="U106" s="215" t="s">
        <v>239</v>
      </c>
      <c r="V106" s="215" t="s">
        <v>7</v>
      </c>
      <c r="W106" s="215" t="s">
        <v>7</v>
      </c>
      <c r="X106" s="215" t="s">
        <v>7</v>
      </c>
      <c r="Y106" s="215"/>
      <c r="Z106" s="215"/>
      <c r="AA106" s="215" t="s">
        <v>127</v>
      </c>
      <c r="AB106" s="215" t="s">
        <v>360</v>
      </c>
      <c r="AC106" s="215">
        <v>50</v>
      </c>
      <c r="AD106" s="215" t="s">
        <v>233</v>
      </c>
      <c r="AE106" s="215">
        <v>1</v>
      </c>
      <c r="AF106" s="215"/>
    </row>
    <row r="107" spans="1:32" x14ac:dyDescent="0.3">
      <c r="A107" s="215" t="s">
        <v>351</v>
      </c>
      <c r="B107" s="215" t="s">
        <v>279</v>
      </c>
      <c r="C107" s="215" t="s">
        <v>192</v>
      </c>
      <c r="D107" s="215" t="s">
        <v>310</v>
      </c>
      <c r="E107" s="215" t="s">
        <v>856</v>
      </c>
      <c r="F107" s="15">
        <v>46244.43917824074</v>
      </c>
      <c r="G107" s="215" t="s">
        <v>419</v>
      </c>
      <c r="H107" s="215">
        <v>1096</v>
      </c>
      <c r="I107" s="215" t="s">
        <v>857</v>
      </c>
      <c r="J107" s="15">
        <v>46245.671527777777</v>
      </c>
      <c r="K107" s="15">
        <v>46251.602083333331</v>
      </c>
      <c r="L107" s="15"/>
      <c r="M107" s="215">
        <v>1096</v>
      </c>
      <c r="N107" s="215"/>
      <c r="O107" s="215" t="s">
        <v>201</v>
      </c>
      <c r="P107" s="215" t="s">
        <v>531</v>
      </c>
      <c r="Q107" s="215"/>
      <c r="R107" s="215"/>
      <c r="S107" s="215" t="s">
        <v>360</v>
      </c>
      <c r="T107" s="215" t="s">
        <v>378</v>
      </c>
      <c r="U107" s="215" t="s">
        <v>239</v>
      </c>
      <c r="V107" s="215" t="s">
        <v>7</v>
      </c>
      <c r="W107" s="215" t="s">
        <v>7</v>
      </c>
      <c r="X107" s="215" t="s">
        <v>7</v>
      </c>
      <c r="Y107" s="215"/>
      <c r="Z107" s="215">
        <v>1</v>
      </c>
      <c r="AA107" s="215" t="s">
        <v>122</v>
      </c>
      <c r="AB107" s="215" t="s">
        <v>360</v>
      </c>
      <c r="AC107" s="215">
        <v>50</v>
      </c>
      <c r="AD107" s="215" t="s">
        <v>232</v>
      </c>
      <c r="AE107" s="215">
        <v>1096</v>
      </c>
      <c r="AF107" s="215"/>
    </row>
    <row r="108" spans="1:32" x14ac:dyDescent="0.3">
      <c r="A108" s="215" t="s">
        <v>351</v>
      </c>
      <c r="B108" s="215" t="s">
        <v>279</v>
      </c>
      <c r="C108" s="215" t="s">
        <v>192</v>
      </c>
      <c r="D108" s="215" t="s">
        <v>310</v>
      </c>
      <c r="E108" s="215" t="s">
        <v>856</v>
      </c>
      <c r="F108" s="15">
        <v>46244.43917824074</v>
      </c>
      <c r="G108" s="215" t="s">
        <v>419</v>
      </c>
      <c r="H108" s="215">
        <v>2343</v>
      </c>
      <c r="I108" s="215" t="s">
        <v>857</v>
      </c>
      <c r="J108" s="15">
        <v>46245.671527777777</v>
      </c>
      <c r="K108" s="15">
        <v>46251.602083333331</v>
      </c>
      <c r="L108" s="15"/>
      <c r="M108" s="215">
        <v>2343</v>
      </c>
      <c r="N108" s="215"/>
      <c r="O108" s="215" t="s">
        <v>529</v>
      </c>
      <c r="P108" s="215"/>
      <c r="Q108" s="215"/>
      <c r="R108" s="215"/>
      <c r="S108" s="215" t="s">
        <v>360</v>
      </c>
      <c r="T108" s="215" t="s">
        <v>378</v>
      </c>
      <c r="U108" s="215" t="s">
        <v>239</v>
      </c>
      <c r="V108" s="215" t="s">
        <v>7</v>
      </c>
      <c r="W108" s="215" t="s">
        <v>7</v>
      </c>
      <c r="X108" s="215" t="s">
        <v>7</v>
      </c>
      <c r="Y108" s="215"/>
      <c r="Z108" s="215">
        <v>1</v>
      </c>
      <c r="AA108" s="215" t="s">
        <v>122</v>
      </c>
      <c r="AB108" s="215" t="s">
        <v>360</v>
      </c>
      <c r="AC108" s="215">
        <v>50</v>
      </c>
      <c r="AD108" s="215" t="s">
        <v>232</v>
      </c>
      <c r="AE108" s="215">
        <v>2343</v>
      </c>
      <c r="AF108" s="215"/>
    </row>
    <row r="109" spans="1:32" x14ac:dyDescent="0.3">
      <c r="A109" s="215" t="s">
        <v>351</v>
      </c>
      <c r="B109" s="215" t="s">
        <v>279</v>
      </c>
      <c r="C109" s="215" t="s">
        <v>192</v>
      </c>
      <c r="D109" s="215" t="s">
        <v>310</v>
      </c>
      <c r="E109" s="215" t="s">
        <v>856</v>
      </c>
      <c r="F109" s="15">
        <v>46244.43917824074</v>
      </c>
      <c r="G109" s="215" t="s">
        <v>419</v>
      </c>
      <c r="H109" s="215">
        <v>2913</v>
      </c>
      <c r="I109" s="215" t="s">
        <v>857</v>
      </c>
      <c r="J109" s="15">
        <v>46245.671527777777</v>
      </c>
      <c r="K109" s="15">
        <v>46251.602083333331</v>
      </c>
      <c r="L109" s="15"/>
      <c r="M109" s="215">
        <v>2913</v>
      </c>
      <c r="N109" s="215"/>
      <c r="O109" s="215" t="s">
        <v>529</v>
      </c>
      <c r="P109" s="215"/>
      <c r="Q109" s="215"/>
      <c r="R109" s="215"/>
      <c r="S109" s="215" t="s">
        <v>360</v>
      </c>
      <c r="T109" s="215" t="s">
        <v>378</v>
      </c>
      <c r="U109" s="215" t="s">
        <v>239</v>
      </c>
      <c r="V109" s="215" t="s">
        <v>7</v>
      </c>
      <c r="W109" s="215" t="s">
        <v>7</v>
      </c>
      <c r="X109" s="215" t="s">
        <v>7</v>
      </c>
      <c r="Y109" s="215"/>
      <c r="Z109" s="215">
        <v>1</v>
      </c>
      <c r="AA109" s="215" t="s">
        <v>122</v>
      </c>
      <c r="AB109" s="215" t="s">
        <v>360</v>
      </c>
      <c r="AC109" s="215">
        <v>50</v>
      </c>
      <c r="AD109" s="215" t="s">
        <v>232</v>
      </c>
      <c r="AE109" s="215">
        <v>2913</v>
      </c>
      <c r="AF109" s="215"/>
    </row>
    <row r="110" spans="1:32" x14ac:dyDescent="0.3">
      <c r="A110" s="215" t="s">
        <v>351</v>
      </c>
      <c r="B110" s="215" t="s">
        <v>57</v>
      </c>
      <c r="C110" s="215" t="s">
        <v>117</v>
      </c>
      <c r="D110" s="215" t="s">
        <v>310</v>
      </c>
      <c r="E110" s="215" t="s">
        <v>858</v>
      </c>
      <c r="F110" s="15">
        <v>46244.468541666669</v>
      </c>
      <c r="G110" s="215" t="s">
        <v>409</v>
      </c>
      <c r="H110" s="215">
        <v>1</v>
      </c>
      <c r="I110" s="215" t="s">
        <v>859</v>
      </c>
      <c r="J110" s="15">
        <v>46244.694444444445</v>
      </c>
      <c r="K110" s="15">
        <v>46248.702777777777</v>
      </c>
      <c r="L110" s="15"/>
      <c r="M110" s="215">
        <v>1</v>
      </c>
      <c r="N110" s="215"/>
      <c r="O110" s="215" t="s">
        <v>201</v>
      </c>
      <c r="P110" s="215" t="s">
        <v>532</v>
      </c>
      <c r="Q110" s="215"/>
      <c r="R110" s="215"/>
      <c r="S110" s="215" t="s">
        <v>360</v>
      </c>
      <c r="T110" s="215" t="s">
        <v>378</v>
      </c>
      <c r="U110" s="215" t="s">
        <v>239</v>
      </c>
      <c r="V110" s="215" t="s">
        <v>7</v>
      </c>
      <c r="W110" s="215" t="s">
        <v>7</v>
      </c>
      <c r="X110" s="215" t="s">
        <v>7</v>
      </c>
      <c r="Y110" s="215"/>
      <c r="Z110" s="215"/>
      <c r="AA110" s="215" t="s">
        <v>127</v>
      </c>
      <c r="AB110" s="215" t="s">
        <v>360</v>
      </c>
      <c r="AC110" s="215">
        <v>50</v>
      </c>
      <c r="AD110" s="215" t="s">
        <v>233</v>
      </c>
      <c r="AE110" s="215">
        <v>1</v>
      </c>
      <c r="AF110" s="215">
        <v>58.2</v>
      </c>
    </row>
    <row r="111" spans="1:32" x14ac:dyDescent="0.3">
      <c r="A111" s="215" t="s">
        <v>351</v>
      </c>
      <c r="B111" s="215" t="s">
        <v>57</v>
      </c>
      <c r="C111" s="215" t="s">
        <v>117</v>
      </c>
      <c r="D111" s="215" t="s">
        <v>310</v>
      </c>
      <c r="E111" s="215" t="s">
        <v>860</v>
      </c>
      <c r="F111" s="15">
        <v>46244.466851851852</v>
      </c>
      <c r="G111" s="215" t="s">
        <v>409</v>
      </c>
      <c r="H111" s="215">
        <v>1</v>
      </c>
      <c r="I111" s="215" t="s">
        <v>861</v>
      </c>
      <c r="J111" s="15">
        <v>46247.593055555553</v>
      </c>
      <c r="K111" s="15">
        <v>46252.873611111114</v>
      </c>
      <c r="L111" s="15"/>
      <c r="M111" s="215">
        <v>1</v>
      </c>
      <c r="N111" s="215"/>
      <c r="O111" s="215" t="s">
        <v>201</v>
      </c>
      <c r="P111" s="215" t="s">
        <v>532</v>
      </c>
      <c r="Q111" s="215"/>
      <c r="R111" s="215"/>
      <c r="S111" s="215" t="s">
        <v>360</v>
      </c>
      <c r="T111" s="215" t="s">
        <v>378</v>
      </c>
      <c r="U111" s="215" t="s">
        <v>239</v>
      </c>
      <c r="V111" s="215" t="s">
        <v>7</v>
      </c>
      <c r="W111" s="215" t="s">
        <v>7</v>
      </c>
      <c r="X111" s="215" t="s">
        <v>7</v>
      </c>
      <c r="Y111" s="215"/>
      <c r="Z111" s="215"/>
      <c r="AA111" s="215" t="s">
        <v>127</v>
      </c>
      <c r="AB111" s="215" t="s">
        <v>360</v>
      </c>
      <c r="AC111" s="215">
        <v>50</v>
      </c>
      <c r="AD111" s="215" t="s">
        <v>233</v>
      </c>
      <c r="AE111" s="215">
        <v>1</v>
      </c>
      <c r="AF111" s="215">
        <v>15.8</v>
      </c>
    </row>
    <row r="112" spans="1:32" x14ac:dyDescent="0.3">
      <c r="A112" s="215" t="s">
        <v>351</v>
      </c>
      <c r="B112" s="215" t="s">
        <v>57</v>
      </c>
      <c r="C112" s="215" t="s">
        <v>117</v>
      </c>
      <c r="D112" s="215" t="s">
        <v>310</v>
      </c>
      <c r="E112" s="215" t="s">
        <v>904</v>
      </c>
      <c r="F112" s="15">
        <v>46241.40283564815</v>
      </c>
      <c r="G112" s="215" t="s">
        <v>905</v>
      </c>
      <c r="H112" s="215">
        <v>1</v>
      </c>
      <c r="I112" s="215" t="s">
        <v>906</v>
      </c>
      <c r="J112" s="15">
        <v>46241.429861111108</v>
      </c>
      <c r="K112" s="15">
        <v>46246.593055555553</v>
      </c>
      <c r="L112" s="15"/>
      <c r="M112" s="215">
        <v>1</v>
      </c>
      <c r="N112" s="215"/>
      <c r="O112" s="215" t="s">
        <v>201</v>
      </c>
      <c r="P112" s="215" t="s">
        <v>532</v>
      </c>
      <c r="Q112" s="215"/>
      <c r="R112" s="215"/>
      <c r="S112" s="215" t="s">
        <v>362</v>
      </c>
      <c r="T112" s="215" t="s">
        <v>378</v>
      </c>
      <c r="U112" s="215" t="s">
        <v>239</v>
      </c>
      <c r="V112" s="215" t="s">
        <v>7</v>
      </c>
      <c r="W112" s="215" t="s">
        <v>7</v>
      </c>
      <c r="X112" s="215" t="s">
        <v>7</v>
      </c>
      <c r="Y112" s="215"/>
      <c r="Z112" s="215"/>
      <c r="AA112" s="215" t="s">
        <v>127</v>
      </c>
      <c r="AB112" s="215" t="s">
        <v>362</v>
      </c>
      <c r="AC112" s="215">
        <v>109</v>
      </c>
      <c r="AD112" s="215" t="s">
        <v>233</v>
      </c>
      <c r="AE112" s="215">
        <v>1</v>
      </c>
      <c r="AF112" s="215">
        <v>74.3</v>
      </c>
    </row>
    <row r="113" spans="1:32" x14ac:dyDescent="0.3">
      <c r="A113" s="215" t="s">
        <v>351</v>
      </c>
      <c r="B113" s="215" t="s">
        <v>57</v>
      </c>
      <c r="C113" s="215" t="s">
        <v>117</v>
      </c>
      <c r="D113" s="215" t="s">
        <v>310</v>
      </c>
      <c r="E113" s="215" t="s">
        <v>437</v>
      </c>
      <c r="F113" s="15">
        <v>46202.512337962966</v>
      </c>
      <c r="G113" s="215" t="s">
        <v>436</v>
      </c>
      <c r="H113" s="215">
        <v>2</v>
      </c>
      <c r="I113" s="215" t="s">
        <v>1041</v>
      </c>
      <c r="J113" s="15">
        <v>46241.424259259256</v>
      </c>
      <c r="K113" s="15">
        <v>46248.483460648145</v>
      </c>
      <c r="L113" s="15"/>
      <c r="M113" s="215">
        <v>2</v>
      </c>
      <c r="N113" s="215"/>
      <c r="O113" s="215" t="s">
        <v>201</v>
      </c>
      <c r="P113" s="215" t="s">
        <v>532</v>
      </c>
      <c r="Q113" s="215"/>
      <c r="R113" s="215"/>
      <c r="S113" s="215" t="s">
        <v>362</v>
      </c>
      <c r="T113" s="215" t="s">
        <v>378</v>
      </c>
      <c r="U113" s="215" t="s">
        <v>239</v>
      </c>
      <c r="V113" s="215" t="s">
        <v>7</v>
      </c>
      <c r="W113" s="215" t="s">
        <v>7</v>
      </c>
      <c r="X113" s="215" t="s">
        <v>7</v>
      </c>
      <c r="Y113" s="215"/>
      <c r="Z113" s="215"/>
      <c r="AA113" s="215" t="s">
        <v>127</v>
      </c>
      <c r="AB113" s="215" t="s">
        <v>362</v>
      </c>
      <c r="AC113" s="215">
        <v>109</v>
      </c>
      <c r="AD113" s="215" t="s">
        <v>233</v>
      </c>
      <c r="AE113" s="215">
        <v>1</v>
      </c>
      <c r="AF113" s="215">
        <v>64.400000000000006</v>
      </c>
    </row>
    <row r="114" spans="1:32" x14ac:dyDescent="0.3">
      <c r="A114" s="215" t="s">
        <v>351</v>
      </c>
      <c r="B114" s="215" t="s">
        <v>57</v>
      </c>
      <c r="C114" s="215" t="s">
        <v>117</v>
      </c>
      <c r="D114" s="215" t="s">
        <v>310</v>
      </c>
      <c r="E114" s="215" t="s">
        <v>907</v>
      </c>
      <c r="F114" s="15">
        <v>46230.40084490741</v>
      </c>
      <c r="G114" s="215" t="s">
        <v>424</v>
      </c>
      <c r="H114" s="215">
        <v>6</v>
      </c>
      <c r="I114" s="215" t="s">
        <v>908</v>
      </c>
      <c r="J114" s="15">
        <v>46233.454386574071</v>
      </c>
      <c r="K114" s="15">
        <v>46238.481249999997</v>
      </c>
      <c r="L114" s="15"/>
      <c r="M114" s="215">
        <v>6</v>
      </c>
      <c r="N114" s="215"/>
      <c r="O114" s="215" t="s">
        <v>201</v>
      </c>
      <c r="P114" s="215" t="s">
        <v>532</v>
      </c>
      <c r="Q114" s="215"/>
      <c r="R114" s="215"/>
      <c r="S114" s="215" t="s">
        <v>362</v>
      </c>
      <c r="T114" s="215" t="s">
        <v>378</v>
      </c>
      <c r="U114" s="215" t="s">
        <v>239</v>
      </c>
      <c r="V114" s="215" t="s">
        <v>7</v>
      </c>
      <c r="W114" s="215" t="s">
        <v>7</v>
      </c>
      <c r="X114" s="215" t="s">
        <v>7</v>
      </c>
      <c r="Y114" s="215"/>
      <c r="Z114" s="215"/>
      <c r="AA114" s="215" t="s">
        <v>127</v>
      </c>
      <c r="AB114" s="215" t="s">
        <v>362</v>
      </c>
      <c r="AC114" s="215">
        <v>109</v>
      </c>
      <c r="AD114" s="215" t="s">
        <v>233</v>
      </c>
      <c r="AE114" s="215">
        <v>1</v>
      </c>
      <c r="AF114" s="215">
        <v>1586.5</v>
      </c>
    </row>
    <row r="115" spans="1:32" x14ac:dyDescent="0.3">
      <c r="A115" s="215" t="s">
        <v>351</v>
      </c>
      <c r="B115" s="215" t="s">
        <v>57</v>
      </c>
      <c r="C115" s="215" t="s">
        <v>117</v>
      </c>
      <c r="D115" s="215" t="s">
        <v>310</v>
      </c>
      <c r="E115" s="215" t="s">
        <v>907</v>
      </c>
      <c r="F115" s="15">
        <v>46230.40084490741</v>
      </c>
      <c r="G115" s="215" t="s">
        <v>424</v>
      </c>
      <c r="H115" s="215">
        <v>4</v>
      </c>
      <c r="I115" s="215" t="s">
        <v>908</v>
      </c>
      <c r="J115" s="15">
        <v>46233.454386574071</v>
      </c>
      <c r="K115" s="15">
        <v>46238.481249999997</v>
      </c>
      <c r="L115" s="15"/>
      <c r="M115" s="215">
        <v>4</v>
      </c>
      <c r="N115" s="215"/>
      <c r="O115" s="215" t="s">
        <v>529</v>
      </c>
      <c r="P115" s="215"/>
      <c r="Q115" s="215"/>
      <c r="R115" s="215"/>
      <c r="S115" s="215" t="s">
        <v>362</v>
      </c>
      <c r="T115" s="215" t="s">
        <v>378</v>
      </c>
      <c r="U115" s="215" t="s">
        <v>239</v>
      </c>
      <c r="V115" s="215" t="s">
        <v>7</v>
      </c>
      <c r="W115" s="215" t="s">
        <v>7</v>
      </c>
      <c r="X115" s="215" t="s">
        <v>7</v>
      </c>
      <c r="Y115" s="215"/>
      <c r="Z115" s="215"/>
      <c r="AA115" s="215" t="s">
        <v>127</v>
      </c>
      <c r="AB115" s="215" t="s">
        <v>362</v>
      </c>
      <c r="AC115" s="215">
        <v>109</v>
      </c>
      <c r="AD115" s="215" t="s">
        <v>233</v>
      </c>
      <c r="AE115" s="215">
        <v>1</v>
      </c>
      <c r="AF115" s="215"/>
    </row>
    <row r="116" spans="1:32" x14ac:dyDescent="0.3">
      <c r="A116" s="215" t="s">
        <v>351</v>
      </c>
      <c r="B116" s="215" t="s">
        <v>57</v>
      </c>
      <c r="C116" s="215" t="s">
        <v>117</v>
      </c>
      <c r="D116" s="215" t="s">
        <v>310</v>
      </c>
      <c r="E116" s="215" t="s">
        <v>907</v>
      </c>
      <c r="F116" s="15">
        <v>46230.40084490741</v>
      </c>
      <c r="G116" s="215" t="s">
        <v>424</v>
      </c>
      <c r="H116" s="215">
        <v>5</v>
      </c>
      <c r="I116" s="215" t="s">
        <v>908</v>
      </c>
      <c r="J116" s="15">
        <v>46233.454386574071</v>
      </c>
      <c r="K116" s="15">
        <v>46238.481249999997</v>
      </c>
      <c r="L116" s="15"/>
      <c r="M116" s="215">
        <v>5</v>
      </c>
      <c r="N116" s="215"/>
      <c r="O116" s="215" t="s">
        <v>529</v>
      </c>
      <c r="P116" s="215"/>
      <c r="Q116" s="215"/>
      <c r="R116" s="215"/>
      <c r="S116" s="215" t="s">
        <v>362</v>
      </c>
      <c r="T116" s="215" t="s">
        <v>378</v>
      </c>
      <c r="U116" s="215" t="s">
        <v>239</v>
      </c>
      <c r="V116" s="215" t="s">
        <v>7</v>
      </c>
      <c r="W116" s="215" t="s">
        <v>7</v>
      </c>
      <c r="X116" s="215" t="s">
        <v>7</v>
      </c>
      <c r="Y116" s="215"/>
      <c r="Z116" s="215"/>
      <c r="AA116" s="215" t="s">
        <v>127</v>
      </c>
      <c r="AB116" s="215" t="s">
        <v>362</v>
      </c>
      <c r="AC116" s="215">
        <v>109</v>
      </c>
      <c r="AD116" s="215" t="s">
        <v>233</v>
      </c>
      <c r="AE116" s="215">
        <v>1</v>
      </c>
      <c r="AF116" s="215"/>
    </row>
    <row r="117" spans="1:32" x14ac:dyDescent="0.3">
      <c r="A117" s="215" t="s">
        <v>351</v>
      </c>
      <c r="B117" s="215" t="s">
        <v>57</v>
      </c>
      <c r="C117" s="215" t="s">
        <v>117</v>
      </c>
      <c r="D117" s="215" t="s">
        <v>310</v>
      </c>
      <c r="E117" s="215" t="s">
        <v>907</v>
      </c>
      <c r="F117" s="15">
        <v>46230.40084490741</v>
      </c>
      <c r="G117" s="215" t="s">
        <v>424</v>
      </c>
      <c r="H117" s="215">
        <v>6</v>
      </c>
      <c r="I117" s="215" t="s">
        <v>908</v>
      </c>
      <c r="J117" s="15">
        <v>46233.454386574071</v>
      </c>
      <c r="K117" s="15">
        <v>46238.481249999997</v>
      </c>
      <c r="L117" s="15"/>
      <c r="M117" s="215">
        <v>6</v>
      </c>
      <c r="N117" s="215"/>
      <c r="O117" s="215" t="s">
        <v>529</v>
      </c>
      <c r="P117" s="215"/>
      <c r="Q117" s="215"/>
      <c r="R117" s="215"/>
      <c r="S117" s="215" t="s">
        <v>362</v>
      </c>
      <c r="T117" s="215" t="s">
        <v>378</v>
      </c>
      <c r="U117" s="215" t="s">
        <v>239</v>
      </c>
      <c r="V117" s="215" t="s">
        <v>7</v>
      </c>
      <c r="W117" s="215" t="s">
        <v>7</v>
      </c>
      <c r="X117" s="215" t="s">
        <v>7</v>
      </c>
      <c r="Y117" s="215"/>
      <c r="Z117" s="215"/>
      <c r="AA117" s="215" t="s">
        <v>127</v>
      </c>
      <c r="AB117" s="215" t="s">
        <v>362</v>
      </c>
      <c r="AC117" s="215">
        <v>109</v>
      </c>
      <c r="AD117" s="215" t="s">
        <v>233</v>
      </c>
      <c r="AE117" s="215">
        <v>1</v>
      </c>
      <c r="AF117" s="215"/>
    </row>
    <row r="118" spans="1:32" x14ac:dyDescent="0.3">
      <c r="A118" s="215" t="s">
        <v>351</v>
      </c>
      <c r="B118" s="215" t="s">
        <v>57</v>
      </c>
      <c r="C118" s="215" t="s">
        <v>117</v>
      </c>
      <c r="D118" s="215" t="s">
        <v>310</v>
      </c>
      <c r="E118" s="215" t="s">
        <v>907</v>
      </c>
      <c r="F118" s="15">
        <v>46230.40084490741</v>
      </c>
      <c r="G118" s="215" t="s">
        <v>424</v>
      </c>
      <c r="H118" s="215">
        <v>4</v>
      </c>
      <c r="I118" s="215" t="s">
        <v>908</v>
      </c>
      <c r="J118" s="15">
        <v>46233.454386574071</v>
      </c>
      <c r="K118" s="15">
        <v>46238.481249999997</v>
      </c>
      <c r="L118" s="15"/>
      <c r="M118" s="215">
        <v>4</v>
      </c>
      <c r="N118" s="215"/>
      <c r="O118" s="215" t="s">
        <v>529</v>
      </c>
      <c r="P118" s="215"/>
      <c r="Q118" s="215"/>
      <c r="R118" s="215"/>
      <c r="S118" s="215" t="s">
        <v>362</v>
      </c>
      <c r="T118" s="215" t="s">
        <v>378</v>
      </c>
      <c r="U118" s="215" t="s">
        <v>239</v>
      </c>
      <c r="V118" s="215" t="s">
        <v>7</v>
      </c>
      <c r="W118" s="215" t="s">
        <v>7</v>
      </c>
      <c r="X118" s="215" t="s">
        <v>7</v>
      </c>
      <c r="Y118" s="215"/>
      <c r="Z118" s="215"/>
      <c r="AA118" s="215" t="s">
        <v>127</v>
      </c>
      <c r="AB118" s="215" t="s">
        <v>362</v>
      </c>
      <c r="AC118" s="215">
        <v>109</v>
      </c>
      <c r="AD118" s="215" t="s">
        <v>233</v>
      </c>
      <c r="AE118" s="215">
        <v>1</v>
      </c>
      <c r="AF118" s="215"/>
    </row>
    <row r="119" spans="1:32" x14ac:dyDescent="0.3">
      <c r="A119" s="215" t="s">
        <v>351</v>
      </c>
      <c r="B119" s="215" t="s">
        <v>57</v>
      </c>
      <c r="C119" s="215" t="s">
        <v>117</v>
      </c>
      <c r="D119" s="215" t="s">
        <v>310</v>
      </c>
      <c r="E119" s="215" t="s">
        <v>907</v>
      </c>
      <c r="F119" s="15">
        <v>46230.40084490741</v>
      </c>
      <c r="G119" s="215" t="s">
        <v>424</v>
      </c>
      <c r="H119" s="215">
        <v>5</v>
      </c>
      <c r="I119" s="215" t="s">
        <v>908</v>
      </c>
      <c r="J119" s="15">
        <v>46233.454386574071</v>
      </c>
      <c r="K119" s="15">
        <v>46238.481249999997</v>
      </c>
      <c r="L119" s="15"/>
      <c r="M119" s="215">
        <v>5</v>
      </c>
      <c r="N119" s="215"/>
      <c r="O119" s="215" t="s">
        <v>529</v>
      </c>
      <c r="P119" s="215"/>
      <c r="Q119" s="215"/>
      <c r="R119" s="215"/>
      <c r="S119" s="215" t="s">
        <v>362</v>
      </c>
      <c r="T119" s="215" t="s">
        <v>378</v>
      </c>
      <c r="U119" s="215" t="s">
        <v>239</v>
      </c>
      <c r="V119" s="215" t="s">
        <v>7</v>
      </c>
      <c r="W119" s="215" t="s">
        <v>7</v>
      </c>
      <c r="X119" s="215" t="s">
        <v>7</v>
      </c>
      <c r="Y119" s="215"/>
      <c r="Z119" s="215"/>
      <c r="AA119" s="215" t="s">
        <v>127</v>
      </c>
      <c r="AB119" s="215" t="s">
        <v>362</v>
      </c>
      <c r="AC119" s="215">
        <v>109</v>
      </c>
      <c r="AD119" s="215" t="s">
        <v>233</v>
      </c>
      <c r="AE119" s="215">
        <v>1</v>
      </c>
      <c r="AF119" s="215"/>
    </row>
    <row r="120" spans="1:32" x14ac:dyDescent="0.3">
      <c r="A120" s="215" t="s">
        <v>351</v>
      </c>
      <c r="B120" s="215" t="s">
        <v>57</v>
      </c>
      <c r="C120" s="215" t="s">
        <v>117</v>
      </c>
      <c r="D120" s="215" t="s">
        <v>310</v>
      </c>
      <c r="E120" s="215" t="s">
        <v>907</v>
      </c>
      <c r="F120" s="15">
        <v>46230.40084490741</v>
      </c>
      <c r="G120" s="215" t="s">
        <v>424</v>
      </c>
      <c r="H120" s="215">
        <v>6</v>
      </c>
      <c r="I120" s="215" t="s">
        <v>908</v>
      </c>
      <c r="J120" s="15">
        <v>46233.454386574071</v>
      </c>
      <c r="K120" s="15">
        <v>46238.481249999997</v>
      </c>
      <c r="L120" s="15"/>
      <c r="M120" s="215">
        <v>6</v>
      </c>
      <c r="N120" s="215"/>
      <c r="O120" s="215" t="s">
        <v>529</v>
      </c>
      <c r="P120" s="215"/>
      <c r="Q120" s="215"/>
      <c r="R120" s="215"/>
      <c r="S120" s="215" t="s">
        <v>362</v>
      </c>
      <c r="T120" s="215" t="s">
        <v>378</v>
      </c>
      <c r="U120" s="215" t="s">
        <v>239</v>
      </c>
      <c r="V120" s="215" t="s">
        <v>7</v>
      </c>
      <c r="W120" s="215" t="s">
        <v>7</v>
      </c>
      <c r="X120" s="215" t="s">
        <v>7</v>
      </c>
      <c r="Y120" s="215"/>
      <c r="Z120" s="215"/>
      <c r="AA120" s="215" t="s">
        <v>127</v>
      </c>
      <c r="AB120" s="215" t="s">
        <v>362</v>
      </c>
      <c r="AC120" s="215">
        <v>109</v>
      </c>
      <c r="AD120" s="215" t="s">
        <v>233</v>
      </c>
      <c r="AE120" s="215">
        <v>1</v>
      </c>
      <c r="AF120" s="215"/>
    </row>
    <row r="121" spans="1:32" x14ac:dyDescent="0.3">
      <c r="A121" s="215" t="s">
        <v>351</v>
      </c>
      <c r="B121" s="215" t="s">
        <v>57</v>
      </c>
      <c r="C121" s="215" t="s">
        <v>117</v>
      </c>
      <c r="D121" s="215" t="s">
        <v>310</v>
      </c>
      <c r="E121" s="215" t="s">
        <v>907</v>
      </c>
      <c r="F121" s="15">
        <v>46230.40084490741</v>
      </c>
      <c r="G121" s="215" t="s">
        <v>424</v>
      </c>
      <c r="H121" s="215">
        <v>6</v>
      </c>
      <c r="I121" s="215" t="s">
        <v>908</v>
      </c>
      <c r="J121" s="15">
        <v>46233.454386574071</v>
      </c>
      <c r="K121" s="15">
        <v>46238.481249999997</v>
      </c>
      <c r="L121" s="15"/>
      <c r="M121" s="215">
        <v>6</v>
      </c>
      <c r="N121" s="215"/>
      <c r="O121" s="215" t="s">
        <v>529</v>
      </c>
      <c r="P121" s="215"/>
      <c r="Q121" s="215"/>
      <c r="R121" s="215"/>
      <c r="S121" s="215" t="s">
        <v>362</v>
      </c>
      <c r="T121" s="215" t="s">
        <v>378</v>
      </c>
      <c r="U121" s="215" t="s">
        <v>239</v>
      </c>
      <c r="V121" s="215" t="s">
        <v>7</v>
      </c>
      <c r="W121" s="215" t="s">
        <v>7</v>
      </c>
      <c r="X121" s="215" t="s">
        <v>7</v>
      </c>
      <c r="Y121" s="215"/>
      <c r="Z121" s="215"/>
      <c r="AA121" s="215" t="s">
        <v>127</v>
      </c>
      <c r="AB121" s="215" t="s">
        <v>362</v>
      </c>
      <c r="AC121" s="215">
        <v>109</v>
      </c>
      <c r="AD121" s="215" t="s">
        <v>233</v>
      </c>
      <c r="AE121" s="215">
        <v>1</v>
      </c>
      <c r="AF121" s="215"/>
    </row>
    <row r="122" spans="1:32" x14ac:dyDescent="0.3">
      <c r="A122" s="215" t="s">
        <v>351</v>
      </c>
      <c r="B122" s="215" t="s">
        <v>57</v>
      </c>
      <c r="C122" s="215" t="s">
        <v>117</v>
      </c>
      <c r="D122" s="215" t="s">
        <v>310</v>
      </c>
      <c r="E122" s="215" t="s">
        <v>907</v>
      </c>
      <c r="F122" s="15">
        <v>46230.40084490741</v>
      </c>
      <c r="G122" s="215" t="s">
        <v>424</v>
      </c>
      <c r="H122" s="215">
        <v>3</v>
      </c>
      <c r="I122" s="215" t="s">
        <v>908</v>
      </c>
      <c r="J122" s="15">
        <v>46233.454386574071</v>
      </c>
      <c r="K122" s="15">
        <v>46238.481249999997</v>
      </c>
      <c r="L122" s="15"/>
      <c r="M122" s="215">
        <v>3</v>
      </c>
      <c r="N122" s="215"/>
      <c r="O122" s="215" t="s">
        <v>529</v>
      </c>
      <c r="P122" s="215"/>
      <c r="Q122" s="215"/>
      <c r="R122" s="215"/>
      <c r="S122" s="215" t="s">
        <v>362</v>
      </c>
      <c r="T122" s="215" t="s">
        <v>378</v>
      </c>
      <c r="U122" s="215" t="s">
        <v>239</v>
      </c>
      <c r="V122" s="215" t="s">
        <v>7</v>
      </c>
      <c r="W122" s="215" t="s">
        <v>7</v>
      </c>
      <c r="X122" s="215" t="s">
        <v>7</v>
      </c>
      <c r="Y122" s="215"/>
      <c r="Z122" s="215"/>
      <c r="AA122" s="215" t="s">
        <v>127</v>
      </c>
      <c r="AB122" s="215" t="s">
        <v>362</v>
      </c>
      <c r="AC122" s="215">
        <v>109</v>
      </c>
      <c r="AD122" s="215" t="s">
        <v>233</v>
      </c>
      <c r="AE122" s="215">
        <v>1</v>
      </c>
      <c r="AF122" s="215"/>
    </row>
    <row r="123" spans="1:32" x14ac:dyDescent="0.3">
      <c r="A123" s="215" t="s">
        <v>351</v>
      </c>
      <c r="B123" s="215" t="s">
        <v>57</v>
      </c>
      <c r="C123" s="215" t="s">
        <v>117</v>
      </c>
      <c r="D123" s="215" t="s">
        <v>310</v>
      </c>
      <c r="E123" s="215" t="s">
        <v>907</v>
      </c>
      <c r="F123" s="15">
        <v>46230.40084490741</v>
      </c>
      <c r="G123" s="215" t="s">
        <v>424</v>
      </c>
      <c r="H123" s="215">
        <v>5</v>
      </c>
      <c r="I123" s="215" t="s">
        <v>908</v>
      </c>
      <c r="J123" s="15">
        <v>46233.454386574071</v>
      </c>
      <c r="K123" s="15">
        <v>46238.481249999997</v>
      </c>
      <c r="L123" s="15"/>
      <c r="M123" s="215">
        <v>5</v>
      </c>
      <c r="N123" s="215"/>
      <c r="O123" s="215" t="s">
        <v>529</v>
      </c>
      <c r="P123" s="215"/>
      <c r="Q123" s="215"/>
      <c r="R123" s="215"/>
      <c r="S123" s="215" t="s">
        <v>362</v>
      </c>
      <c r="T123" s="215" t="s">
        <v>378</v>
      </c>
      <c r="U123" s="215" t="s">
        <v>239</v>
      </c>
      <c r="V123" s="215" t="s">
        <v>7</v>
      </c>
      <c r="W123" s="215" t="s">
        <v>7</v>
      </c>
      <c r="X123" s="215" t="s">
        <v>7</v>
      </c>
      <c r="Y123" s="215"/>
      <c r="Z123" s="215"/>
      <c r="AA123" s="215" t="s">
        <v>127</v>
      </c>
      <c r="AB123" s="215" t="s">
        <v>362</v>
      </c>
      <c r="AC123" s="215">
        <v>109</v>
      </c>
      <c r="AD123" s="215" t="s">
        <v>233</v>
      </c>
      <c r="AE123" s="215">
        <v>1</v>
      </c>
      <c r="AF123" s="215"/>
    </row>
    <row r="124" spans="1:32" x14ac:dyDescent="0.3">
      <c r="A124" s="215" t="s">
        <v>351</v>
      </c>
      <c r="B124" s="215" t="s">
        <v>57</v>
      </c>
      <c r="C124" s="215" t="s">
        <v>117</v>
      </c>
      <c r="D124" s="215" t="s">
        <v>310</v>
      </c>
      <c r="E124" s="215" t="s">
        <v>797</v>
      </c>
      <c r="F124" s="15">
        <v>46232.31826388889</v>
      </c>
      <c r="G124" s="215" t="s">
        <v>411</v>
      </c>
      <c r="H124" s="215">
        <v>1</v>
      </c>
      <c r="I124" s="215" t="s">
        <v>1033</v>
      </c>
      <c r="J124" s="15">
        <v>46232.407094907408</v>
      </c>
      <c r="K124" s="15">
        <v>46238.423611111109</v>
      </c>
      <c r="L124" s="15"/>
      <c r="M124" s="215">
        <v>1</v>
      </c>
      <c r="N124" s="215"/>
      <c r="O124" s="215" t="s">
        <v>201</v>
      </c>
      <c r="P124" s="215" t="s">
        <v>532</v>
      </c>
      <c r="Q124" s="215"/>
      <c r="R124" s="215"/>
      <c r="S124" s="215" t="s">
        <v>363</v>
      </c>
      <c r="T124" s="215" t="s">
        <v>378</v>
      </c>
      <c r="U124" s="215" t="s">
        <v>239</v>
      </c>
      <c r="V124" s="215" t="s">
        <v>7</v>
      </c>
      <c r="W124" s="215" t="s">
        <v>7</v>
      </c>
      <c r="X124" s="215" t="s">
        <v>7</v>
      </c>
      <c r="Y124" s="215"/>
      <c r="Z124" s="215"/>
      <c r="AA124" s="215" t="s">
        <v>127</v>
      </c>
      <c r="AB124" s="215" t="s">
        <v>363</v>
      </c>
      <c r="AC124" s="215">
        <v>101</v>
      </c>
      <c r="AD124" s="215" t="s">
        <v>233</v>
      </c>
      <c r="AE124" s="215">
        <v>1</v>
      </c>
      <c r="AF124" s="215">
        <v>1</v>
      </c>
    </row>
    <row r="125" spans="1:32" x14ac:dyDescent="0.3">
      <c r="A125" s="215" t="s">
        <v>351</v>
      </c>
      <c r="B125" s="215" t="s">
        <v>57</v>
      </c>
      <c r="C125" s="215" t="s">
        <v>117</v>
      </c>
      <c r="D125" s="215" t="s">
        <v>310</v>
      </c>
      <c r="E125" s="215" t="s">
        <v>438</v>
      </c>
      <c r="F125" s="15">
        <v>46212.717303240737</v>
      </c>
      <c r="G125" s="215" t="s">
        <v>412</v>
      </c>
      <c r="H125" s="215">
        <v>2</v>
      </c>
      <c r="I125" s="215" t="s">
        <v>1039</v>
      </c>
      <c r="J125" s="15">
        <v>46231.477627314816</v>
      </c>
      <c r="K125" s="15">
        <v>46238.444444444445</v>
      </c>
      <c r="L125" s="15"/>
      <c r="M125" s="215">
        <v>2</v>
      </c>
      <c r="N125" s="215"/>
      <c r="O125" s="215" t="s">
        <v>201</v>
      </c>
      <c r="P125" s="215" t="s">
        <v>532</v>
      </c>
      <c r="Q125" s="215"/>
      <c r="R125" s="215"/>
      <c r="S125" s="215" t="s">
        <v>361</v>
      </c>
      <c r="T125" s="215" t="s">
        <v>378</v>
      </c>
      <c r="U125" s="215" t="s">
        <v>239</v>
      </c>
      <c r="V125" s="215" t="s">
        <v>7</v>
      </c>
      <c r="W125" s="215" t="s">
        <v>7</v>
      </c>
      <c r="X125" s="215" t="s">
        <v>7</v>
      </c>
      <c r="Y125" s="215"/>
      <c r="Z125" s="215"/>
      <c r="AA125" s="215" t="s">
        <v>127</v>
      </c>
      <c r="AB125" s="215" t="s">
        <v>361</v>
      </c>
      <c r="AC125" s="215">
        <v>2200</v>
      </c>
      <c r="AD125" s="215" t="s">
        <v>233</v>
      </c>
      <c r="AE125" s="215">
        <v>1</v>
      </c>
      <c r="AF125" s="215">
        <v>134.9</v>
      </c>
    </row>
    <row r="126" spans="1:32" x14ac:dyDescent="0.3">
      <c r="A126" s="215" t="s">
        <v>351</v>
      </c>
      <c r="B126" s="215" t="s">
        <v>57</v>
      </c>
      <c r="C126" s="215" t="s">
        <v>117</v>
      </c>
      <c r="D126" s="215" t="s">
        <v>310</v>
      </c>
      <c r="E126" s="215" t="s">
        <v>438</v>
      </c>
      <c r="F126" s="15">
        <v>46212.717303240737</v>
      </c>
      <c r="G126" s="215" t="s">
        <v>412</v>
      </c>
      <c r="H126" s="215">
        <v>2</v>
      </c>
      <c r="I126" s="215" t="s">
        <v>1039</v>
      </c>
      <c r="J126" s="15">
        <v>46231.477627314816</v>
      </c>
      <c r="K126" s="15">
        <v>46238.444444444445</v>
      </c>
      <c r="L126" s="15"/>
      <c r="M126" s="215">
        <v>2</v>
      </c>
      <c r="N126" s="215"/>
      <c r="O126" s="215" t="s">
        <v>529</v>
      </c>
      <c r="P126" s="215"/>
      <c r="Q126" s="215"/>
      <c r="R126" s="215"/>
      <c r="S126" s="215" t="s">
        <v>361</v>
      </c>
      <c r="T126" s="215" t="s">
        <v>378</v>
      </c>
      <c r="U126" s="215" t="s">
        <v>239</v>
      </c>
      <c r="V126" s="215" t="s">
        <v>7</v>
      </c>
      <c r="W126" s="215" t="s">
        <v>7</v>
      </c>
      <c r="X126" s="215" t="s">
        <v>7</v>
      </c>
      <c r="Y126" s="215"/>
      <c r="Z126" s="215"/>
      <c r="AA126" s="215" t="s">
        <v>127</v>
      </c>
      <c r="AB126" s="215" t="s">
        <v>361</v>
      </c>
      <c r="AC126" s="215">
        <v>2200</v>
      </c>
      <c r="AD126" s="215" t="s">
        <v>233</v>
      </c>
      <c r="AE126" s="215">
        <v>1</v>
      </c>
      <c r="AF126" s="215"/>
    </row>
    <row r="127" spans="1:32" x14ac:dyDescent="0.3">
      <c r="A127" s="215" t="s">
        <v>351</v>
      </c>
      <c r="B127" s="215" t="s">
        <v>57</v>
      </c>
      <c r="C127" s="215" t="s">
        <v>117</v>
      </c>
      <c r="D127" s="215" t="s">
        <v>310</v>
      </c>
      <c r="E127" s="215" t="s">
        <v>1055</v>
      </c>
      <c r="F127" s="15">
        <v>46223.754212962966</v>
      </c>
      <c r="G127" s="215" t="s">
        <v>412</v>
      </c>
      <c r="H127" s="215">
        <v>1</v>
      </c>
      <c r="I127" s="215" t="s">
        <v>1056</v>
      </c>
      <c r="J127" s="15">
        <v>46232.484236111108</v>
      </c>
      <c r="K127" s="15">
        <v>46238.427083333336</v>
      </c>
      <c r="L127" s="15"/>
      <c r="M127" s="215">
        <v>1</v>
      </c>
      <c r="N127" s="215"/>
      <c r="O127" s="215" t="s">
        <v>201</v>
      </c>
      <c r="P127" s="215" t="s">
        <v>532</v>
      </c>
      <c r="Q127" s="215"/>
      <c r="R127" s="215"/>
      <c r="S127" s="215" t="s">
        <v>361</v>
      </c>
      <c r="T127" s="215" t="s">
        <v>378</v>
      </c>
      <c r="U127" s="215" t="s">
        <v>239</v>
      </c>
      <c r="V127" s="215" t="s">
        <v>7</v>
      </c>
      <c r="W127" s="215" t="s">
        <v>7</v>
      </c>
      <c r="X127" s="215" t="s">
        <v>7</v>
      </c>
      <c r="Y127" s="215"/>
      <c r="Z127" s="215"/>
      <c r="AA127" s="215" t="s">
        <v>127</v>
      </c>
      <c r="AB127" s="215" t="s">
        <v>361</v>
      </c>
      <c r="AC127" s="215">
        <v>2200</v>
      </c>
      <c r="AD127" s="215" t="s">
        <v>233</v>
      </c>
      <c r="AE127" s="215">
        <v>1</v>
      </c>
      <c r="AF127" s="215"/>
    </row>
    <row r="128" spans="1:32" x14ac:dyDescent="0.3">
      <c r="A128" s="215" t="s">
        <v>351</v>
      </c>
      <c r="B128" s="215" t="s">
        <v>57</v>
      </c>
      <c r="C128" s="215" t="s">
        <v>117</v>
      </c>
      <c r="D128" s="215" t="s">
        <v>310</v>
      </c>
      <c r="E128" s="215" t="s">
        <v>1059</v>
      </c>
      <c r="F128" s="15">
        <v>46233.719895833332</v>
      </c>
      <c r="G128" s="215" t="s">
        <v>439</v>
      </c>
      <c r="H128" s="215">
        <v>6</v>
      </c>
      <c r="I128" s="215" t="s">
        <v>1060</v>
      </c>
      <c r="J128" s="15">
        <v>46234.410682870373</v>
      </c>
      <c r="K128" s="15">
        <v>46238.434027777781</v>
      </c>
      <c r="L128" s="15"/>
      <c r="M128" s="215">
        <v>6</v>
      </c>
      <c r="N128" s="215"/>
      <c r="O128" s="215" t="s">
        <v>201</v>
      </c>
      <c r="P128" s="215" t="s">
        <v>532</v>
      </c>
      <c r="Q128" s="215"/>
      <c r="R128" s="215"/>
      <c r="S128" s="215" t="s">
        <v>361</v>
      </c>
      <c r="T128" s="215" t="s">
        <v>378</v>
      </c>
      <c r="U128" s="215" t="s">
        <v>239</v>
      </c>
      <c r="V128" s="215" t="s">
        <v>7</v>
      </c>
      <c r="W128" s="215" t="s">
        <v>7</v>
      </c>
      <c r="X128" s="215" t="s">
        <v>7</v>
      </c>
      <c r="Y128" s="215"/>
      <c r="Z128" s="215"/>
      <c r="AA128" s="215" t="s">
        <v>127</v>
      </c>
      <c r="AB128" s="215" t="s">
        <v>361</v>
      </c>
      <c r="AC128" s="215">
        <v>2200</v>
      </c>
      <c r="AD128" s="215" t="s">
        <v>233</v>
      </c>
      <c r="AE128" s="215">
        <v>1</v>
      </c>
      <c r="AF128" s="215"/>
    </row>
    <row r="129" spans="1:32" x14ac:dyDescent="0.3">
      <c r="A129" s="215" t="s">
        <v>351</v>
      </c>
      <c r="B129" s="215" t="s">
        <v>57</v>
      </c>
      <c r="C129" s="215" t="s">
        <v>117</v>
      </c>
      <c r="D129" s="215" t="s">
        <v>310</v>
      </c>
      <c r="E129" s="215" t="s">
        <v>1059</v>
      </c>
      <c r="F129" s="15">
        <v>46233.719895833332</v>
      </c>
      <c r="G129" s="215" t="s">
        <v>439</v>
      </c>
      <c r="H129" s="215">
        <v>2</v>
      </c>
      <c r="I129" s="215" t="s">
        <v>1101</v>
      </c>
      <c r="J129" s="15">
        <v>46234.408483796295</v>
      </c>
      <c r="K129" s="15">
        <v>46238.436805555553</v>
      </c>
      <c r="L129" s="15"/>
      <c r="M129" s="215">
        <v>2</v>
      </c>
      <c r="N129" s="215"/>
      <c r="O129" s="215" t="s">
        <v>201</v>
      </c>
      <c r="P129" s="215" t="s">
        <v>532</v>
      </c>
      <c r="Q129" s="215"/>
      <c r="R129" s="215"/>
      <c r="S129" s="215" t="s">
        <v>361</v>
      </c>
      <c r="T129" s="215" t="s">
        <v>378</v>
      </c>
      <c r="U129" s="215" t="s">
        <v>239</v>
      </c>
      <c r="V129" s="215" t="s">
        <v>7</v>
      </c>
      <c r="W129" s="215" t="s">
        <v>7</v>
      </c>
      <c r="X129" s="215" t="s">
        <v>7</v>
      </c>
      <c r="Y129" s="215"/>
      <c r="Z129" s="215"/>
      <c r="AA129" s="215" t="s">
        <v>127</v>
      </c>
      <c r="AB129" s="215" t="s">
        <v>361</v>
      </c>
      <c r="AC129" s="215">
        <v>2200</v>
      </c>
      <c r="AD129" s="215" t="s">
        <v>233</v>
      </c>
      <c r="AE129" s="215">
        <v>1</v>
      </c>
      <c r="AF129" s="215"/>
    </row>
    <row r="130" spans="1:32" x14ac:dyDescent="0.3">
      <c r="A130" s="215" t="s">
        <v>351</v>
      </c>
      <c r="B130" s="215" t="s">
        <v>57</v>
      </c>
      <c r="C130" s="215" t="s">
        <v>117</v>
      </c>
      <c r="D130" s="215" t="s">
        <v>310</v>
      </c>
      <c r="E130" s="215" t="s">
        <v>1059</v>
      </c>
      <c r="F130" s="15">
        <v>46233.719895833332</v>
      </c>
      <c r="G130" s="215" t="s">
        <v>439</v>
      </c>
      <c r="H130" s="215">
        <v>6</v>
      </c>
      <c r="I130" s="215" t="s">
        <v>1060</v>
      </c>
      <c r="J130" s="15">
        <v>46234.410682870373</v>
      </c>
      <c r="K130" s="15">
        <v>46238.434027777781</v>
      </c>
      <c r="L130" s="15"/>
      <c r="M130" s="215">
        <v>6</v>
      </c>
      <c r="N130" s="215"/>
      <c r="O130" s="215" t="s">
        <v>529</v>
      </c>
      <c r="P130" s="215"/>
      <c r="Q130" s="215"/>
      <c r="R130" s="215"/>
      <c r="S130" s="215" t="s">
        <v>361</v>
      </c>
      <c r="T130" s="215" t="s">
        <v>378</v>
      </c>
      <c r="U130" s="215" t="s">
        <v>239</v>
      </c>
      <c r="V130" s="215" t="s">
        <v>7</v>
      </c>
      <c r="W130" s="215" t="s">
        <v>7</v>
      </c>
      <c r="X130" s="215" t="s">
        <v>7</v>
      </c>
      <c r="Y130" s="215"/>
      <c r="Z130" s="215"/>
      <c r="AA130" s="215" t="s">
        <v>127</v>
      </c>
      <c r="AB130" s="215" t="s">
        <v>361</v>
      </c>
      <c r="AC130" s="215">
        <v>2200</v>
      </c>
      <c r="AD130" s="215" t="s">
        <v>233</v>
      </c>
      <c r="AE130" s="215">
        <v>1</v>
      </c>
      <c r="AF130" s="215"/>
    </row>
    <row r="131" spans="1:32" x14ac:dyDescent="0.3">
      <c r="A131" s="215" t="s">
        <v>351</v>
      </c>
      <c r="B131" s="215" t="s">
        <v>57</v>
      </c>
      <c r="C131" s="215" t="s">
        <v>117</v>
      </c>
      <c r="D131" s="215" t="s">
        <v>310</v>
      </c>
      <c r="E131" s="215" t="s">
        <v>437</v>
      </c>
      <c r="F131" s="15">
        <v>46202.512337962966</v>
      </c>
      <c r="G131" s="215" t="s">
        <v>436</v>
      </c>
      <c r="H131" s="215">
        <v>1</v>
      </c>
      <c r="I131" s="215" t="s">
        <v>1040</v>
      </c>
      <c r="J131" s="15">
        <v>46203.361828703702</v>
      </c>
      <c r="K131" s="15">
        <v>46212.739201388889</v>
      </c>
      <c r="L131" s="15"/>
      <c r="M131" s="215">
        <v>26</v>
      </c>
      <c r="N131" s="215"/>
      <c r="O131" s="215" t="s">
        <v>201</v>
      </c>
      <c r="P131" s="215" t="s">
        <v>532</v>
      </c>
      <c r="Q131" s="215"/>
      <c r="R131" s="215"/>
      <c r="S131" s="215" t="s">
        <v>362</v>
      </c>
      <c r="T131" s="215" t="s">
        <v>378</v>
      </c>
      <c r="U131" s="215" t="s">
        <v>239</v>
      </c>
      <c r="V131" s="215" t="s">
        <v>7</v>
      </c>
      <c r="W131" s="215" t="s">
        <v>7</v>
      </c>
      <c r="X131" s="215" t="s">
        <v>7</v>
      </c>
      <c r="Y131" s="215"/>
      <c r="Z131" s="215"/>
      <c r="AA131" s="215" t="s">
        <v>127</v>
      </c>
      <c r="AB131" s="215" t="s">
        <v>362</v>
      </c>
      <c r="AC131" s="215">
        <v>109</v>
      </c>
      <c r="AD131" s="215" t="s">
        <v>233</v>
      </c>
      <c r="AE131" s="215">
        <v>2.6</v>
      </c>
      <c r="AF131" s="215">
        <v>83.89</v>
      </c>
    </row>
    <row r="132" spans="1:32" x14ac:dyDescent="0.3">
      <c r="A132" s="215" t="s">
        <v>351</v>
      </c>
      <c r="B132" s="215" t="s">
        <v>57</v>
      </c>
      <c r="C132" s="215" t="s">
        <v>117</v>
      </c>
      <c r="D132" s="215" t="s">
        <v>310</v>
      </c>
      <c r="E132" s="215" t="s">
        <v>437</v>
      </c>
      <c r="F132" s="15">
        <v>46202.512337962966</v>
      </c>
      <c r="G132" s="215" t="s">
        <v>436</v>
      </c>
      <c r="H132" s="215">
        <v>1</v>
      </c>
      <c r="I132" s="215" t="s">
        <v>1040</v>
      </c>
      <c r="J132" s="15">
        <v>46203.361828703702</v>
      </c>
      <c r="K132" s="15">
        <v>46212.739201388889</v>
      </c>
      <c r="L132" s="15"/>
      <c r="M132" s="215">
        <v>13</v>
      </c>
      <c r="N132" s="215"/>
      <c r="O132" s="215" t="s">
        <v>529</v>
      </c>
      <c r="P132" s="215"/>
      <c r="Q132" s="215"/>
      <c r="R132" s="215"/>
      <c r="S132" s="215" t="s">
        <v>362</v>
      </c>
      <c r="T132" s="215" t="s">
        <v>378</v>
      </c>
      <c r="U132" s="215" t="s">
        <v>239</v>
      </c>
      <c r="V132" s="215" t="s">
        <v>7</v>
      </c>
      <c r="W132" s="215" t="s">
        <v>7</v>
      </c>
      <c r="X132" s="215" t="s">
        <v>7</v>
      </c>
      <c r="Y132" s="215"/>
      <c r="Z132" s="215"/>
      <c r="AA132" s="215" t="s">
        <v>127</v>
      </c>
      <c r="AB132" s="215" t="s">
        <v>362</v>
      </c>
      <c r="AC132" s="215">
        <v>109</v>
      </c>
      <c r="AD132" s="215" t="s">
        <v>233</v>
      </c>
      <c r="AE132" s="215">
        <v>1.3</v>
      </c>
      <c r="AF132" s="215"/>
    </row>
    <row r="133" spans="1:32" x14ac:dyDescent="0.3">
      <c r="A133" s="215" t="s">
        <v>351</v>
      </c>
      <c r="B133" s="215" t="s">
        <v>57</v>
      </c>
      <c r="C133" s="215" t="s">
        <v>117</v>
      </c>
      <c r="D133" s="215" t="s">
        <v>310</v>
      </c>
      <c r="E133" s="215" t="s">
        <v>437</v>
      </c>
      <c r="F133" s="15">
        <v>46202.512337962966</v>
      </c>
      <c r="G133" s="215" t="s">
        <v>436</v>
      </c>
      <c r="H133" s="215">
        <v>30</v>
      </c>
      <c r="I133" s="215" t="s">
        <v>1042</v>
      </c>
      <c r="J133" s="15">
        <v>46239.591469907406</v>
      </c>
      <c r="K133" s="15">
        <v>46241.497916666667</v>
      </c>
      <c r="L133" s="15"/>
      <c r="M133" s="215">
        <v>30</v>
      </c>
      <c r="N133" s="215"/>
      <c r="O133" s="215" t="s">
        <v>201</v>
      </c>
      <c r="P133" s="215" t="s">
        <v>532</v>
      </c>
      <c r="Q133" s="215"/>
      <c r="R133" s="215"/>
      <c r="S133" s="215" t="s">
        <v>362</v>
      </c>
      <c r="T133" s="215" t="s">
        <v>378</v>
      </c>
      <c r="U133" s="215" t="s">
        <v>239</v>
      </c>
      <c r="V133" s="215" t="s">
        <v>7</v>
      </c>
      <c r="W133" s="215" t="s">
        <v>7</v>
      </c>
      <c r="X133" s="215" t="s">
        <v>7</v>
      </c>
      <c r="Y133" s="215"/>
      <c r="Z133" s="215"/>
      <c r="AA133" s="215" t="s">
        <v>127</v>
      </c>
      <c r="AB133" s="215" t="s">
        <v>362</v>
      </c>
      <c r="AC133" s="215">
        <v>109</v>
      </c>
      <c r="AD133" s="215" t="s">
        <v>233</v>
      </c>
      <c r="AE133" s="215">
        <v>3</v>
      </c>
      <c r="AF133" s="215">
        <v>51.3</v>
      </c>
    </row>
    <row r="134" spans="1:32" x14ac:dyDescent="0.3">
      <c r="A134" s="215" t="s">
        <v>351</v>
      </c>
      <c r="B134" s="215" t="s">
        <v>57</v>
      </c>
      <c r="C134" s="215" t="s">
        <v>117</v>
      </c>
      <c r="D134" s="215" t="s">
        <v>310</v>
      </c>
      <c r="E134" s="215" t="s">
        <v>1043</v>
      </c>
      <c r="F134" s="15">
        <v>46253.45040509259</v>
      </c>
      <c r="G134" s="215" t="s">
        <v>412</v>
      </c>
      <c r="H134" s="215">
        <v>1</v>
      </c>
      <c r="I134" s="215" t="s">
        <v>1044</v>
      </c>
      <c r="J134" s="15">
        <v>46255.393750000003</v>
      </c>
      <c r="K134" s="15">
        <v>46258.414583333331</v>
      </c>
      <c r="L134" s="15"/>
      <c r="M134" s="215">
        <v>1</v>
      </c>
      <c r="N134" s="215"/>
      <c r="O134" s="215" t="s">
        <v>201</v>
      </c>
      <c r="P134" s="215" t="s">
        <v>532</v>
      </c>
      <c r="Q134" s="215"/>
      <c r="R134" s="215"/>
      <c r="S134" s="215" t="s">
        <v>361</v>
      </c>
      <c r="T134" s="215" t="s">
        <v>378</v>
      </c>
      <c r="U134" s="215" t="s">
        <v>239</v>
      </c>
      <c r="V134" s="215" t="s">
        <v>7</v>
      </c>
      <c r="W134" s="215" t="s">
        <v>7</v>
      </c>
      <c r="X134" s="215" t="s">
        <v>7</v>
      </c>
      <c r="Y134" s="215"/>
      <c r="Z134" s="215"/>
      <c r="AA134" s="215" t="s">
        <v>127</v>
      </c>
      <c r="AB134" s="215" t="s">
        <v>361</v>
      </c>
      <c r="AC134" s="215">
        <v>2200</v>
      </c>
      <c r="AD134" s="215" t="s">
        <v>233</v>
      </c>
      <c r="AE134" s="215">
        <v>1</v>
      </c>
      <c r="AF134" s="215">
        <v>57</v>
      </c>
    </row>
    <row r="135" spans="1:32" x14ac:dyDescent="0.3">
      <c r="A135" s="215" t="s">
        <v>351</v>
      </c>
      <c r="B135" s="215" t="s">
        <v>57</v>
      </c>
      <c r="C135" s="215" t="s">
        <v>117</v>
      </c>
      <c r="D135" s="215" t="s">
        <v>310</v>
      </c>
      <c r="E135" s="215" t="s">
        <v>1049</v>
      </c>
      <c r="F135" s="15">
        <v>46225.356817129628</v>
      </c>
      <c r="G135" s="215" t="s">
        <v>409</v>
      </c>
      <c r="H135" s="215">
        <v>1</v>
      </c>
      <c r="I135" s="215" t="s">
        <v>1050</v>
      </c>
      <c r="J135" s="15">
        <v>46233.380069444444</v>
      </c>
      <c r="K135" s="15">
        <v>46238.463194444441</v>
      </c>
      <c r="L135" s="15"/>
      <c r="M135" s="215">
        <v>1</v>
      </c>
      <c r="N135" s="215"/>
      <c r="O135" s="215" t="s">
        <v>201</v>
      </c>
      <c r="P135" s="215" t="s">
        <v>532</v>
      </c>
      <c r="Q135" s="215"/>
      <c r="R135" s="215"/>
      <c r="S135" s="215" t="s">
        <v>360</v>
      </c>
      <c r="T135" s="215" t="s">
        <v>378</v>
      </c>
      <c r="U135" s="215" t="s">
        <v>239</v>
      </c>
      <c r="V135" s="215" t="s">
        <v>7</v>
      </c>
      <c r="W135" s="215" t="s">
        <v>7</v>
      </c>
      <c r="X135" s="215" t="s">
        <v>7</v>
      </c>
      <c r="Y135" s="215"/>
      <c r="Z135" s="215"/>
      <c r="AA135" s="215" t="s">
        <v>127</v>
      </c>
      <c r="AB135" s="215" t="s">
        <v>360</v>
      </c>
      <c r="AC135" s="215">
        <v>50</v>
      </c>
      <c r="AD135" s="215" t="s">
        <v>233</v>
      </c>
      <c r="AE135" s="215">
        <v>1</v>
      </c>
      <c r="AF135" s="215">
        <v>19.3</v>
      </c>
    </row>
    <row r="136" spans="1:32" x14ac:dyDescent="0.3">
      <c r="A136" s="215" t="s">
        <v>351</v>
      </c>
      <c r="B136" s="215" t="s">
        <v>57</v>
      </c>
      <c r="C136" s="215" t="s">
        <v>117</v>
      </c>
      <c r="D136" s="215" t="s">
        <v>310</v>
      </c>
      <c r="E136" s="215" t="s">
        <v>1064</v>
      </c>
      <c r="F136" s="15">
        <v>46223.623645833337</v>
      </c>
      <c r="G136" s="215" t="s">
        <v>412</v>
      </c>
      <c r="H136" s="215">
        <v>1</v>
      </c>
      <c r="I136" s="215" t="s">
        <v>1065</v>
      </c>
      <c r="J136" s="15">
        <v>46224.351388888892</v>
      </c>
      <c r="K136" s="15">
        <v>46227.68472222222</v>
      </c>
      <c r="L136" s="15">
        <v>46234.655555555553</v>
      </c>
      <c r="M136" s="215">
        <v>1</v>
      </c>
      <c r="N136" s="215"/>
      <c r="O136" s="215" t="s">
        <v>201</v>
      </c>
      <c r="P136" s="215" t="s">
        <v>532</v>
      </c>
      <c r="Q136" s="215"/>
      <c r="R136" s="215"/>
      <c r="S136" s="215" t="s">
        <v>361</v>
      </c>
      <c r="T136" s="215" t="s">
        <v>378</v>
      </c>
      <c r="U136" s="215" t="s">
        <v>239</v>
      </c>
      <c r="V136" s="215" t="s">
        <v>7</v>
      </c>
      <c r="W136" s="215" t="s">
        <v>7</v>
      </c>
      <c r="X136" s="215" t="s">
        <v>7</v>
      </c>
      <c r="Y136" s="215"/>
      <c r="Z136" s="215"/>
      <c r="AA136" s="215" t="s">
        <v>127</v>
      </c>
      <c r="AB136" s="215" t="s">
        <v>361</v>
      </c>
      <c r="AC136" s="215">
        <v>2200</v>
      </c>
      <c r="AD136" s="215" t="s">
        <v>233</v>
      </c>
      <c r="AE136" s="215">
        <v>1</v>
      </c>
      <c r="AF136" s="215">
        <v>374.1</v>
      </c>
    </row>
    <row r="137" spans="1:32" x14ac:dyDescent="0.3">
      <c r="A137" s="215" t="s">
        <v>351</v>
      </c>
      <c r="B137" s="215" t="s">
        <v>57</v>
      </c>
      <c r="C137" s="215" t="s">
        <v>117</v>
      </c>
      <c r="D137" s="215" t="s">
        <v>310</v>
      </c>
      <c r="E137" s="215" t="s">
        <v>1064</v>
      </c>
      <c r="F137" s="15">
        <v>46223.623645833337</v>
      </c>
      <c r="G137" s="215" t="s">
        <v>412</v>
      </c>
      <c r="H137" s="215">
        <v>1</v>
      </c>
      <c r="I137" s="215" t="s">
        <v>1065</v>
      </c>
      <c r="J137" s="15">
        <v>46224.351388888892</v>
      </c>
      <c r="K137" s="15">
        <v>46227.68472222222</v>
      </c>
      <c r="L137" s="15">
        <v>46234.655555555553</v>
      </c>
      <c r="M137" s="215">
        <v>1</v>
      </c>
      <c r="N137" s="215"/>
      <c r="O137" s="215" t="s">
        <v>529</v>
      </c>
      <c r="P137" s="215"/>
      <c r="Q137" s="215"/>
      <c r="R137" s="215"/>
      <c r="S137" s="215" t="s">
        <v>361</v>
      </c>
      <c r="T137" s="215" t="s">
        <v>378</v>
      </c>
      <c r="U137" s="215" t="s">
        <v>239</v>
      </c>
      <c r="V137" s="215" t="s">
        <v>7</v>
      </c>
      <c r="W137" s="215" t="s">
        <v>7</v>
      </c>
      <c r="X137" s="215" t="s">
        <v>7</v>
      </c>
      <c r="Y137" s="215"/>
      <c r="Z137" s="215"/>
      <c r="AA137" s="215" t="s">
        <v>127</v>
      </c>
      <c r="AB137" s="215" t="s">
        <v>361</v>
      </c>
      <c r="AC137" s="215">
        <v>2200</v>
      </c>
      <c r="AD137" s="215" t="s">
        <v>233</v>
      </c>
      <c r="AE137" s="215">
        <v>1</v>
      </c>
      <c r="AF137" s="215"/>
    </row>
    <row r="138" spans="1:32" x14ac:dyDescent="0.3">
      <c r="A138" s="215" t="s">
        <v>351</v>
      </c>
      <c r="B138" s="215" t="s">
        <v>57</v>
      </c>
      <c r="C138" s="215" t="s">
        <v>117</v>
      </c>
      <c r="D138" s="215" t="s">
        <v>310</v>
      </c>
      <c r="E138" s="215" t="s">
        <v>1064</v>
      </c>
      <c r="F138" s="15">
        <v>46223.623645833337</v>
      </c>
      <c r="G138" s="215" t="s">
        <v>412</v>
      </c>
      <c r="H138" s="215">
        <v>3</v>
      </c>
      <c r="I138" s="215" t="s">
        <v>1066</v>
      </c>
      <c r="J138" s="15">
        <v>46224.351388888892</v>
      </c>
      <c r="K138" s="15">
        <v>46227.68472222222</v>
      </c>
      <c r="L138" s="15"/>
      <c r="M138" s="215">
        <v>3</v>
      </c>
      <c r="N138" s="215"/>
      <c r="O138" s="215" t="s">
        <v>201</v>
      </c>
      <c r="P138" s="215" t="s">
        <v>532</v>
      </c>
      <c r="Q138" s="215"/>
      <c r="R138" s="215"/>
      <c r="S138" s="215" t="s">
        <v>361</v>
      </c>
      <c r="T138" s="215" t="s">
        <v>378</v>
      </c>
      <c r="U138" s="215" t="s">
        <v>239</v>
      </c>
      <c r="V138" s="215" t="s">
        <v>7</v>
      </c>
      <c r="W138" s="215" t="s">
        <v>7</v>
      </c>
      <c r="X138" s="215" t="s">
        <v>7</v>
      </c>
      <c r="Y138" s="215"/>
      <c r="Z138" s="215"/>
      <c r="AA138" s="215" t="s">
        <v>127</v>
      </c>
      <c r="AB138" s="215" t="s">
        <v>361</v>
      </c>
      <c r="AC138" s="215">
        <v>2200</v>
      </c>
      <c r="AD138" s="215" t="s">
        <v>233</v>
      </c>
      <c r="AE138" s="215">
        <v>1</v>
      </c>
      <c r="AF138" s="215"/>
    </row>
    <row r="139" spans="1:32" x14ac:dyDescent="0.3">
      <c r="A139" s="215" t="s">
        <v>351</v>
      </c>
      <c r="B139" s="215" t="s">
        <v>57</v>
      </c>
      <c r="C139" s="215" t="s">
        <v>117</v>
      </c>
      <c r="D139" s="215" t="s">
        <v>310</v>
      </c>
      <c r="E139" s="215" t="s">
        <v>443</v>
      </c>
      <c r="F139" s="15">
        <v>46217.60359953704</v>
      </c>
      <c r="G139" s="215" t="s">
        <v>439</v>
      </c>
      <c r="H139" s="215">
        <v>1</v>
      </c>
      <c r="I139" s="215" t="s">
        <v>1069</v>
      </c>
      <c r="J139" s="15">
        <v>46220.352083333331</v>
      </c>
      <c r="K139" s="15">
        <v>46227.702777777777</v>
      </c>
      <c r="L139" s="15"/>
      <c r="M139" s="215">
        <v>1</v>
      </c>
      <c r="N139" s="215"/>
      <c r="O139" s="215" t="s">
        <v>201</v>
      </c>
      <c r="P139" s="215" t="s">
        <v>532</v>
      </c>
      <c r="Q139" s="215"/>
      <c r="R139" s="215"/>
      <c r="S139" s="215" t="s">
        <v>363</v>
      </c>
      <c r="T139" s="215" t="s">
        <v>378</v>
      </c>
      <c r="U139" s="215" t="s">
        <v>239</v>
      </c>
      <c r="V139" s="215" t="s">
        <v>7</v>
      </c>
      <c r="W139" s="215" t="s">
        <v>7</v>
      </c>
      <c r="X139" s="215" t="s">
        <v>7</v>
      </c>
      <c r="Y139" s="215"/>
      <c r="Z139" s="215"/>
      <c r="AA139" s="215" t="s">
        <v>127</v>
      </c>
      <c r="AB139" s="215" t="s">
        <v>363</v>
      </c>
      <c r="AC139" s="215">
        <v>101</v>
      </c>
      <c r="AD139" s="215" t="s">
        <v>233</v>
      </c>
      <c r="AE139" s="215">
        <v>1</v>
      </c>
      <c r="AF139" s="215">
        <v>2.5</v>
      </c>
    </row>
    <row r="140" spans="1:32" x14ac:dyDescent="0.3">
      <c r="A140" s="215" t="s">
        <v>351</v>
      </c>
      <c r="B140" s="215" t="s">
        <v>57</v>
      </c>
      <c r="C140" s="215" t="s">
        <v>117</v>
      </c>
      <c r="D140" s="215" t="s">
        <v>310</v>
      </c>
      <c r="E140" s="215" t="s">
        <v>443</v>
      </c>
      <c r="F140" s="15">
        <v>46217.60359953704</v>
      </c>
      <c r="G140" s="215" t="s">
        <v>439</v>
      </c>
      <c r="H140" s="215">
        <v>4</v>
      </c>
      <c r="I140" s="215" t="s">
        <v>1069</v>
      </c>
      <c r="J140" s="15">
        <v>46220.352083333331</v>
      </c>
      <c r="K140" s="15">
        <v>46227.702777777777</v>
      </c>
      <c r="L140" s="15"/>
      <c r="M140" s="215">
        <v>4</v>
      </c>
      <c r="N140" s="215"/>
      <c r="O140" s="215" t="s">
        <v>529</v>
      </c>
      <c r="P140" s="215"/>
      <c r="Q140" s="215"/>
      <c r="R140" s="215"/>
      <c r="S140" s="215" t="s">
        <v>363</v>
      </c>
      <c r="T140" s="215" t="s">
        <v>378</v>
      </c>
      <c r="U140" s="215" t="s">
        <v>239</v>
      </c>
      <c r="V140" s="215" t="s">
        <v>7</v>
      </c>
      <c r="W140" s="215" t="s">
        <v>7</v>
      </c>
      <c r="X140" s="215" t="s">
        <v>7</v>
      </c>
      <c r="Y140" s="215"/>
      <c r="Z140" s="215"/>
      <c r="AA140" s="215" t="s">
        <v>127</v>
      </c>
      <c r="AB140" s="215" t="s">
        <v>363</v>
      </c>
      <c r="AC140" s="215">
        <v>101</v>
      </c>
      <c r="AD140" s="215" t="s">
        <v>233</v>
      </c>
      <c r="AE140" s="215">
        <v>1</v>
      </c>
      <c r="AF140" s="215"/>
    </row>
    <row r="141" spans="1:32" x14ac:dyDescent="0.3">
      <c r="A141" s="215" t="s">
        <v>351</v>
      </c>
      <c r="B141" s="215" t="s">
        <v>57</v>
      </c>
      <c r="C141" s="215" t="s">
        <v>117</v>
      </c>
      <c r="D141" s="215" t="s">
        <v>310</v>
      </c>
      <c r="E141" s="215" t="s">
        <v>443</v>
      </c>
      <c r="F141" s="15">
        <v>46217.60359953704</v>
      </c>
      <c r="G141" s="215" t="s">
        <v>439</v>
      </c>
      <c r="H141" s="215">
        <v>1</v>
      </c>
      <c r="I141" s="215" t="s">
        <v>1069</v>
      </c>
      <c r="J141" s="15">
        <v>46220.352083333331</v>
      </c>
      <c r="K141" s="15">
        <v>46227.702777777777</v>
      </c>
      <c r="L141" s="15"/>
      <c r="M141" s="215">
        <v>1</v>
      </c>
      <c r="N141" s="215"/>
      <c r="O141" s="215" t="s">
        <v>529</v>
      </c>
      <c r="P141" s="215"/>
      <c r="Q141" s="215"/>
      <c r="R141" s="215"/>
      <c r="S141" s="215" t="s">
        <v>363</v>
      </c>
      <c r="T141" s="215" t="s">
        <v>378</v>
      </c>
      <c r="U141" s="215" t="s">
        <v>239</v>
      </c>
      <c r="V141" s="215" t="s">
        <v>7</v>
      </c>
      <c r="W141" s="215" t="s">
        <v>7</v>
      </c>
      <c r="X141" s="215" t="s">
        <v>7</v>
      </c>
      <c r="Y141" s="215"/>
      <c r="Z141" s="215"/>
      <c r="AA141" s="215" t="s">
        <v>127</v>
      </c>
      <c r="AB141" s="215" t="s">
        <v>363</v>
      </c>
      <c r="AC141" s="215">
        <v>101</v>
      </c>
      <c r="AD141" s="215" t="s">
        <v>233</v>
      </c>
      <c r="AE141" s="215">
        <v>1</v>
      </c>
      <c r="AF141" s="215"/>
    </row>
    <row r="142" spans="1:32" x14ac:dyDescent="0.3">
      <c r="A142" s="215" t="s">
        <v>351</v>
      </c>
      <c r="B142" s="215" t="s">
        <v>279</v>
      </c>
      <c r="C142" s="215" t="s">
        <v>192</v>
      </c>
      <c r="D142" s="215" t="s">
        <v>310</v>
      </c>
      <c r="E142" s="215" t="s">
        <v>856</v>
      </c>
      <c r="F142" s="15">
        <v>46244.43917824074</v>
      </c>
      <c r="G142" s="215" t="s">
        <v>419</v>
      </c>
      <c r="H142" s="215">
        <v>1562</v>
      </c>
      <c r="I142" s="215" t="s">
        <v>857</v>
      </c>
      <c r="J142" s="15">
        <v>46245.671527777777</v>
      </c>
      <c r="K142" s="15">
        <v>46251.602083333331</v>
      </c>
      <c r="L142" s="15"/>
      <c r="M142" s="215">
        <v>1562</v>
      </c>
      <c r="N142" s="215"/>
      <c r="O142" s="215" t="s">
        <v>529</v>
      </c>
      <c r="P142" s="215"/>
      <c r="Q142" s="215"/>
      <c r="R142" s="215"/>
      <c r="S142" s="215" t="s">
        <v>360</v>
      </c>
      <c r="T142" s="215" t="s">
        <v>378</v>
      </c>
      <c r="U142" s="215" t="s">
        <v>239</v>
      </c>
      <c r="V142" s="215" t="s">
        <v>7</v>
      </c>
      <c r="W142" s="215" t="s">
        <v>7</v>
      </c>
      <c r="X142" s="215" t="s">
        <v>7</v>
      </c>
      <c r="Y142" s="215"/>
      <c r="Z142" s="215">
        <v>1</v>
      </c>
      <c r="AA142" s="215" t="s">
        <v>122</v>
      </c>
      <c r="AB142" s="215" t="s">
        <v>360</v>
      </c>
      <c r="AC142" s="215">
        <v>50</v>
      </c>
      <c r="AD142" s="215" t="s">
        <v>232</v>
      </c>
      <c r="AE142" s="215">
        <v>1562</v>
      </c>
      <c r="AF142" s="215"/>
    </row>
    <row r="143" spans="1:32" x14ac:dyDescent="0.3">
      <c r="A143" s="215" t="s">
        <v>351</v>
      </c>
      <c r="B143" s="215" t="s">
        <v>279</v>
      </c>
      <c r="C143" s="215" t="s">
        <v>192</v>
      </c>
      <c r="D143" s="215" t="s">
        <v>310</v>
      </c>
      <c r="E143" s="215" t="s">
        <v>856</v>
      </c>
      <c r="F143" s="15">
        <v>46244.43917824074</v>
      </c>
      <c r="G143" s="215" t="s">
        <v>419</v>
      </c>
      <c r="H143" s="215">
        <v>1816</v>
      </c>
      <c r="I143" s="215" t="s">
        <v>857</v>
      </c>
      <c r="J143" s="15">
        <v>46245.671527777777</v>
      </c>
      <c r="K143" s="15">
        <v>46251.602083333331</v>
      </c>
      <c r="L143" s="15"/>
      <c r="M143" s="215">
        <v>1816</v>
      </c>
      <c r="N143" s="215"/>
      <c r="O143" s="215" t="s">
        <v>529</v>
      </c>
      <c r="P143" s="215"/>
      <c r="Q143" s="215"/>
      <c r="R143" s="215"/>
      <c r="S143" s="215" t="s">
        <v>360</v>
      </c>
      <c r="T143" s="215" t="s">
        <v>378</v>
      </c>
      <c r="U143" s="215" t="s">
        <v>239</v>
      </c>
      <c r="V143" s="215" t="s">
        <v>7</v>
      </c>
      <c r="W143" s="215" t="s">
        <v>7</v>
      </c>
      <c r="X143" s="215" t="s">
        <v>7</v>
      </c>
      <c r="Y143" s="215"/>
      <c r="Z143" s="215">
        <v>1</v>
      </c>
      <c r="AA143" s="215" t="s">
        <v>122</v>
      </c>
      <c r="AB143" s="215" t="s">
        <v>360</v>
      </c>
      <c r="AC143" s="215">
        <v>50</v>
      </c>
      <c r="AD143" s="215" t="s">
        <v>232</v>
      </c>
      <c r="AE143" s="215">
        <v>1816</v>
      </c>
      <c r="AF143" s="215"/>
    </row>
    <row r="144" spans="1:32" x14ac:dyDescent="0.3">
      <c r="A144" s="215" t="s">
        <v>351</v>
      </c>
      <c r="B144" s="215" t="s">
        <v>279</v>
      </c>
      <c r="C144" s="215" t="s">
        <v>192</v>
      </c>
      <c r="D144" s="215" t="s">
        <v>310</v>
      </c>
      <c r="E144" s="215" t="s">
        <v>856</v>
      </c>
      <c r="F144" s="15">
        <v>46244.43917824074</v>
      </c>
      <c r="G144" s="215" t="s">
        <v>419</v>
      </c>
      <c r="H144" s="215">
        <v>1842</v>
      </c>
      <c r="I144" s="215" t="s">
        <v>857</v>
      </c>
      <c r="J144" s="15">
        <v>46245.671527777777</v>
      </c>
      <c r="K144" s="15">
        <v>46251.602083333331</v>
      </c>
      <c r="L144" s="15"/>
      <c r="M144" s="215">
        <v>1842</v>
      </c>
      <c r="N144" s="215"/>
      <c r="O144" s="215" t="s">
        <v>529</v>
      </c>
      <c r="P144" s="215"/>
      <c r="Q144" s="215"/>
      <c r="R144" s="215"/>
      <c r="S144" s="215" t="s">
        <v>360</v>
      </c>
      <c r="T144" s="215" t="s">
        <v>378</v>
      </c>
      <c r="U144" s="215" t="s">
        <v>239</v>
      </c>
      <c r="V144" s="215" t="s">
        <v>7</v>
      </c>
      <c r="W144" s="215" t="s">
        <v>7</v>
      </c>
      <c r="X144" s="215" t="s">
        <v>7</v>
      </c>
      <c r="Y144" s="215"/>
      <c r="Z144" s="215">
        <v>1</v>
      </c>
      <c r="AA144" s="215" t="s">
        <v>122</v>
      </c>
      <c r="AB144" s="215" t="s">
        <v>360</v>
      </c>
      <c r="AC144" s="215">
        <v>50</v>
      </c>
      <c r="AD144" s="215" t="s">
        <v>232</v>
      </c>
      <c r="AE144" s="215">
        <v>1842</v>
      </c>
      <c r="AF144" s="215"/>
    </row>
    <row r="145" spans="1:32" x14ac:dyDescent="0.3">
      <c r="A145" s="215" t="s">
        <v>351</v>
      </c>
      <c r="B145" s="215" t="s">
        <v>279</v>
      </c>
      <c r="C145" s="215" t="s">
        <v>192</v>
      </c>
      <c r="D145" s="215" t="s">
        <v>310</v>
      </c>
      <c r="E145" s="215" t="s">
        <v>856</v>
      </c>
      <c r="F145" s="15">
        <v>46244.43917824074</v>
      </c>
      <c r="G145" s="215" t="s">
        <v>419</v>
      </c>
      <c r="H145" s="215">
        <v>2221</v>
      </c>
      <c r="I145" s="215" t="s">
        <v>857</v>
      </c>
      <c r="J145" s="15">
        <v>46245.671527777777</v>
      </c>
      <c r="K145" s="15">
        <v>46251.602083333331</v>
      </c>
      <c r="L145" s="15"/>
      <c r="M145" s="215">
        <v>2221</v>
      </c>
      <c r="N145" s="215"/>
      <c r="O145" s="215" t="s">
        <v>529</v>
      </c>
      <c r="P145" s="215"/>
      <c r="Q145" s="215"/>
      <c r="R145" s="215"/>
      <c r="S145" s="215" t="s">
        <v>360</v>
      </c>
      <c r="T145" s="215" t="s">
        <v>378</v>
      </c>
      <c r="U145" s="215" t="s">
        <v>239</v>
      </c>
      <c r="V145" s="215" t="s">
        <v>7</v>
      </c>
      <c r="W145" s="215" t="s">
        <v>7</v>
      </c>
      <c r="X145" s="215" t="s">
        <v>7</v>
      </c>
      <c r="Y145" s="215"/>
      <c r="Z145" s="215">
        <v>1</v>
      </c>
      <c r="AA145" s="215" t="s">
        <v>122</v>
      </c>
      <c r="AB145" s="215" t="s">
        <v>360</v>
      </c>
      <c r="AC145" s="215">
        <v>50</v>
      </c>
      <c r="AD145" s="215" t="s">
        <v>232</v>
      </c>
      <c r="AE145" s="215">
        <v>2221</v>
      </c>
      <c r="AF145" s="215"/>
    </row>
    <row r="146" spans="1:32" x14ac:dyDescent="0.3">
      <c r="A146" s="215" t="s">
        <v>351</v>
      </c>
      <c r="B146" s="215" t="s">
        <v>279</v>
      </c>
      <c r="C146" s="215" t="s">
        <v>192</v>
      </c>
      <c r="D146" s="215" t="s">
        <v>310</v>
      </c>
      <c r="E146" s="215" t="s">
        <v>856</v>
      </c>
      <c r="F146" s="15">
        <v>46244.43917824074</v>
      </c>
      <c r="G146" s="215" t="s">
        <v>419</v>
      </c>
      <c r="H146" s="215">
        <v>1702</v>
      </c>
      <c r="I146" s="215" t="s">
        <v>857</v>
      </c>
      <c r="J146" s="15">
        <v>46245.671527777777</v>
      </c>
      <c r="K146" s="15">
        <v>46251.602083333331</v>
      </c>
      <c r="L146" s="15"/>
      <c r="M146" s="215">
        <v>1702</v>
      </c>
      <c r="N146" s="215"/>
      <c r="O146" s="215" t="s">
        <v>529</v>
      </c>
      <c r="P146" s="215"/>
      <c r="Q146" s="215"/>
      <c r="R146" s="215"/>
      <c r="S146" s="215" t="s">
        <v>360</v>
      </c>
      <c r="T146" s="215" t="s">
        <v>378</v>
      </c>
      <c r="U146" s="215" t="s">
        <v>239</v>
      </c>
      <c r="V146" s="215" t="s">
        <v>7</v>
      </c>
      <c r="W146" s="215" t="s">
        <v>7</v>
      </c>
      <c r="X146" s="215" t="s">
        <v>7</v>
      </c>
      <c r="Y146" s="215"/>
      <c r="Z146" s="215">
        <v>1</v>
      </c>
      <c r="AA146" s="215" t="s">
        <v>122</v>
      </c>
      <c r="AB146" s="215" t="s">
        <v>360</v>
      </c>
      <c r="AC146" s="215">
        <v>50</v>
      </c>
      <c r="AD146" s="215" t="s">
        <v>232</v>
      </c>
      <c r="AE146" s="215">
        <v>1702</v>
      </c>
      <c r="AF146" s="215"/>
    </row>
    <row r="147" spans="1:32" x14ac:dyDescent="0.3">
      <c r="A147" s="215" t="s">
        <v>351</v>
      </c>
      <c r="B147" s="215" t="s">
        <v>279</v>
      </c>
      <c r="C147" s="215" t="s">
        <v>192</v>
      </c>
      <c r="D147" s="215" t="s">
        <v>310</v>
      </c>
      <c r="E147" s="215" t="s">
        <v>856</v>
      </c>
      <c r="F147" s="15">
        <v>46244.43917824074</v>
      </c>
      <c r="G147" s="215" t="s">
        <v>419</v>
      </c>
      <c r="H147" s="215">
        <v>1957</v>
      </c>
      <c r="I147" s="215" t="s">
        <v>857</v>
      </c>
      <c r="J147" s="15">
        <v>46245.671527777777</v>
      </c>
      <c r="K147" s="15">
        <v>46251.602083333331</v>
      </c>
      <c r="L147" s="15"/>
      <c r="M147" s="215">
        <v>1957</v>
      </c>
      <c r="N147" s="215"/>
      <c r="O147" s="215" t="s">
        <v>529</v>
      </c>
      <c r="P147" s="215"/>
      <c r="Q147" s="215"/>
      <c r="R147" s="215"/>
      <c r="S147" s="215" t="s">
        <v>360</v>
      </c>
      <c r="T147" s="215" t="s">
        <v>378</v>
      </c>
      <c r="U147" s="215" t="s">
        <v>239</v>
      </c>
      <c r="V147" s="215" t="s">
        <v>7</v>
      </c>
      <c r="W147" s="215" t="s">
        <v>7</v>
      </c>
      <c r="X147" s="215" t="s">
        <v>7</v>
      </c>
      <c r="Y147" s="215"/>
      <c r="Z147" s="215">
        <v>1</v>
      </c>
      <c r="AA147" s="215" t="s">
        <v>122</v>
      </c>
      <c r="AB147" s="215" t="s">
        <v>360</v>
      </c>
      <c r="AC147" s="215">
        <v>50</v>
      </c>
      <c r="AD147" s="215" t="s">
        <v>232</v>
      </c>
      <c r="AE147" s="215">
        <v>1957</v>
      </c>
      <c r="AF147" s="215"/>
    </row>
    <row r="148" spans="1:32" x14ac:dyDescent="0.3">
      <c r="A148" s="215" t="s">
        <v>351</v>
      </c>
      <c r="B148" s="215" t="s">
        <v>279</v>
      </c>
      <c r="C148" s="215" t="s">
        <v>192</v>
      </c>
      <c r="D148" s="215" t="s">
        <v>310</v>
      </c>
      <c r="E148" s="215" t="s">
        <v>858</v>
      </c>
      <c r="F148" s="15">
        <v>46244.468541666669</v>
      </c>
      <c r="G148" s="215" t="s">
        <v>409</v>
      </c>
      <c r="H148" s="215">
        <v>580</v>
      </c>
      <c r="I148" s="215" t="s">
        <v>859</v>
      </c>
      <c r="J148" s="15">
        <v>46244.694444444445</v>
      </c>
      <c r="K148" s="15">
        <v>46248.702777777777</v>
      </c>
      <c r="L148" s="15"/>
      <c r="M148" s="215">
        <v>580</v>
      </c>
      <c r="N148" s="215"/>
      <c r="O148" s="215" t="s">
        <v>201</v>
      </c>
      <c r="P148" s="215" t="s">
        <v>531</v>
      </c>
      <c r="Q148" s="215"/>
      <c r="R148" s="215"/>
      <c r="S148" s="215" t="s">
        <v>360</v>
      </c>
      <c r="T148" s="215" t="s">
        <v>378</v>
      </c>
      <c r="U148" s="215" t="s">
        <v>239</v>
      </c>
      <c r="V148" s="215" t="s">
        <v>7</v>
      </c>
      <c r="W148" s="215" t="s">
        <v>7</v>
      </c>
      <c r="X148" s="215" t="s">
        <v>7</v>
      </c>
      <c r="Y148" s="215"/>
      <c r="Z148" s="215">
        <v>1</v>
      </c>
      <c r="AA148" s="215" t="s">
        <v>122</v>
      </c>
      <c r="AB148" s="215" t="s">
        <v>360</v>
      </c>
      <c r="AC148" s="215">
        <v>50</v>
      </c>
      <c r="AD148" s="215" t="s">
        <v>232</v>
      </c>
      <c r="AE148" s="215">
        <v>580</v>
      </c>
      <c r="AF148" s="215"/>
    </row>
    <row r="149" spans="1:32" x14ac:dyDescent="0.3">
      <c r="A149" s="215" t="s">
        <v>351</v>
      </c>
      <c r="B149" s="215" t="s">
        <v>279</v>
      </c>
      <c r="C149" s="215" t="s">
        <v>192</v>
      </c>
      <c r="D149" s="215" t="s">
        <v>310</v>
      </c>
      <c r="E149" s="215" t="s">
        <v>860</v>
      </c>
      <c r="F149" s="15">
        <v>46244.466851851852</v>
      </c>
      <c r="G149" s="215" t="s">
        <v>409</v>
      </c>
      <c r="H149" s="215">
        <v>156</v>
      </c>
      <c r="I149" s="215" t="s">
        <v>861</v>
      </c>
      <c r="J149" s="15">
        <v>46247.593055555553</v>
      </c>
      <c r="K149" s="15">
        <v>46252.873611111114</v>
      </c>
      <c r="L149" s="15"/>
      <c r="M149" s="215">
        <v>156</v>
      </c>
      <c r="N149" s="215"/>
      <c r="O149" s="215" t="s">
        <v>201</v>
      </c>
      <c r="P149" s="215" t="s">
        <v>531</v>
      </c>
      <c r="Q149" s="215"/>
      <c r="R149" s="215"/>
      <c r="S149" s="215" t="s">
        <v>360</v>
      </c>
      <c r="T149" s="215" t="s">
        <v>378</v>
      </c>
      <c r="U149" s="215" t="s">
        <v>239</v>
      </c>
      <c r="V149" s="215" t="s">
        <v>7</v>
      </c>
      <c r="W149" s="215" t="s">
        <v>7</v>
      </c>
      <c r="X149" s="215" t="s">
        <v>7</v>
      </c>
      <c r="Y149" s="215"/>
      <c r="Z149" s="215">
        <v>1</v>
      </c>
      <c r="AA149" s="215" t="s">
        <v>122</v>
      </c>
      <c r="AB149" s="215" t="s">
        <v>360</v>
      </c>
      <c r="AC149" s="215">
        <v>50</v>
      </c>
      <c r="AD149" s="215" t="s">
        <v>232</v>
      </c>
      <c r="AE149" s="215">
        <v>156</v>
      </c>
      <c r="AF149" s="215"/>
    </row>
    <row r="150" spans="1:32" x14ac:dyDescent="0.3">
      <c r="A150" s="215" t="s">
        <v>351</v>
      </c>
      <c r="B150" s="215" t="s">
        <v>279</v>
      </c>
      <c r="C150" s="215" t="s">
        <v>192</v>
      </c>
      <c r="D150" s="215" t="s">
        <v>310</v>
      </c>
      <c r="E150" s="215" t="s">
        <v>904</v>
      </c>
      <c r="F150" s="15">
        <v>46241.40283564815</v>
      </c>
      <c r="G150" s="215" t="s">
        <v>905</v>
      </c>
      <c r="H150" s="215">
        <v>741</v>
      </c>
      <c r="I150" s="215" t="s">
        <v>906</v>
      </c>
      <c r="J150" s="15">
        <v>46241.429861111108</v>
      </c>
      <c r="K150" s="15">
        <v>46246.593055555553</v>
      </c>
      <c r="L150" s="15"/>
      <c r="M150" s="215">
        <v>741</v>
      </c>
      <c r="N150" s="215"/>
      <c r="O150" s="215" t="s">
        <v>201</v>
      </c>
      <c r="P150" s="215" t="s">
        <v>531</v>
      </c>
      <c r="Q150" s="215"/>
      <c r="R150" s="215"/>
      <c r="S150" s="215" t="s">
        <v>362</v>
      </c>
      <c r="T150" s="215" t="s">
        <v>378</v>
      </c>
      <c r="U150" s="215" t="s">
        <v>239</v>
      </c>
      <c r="V150" s="215" t="s">
        <v>7</v>
      </c>
      <c r="W150" s="215" t="s">
        <v>7</v>
      </c>
      <c r="X150" s="215" t="s">
        <v>7</v>
      </c>
      <c r="Y150" s="215"/>
      <c r="Z150" s="215">
        <v>1</v>
      </c>
      <c r="AA150" s="215" t="s">
        <v>122</v>
      </c>
      <c r="AB150" s="215" t="s">
        <v>362</v>
      </c>
      <c r="AC150" s="215">
        <v>109</v>
      </c>
      <c r="AD150" s="215" t="s">
        <v>232</v>
      </c>
      <c r="AE150" s="215">
        <v>741</v>
      </c>
      <c r="AF150" s="215"/>
    </row>
    <row r="151" spans="1:32" x14ac:dyDescent="0.3">
      <c r="A151" s="215" t="s">
        <v>351</v>
      </c>
      <c r="B151" s="215" t="s">
        <v>279</v>
      </c>
      <c r="C151" s="215" t="s">
        <v>192</v>
      </c>
      <c r="D151" s="215" t="s">
        <v>310</v>
      </c>
      <c r="E151" s="215" t="s">
        <v>437</v>
      </c>
      <c r="F151" s="15">
        <v>46202.512337962966</v>
      </c>
      <c r="G151" s="215" t="s">
        <v>436</v>
      </c>
      <c r="H151" s="215">
        <v>641</v>
      </c>
      <c r="I151" s="215" t="s">
        <v>1041</v>
      </c>
      <c r="J151" s="15">
        <v>46241.424259259256</v>
      </c>
      <c r="K151" s="15">
        <v>46248.483460648145</v>
      </c>
      <c r="L151" s="15"/>
      <c r="M151" s="215">
        <v>641</v>
      </c>
      <c r="N151" s="215"/>
      <c r="O151" s="215" t="s">
        <v>201</v>
      </c>
      <c r="P151" s="215" t="s">
        <v>531</v>
      </c>
      <c r="Q151" s="215"/>
      <c r="R151" s="215"/>
      <c r="S151" s="215" t="s">
        <v>362</v>
      </c>
      <c r="T151" s="215" t="s">
        <v>378</v>
      </c>
      <c r="U151" s="215" t="s">
        <v>239</v>
      </c>
      <c r="V151" s="215" t="s">
        <v>7</v>
      </c>
      <c r="W151" s="215" t="s">
        <v>7</v>
      </c>
      <c r="X151" s="215" t="s">
        <v>7</v>
      </c>
      <c r="Y151" s="215"/>
      <c r="Z151" s="215">
        <v>1</v>
      </c>
      <c r="AA151" s="215" t="s">
        <v>122</v>
      </c>
      <c r="AB151" s="215" t="s">
        <v>362</v>
      </c>
      <c r="AC151" s="215">
        <v>109</v>
      </c>
      <c r="AD151" s="215" t="s">
        <v>232</v>
      </c>
      <c r="AE151" s="215">
        <v>641</v>
      </c>
      <c r="AF151" s="215"/>
    </row>
    <row r="152" spans="1:32" x14ac:dyDescent="0.3">
      <c r="A152" s="215" t="s">
        <v>351</v>
      </c>
      <c r="B152" s="215" t="s">
        <v>279</v>
      </c>
      <c r="C152" s="215" t="s">
        <v>192</v>
      </c>
      <c r="D152" s="215" t="s">
        <v>310</v>
      </c>
      <c r="E152" s="215" t="s">
        <v>907</v>
      </c>
      <c r="F152" s="15">
        <v>46230.40084490741</v>
      </c>
      <c r="G152" s="215" t="s">
        <v>424</v>
      </c>
      <c r="H152" s="215">
        <v>3027</v>
      </c>
      <c r="I152" s="215" t="s">
        <v>908</v>
      </c>
      <c r="J152" s="15">
        <v>46233.454386574071</v>
      </c>
      <c r="K152" s="15">
        <v>46238.481249999997</v>
      </c>
      <c r="L152" s="15"/>
      <c r="M152" s="215">
        <v>3027</v>
      </c>
      <c r="N152" s="215"/>
      <c r="O152" s="215" t="s">
        <v>201</v>
      </c>
      <c r="P152" s="215" t="s">
        <v>531</v>
      </c>
      <c r="Q152" s="215"/>
      <c r="R152" s="215"/>
      <c r="S152" s="215" t="s">
        <v>362</v>
      </c>
      <c r="T152" s="215" t="s">
        <v>378</v>
      </c>
      <c r="U152" s="215" t="s">
        <v>239</v>
      </c>
      <c r="V152" s="215" t="s">
        <v>7</v>
      </c>
      <c r="W152" s="215" t="s">
        <v>7</v>
      </c>
      <c r="X152" s="215" t="s">
        <v>7</v>
      </c>
      <c r="Y152" s="215"/>
      <c r="Z152" s="215">
        <v>1</v>
      </c>
      <c r="AA152" s="215" t="s">
        <v>122</v>
      </c>
      <c r="AB152" s="215" t="s">
        <v>362</v>
      </c>
      <c r="AC152" s="215">
        <v>109</v>
      </c>
      <c r="AD152" s="215" t="s">
        <v>232</v>
      </c>
      <c r="AE152" s="215">
        <v>3027</v>
      </c>
      <c r="AF152" s="215"/>
    </row>
    <row r="153" spans="1:32" x14ac:dyDescent="0.3">
      <c r="A153" s="215" t="s">
        <v>351</v>
      </c>
      <c r="B153" s="215" t="s">
        <v>279</v>
      </c>
      <c r="C153" s="215" t="s">
        <v>192</v>
      </c>
      <c r="D153" s="215" t="s">
        <v>310</v>
      </c>
      <c r="E153" s="215" t="s">
        <v>907</v>
      </c>
      <c r="F153" s="15">
        <v>46230.40084490741</v>
      </c>
      <c r="G153" s="215" t="s">
        <v>424</v>
      </c>
      <c r="H153" s="215">
        <v>687</v>
      </c>
      <c r="I153" s="215" t="s">
        <v>908</v>
      </c>
      <c r="J153" s="15">
        <v>46233.454386574071</v>
      </c>
      <c r="K153" s="15">
        <v>46238.481249999997</v>
      </c>
      <c r="L153" s="15"/>
      <c r="M153" s="215">
        <v>687</v>
      </c>
      <c r="N153" s="215"/>
      <c r="O153" s="215" t="s">
        <v>529</v>
      </c>
      <c r="P153" s="215"/>
      <c r="Q153" s="215"/>
      <c r="R153" s="215"/>
      <c r="S153" s="215" t="s">
        <v>362</v>
      </c>
      <c r="T153" s="215" t="s">
        <v>378</v>
      </c>
      <c r="U153" s="215" t="s">
        <v>239</v>
      </c>
      <c r="V153" s="215" t="s">
        <v>7</v>
      </c>
      <c r="W153" s="215" t="s">
        <v>7</v>
      </c>
      <c r="X153" s="215" t="s">
        <v>7</v>
      </c>
      <c r="Y153" s="215"/>
      <c r="Z153" s="215">
        <v>1</v>
      </c>
      <c r="AA153" s="215" t="s">
        <v>122</v>
      </c>
      <c r="AB153" s="215" t="s">
        <v>362</v>
      </c>
      <c r="AC153" s="215">
        <v>109</v>
      </c>
      <c r="AD153" s="215" t="s">
        <v>232</v>
      </c>
      <c r="AE153" s="215">
        <v>687</v>
      </c>
      <c r="AF153" s="215"/>
    </row>
    <row r="154" spans="1:32" x14ac:dyDescent="0.3">
      <c r="A154" s="215" t="s">
        <v>351</v>
      </c>
      <c r="B154" s="215" t="s">
        <v>279</v>
      </c>
      <c r="C154" s="215" t="s">
        <v>192</v>
      </c>
      <c r="D154" s="215" t="s">
        <v>310</v>
      </c>
      <c r="E154" s="215" t="s">
        <v>907</v>
      </c>
      <c r="F154" s="15">
        <v>46230.40084490741</v>
      </c>
      <c r="G154" s="215" t="s">
        <v>424</v>
      </c>
      <c r="H154" s="215">
        <v>1378</v>
      </c>
      <c r="I154" s="215" t="s">
        <v>908</v>
      </c>
      <c r="J154" s="15">
        <v>46233.454386574071</v>
      </c>
      <c r="K154" s="15">
        <v>46238.481249999997</v>
      </c>
      <c r="L154" s="15"/>
      <c r="M154" s="215">
        <v>1378</v>
      </c>
      <c r="N154" s="215"/>
      <c r="O154" s="215" t="s">
        <v>529</v>
      </c>
      <c r="P154" s="215"/>
      <c r="Q154" s="215"/>
      <c r="R154" s="215"/>
      <c r="S154" s="215" t="s">
        <v>362</v>
      </c>
      <c r="T154" s="215" t="s">
        <v>378</v>
      </c>
      <c r="U154" s="215" t="s">
        <v>239</v>
      </c>
      <c r="V154" s="215" t="s">
        <v>7</v>
      </c>
      <c r="W154" s="215" t="s">
        <v>7</v>
      </c>
      <c r="X154" s="215" t="s">
        <v>7</v>
      </c>
      <c r="Y154" s="215"/>
      <c r="Z154" s="215">
        <v>1</v>
      </c>
      <c r="AA154" s="215" t="s">
        <v>122</v>
      </c>
      <c r="AB154" s="215" t="s">
        <v>362</v>
      </c>
      <c r="AC154" s="215">
        <v>109</v>
      </c>
      <c r="AD154" s="215" t="s">
        <v>232</v>
      </c>
      <c r="AE154" s="215">
        <v>1378</v>
      </c>
      <c r="AF154" s="215"/>
    </row>
    <row r="155" spans="1:32" x14ac:dyDescent="0.3">
      <c r="A155" s="215" t="s">
        <v>351</v>
      </c>
      <c r="B155" s="215" t="s">
        <v>279</v>
      </c>
      <c r="C155" s="215" t="s">
        <v>192</v>
      </c>
      <c r="D155" s="215" t="s">
        <v>310</v>
      </c>
      <c r="E155" s="215" t="s">
        <v>907</v>
      </c>
      <c r="F155" s="15">
        <v>46230.40084490741</v>
      </c>
      <c r="G155" s="215" t="s">
        <v>424</v>
      </c>
      <c r="H155" s="215">
        <v>1789</v>
      </c>
      <c r="I155" s="215" t="s">
        <v>908</v>
      </c>
      <c r="J155" s="15">
        <v>46233.454386574071</v>
      </c>
      <c r="K155" s="15">
        <v>46238.481249999997</v>
      </c>
      <c r="L155" s="15"/>
      <c r="M155" s="215">
        <v>1789</v>
      </c>
      <c r="N155" s="215"/>
      <c r="O155" s="215" t="s">
        <v>529</v>
      </c>
      <c r="P155" s="215"/>
      <c r="Q155" s="215"/>
      <c r="R155" s="215"/>
      <c r="S155" s="215" t="s">
        <v>362</v>
      </c>
      <c r="T155" s="215" t="s">
        <v>378</v>
      </c>
      <c r="U155" s="215" t="s">
        <v>239</v>
      </c>
      <c r="V155" s="215" t="s">
        <v>7</v>
      </c>
      <c r="W155" s="215" t="s">
        <v>7</v>
      </c>
      <c r="X155" s="215" t="s">
        <v>7</v>
      </c>
      <c r="Y155" s="215"/>
      <c r="Z155" s="215">
        <v>1</v>
      </c>
      <c r="AA155" s="215" t="s">
        <v>122</v>
      </c>
      <c r="AB155" s="215" t="s">
        <v>362</v>
      </c>
      <c r="AC155" s="215">
        <v>109</v>
      </c>
      <c r="AD155" s="215" t="s">
        <v>232</v>
      </c>
      <c r="AE155" s="215">
        <v>1789</v>
      </c>
      <c r="AF155" s="215"/>
    </row>
    <row r="156" spans="1:32" x14ac:dyDescent="0.3">
      <c r="A156" s="215" t="s">
        <v>351</v>
      </c>
      <c r="B156" s="215" t="s">
        <v>279</v>
      </c>
      <c r="C156" s="215" t="s">
        <v>192</v>
      </c>
      <c r="D156" s="215" t="s">
        <v>310</v>
      </c>
      <c r="E156" s="215" t="s">
        <v>907</v>
      </c>
      <c r="F156" s="15">
        <v>46230.40084490741</v>
      </c>
      <c r="G156" s="215" t="s">
        <v>424</v>
      </c>
      <c r="H156" s="215">
        <v>1710</v>
      </c>
      <c r="I156" s="215" t="s">
        <v>908</v>
      </c>
      <c r="J156" s="15">
        <v>46233.454386574071</v>
      </c>
      <c r="K156" s="15">
        <v>46238.481249999997</v>
      </c>
      <c r="L156" s="15"/>
      <c r="M156" s="215">
        <v>1710</v>
      </c>
      <c r="N156" s="215"/>
      <c r="O156" s="215" t="s">
        <v>529</v>
      </c>
      <c r="P156" s="215"/>
      <c r="Q156" s="215"/>
      <c r="R156" s="215"/>
      <c r="S156" s="215" t="s">
        <v>362</v>
      </c>
      <c r="T156" s="215" t="s">
        <v>378</v>
      </c>
      <c r="U156" s="215" t="s">
        <v>239</v>
      </c>
      <c r="V156" s="215" t="s">
        <v>7</v>
      </c>
      <c r="W156" s="215" t="s">
        <v>7</v>
      </c>
      <c r="X156" s="215" t="s">
        <v>7</v>
      </c>
      <c r="Y156" s="215"/>
      <c r="Z156" s="215">
        <v>1</v>
      </c>
      <c r="AA156" s="215" t="s">
        <v>122</v>
      </c>
      <c r="AB156" s="215" t="s">
        <v>362</v>
      </c>
      <c r="AC156" s="215">
        <v>109</v>
      </c>
      <c r="AD156" s="215" t="s">
        <v>232</v>
      </c>
      <c r="AE156" s="215">
        <v>1710</v>
      </c>
      <c r="AF156" s="215"/>
    </row>
    <row r="157" spans="1:32" x14ac:dyDescent="0.3">
      <c r="A157" s="215" t="s">
        <v>351</v>
      </c>
      <c r="B157" s="215" t="s">
        <v>279</v>
      </c>
      <c r="C157" s="215" t="s">
        <v>192</v>
      </c>
      <c r="D157" s="215" t="s">
        <v>310</v>
      </c>
      <c r="E157" s="215" t="s">
        <v>907</v>
      </c>
      <c r="F157" s="15">
        <v>46230.40084490741</v>
      </c>
      <c r="G157" s="215" t="s">
        <v>424</v>
      </c>
      <c r="H157" s="215">
        <v>1421</v>
      </c>
      <c r="I157" s="215" t="s">
        <v>908</v>
      </c>
      <c r="J157" s="15">
        <v>46233.454386574071</v>
      </c>
      <c r="K157" s="15">
        <v>46238.481249999997</v>
      </c>
      <c r="L157" s="15"/>
      <c r="M157" s="215">
        <v>1421</v>
      </c>
      <c r="N157" s="215"/>
      <c r="O157" s="215" t="s">
        <v>529</v>
      </c>
      <c r="P157" s="215"/>
      <c r="Q157" s="215"/>
      <c r="R157" s="215"/>
      <c r="S157" s="215" t="s">
        <v>362</v>
      </c>
      <c r="T157" s="215" t="s">
        <v>378</v>
      </c>
      <c r="U157" s="215" t="s">
        <v>239</v>
      </c>
      <c r="V157" s="215" t="s">
        <v>7</v>
      </c>
      <c r="W157" s="215" t="s">
        <v>7</v>
      </c>
      <c r="X157" s="215" t="s">
        <v>7</v>
      </c>
      <c r="Y157" s="215"/>
      <c r="Z157" s="215">
        <v>1</v>
      </c>
      <c r="AA157" s="215" t="s">
        <v>122</v>
      </c>
      <c r="AB157" s="215" t="s">
        <v>362</v>
      </c>
      <c r="AC157" s="215">
        <v>109</v>
      </c>
      <c r="AD157" s="215" t="s">
        <v>232</v>
      </c>
      <c r="AE157" s="215">
        <v>1421</v>
      </c>
      <c r="AF157" s="215"/>
    </row>
    <row r="158" spans="1:32" x14ac:dyDescent="0.3">
      <c r="A158" s="215" t="s">
        <v>351</v>
      </c>
      <c r="B158" s="215" t="s">
        <v>279</v>
      </c>
      <c r="C158" s="215" t="s">
        <v>192</v>
      </c>
      <c r="D158" s="215" t="s">
        <v>310</v>
      </c>
      <c r="E158" s="215" t="s">
        <v>907</v>
      </c>
      <c r="F158" s="15">
        <v>46230.40084490741</v>
      </c>
      <c r="G158" s="215" t="s">
        <v>424</v>
      </c>
      <c r="H158" s="215">
        <v>1299</v>
      </c>
      <c r="I158" s="215" t="s">
        <v>908</v>
      </c>
      <c r="J158" s="15">
        <v>46233.454386574071</v>
      </c>
      <c r="K158" s="15">
        <v>46238.481249999997</v>
      </c>
      <c r="L158" s="15"/>
      <c r="M158" s="215">
        <v>1299</v>
      </c>
      <c r="N158" s="215"/>
      <c r="O158" s="215" t="s">
        <v>529</v>
      </c>
      <c r="P158" s="215"/>
      <c r="Q158" s="215"/>
      <c r="R158" s="215"/>
      <c r="S158" s="215" t="s">
        <v>362</v>
      </c>
      <c r="T158" s="215" t="s">
        <v>378</v>
      </c>
      <c r="U158" s="215" t="s">
        <v>239</v>
      </c>
      <c r="V158" s="215" t="s">
        <v>7</v>
      </c>
      <c r="W158" s="215" t="s">
        <v>7</v>
      </c>
      <c r="X158" s="215" t="s">
        <v>7</v>
      </c>
      <c r="Y158" s="215"/>
      <c r="Z158" s="215">
        <v>1</v>
      </c>
      <c r="AA158" s="215" t="s">
        <v>122</v>
      </c>
      <c r="AB158" s="215" t="s">
        <v>362</v>
      </c>
      <c r="AC158" s="215">
        <v>109</v>
      </c>
      <c r="AD158" s="215" t="s">
        <v>232</v>
      </c>
      <c r="AE158" s="215">
        <v>1299</v>
      </c>
      <c r="AF158" s="215"/>
    </row>
    <row r="159" spans="1:32" x14ac:dyDescent="0.3">
      <c r="A159" s="215" t="s">
        <v>351</v>
      </c>
      <c r="B159" s="215" t="s">
        <v>279</v>
      </c>
      <c r="C159" s="215" t="s">
        <v>192</v>
      </c>
      <c r="D159" s="215" t="s">
        <v>310</v>
      </c>
      <c r="E159" s="215" t="s">
        <v>907</v>
      </c>
      <c r="F159" s="15">
        <v>46230.40084490741</v>
      </c>
      <c r="G159" s="215" t="s">
        <v>424</v>
      </c>
      <c r="H159" s="215">
        <v>1459</v>
      </c>
      <c r="I159" s="215" t="s">
        <v>908</v>
      </c>
      <c r="J159" s="15">
        <v>46233.454386574071</v>
      </c>
      <c r="K159" s="15">
        <v>46238.481249999997</v>
      </c>
      <c r="L159" s="15"/>
      <c r="M159" s="215">
        <v>1459</v>
      </c>
      <c r="N159" s="215"/>
      <c r="O159" s="215" t="s">
        <v>529</v>
      </c>
      <c r="P159" s="215"/>
      <c r="Q159" s="215"/>
      <c r="R159" s="215"/>
      <c r="S159" s="215" t="s">
        <v>362</v>
      </c>
      <c r="T159" s="215" t="s">
        <v>378</v>
      </c>
      <c r="U159" s="215" t="s">
        <v>239</v>
      </c>
      <c r="V159" s="215" t="s">
        <v>7</v>
      </c>
      <c r="W159" s="215" t="s">
        <v>7</v>
      </c>
      <c r="X159" s="215" t="s">
        <v>7</v>
      </c>
      <c r="Y159" s="215"/>
      <c r="Z159" s="215">
        <v>1</v>
      </c>
      <c r="AA159" s="215" t="s">
        <v>122</v>
      </c>
      <c r="AB159" s="215" t="s">
        <v>362</v>
      </c>
      <c r="AC159" s="215">
        <v>109</v>
      </c>
      <c r="AD159" s="215" t="s">
        <v>232</v>
      </c>
      <c r="AE159" s="215">
        <v>1459</v>
      </c>
      <c r="AF159" s="215"/>
    </row>
    <row r="160" spans="1:32" x14ac:dyDescent="0.3">
      <c r="A160" s="215" t="s">
        <v>351</v>
      </c>
      <c r="B160" s="215" t="s">
        <v>279</v>
      </c>
      <c r="C160" s="215" t="s">
        <v>192</v>
      </c>
      <c r="D160" s="215" t="s">
        <v>310</v>
      </c>
      <c r="E160" s="215" t="s">
        <v>907</v>
      </c>
      <c r="F160" s="15">
        <v>46230.40084490741</v>
      </c>
      <c r="G160" s="215" t="s">
        <v>424</v>
      </c>
      <c r="H160" s="215">
        <v>1476</v>
      </c>
      <c r="I160" s="215" t="s">
        <v>908</v>
      </c>
      <c r="J160" s="15">
        <v>46233.454386574071</v>
      </c>
      <c r="K160" s="15">
        <v>46238.481249999997</v>
      </c>
      <c r="L160" s="15"/>
      <c r="M160" s="215">
        <v>1476</v>
      </c>
      <c r="N160" s="215"/>
      <c r="O160" s="215" t="s">
        <v>529</v>
      </c>
      <c r="P160" s="215"/>
      <c r="Q160" s="215"/>
      <c r="R160" s="215"/>
      <c r="S160" s="215" t="s">
        <v>362</v>
      </c>
      <c r="T160" s="215" t="s">
        <v>378</v>
      </c>
      <c r="U160" s="215" t="s">
        <v>239</v>
      </c>
      <c r="V160" s="215" t="s">
        <v>7</v>
      </c>
      <c r="W160" s="215" t="s">
        <v>7</v>
      </c>
      <c r="X160" s="215" t="s">
        <v>7</v>
      </c>
      <c r="Y160" s="215"/>
      <c r="Z160" s="215">
        <v>1</v>
      </c>
      <c r="AA160" s="215" t="s">
        <v>122</v>
      </c>
      <c r="AB160" s="215" t="s">
        <v>362</v>
      </c>
      <c r="AC160" s="215">
        <v>109</v>
      </c>
      <c r="AD160" s="215" t="s">
        <v>232</v>
      </c>
      <c r="AE160" s="215">
        <v>1476</v>
      </c>
      <c r="AF160" s="215"/>
    </row>
    <row r="161" spans="1:32" x14ac:dyDescent="0.3">
      <c r="A161" s="215" t="s">
        <v>351</v>
      </c>
      <c r="B161" s="215" t="s">
        <v>279</v>
      </c>
      <c r="C161" s="215" t="s">
        <v>192</v>
      </c>
      <c r="D161" s="215" t="s">
        <v>310</v>
      </c>
      <c r="E161" s="215" t="s">
        <v>907</v>
      </c>
      <c r="F161" s="15">
        <v>46230.40084490741</v>
      </c>
      <c r="G161" s="215" t="s">
        <v>424</v>
      </c>
      <c r="H161" s="215">
        <v>1559</v>
      </c>
      <c r="I161" s="215" t="s">
        <v>908</v>
      </c>
      <c r="J161" s="15">
        <v>46233.454386574071</v>
      </c>
      <c r="K161" s="15">
        <v>46238.481249999997</v>
      </c>
      <c r="L161" s="15"/>
      <c r="M161" s="215">
        <v>1559</v>
      </c>
      <c r="N161" s="215"/>
      <c r="O161" s="215" t="s">
        <v>529</v>
      </c>
      <c r="P161" s="215"/>
      <c r="Q161" s="215"/>
      <c r="R161" s="215"/>
      <c r="S161" s="215" t="s">
        <v>362</v>
      </c>
      <c r="T161" s="215" t="s">
        <v>378</v>
      </c>
      <c r="U161" s="215" t="s">
        <v>239</v>
      </c>
      <c r="V161" s="215" t="s">
        <v>7</v>
      </c>
      <c r="W161" s="215" t="s">
        <v>7</v>
      </c>
      <c r="X161" s="215" t="s">
        <v>7</v>
      </c>
      <c r="Y161" s="215"/>
      <c r="Z161" s="215">
        <v>1</v>
      </c>
      <c r="AA161" s="215" t="s">
        <v>122</v>
      </c>
      <c r="AB161" s="215" t="s">
        <v>362</v>
      </c>
      <c r="AC161" s="215">
        <v>109</v>
      </c>
      <c r="AD161" s="215" t="s">
        <v>232</v>
      </c>
      <c r="AE161" s="215">
        <v>1559</v>
      </c>
      <c r="AF161" s="215"/>
    </row>
    <row r="162" spans="1:32" x14ac:dyDescent="0.3">
      <c r="A162" s="215" t="s">
        <v>351</v>
      </c>
      <c r="B162" s="215" t="s">
        <v>279</v>
      </c>
      <c r="C162" s="215" t="s">
        <v>192</v>
      </c>
      <c r="D162" s="215" t="s">
        <v>310</v>
      </c>
      <c r="E162" s="215" t="s">
        <v>797</v>
      </c>
      <c r="F162" s="15">
        <v>46232.31826388889</v>
      </c>
      <c r="G162" s="215" t="s">
        <v>411</v>
      </c>
      <c r="H162" s="215">
        <v>6</v>
      </c>
      <c r="I162" s="215" t="s">
        <v>1033</v>
      </c>
      <c r="J162" s="15">
        <v>46232.407094907408</v>
      </c>
      <c r="K162" s="15">
        <v>46238.423611111109</v>
      </c>
      <c r="L162" s="15"/>
      <c r="M162" s="215">
        <v>6</v>
      </c>
      <c r="N162" s="215"/>
      <c r="O162" s="215" t="s">
        <v>201</v>
      </c>
      <c r="P162" s="215" t="s">
        <v>531</v>
      </c>
      <c r="Q162" s="215"/>
      <c r="R162" s="215"/>
      <c r="S162" s="215" t="s">
        <v>363</v>
      </c>
      <c r="T162" s="215" t="s">
        <v>378</v>
      </c>
      <c r="U162" s="215" t="s">
        <v>239</v>
      </c>
      <c r="V162" s="215" t="s">
        <v>7</v>
      </c>
      <c r="W162" s="215" t="s">
        <v>7</v>
      </c>
      <c r="X162" s="215" t="s">
        <v>7</v>
      </c>
      <c r="Y162" s="215"/>
      <c r="Z162" s="215">
        <v>1</v>
      </c>
      <c r="AA162" s="215" t="s">
        <v>122</v>
      </c>
      <c r="AB162" s="215" t="s">
        <v>363</v>
      </c>
      <c r="AC162" s="215">
        <v>101</v>
      </c>
      <c r="AD162" s="215" t="s">
        <v>232</v>
      </c>
      <c r="AE162" s="215">
        <v>6</v>
      </c>
      <c r="AF162" s="215"/>
    </row>
    <row r="163" spans="1:32" x14ac:dyDescent="0.3">
      <c r="A163" s="215" t="s">
        <v>351</v>
      </c>
      <c r="B163" s="215" t="s">
        <v>279</v>
      </c>
      <c r="C163" s="215" t="s">
        <v>192</v>
      </c>
      <c r="D163" s="215" t="s">
        <v>310</v>
      </c>
      <c r="E163" s="215" t="s">
        <v>1043</v>
      </c>
      <c r="F163" s="15">
        <v>46253.45040509259</v>
      </c>
      <c r="G163" s="215" t="s">
        <v>412</v>
      </c>
      <c r="H163" s="215">
        <v>568</v>
      </c>
      <c r="I163" s="215" t="s">
        <v>1044</v>
      </c>
      <c r="J163" s="15">
        <v>46255.393750000003</v>
      </c>
      <c r="K163" s="15">
        <v>46258.414583333331</v>
      </c>
      <c r="L163" s="15"/>
      <c r="M163" s="215">
        <v>568</v>
      </c>
      <c r="N163" s="215"/>
      <c r="O163" s="215" t="s">
        <v>201</v>
      </c>
      <c r="P163" s="215" t="s">
        <v>532</v>
      </c>
      <c r="Q163" s="215"/>
      <c r="R163" s="215"/>
      <c r="S163" s="215" t="s">
        <v>361</v>
      </c>
      <c r="T163" s="215" t="s">
        <v>378</v>
      </c>
      <c r="U163" s="215" t="s">
        <v>239</v>
      </c>
      <c r="V163" s="215" t="s">
        <v>7</v>
      </c>
      <c r="W163" s="215" t="s">
        <v>7</v>
      </c>
      <c r="X163" s="215" t="s">
        <v>7</v>
      </c>
      <c r="Y163" s="215"/>
      <c r="Z163" s="215">
        <v>1</v>
      </c>
      <c r="AA163" s="215" t="s">
        <v>122</v>
      </c>
      <c r="AB163" s="215" t="s">
        <v>361</v>
      </c>
      <c r="AC163" s="215">
        <v>2200</v>
      </c>
      <c r="AD163" s="215" t="s">
        <v>232</v>
      </c>
      <c r="AE163" s="215">
        <v>568</v>
      </c>
      <c r="AF163" s="215"/>
    </row>
    <row r="164" spans="1:32" x14ac:dyDescent="0.3">
      <c r="A164" s="215" t="s">
        <v>351</v>
      </c>
      <c r="B164" s="215" t="s">
        <v>279</v>
      </c>
      <c r="C164" s="215" t="s">
        <v>192</v>
      </c>
      <c r="D164" s="215" t="s">
        <v>310</v>
      </c>
      <c r="E164" s="215" t="s">
        <v>1049</v>
      </c>
      <c r="F164" s="15">
        <v>46225.356817129628</v>
      </c>
      <c r="G164" s="215" t="s">
        <v>409</v>
      </c>
      <c r="H164" s="215">
        <v>191</v>
      </c>
      <c r="I164" s="215" t="s">
        <v>1050</v>
      </c>
      <c r="J164" s="15">
        <v>46233.380069444444</v>
      </c>
      <c r="K164" s="15">
        <v>46238.463194444441</v>
      </c>
      <c r="L164" s="15"/>
      <c r="M164" s="215">
        <v>191</v>
      </c>
      <c r="N164" s="215"/>
      <c r="O164" s="215" t="s">
        <v>201</v>
      </c>
      <c r="P164" s="215" t="s">
        <v>531</v>
      </c>
      <c r="Q164" s="215"/>
      <c r="R164" s="215"/>
      <c r="S164" s="215" t="s">
        <v>360</v>
      </c>
      <c r="T164" s="215" t="s">
        <v>378</v>
      </c>
      <c r="U164" s="215" t="s">
        <v>239</v>
      </c>
      <c r="V164" s="215" t="s">
        <v>7</v>
      </c>
      <c r="W164" s="215" t="s">
        <v>7</v>
      </c>
      <c r="X164" s="215" t="s">
        <v>7</v>
      </c>
      <c r="Y164" s="215"/>
      <c r="Z164" s="215">
        <v>1</v>
      </c>
      <c r="AA164" s="215" t="s">
        <v>122</v>
      </c>
      <c r="AB164" s="215" t="s">
        <v>360</v>
      </c>
      <c r="AC164" s="215">
        <v>50</v>
      </c>
      <c r="AD164" s="215" t="s">
        <v>232</v>
      </c>
      <c r="AE164" s="215">
        <v>191</v>
      </c>
      <c r="AF164" s="215"/>
    </row>
    <row r="165" spans="1:32" x14ac:dyDescent="0.3">
      <c r="A165" s="215" t="s">
        <v>351</v>
      </c>
      <c r="B165" s="215" t="s">
        <v>279</v>
      </c>
      <c r="C165" s="215" t="s">
        <v>192</v>
      </c>
      <c r="D165" s="215" t="s">
        <v>310</v>
      </c>
      <c r="E165" s="215" t="s">
        <v>1055</v>
      </c>
      <c r="F165" s="15">
        <v>46223.754212962966</v>
      </c>
      <c r="G165" s="215" t="s">
        <v>412</v>
      </c>
      <c r="H165" s="215">
        <v>42</v>
      </c>
      <c r="I165" s="215" t="s">
        <v>1056</v>
      </c>
      <c r="J165" s="15">
        <v>46232.484236111108</v>
      </c>
      <c r="K165" s="15">
        <v>46238.427083333336</v>
      </c>
      <c r="L165" s="15"/>
      <c r="M165" s="215">
        <v>42</v>
      </c>
      <c r="N165" s="215"/>
      <c r="O165" s="215" t="s">
        <v>201</v>
      </c>
      <c r="P165" s="215" t="s">
        <v>531</v>
      </c>
      <c r="Q165" s="215"/>
      <c r="R165" s="215"/>
      <c r="S165" s="215" t="s">
        <v>361</v>
      </c>
      <c r="T165" s="215" t="s">
        <v>378</v>
      </c>
      <c r="U165" s="215" t="s">
        <v>239</v>
      </c>
      <c r="V165" s="215" t="s">
        <v>7</v>
      </c>
      <c r="W165" s="215" t="s">
        <v>7</v>
      </c>
      <c r="X165" s="215" t="s">
        <v>7</v>
      </c>
      <c r="Y165" s="215"/>
      <c r="Z165" s="215">
        <v>1</v>
      </c>
      <c r="AA165" s="215" t="s">
        <v>122</v>
      </c>
      <c r="AB165" s="215" t="s">
        <v>361</v>
      </c>
      <c r="AC165" s="215">
        <v>2200</v>
      </c>
      <c r="AD165" s="215" t="s">
        <v>232</v>
      </c>
      <c r="AE165" s="215">
        <v>42</v>
      </c>
      <c r="AF165" s="215"/>
    </row>
    <row r="166" spans="1:32" x14ac:dyDescent="0.3">
      <c r="A166" s="215" t="s">
        <v>351</v>
      </c>
      <c r="B166" s="215" t="s">
        <v>279</v>
      </c>
      <c r="C166" s="215" t="s">
        <v>192</v>
      </c>
      <c r="D166" s="215" t="s">
        <v>310</v>
      </c>
      <c r="E166" s="215" t="s">
        <v>1064</v>
      </c>
      <c r="F166" s="15">
        <v>46223.623645833337</v>
      </c>
      <c r="G166" s="215" t="s">
        <v>412</v>
      </c>
      <c r="H166" s="215">
        <v>2</v>
      </c>
      <c r="I166" s="215" t="s">
        <v>1065</v>
      </c>
      <c r="J166" s="15">
        <v>46224.351388888892</v>
      </c>
      <c r="K166" s="15">
        <v>46227.68472222222</v>
      </c>
      <c r="L166" s="15">
        <v>46234.655555555553</v>
      </c>
      <c r="M166" s="215">
        <v>2</v>
      </c>
      <c r="N166" s="215"/>
      <c r="O166" s="215" t="s">
        <v>201</v>
      </c>
      <c r="P166" s="215" t="s">
        <v>531</v>
      </c>
      <c r="Q166" s="215"/>
      <c r="R166" s="215"/>
      <c r="S166" s="215" t="s">
        <v>361</v>
      </c>
      <c r="T166" s="215" t="s">
        <v>378</v>
      </c>
      <c r="U166" s="215" t="s">
        <v>239</v>
      </c>
      <c r="V166" s="215" t="s">
        <v>7</v>
      </c>
      <c r="W166" s="215" t="s">
        <v>7</v>
      </c>
      <c r="X166" s="215" t="s">
        <v>7</v>
      </c>
      <c r="Y166" s="215"/>
      <c r="Z166" s="215">
        <v>1</v>
      </c>
      <c r="AA166" s="215" t="s">
        <v>122</v>
      </c>
      <c r="AB166" s="215" t="s">
        <v>361</v>
      </c>
      <c r="AC166" s="215">
        <v>2200</v>
      </c>
      <c r="AD166" s="215" t="s">
        <v>232</v>
      </c>
      <c r="AE166" s="215">
        <v>2</v>
      </c>
      <c r="AF166" s="215"/>
    </row>
    <row r="167" spans="1:32" x14ac:dyDescent="0.3">
      <c r="A167" s="215" t="s">
        <v>351</v>
      </c>
      <c r="B167" s="215" t="s">
        <v>279</v>
      </c>
      <c r="C167" s="215" t="s">
        <v>192</v>
      </c>
      <c r="D167" s="215" t="s">
        <v>310</v>
      </c>
      <c r="E167" s="215" t="s">
        <v>1064</v>
      </c>
      <c r="F167" s="15">
        <v>46223.623645833337</v>
      </c>
      <c r="G167" s="215" t="s">
        <v>412</v>
      </c>
      <c r="H167" s="215">
        <v>560</v>
      </c>
      <c r="I167" s="215" t="s">
        <v>1065</v>
      </c>
      <c r="J167" s="15">
        <v>46224.351388888892</v>
      </c>
      <c r="K167" s="15">
        <v>46227.68472222222</v>
      </c>
      <c r="L167" s="15">
        <v>46234.655555555553</v>
      </c>
      <c r="M167" s="215">
        <v>560</v>
      </c>
      <c r="N167" s="215"/>
      <c r="O167" s="215" t="s">
        <v>529</v>
      </c>
      <c r="P167" s="215"/>
      <c r="Q167" s="215"/>
      <c r="R167" s="215"/>
      <c r="S167" s="215" t="s">
        <v>361</v>
      </c>
      <c r="T167" s="215" t="s">
        <v>378</v>
      </c>
      <c r="U167" s="215" t="s">
        <v>239</v>
      </c>
      <c r="V167" s="215" t="s">
        <v>7</v>
      </c>
      <c r="W167" s="215" t="s">
        <v>7</v>
      </c>
      <c r="X167" s="215" t="s">
        <v>7</v>
      </c>
      <c r="Y167" s="215"/>
      <c r="Z167" s="215">
        <v>1</v>
      </c>
      <c r="AA167" s="215" t="s">
        <v>122</v>
      </c>
      <c r="AB167" s="215" t="s">
        <v>361</v>
      </c>
      <c r="AC167" s="215">
        <v>2200</v>
      </c>
      <c r="AD167" s="215" t="s">
        <v>232</v>
      </c>
      <c r="AE167" s="215">
        <v>560</v>
      </c>
      <c r="AF167" s="215"/>
    </row>
    <row r="168" spans="1:32" x14ac:dyDescent="0.3">
      <c r="A168" s="215" t="s">
        <v>351</v>
      </c>
      <c r="B168" s="215" t="s">
        <v>279</v>
      </c>
      <c r="C168" s="215" t="s">
        <v>192</v>
      </c>
      <c r="D168" s="215" t="s">
        <v>310</v>
      </c>
      <c r="E168" s="215" t="s">
        <v>1064</v>
      </c>
      <c r="F168" s="15">
        <v>46223.623645833337</v>
      </c>
      <c r="G168" s="215" t="s">
        <v>412</v>
      </c>
      <c r="H168" s="215">
        <v>3171</v>
      </c>
      <c r="I168" s="215" t="s">
        <v>1066</v>
      </c>
      <c r="J168" s="15">
        <v>46224.351388888892</v>
      </c>
      <c r="K168" s="15">
        <v>46227.68472222222</v>
      </c>
      <c r="L168" s="15"/>
      <c r="M168" s="215">
        <v>3171</v>
      </c>
      <c r="N168" s="215"/>
      <c r="O168" s="215" t="s">
        <v>201</v>
      </c>
      <c r="P168" s="215" t="s">
        <v>531</v>
      </c>
      <c r="Q168" s="215"/>
      <c r="R168" s="215"/>
      <c r="S168" s="215" t="s">
        <v>361</v>
      </c>
      <c r="T168" s="215" t="s">
        <v>378</v>
      </c>
      <c r="U168" s="215" t="s">
        <v>239</v>
      </c>
      <c r="V168" s="215" t="s">
        <v>7</v>
      </c>
      <c r="W168" s="215" t="s">
        <v>7</v>
      </c>
      <c r="X168" s="215" t="s">
        <v>7</v>
      </c>
      <c r="Y168" s="215"/>
      <c r="Z168" s="215">
        <v>1</v>
      </c>
      <c r="AA168" s="215" t="s">
        <v>122</v>
      </c>
      <c r="AB168" s="215" t="s">
        <v>361</v>
      </c>
      <c r="AC168" s="215">
        <v>2200</v>
      </c>
      <c r="AD168" s="215" t="s">
        <v>232</v>
      </c>
      <c r="AE168" s="215">
        <v>3171</v>
      </c>
      <c r="AF168" s="215"/>
    </row>
    <row r="169" spans="1:32" x14ac:dyDescent="0.3">
      <c r="A169" s="215" t="s">
        <v>351</v>
      </c>
      <c r="B169" s="215" t="s">
        <v>63</v>
      </c>
      <c r="C169" s="215" t="s">
        <v>95</v>
      </c>
      <c r="D169" s="215" t="s">
        <v>310</v>
      </c>
      <c r="E169" s="215" t="s">
        <v>838</v>
      </c>
      <c r="F169" s="15">
        <v>46248.437847222223</v>
      </c>
      <c r="G169" s="215" t="s">
        <v>411</v>
      </c>
      <c r="H169" s="215">
        <v>1</v>
      </c>
      <c r="I169" s="215" t="s">
        <v>839</v>
      </c>
      <c r="J169" s="15">
        <v>46248.662499999999</v>
      </c>
      <c r="K169" s="15">
        <v>46253.628472222219</v>
      </c>
      <c r="L169" s="15"/>
      <c r="M169" s="215">
        <v>1</v>
      </c>
      <c r="N169" s="215"/>
      <c r="O169" s="215" t="s">
        <v>201</v>
      </c>
      <c r="P169" s="215" t="s">
        <v>532</v>
      </c>
      <c r="Q169" s="215"/>
      <c r="R169" s="215"/>
      <c r="S169" s="215" t="s">
        <v>363</v>
      </c>
      <c r="T169" s="215" t="s">
        <v>378</v>
      </c>
      <c r="U169" s="215" t="s">
        <v>239</v>
      </c>
      <c r="V169" s="215" t="s">
        <v>7</v>
      </c>
      <c r="W169" s="215" t="s">
        <v>7</v>
      </c>
      <c r="X169" s="215" t="s">
        <v>7</v>
      </c>
      <c r="Y169" s="215"/>
      <c r="Z169" s="215"/>
      <c r="AA169" s="215" t="s">
        <v>96</v>
      </c>
      <c r="AB169" s="215" t="s">
        <v>363</v>
      </c>
      <c r="AC169" s="215">
        <v>101</v>
      </c>
      <c r="AD169" s="215" t="s">
        <v>225</v>
      </c>
      <c r="AE169" s="215">
        <v>1</v>
      </c>
      <c r="AF169" s="215"/>
    </row>
    <row r="170" spans="1:32" x14ac:dyDescent="0.3">
      <c r="A170" s="215" t="s">
        <v>351</v>
      </c>
      <c r="B170" s="215" t="s">
        <v>63</v>
      </c>
      <c r="C170" s="215" t="s">
        <v>95</v>
      </c>
      <c r="D170" s="215" t="s">
        <v>310</v>
      </c>
      <c r="E170" s="215" t="s">
        <v>840</v>
      </c>
      <c r="F170" s="15">
        <v>46239.634884259256</v>
      </c>
      <c r="G170" s="215" t="s">
        <v>411</v>
      </c>
      <c r="H170" s="215">
        <v>1</v>
      </c>
      <c r="I170" s="215" t="s">
        <v>841</v>
      </c>
      <c r="J170" s="15">
        <v>46240.408333333333</v>
      </c>
      <c r="K170" s="15">
        <v>46246.645833333336</v>
      </c>
      <c r="L170" s="15"/>
      <c r="M170" s="215">
        <v>1</v>
      </c>
      <c r="N170" s="215"/>
      <c r="O170" s="215" t="s">
        <v>201</v>
      </c>
      <c r="P170" s="215" t="s">
        <v>532</v>
      </c>
      <c r="Q170" s="215"/>
      <c r="R170" s="215"/>
      <c r="S170" s="215" t="s">
        <v>363</v>
      </c>
      <c r="T170" s="215" t="s">
        <v>378</v>
      </c>
      <c r="U170" s="215" t="s">
        <v>239</v>
      </c>
      <c r="V170" s="215" t="s">
        <v>7</v>
      </c>
      <c r="W170" s="215" t="s">
        <v>7</v>
      </c>
      <c r="X170" s="215" t="s">
        <v>7</v>
      </c>
      <c r="Y170" s="215"/>
      <c r="Z170" s="215"/>
      <c r="AA170" s="215" t="s">
        <v>96</v>
      </c>
      <c r="AB170" s="215" t="s">
        <v>363</v>
      </c>
      <c r="AC170" s="215">
        <v>101</v>
      </c>
      <c r="AD170" s="215" t="s">
        <v>225</v>
      </c>
      <c r="AE170" s="215">
        <v>1</v>
      </c>
      <c r="AF170" s="215"/>
    </row>
    <row r="171" spans="1:32" x14ac:dyDescent="0.3">
      <c r="A171" s="215" t="s">
        <v>351</v>
      </c>
      <c r="B171" s="215" t="s">
        <v>63</v>
      </c>
      <c r="C171" s="215" t="s">
        <v>95</v>
      </c>
      <c r="D171" s="215" t="s">
        <v>310</v>
      </c>
      <c r="E171" s="215" t="s">
        <v>842</v>
      </c>
      <c r="F171" s="15">
        <v>46245.601261574076</v>
      </c>
      <c r="G171" s="215" t="s">
        <v>417</v>
      </c>
      <c r="H171" s="215">
        <v>1</v>
      </c>
      <c r="I171" s="215" t="s">
        <v>843</v>
      </c>
      <c r="J171" s="15">
        <v>46246.638194444444</v>
      </c>
      <c r="K171" s="15">
        <v>46252.386805555558</v>
      </c>
      <c r="L171" s="15"/>
      <c r="M171" s="215">
        <v>1</v>
      </c>
      <c r="N171" s="215"/>
      <c r="O171" s="215" t="s">
        <v>201</v>
      </c>
      <c r="P171" s="215" t="s">
        <v>532</v>
      </c>
      <c r="Q171" s="215"/>
      <c r="R171" s="215"/>
      <c r="S171" s="215" t="s">
        <v>361</v>
      </c>
      <c r="T171" s="215" t="s">
        <v>378</v>
      </c>
      <c r="U171" s="215" t="s">
        <v>239</v>
      </c>
      <c r="V171" s="215" t="s">
        <v>7</v>
      </c>
      <c r="W171" s="215" t="s">
        <v>7</v>
      </c>
      <c r="X171" s="215" t="s">
        <v>7</v>
      </c>
      <c r="Y171" s="215"/>
      <c r="Z171" s="215"/>
      <c r="AA171" s="215" t="s">
        <v>96</v>
      </c>
      <c r="AB171" s="215" t="s">
        <v>361</v>
      </c>
      <c r="AC171" s="215">
        <v>2200</v>
      </c>
      <c r="AD171" s="215" t="s">
        <v>225</v>
      </c>
      <c r="AE171" s="215">
        <v>1</v>
      </c>
      <c r="AF171" s="215"/>
    </row>
    <row r="172" spans="1:32" x14ac:dyDescent="0.3">
      <c r="A172" s="215" t="s">
        <v>351</v>
      </c>
      <c r="B172" s="215" t="s">
        <v>63</v>
      </c>
      <c r="C172" s="215" t="s">
        <v>95</v>
      </c>
      <c r="D172" s="215" t="s">
        <v>310</v>
      </c>
      <c r="E172" s="215" t="s">
        <v>844</v>
      </c>
      <c r="F172" s="15">
        <v>46245.375648148147</v>
      </c>
      <c r="G172" s="215" t="s">
        <v>412</v>
      </c>
      <c r="H172" s="215">
        <v>5</v>
      </c>
      <c r="I172" s="215" t="s">
        <v>845</v>
      </c>
      <c r="J172" s="15">
        <v>46246.395138888889</v>
      </c>
      <c r="K172" s="15">
        <v>46248.681250000001</v>
      </c>
      <c r="L172" s="15"/>
      <c r="M172" s="215">
        <v>5</v>
      </c>
      <c r="N172" s="215"/>
      <c r="O172" s="215" t="s">
        <v>201</v>
      </c>
      <c r="P172" s="215" t="s">
        <v>532</v>
      </c>
      <c r="Q172" s="215"/>
      <c r="R172" s="215"/>
      <c r="S172" s="215" t="s">
        <v>361</v>
      </c>
      <c r="T172" s="215" t="s">
        <v>378</v>
      </c>
      <c r="U172" s="215" t="s">
        <v>239</v>
      </c>
      <c r="V172" s="215" t="s">
        <v>7</v>
      </c>
      <c r="W172" s="215" t="s">
        <v>7</v>
      </c>
      <c r="X172" s="215" t="s">
        <v>7</v>
      </c>
      <c r="Y172" s="215"/>
      <c r="Z172" s="215"/>
      <c r="AA172" s="215" t="s">
        <v>96</v>
      </c>
      <c r="AB172" s="215" t="s">
        <v>361</v>
      </c>
      <c r="AC172" s="215">
        <v>2200</v>
      </c>
      <c r="AD172" s="215" t="s">
        <v>225</v>
      </c>
      <c r="AE172" s="215">
        <v>5</v>
      </c>
      <c r="AF172" s="215"/>
    </row>
    <row r="173" spans="1:32" x14ac:dyDescent="0.3">
      <c r="A173" s="215" t="s">
        <v>351</v>
      </c>
      <c r="B173" s="215" t="s">
        <v>63</v>
      </c>
      <c r="C173" s="215" t="s">
        <v>95</v>
      </c>
      <c r="D173" s="215" t="s">
        <v>310</v>
      </c>
      <c r="E173" s="215" t="s">
        <v>846</v>
      </c>
      <c r="F173" s="15">
        <v>46239.715613425928</v>
      </c>
      <c r="G173" s="215" t="s">
        <v>412</v>
      </c>
      <c r="H173" s="215">
        <v>3</v>
      </c>
      <c r="I173" s="215" t="s">
        <v>847</v>
      </c>
      <c r="J173" s="15">
        <v>46241.71597222222</v>
      </c>
      <c r="K173" s="15">
        <v>46246.671527777777</v>
      </c>
      <c r="L173" s="15"/>
      <c r="M173" s="215">
        <v>3</v>
      </c>
      <c r="N173" s="215"/>
      <c r="O173" s="215" t="s">
        <v>201</v>
      </c>
      <c r="P173" s="215" t="s">
        <v>532</v>
      </c>
      <c r="Q173" s="215"/>
      <c r="R173" s="215"/>
      <c r="S173" s="215" t="s">
        <v>361</v>
      </c>
      <c r="T173" s="215" t="s">
        <v>378</v>
      </c>
      <c r="U173" s="215" t="s">
        <v>239</v>
      </c>
      <c r="V173" s="215" t="s">
        <v>7</v>
      </c>
      <c r="W173" s="215" t="s">
        <v>7</v>
      </c>
      <c r="X173" s="215" t="s">
        <v>7</v>
      </c>
      <c r="Y173" s="215"/>
      <c r="Z173" s="215"/>
      <c r="AA173" s="215" t="s">
        <v>96</v>
      </c>
      <c r="AB173" s="215" t="s">
        <v>361</v>
      </c>
      <c r="AC173" s="215">
        <v>2200</v>
      </c>
      <c r="AD173" s="215" t="s">
        <v>225</v>
      </c>
      <c r="AE173" s="215">
        <v>3</v>
      </c>
      <c r="AF173" s="215"/>
    </row>
    <row r="174" spans="1:32" x14ac:dyDescent="0.3">
      <c r="A174" s="215" t="s">
        <v>351</v>
      </c>
      <c r="B174" s="215" t="s">
        <v>63</v>
      </c>
      <c r="C174" s="215" t="s">
        <v>95</v>
      </c>
      <c r="D174" s="215" t="s">
        <v>310</v>
      </c>
      <c r="E174" s="215" t="s">
        <v>848</v>
      </c>
      <c r="F174" s="15">
        <v>46238.474398148152</v>
      </c>
      <c r="G174" s="215" t="s">
        <v>412</v>
      </c>
      <c r="H174" s="215">
        <v>1</v>
      </c>
      <c r="I174" s="215" t="s">
        <v>849</v>
      </c>
      <c r="J174" s="15">
        <v>46238.659722222219</v>
      </c>
      <c r="K174" s="15">
        <v>46241.456944444442</v>
      </c>
      <c r="L174" s="15"/>
      <c r="M174" s="215">
        <v>1</v>
      </c>
      <c r="N174" s="215"/>
      <c r="O174" s="215" t="s">
        <v>201</v>
      </c>
      <c r="P174" s="215" t="s">
        <v>532</v>
      </c>
      <c r="Q174" s="215"/>
      <c r="R174" s="215"/>
      <c r="S174" s="215" t="s">
        <v>361</v>
      </c>
      <c r="T174" s="215" t="s">
        <v>378</v>
      </c>
      <c r="U174" s="215" t="s">
        <v>239</v>
      </c>
      <c r="V174" s="215" t="s">
        <v>7</v>
      </c>
      <c r="W174" s="215" t="s">
        <v>7</v>
      </c>
      <c r="X174" s="215" t="s">
        <v>7</v>
      </c>
      <c r="Y174" s="215"/>
      <c r="Z174" s="215"/>
      <c r="AA174" s="215" t="s">
        <v>96</v>
      </c>
      <c r="AB174" s="215" t="s">
        <v>361</v>
      </c>
      <c r="AC174" s="215">
        <v>2200</v>
      </c>
      <c r="AD174" s="215" t="s">
        <v>225</v>
      </c>
      <c r="AE174" s="215">
        <v>1</v>
      </c>
      <c r="AF174" s="215"/>
    </row>
    <row r="175" spans="1:32" x14ac:dyDescent="0.3">
      <c r="A175" s="215" t="s">
        <v>351</v>
      </c>
      <c r="B175" s="215" t="s">
        <v>63</v>
      </c>
      <c r="C175" s="215" t="s">
        <v>95</v>
      </c>
      <c r="D175" s="215" t="s">
        <v>310</v>
      </c>
      <c r="E175" s="215" t="s">
        <v>856</v>
      </c>
      <c r="F175" s="15">
        <v>46244.43917824074</v>
      </c>
      <c r="G175" s="215" t="s">
        <v>419</v>
      </c>
      <c r="H175" s="215">
        <v>1</v>
      </c>
      <c r="I175" s="215" t="s">
        <v>857</v>
      </c>
      <c r="J175" s="15">
        <v>46245.671527777777</v>
      </c>
      <c r="K175" s="15">
        <v>46251.602083333331</v>
      </c>
      <c r="L175" s="15"/>
      <c r="M175" s="215">
        <v>1</v>
      </c>
      <c r="N175" s="215"/>
      <c r="O175" s="215" t="s">
        <v>201</v>
      </c>
      <c r="P175" s="215" t="s">
        <v>532</v>
      </c>
      <c r="Q175" s="215"/>
      <c r="R175" s="215"/>
      <c r="S175" s="215" t="s">
        <v>360</v>
      </c>
      <c r="T175" s="215" t="s">
        <v>378</v>
      </c>
      <c r="U175" s="215" t="s">
        <v>239</v>
      </c>
      <c r="V175" s="215" t="s">
        <v>7</v>
      </c>
      <c r="W175" s="215" t="s">
        <v>7</v>
      </c>
      <c r="X175" s="215" t="s">
        <v>7</v>
      </c>
      <c r="Y175" s="215"/>
      <c r="Z175" s="215"/>
      <c r="AA175" s="215" t="s">
        <v>96</v>
      </c>
      <c r="AB175" s="215" t="s">
        <v>360</v>
      </c>
      <c r="AC175" s="215">
        <v>50</v>
      </c>
      <c r="AD175" s="215" t="s">
        <v>225</v>
      </c>
      <c r="AE175" s="215">
        <v>1</v>
      </c>
      <c r="AF175" s="215"/>
    </row>
    <row r="176" spans="1:32" x14ac:dyDescent="0.3">
      <c r="A176" s="215" t="s">
        <v>351</v>
      </c>
      <c r="B176" s="215" t="s">
        <v>63</v>
      </c>
      <c r="C176" s="215" t="s">
        <v>95</v>
      </c>
      <c r="D176" s="215" t="s">
        <v>310</v>
      </c>
      <c r="E176" s="215" t="s">
        <v>856</v>
      </c>
      <c r="F176" s="15">
        <v>46244.43917824074</v>
      </c>
      <c r="G176" s="215" t="s">
        <v>419</v>
      </c>
      <c r="H176" s="215">
        <v>2</v>
      </c>
      <c r="I176" s="215" t="s">
        <v>857</v>
      </c>
      <c r="J176" s="15">
        <v>46245.671527777777</v>
      </c>
      <c r="K176" s="15">
        <v>46251.602083333331</v>
      </c>
      <c r="L176" s="15"/>
      <c r="M176" s="215">
        <v>2</v>
      </c>
      <c r="N176" s="215"/>
      <c r="O176" s="215" t="s">
        <v>529</v>
      </c>
      <c r="P176" s="215"/>
      <c r="Q176" s="215"/>
      <c r="R176" s="215"/>
      <c r="S176" s="215" t="s">
        <v>360</v>
      </c>
      <c r="T176" s="215" t="s">
        <v>378</v>
      </c>
      <c r="U176" s="215" t="s">
        <v>239</v>
      </c>
      <c r="V176" s="215" t="s">
        <v>7</v>
      </c>
      <c r="W176" s="215" t="s">
        <v>7</v>
      </c>
      <c r="X176" s="215" t="s">
        <v>7</v>
      </c>
      <c r="Y176" s="215"/>
      <c r="Z176" s="215"/>
      <c r="AA176" s="215" t="s">
        <v>96</v>
      </c>
      <c r="AB176" s="215" t="s">
        <v>360</v>
      </c>
      <c r="AC176" s="215">
        <v>50</v>
      </c>
      <c r="AD176" s="215" t="s">
        <v>225</v>
      </c>
      <c r="AE176" s="215">
        <v>2</v>
      </c>
      <c r="AF176" s="215"/>
    </row>
    <row r="177" spans="1:32" x14ac:dyDescent="0.3">
      <c r="A177" s="215" t="s">
        <v>351</v>
      </c>
      <c r="B177" s="215" t="s">
        <v>63</v>
      </c>
      <c r="C177" s="215" t="s">
        <v>95</v>
      </c>
      <c r="D177" s="215" t="s">
        <v>310</v>
      </c>
      <c r="E177" s="215" t="s">
        <v>856</v>
      </c>
      <c r="F177" s="15">
        <v>46244.43917824074</v>
      </c>
      <c r="G177" s="215" t="s">
        <v>419</v>
      </c>
      <c r="H177" s="215">
        <v>4</v>
      </c>
      <c r="I177" s="215" t="s">
        <v>857</v>
      </c>
      <c r="J177" s="15">
        <v>46245.671527777777</v>
      </c>
      <c r="K177" s="15">
        <v>46251.602083333331</v>
      </c>
      <c r="L177" s="15"/>
      <c r="M177" s="215">
        <v>4</v>
      </c>
      <c r="N177" s="215"/>
      <c r="O177" s="215" t="s">
        <v>529</v>
      </c>
      <c r="P177" s="215"/>
      <c r="Q177" s="215"/>
      <c r="R177" s="215"/>
      <c r="S177" s="215" t="s">
        <v>360</v>
      </c>
      <c r="T177" s="215" t="s">
        <v>378</v>
      </c>
      <c r="U177" s="215" t="s">
        <v>239</v>
      </c>
      <c r="V177" s="215" t="s">
        <v>7</v>
      </c>
      <c r="W177" s="215" t="s">
        <v>7</v>
      </c>
      <c r="X177" s="215" t="s">
        <v>7</v>
      </c>
      <c r="Y177" s="215"/>
      <c r="Z177" s="215"/>
      <c r="AA177" s="215" t="s">
        <v>96</v>
      </c>
      <c r="AB177" s="215" t="s">
        <v>360</v>
      </c>
      <c r="AC177" s="215">
        <v>50</v>
      </c>
      <c r="AD177" s="215" t="s">
        <v>225</v>
      </c>
      <c r="AE177" s="215">
        <v>4</v>
      </c>
      <c r="AF177" s="215"/>
    </row>
    <row r="178" spans="1:32" x14ac:dyDescent="0.3">
      <c r="A178" s="215" t="s">
        <v>351</v>
      </c>
      <c r="B178" s="215" t="s">
        <v>63</v>
      </c>
      <c r="C178" s="215" t="s">
        <v>95</v>
      </c>
      <c r="D178" s="215" t="s">
        <v>310</v>
      </c>
      <c r="E178" s="215" t="s">
        <v>856</v>
      </c>
      <c r="F178" s="15">
        <v>46244.43917824074</v>
      </c>
      <c r="G178" s="215" t="s">
        <v>419</v>
      </c>
      <c r="H178" s="215">
        <v>1</v>
      </c>
      <c r="I178" s="215" t="s">
        <v>857</v>
      </c>
      <c r="J178" s="15">
        <v>46245.671527777777</v>
      </c>
      <c r="K178" s="15">
        <v>46251.602083333331</v>
      </c>
      <c r="L178" s="15"/>
      <c r="M178" s="215">
        <v>1</v>
      </c>
      <c r="N178" s="215"/>
      <c r="O178" s="215" t="s">
        <v>529</v>
      </c>
      <c r="P178" s="215"/>
      <c r="Q178" s="215"/>
      <c r="R178" s="215"/>
      <c r="S178" s="215" t="s">
        <v>360</v>
      </c>
      <c r="T178" s="215" t="s">
        <v>378</v>
      </c>
      <c r="U178" s="215" t="s">
        <v>239</v>
      </c>
      <c r="V178" s="215" t="s">
        <v>7</v>
      </c>
      <c r="W178" s="215" t="s">
        <v>7</v>
      </c>
      <c r="X178" s="215" t="s">
        <v>7</v>
      </c>
      <c r="Y178" s="215"/>
      <c r="Z178" s="215"/>
      <c r="AA178" s="215" t="s">
        <v>96</v>
      </c>
      <c r="AB178" s="215" t="s">
        <v>360</v>
      </c>
      <c r="AC178" s="215">
        <v>50</v>
      </c>
      <c r="AD178" s="215" t="s">
        <v>225</v>
      </c>
      <c r="AE178" s="215">
        <v>1</v>
      </c>
      <c r="AF178" s="215"/>
    </row>
    <row r="179" spans="1:32" x14ac:dyDescent="0.3">
      <c r="A179" s="215" t="s">
        <v>351</v>
      </c>
      <c r="B179" s="215" t="s">
        <v>63</v>
      </c>
      <c r="C179" s="215" t="s">
        <v>95</v>
      </c>
      <c r="D179" s="215" t="s">
        <v>310</v>
      </c>
      <c r="E179" s="215" t="s">
        <v>856</v>
      </c>
      <c r="F179" s="15">
        <v>46244.43917824074</v>
      </c>
      <c r="G179" s="215" t="s">
        <v>419</v>
      </c>
      <c r="H179" s="215">
        <v>3</v>
      </c>
      <c r="I179" s="215" t="s">
        <v>857</v>
      </c>
      <c r="J179" s="15">
        <v>46245.671527777777</v>
      </c>
      <c r="K179" s="15">
        <v>46251.602083333331</v>
      </c>
      <c r="L179" s="15"/>
      <c r="M179" s="215">
        <v>3</v>
      </c>
      <c r="N179" s="215"/>
      <c r="O179" s="215" t="s">
        <v>529</v>
      </c>
      <c r="P179" s="215"/>
      <c r="Q179" s="215"/>
      <c r="R179" s="215"/>
      <c r="S179" s="215" t="s">
        <v>360</v>
      </c>
      <c r="T179" s="215" t="s">
        <v>378</v>
      </c>
      <c r="U179" s="215" t="s">
        <v>239</v>
      </c>
      <c r="V179" s="215" t="s">
        <v>7</v>
      </c>
      <c r="W179" s="215" t="s">
        <v>7</v>
      </c>
      <c r="X179" s="215" t="s">
        <v>7</v>
      </c>
      <c r="Y179" s="215"/>
      <c r="Z179" s="215"/>
      <c r="AA179" s="215" t="s">
        <v>96</v>
      </c>
      <c r="AB179" s="215" t="s">
        <v>360</v>
      </c>
      <c r="AC179" s="215">
        <v>50</v>
      </c>
      <c r="AD179" s="215" t="s">
        <v>225</v>
      </c>
      <c r="AE179" s="215">
        <v>3</v>
      </c>
      <c r="AF179" s="215"/>
    </row>
    <row r="180" spans="1:32" x14ac:dyDescent="0.3">
      <c r="A180" s="215" t="s">
        <v>351</v>
      </c>
      <c r="B180" s="215" t="s">
        <v>63</v>
      </c>
      <c r="C180" s="215" t="s">
        <v>95</v>
      </c>
      <c r="D180" s="215" t="s">
        <v>310</v>
      </c>
      <c r="E180" s="215" t="s">
        <v>856</v>
      </c>
      <c r="F180" s="15">
        <v>46244.43917824074</v>
      </c>
      <c r="G180" s="215" t="s">
        <v>419</v>
      </c>
      <c r="H180" s="215">
        <v>4</v>
      </c>
      <c r="I180" s="215" t="s">
        <v>857</v>
      </c>
      <c r="J180" s="15">
        <v>46245.671527777777</v>
      </c>
      <c r="K180" s="15">
        <v>46251.602083333331</v>
      </c>
      <c r="L180" s="15"/>
      <c r="M180" s="215">
        <v>4</v>
      </c>
      <c r="N180" s="215"/>
      <c r="O180" s="215" t="s">
        <v>529</v>
      </c>
      <c r="P180" s="215"/>
      <c r="Q180" s="215"/>
      <c r="R180" s="215"/>
      <c r="S180" s="215" t="s">
        <v>360</v>
      </c>
      <c r="T180" s="215" t="s">
        <v>378</v>
      </c>
      <c r="U180" s="215" t="s">
        <v>239</v>
      </c>
      <c r="V180" s="215" t="s">
        <v>7</v>
      </c>
      <c r="W180" s="215" t="s">
        <v>7</v>
      </c>
      <c r="X180" s="215" t="s">
        <v>7</v>
      </c>
      <c r="Y180" s="215"/>
      <c r="Z180" s="215"/>
      <c r="AA180" s="215" t="s">
        <v>96</v>
      </c>
      <c r="AB180" s="215" t="s">
        <v>360</v>
      </c>
      <c r="AC180" s="215">
        <v>50</v>
      </c>
      <c r="AD180" s="215" t="s">
        <v>225</v>
      </c>
      <c r="AE180" s="215">
        <v>4</v>
      </c>
      <c r="AF180" s="215"/>
    </row>
    <row r="181" spans="1:32" x14ac:dyDescent="0.3">
      <c r="A181" s="215" t="s">
        <v>351</v>
      </c>
      <c r="B181" s="215" t="s">
        <v>63</v>
      </c>
      <c r="C181" s="215" t="s">
        <v>95</v>
      </c>
      <c r="D181" s="215" t="s">
        <v>310</v>
      </c>
      <c r="E181" s="215" t="s">
        <v>856</v>
      </c>
      <c r="F181" s="15">
        <v>46244.43917824074</v>
      </c>
      <c r="G181" s="215" t="s">
        <v>419</v>
      </c>
      <c r="H181" s="215">
        <v>2</v>
      </c>
      <c r="I181" s="215" t="s">
        <v>857</v>
      </c>
      <c r="J181" s="15">
        <v>46245.671527777777</v>
      </c>
      <c r="K181" s="15">
        <v>46251.602083333331</v>
      </c>
      <c r="L181" s="15"/>
      <c r="M181" s="215">
        <v>2</v>
      </c>
      <c r="N181" s="215"/>
      <c r="O181" s="215" t="s">
        <v>529</v>
      </c>
      <c r="P181" s="215"/>
      <c r="Q181" s="215"/>
      <c r="R181" s="215"/>
      <c r="S181" s="215" t="s">
        <v>360</v>
      </c>
      <c r="T181" s="215" t="s">
        <v>378</v>
      </c>
      <c r="U181" s="215" t="s">
        <v>239</v>
      </c>
      <c r="V181" s="215" t="s">
        <v>7</v>
      </c>
      <c r="W181" s="215" t="s">
        <v>7</v>
      </c>
      <c r="X181" s="215" t="s">
        <v>7</v>
      </c>
      <c r="Y181" s="215"/>
      <c r="Z181" s="215"/>
      <c r="AA181" s="215" t="s">
        <v>96</v>
      </c>
      <c r="AB181" s="215" t="s">
        <v>360</v>
      </c>
      <c r="AC181" s="215">
        <v>50</v>
      </c>
      <c r="AD181" s="215" t="s">
        <v>225</v>
      </c>
      <c r="AE181" s="215">
        <v>2</v>
      </c>
      <c r="AF181" s="215"/>
    </row>
    <row r="182" spans="1:32" x14ac:dyDescent="0.3">
      <c r="A182" s="215" t="s">
        <v>351</v>
      </c>
      <c r="B182" s="215" t="s">
        <v>63</v>
      </c>
      <c r="C182" s="215" t="s">
        <v>95</v>
      </c>
      <c r="D182" s="215" t="s">
        <v>310</v>
      </c>
      <c r="E182" s="215" t="s">
        <v>856</v>
      </c>
      <c r="F182" s="15">
        <v>46244.43917824074</v>
      </c>
      <c r="G182" s="215" t="s">
        <v>419</v>
      </c>
      <c r="H182" s="215">
        <v>2</v>
      </c>
      <c r="I182" s="215" t="s">
        <v>857</v>
      </c>
      <c r="J182" s="15">
        <v>46245.671527777777</v>
      </c>
      <c r="K182" s="15">
        <v>46251.602083333331</v>
      </c>
      <c r="L182" s="15"/>
      <c r="M182" s="215">
        <v>2</v>
      </c>
      <c r="N182" s="215"/>
      <c r="O182" s="215" t="s">
        <v>529</v>
      </c>
      <c r="P182" s="215"/>
      <c r="Q182" s="215"/>
      <c r="R182" s="215"/>
      <c r="S182" s="215" t="s">
        <v>360</v>
      </c>
      <c r="T182" s="215" t="s">
        <v>378</v>
      </c>
      <c r="U182" s="215" t="s">
        <v>239</v>
      </c>
      <c r="V182" s="215" t="s">
        <v>7</v>
      </c>
      <c r="W182" s="215" t="s">
        <v>7</v>
      </c>
      <c r="X182" s="215" t="s">
        <v>7</v>
      </c>
      <c r="Y182" s="215"/>
      <c r="Z182" s="215"/>
      <c r="AA182" s="215" t="s">
        <v>96</v>
      </c>
      <c r="AB182" s="215" t="s">
        <v>360</v>
      </c>
      <c r="AC182" s="215">
        <v>50</v>
      </c>
      <c r="AD182" s="215" t="s">
        <v>225</v>
      </c>
      <c r="AE182" s="215">
        <v>2</v>
      </c>
      <c r="AF182" s="215"/>
    </row>
    <row r="183" spans="1:32" x14ac:dyDescent="0.3">
      <c r="A183" s="215" t="s">
        <v>351</v>
      </c>
      <c r="B183" s="215" t="s">
        <v>63</v>
      </c>
      <c r="C183" s="215" t="s">
        <v>95</v>
      </c>
      <c r="D183" s="215" t="s">
        <v>310</v>
      </c>
      <c r="E183" s="215" t="s">
        <v>856</v>
      </c>
      <c r="F183" s="15">
        <v>46244.43917824074</v>
      </c>
      <c r="G183" s="215" t="s">
        <v>419</v>
      </c>
      <c r="H183" s="215">
        <v>2</v>
      </c>
      <c r="I183" s="215" t="s">
        <v>857</v>
      </c>
      <c r="J183" s="15">
        <v>46245.671527777777</v>
      </c>
      <c r="K183" s="15">
        <v>46251.602083333331</v>
      </c>
      <c r="L183" s="15"/>
      <c r="M183" s="215">
        <v>2</v>
      </c>
      <c r="N183" s="215"/>
      <c r="O183" s="215" t="s">
        <v>529</v>
      </c>
      <c r="P183" s="215"/>
      <c r="Q183" s="215"/>
      <c r="R183" s="215"/>
      <c r="S183" s="215" t="s">
        <v>360</v>
      </c>
      <c r="T183" s="215" t="s">
        <v>378</v>
      </c>
      <c r="U183" s="215" t="s">
        <v>239</v>
      </c>
      <c r="V183" s="215" t="s">
        <v>7</v>
      </c>
      <c r="W183" s="215" t="s">
        <v>7</v>
      </c>
      <c r="X183" s="215" t="s">
        <v>7</v>
      </c>
      <c r="Y183" s="215"/>
      <c r="Z183" s="215"/>
      <c r="AA183" s="215" t="s">
        <v>96</v>
      </c>
      <c r="AB183" s="215" t="s">
        <v>360</v>
      </c>
      <c r="AC183" s="215">
        <v>50</v>
      </c>
      <c r="AD183" s="215" t="s">
        <v>225</v>
      </c>
      <c r="AE183" s="215">
        <v>2</v>
      </c>
      <c r="AF183" s="215"/>
    </row>
    <row r="184" spans="1:32" x14ac:dyDescent="0.3">
      <c r="A184" s="215" t="s">
        <v>351</v>
      </c>
      <c r="B184" s="215" t="s">
        <v>63</v>
      </c>
      <c r="C184" s="215" t="s">
        <v>95</v>
      </c>
      <c r="D184" s="215" t="s">
        <v>310</v>
      </c>
      <c r="E184" s="215" t="s">
        <v>858</v>
      </c>
      <c r="F184" s="15">
        <v>46244.468541666669</v>
      </c>
      <c r="G184" s="215" t="s">
        <v>409</v>
      </c>
      <c r="H184" s="215">
        <v>1</v>
      </c>
      <c r="I184" s="215" t="s">
        <v>859</v>
      </c>
      <c r="J184" s="15">
        <v>46244.694444444445</v>
      </c>
      <c r="K184" s="15">
        <v>46248.702777777777</v>
      </c>
      <c r="L184" s="15"/>
      <c r="M184" s="215">
        <v>1</v>
      </c>
      <c r="N184" s="215"/>
      <c r="O184" s="215" t="s">
        <v>201</v>
      </c>
      <c r="P184" s="215" t="s">
        <v>532</v>
      </c>
      <c r="Q184" s="215"/>
      <c r="R184" s="215"/>
      <c r="S184" s="215" t="s">
        <v>360</v>
      </c>
      <c r="T184" s="215" t="s">
        <v>378</v>
      </c>
      <c r="U184" s="215" t="s">
        <v>239</v>
      </c>
      <c r="V184" s="215" t="s">
        <v>7</v>
      </c>
      <c r="W184" s="215" t="s">
        <v>7</v>
      </c>
      <c r="X184" s="215" t="s">
        <v>7</v>
      </c>
      <c r="Y184" s="215"/>
      <c r="Z184" s="215"/>
      <c r="AA184" s="215" t="s">
        <v>96</v>
      </c>
      <c r="AB184" s="215" t="s">
        <v>360</v>
      </c>
      <c r="AC184" s="215">
        <v>50</v>
      </c>
      <c r="AD184" s="215" t="s">
        <v>225</v>
      </c>
      <c r="AE184" s="215">
        <v>1</v>
      </c>
      <c r="AF184" s="215"/>
    </row>
    <row r="185" spans="1:32" x14ac:dyDescent="0.3">
      <c r="A185" s="215" t="s">
        <v>351</v>
      </c>
      <c r="B185" s="215" t="s">
        <v>63</v>
      </c>
      <c r="C185" s="215" t="s">
        <v>95</v>
      </c>
      <c r="D185" s="215" t="s">
        <v>310</v>
      </c>
      <c r="E185" s="215" t="s">
        <v>860</v>
      </c>
      <c r="F185" s="15">
        <v>46244.466851851852</v>
      </c>
      <c r="G185" s="215" t="s">
        <v>409</v>
      </c>
      <c r="H185" s="215">
        <v>1</v>
      </c>
      <c r="I185" s="215" t="s">
        <v>861</v>
      </c>
      <c r="J185" s="15">
        <v>46247.593055555553</v>
      </c>
      <c r="K185" s="15">
        <v>46252.873611111114</v>
      </c>
      <c r="L185" s="15"/>
      <c r="M185" s="215">
        <v>1</v>
      </c>
      <c r="N185" s="215"/>
      <c r="O185" s="215" t="s">
        <v>201</v>
      </c>
      <c r="P185" s="215" t="s">
        <v>532</v>
      </c>
      <c r="Q185" s="215"/>
      <c r="R185" s="215"/>
      <c r="S185" s="215" t="s">
        <v>360</v>
      </c>
      <c r="T185" s="215" t="s">
        <v>378</v>
      </c>
      <c r="U185" s="215" t="s">
        <v>239</v>
      </c>
      <c r="V185" s="215" t="s">
        <v>7</v>
      </c>
      <c r="W185" s="215" t="s">
        <v>7</v>
      </c>
      <c r="X185" s="215" t="s">
        <v>7</v>
      </c>
      <c r="Y185" s="215"/>
      <c r="Z185" s="215"/>
      <c r="AA185" s="215" t="s">
        <v>96</v>
      </c>
      <c r="AB185" s="215" t="s">
        <v>360</v>
      </c>
      <c r="AC185" s="215">
        <v>50</v>
      </c>
      <c r="AD185" s="215" t="s">
        <v>225</v>
      </c>
      <c r="AE185" s="215">
        <v>1</v>
      </c>
      <c r="AF185" s="215"/>
    </row>
    <row r="186" spans="1:32" x14ac:dyDescent="0.3">
      <c r="A186" s="215" t="s">
        <v>351</v>
      </c>
      <c r="B186" s="215" t="s">
        <v>63</v>
      </c>
      <c r="C186" s="215" t="s">
        <v>95</v>
      </c>
      <c r="D186" s="215" t="s">
        <v>310</v>
      </c>
      <c r="E186" s="215" t="s">
        <v>904</v>
      </c>
      <c r="F186" s="15">
        <v>46241.40283564815</v>
      </c>
      <c r="G186" s="215" t="s">
        <v>905</v>
      </c>
      <c r="H186" s="215">
        <v>1</v>
      </c>
      <c r="I186" s="215" t="s">
        <v>906</v>
      </c>
      <c r="J186" s="15">
        <v>46241.429861111108</v>
      </c>
      <c r="K186" s="15">
        <v>46246.593055555553</v>
      </c>
      <c r="L186" s="15"/>
      <c r="M186" s="215">
        <v>1</v>
      </c>
      <c r="N186" s="215"/>
      <c r="O186" s="215" t="s">
        <v>201</v>
      </c>
      <c r="P186" s="215" t="s">
        <v>532</v>
      </c>
      <c r="Q186" s="215"/>
      <c r="R186" s="215"/>
      <c r="S186" s="215" t="s">
        <v>362</v>
      </c>
      <c r="T186" s="215" t="s">
        <v>378</v>
      </c>
      <c r="U186" s="215" t="s">
        <v>239</v>
      </c>
      <c r="V186" s="215" t="s">
        <v>7</v>
      </c>
      <c r="W186" s="215" t="s">
        <v>7</v>
      </c>
      <c r="X186" s="215" t="s">
        <v>7</v>
      </c>
      <c r="Y186" s="215"/>
      <c r="Z186" s="215"/>
      <c r="AA186" s="215" t="s">
        <v>96</v>
      </c>
      <c r="AB186" s="215" t="s">
        <v>362</v>
      </c>
      <c r="AC186" s="215">
        <v>109</v>
      </c>
      <c r="AD186" s="215" t="s">
        <v>225</v>
      </c>
      <c r="AE186" s="215">
        <v>1</v>
      </c>
      <c r="AF186" s="215"/>
    </row>
    <row r="187" spans="1:32" x14ac:dyDescent="0.3">
      <c r="A187" s="215" t="s">
        <v>351</v>
      </c>
      <c r="B187" s="215" t="s">
        <v>63</v>
      </c>
      <c r="C187" s="215" t="s">
        <v>95</v>
      </c>
      <c r="D187" s="215" t="s">
        <v>310</v>
      </c>
      <c r="E187" s="215" t="s">
        <v>437</v>
      </c>
      <c r="F187" s="15">
        <v>46202.512337962966</v>
      </c>
      <c r="G187" s="215" t="s">
        <v>436</v>
      </c>
      <c r="H187" s="215">
        <v>2</v>
      </c>
      <c r="I187" s="215" t="s">
        <v>1041</v>
      </c>
      <c r="J187" s="15">
        <v>46241.424259259256</v>
      </c>
      <c r="K187" s="15">
        <v>46248.483460648145</v>
      </c>
      <c r="L187" s="15"/>
      <c r="M187" s="215">
        <v>2</v>
      </c>
      <c r="N187" s="215"/>
      <c r="O187" s="215" t="s">
        <v>201</v>
      </c>
      <c r="P187" s="215" t="s">
        <v>532</v>
      </c>
      <c r="Q187" s="215"/>
      <c r="R187" s="215"/>
      <c r="S187" s="215" t="s">
        <v>362</v>
      </c>
      <c r="T187" s="215" t="s">
        <v>378</v>
      </c>
      <c r="U187" s="215" t="s">
        <v>239</v>
      </c>
      <c r="V187" s="215" t="s">
        <v>7</v>
      </c>
      <c r="W187" s="215" t="s">
        <v>7</v>
      </c>
      <c r="X187" s="215" t="s">
        <v>7</v>
      </c>
      <c r="Y187" s="215"/>
      <c r="Z187" s="215"/>
      <c r="AA187" s="215" t="s">
        <v>96</v>
      </c>
      <c r="AB187" s="215" t="s">
        <v>362</v>
      </c>
      <c r="AC187" s="215">
        <v>109</v>
      </c>
      <c r="AD187" s="215" t="s">
        <v>225</v>
      </c>
      <c r="AE187" s="215">
        <v>2</v>
      </c>
      <c r="AF187" s="215"/>
    </row>
    <row r="188" spans="1:32" x14ac:dyDescent="0.3">
      <c r="A188" s="215" t="s">
        <v>351</v>
      </c>
      <c r="B188" s="215" t="s">
        <v>63</v>
      </c>
      <c r="C188" s="215" t="s">
        <v>95</v>
      </c>
      <c r="D188" s="215" t="s">
        <v>310</v>
      </c>
      <c r="E188" s="215" t="s">
        <v>907</v>
      </c>
      <c r="F188" s="15">
        <v>46230.40084490741</v>
      </c>
      <c r="G188" s="215" t="s">
        <v>424</v>
      </c>
      <c r="H188" s="215">
        <v>6</v>
      </c>
      <c r="I188" s="215" t="s">
        <v>908</v>
      </c>
      <c r="J188" s="15">
        <v>46233.454386574071</v>
      </c>
      <c r="K188" s="15">
        <v>46238.481249999997</v>
      </c>
      <c r="L188" s="15"/>
      <c r="M188" s="215">
        <v>6</v>
      </c>
      <c r="N188" s="215"/>
      <c r="O188" s="215" t="s">
        <v>201</v>
      </c>
      <c r="P188" s="215" t="s">
        <v>532</v>
      </c>
      <c r="Q188" s="215"/>
      <c r="R188" s="215"/>
      <c r="S188" s="215" t="s">
        <v>362</v>
      </c>
      <c r="T188" s="215" t="s">
        <v>378</v>
      </c>
      <c r="U188" s="215" t="s">
        <v>239</v>
      </c>
      <c r="V188" s="215" t="s">
        <v>7</v>
      </c>
      <c r="W188" s="215" t="s">
        <v>7</v>
      </c>
      <c r="X188" s="215" t="s">
        <v>7</v>
      </c>
      <c r="Y188" s="215"/>
      <c r="Z188" s="215"/>
      <c r="AA188" s="215" t="s">
        <v>96</v>
      </c>
      <c r="AB188" s="215" t="s">
        <v>362</v>
      </c>
      <c r="AC188" s="215">
        <v>109</v>
      </c>
      <c r="AD188" s="215" t="s">
        <v>225</v>
      </c>
      <c r="AE188" s="215">
        <v>6</v>
      </c>
      <c r="AF188" s="215"/>
    </row>
    <row r="189" spans="1:32" x14ac:dyDescent="0.3">
      <c r="A189" s="215" t="s">
        <v>351</v>
      </c>
      <c r="B189" s="215" t="s">
        <v>63</v>
      </c>
      <c r="C189" s="215" t="s">
        <v>95</v>
      </c>
      <c r="D189" s="215" t="s">
        <v>310</v>
      </c>
      <c r="E189" s="215" t="s">
        <v>907</v>
      </c>
      <c r="F189" s="15">
        <v>46230.40084490741</v>
      </c>
      <c r="G189" s="215" t="s">
        <v>424</v>
      </c>
      <c r="H189" s="215">
        <v>4</v>
      </c>
      <c r="I189" s="215" t="s">
        <v>908</v>
      </c>
      <c r="J189" s="15">
        <v>46233.454386574071</v>
      </c>
      <c r="K189" s="15">
        <v>46238.481249999997</v>
      </c>
      <c r="L189" s="15"/>
      <c r="M189" s="215">
        <v>4</v>
      </c>
      <c r="N189" s="215"/>
      <c r="O189" s="215" t="s">
        <v>529</v>
      </c>
      <c r="P189" s="215"/>
      <c r="Q189" s="215"/>
      <c r="R189" s="215"/>
      <c r="S189" s="215" t="s">
        <v>362</v>
      </c>
      <c r="T189" s="215" t="s">
        <v>378</v>
      </c>
      <c r="U189" s="215" t="s">
        <v>239</v>
      </c>
      <c r="V189" s="215" t="s">
        <v>7</v>
      </c>
      <c r="W189" s="215" t="s">
        <v>7</v>
      </c>
      <c r="X189" s="215" t="s">
        <v>7</v>
      </c>
      <c r="Y189" s="215"/>
      <c r="Z189" s="215"/>
      <c r="AA189" s="215" t="s">
        <v>96</v>
      </c>
      <c r="AB189" s="215" t="s">
        <v>362</v>
      </c>
      <c r="AC189" s="215">
        <v>109</v>
      </c>
      <c r="AD189" s="215" t="s">
        <v>225</v>
      </c>
      <c r="AE189" s="215">
        <v>4</v>
      </c>
      <c r="AF189" s="215"/>
    </row>
    <row r="190" spans="1:32" x14ac:dyDescent="0.3">
      <c r="A190" s="215" t="s">
        <v>351</v>
      </c>
      <c r="B190" s="215" t="s">
        <v>63</v>
      </c>
      <c r="C190" s="215" t="s">
        <v>95</v>
      </c>
      <c r="D190" s="215" t="s">
        <v>310</v>
      </c>
      <c r="E190" s="215" t="s">
        <v>907</v>
      </c>
      <c r="F190" s="15">
        <v>46230.40084490741</v>
      </c>
      <c r="G190" s="215" t="s">
        <v>424</v>
      </c>
      <c r="H190" s="215">
        <v>5</v>
      </c>
      <c r="I190" s="215" t="s">
        <v>908</v>
      </c>
      <c r="J190" s="15">
        <v>46233.454386574071</v>
      </c>
      <c r="K190" s="15">
        <v>46238.481249999997</v>
      </c>
      <c r="L190" s="15"/>
      <c r="M190" s="215">
        <v>5</v>
      </c>
      <c r="N190" s="215"/>
      <c r="O190" s="215" t="s">
        <v>529</v>
      </c>
      <c r="P190" s="215"/>
      <c r="Q190" s="215"/>
      <c r="R190" s="215"/>
      <c r="S190" s="215" t="s">
        <v>362</v>
      </c>
      <c r="T190" s="215" t="s">
        <v>378</v>
      </c>
      <c r="U190" s="215" t="s">
        <v>239</v>
      </c>
      <c r="V190" s="215" t="s">
        <v>7</v>
      </c>
      <c r="W190" s="215" t="s">
        <v>7</v>
      </c>
      <c r="X190" s="215" t="s">
        <v>7</v>
      </c>
      <c r="Y190" s="215"/>
      <c r="Z190" s="215"/>
      <c r="AA190" s="215" t="s">
        <v>96</v>
      </c>
      <c r="AB190" s="215" t="s">
        <v>362</v>
      </c>
      <c r="AC190" s="215">
        <v>109</v>
      </c>
      <c r="AD190" s="215" t="s">
        <v>225</v>
      </c>
      <c r="AE190" s="215">
        <v>5</v>
      </c>
      <c r="AF190" s="215"/>
    </row>
    <row r="191" spans="1:32" x14ac:dyDescent="0.3">
      <c r="A191" s="215" t="s">
        <v>351</v>
      </c>
      <c r="B191" s="215" t="s">
        <v>63</v>
      </c>
      <c r="C191" s="215" t="s">
        <v>95</v>
      </c>
      <c r="D191" s="215" t="s">
        <v>310</v>
      </c>
      <c r="E191" s="215" t="s">
        <v>907</v>
      </c>
      <c r="F191" s="15">
        <v>46230.40084490741</v>
      </c>
      <c r="G191" s="215" t="s">
        <v>424</v>
      </c>
      <c r="H191" s="215">
        <v>5</v>
      </c>
      <c r="I191" s="215" t="s">
        <v>908</v>
      </c>
      <c r="J191" s="15">
        <v>46233.454386574071</v>
      </c>
      <c r="K191" s="15">
        <v>46238.481249999997</v>
      </c>
      <c r="L191" s="15"/>
      <c r="M191" s="215">
        <v>5</v>
      </c>
      <c r="N191" s="215"/>
      <c r="O191" s="215" t="s">
        <v>529</v>
      </c>
      <c r="P191" s="215"/>
      <c r="Q191" s="215"/>
      <c r="R191" s="215"/>
      <c r="S191" s="215" t="s">
        <v>362</v>
      </c>
      <c r="T191" s="215" t="s">
        <v>378</v>
      </c>
      <c r="U191" s="215" t="s">
        <v>239</v>
      </c>
      <c r="V191" s="215" t="s">
        <v>7</v>
      </c>
      <c r="W191" s="215" t="s">
        <v>7</v>
      </c>
      <c r="X191" s="215" t="s">
        <v>7</v>
      </c>
      <c r="Y191" s="215"/>
      <c r="Z191" s="215"/>
      <c r="AA191" s="215" t="s">
        <v>96</v>
      </c>
      <c r="AB191" s="215" t="s">
        <v>362</v>
      </c>
      <c r="AC191" s="215">
        <v>109</v>
      </c>
      <c r="AD191" s="215" t="s">
        <v>225</v>
      </c>
      <c r="AE191" s="215">
        <v>5</v>
      </c>
      <c r="AF191" s="215"/>
    </row>
    <row r="192" spans="1:32" x14ac:dyDescent="0.3">
      <c r="A192" s="215" t="s">
        <v>351</v>
      </c>
      <c r="B192" s="215" t="s">
        <v>63</v>
      </c>
      <c r="C192" s="215" t="s">
        <v>95</v>
      </c>
      <c r="D192" s="215" t="s">
        <v>310</v>
      </c>
      <c r="E192" s="215" t="s">
        <v>907</v>
      </c>
      <c r="F192" s="15">
        <v>46230.40084490741</v>
      </c>
      <c r="G192" s="215" t="s">
        <v>424</v>
      </c>
      <c r="H192" s="215">
        <v>6</v>
      </c>
      <c r="I192" s="215" t="s">
        <v>908</v>
      </c>
      <c r="J192" s="15">
        <v>46233.454386574071</v>
      </c>
      <c r="K192" s="15">
        <v>46238.481249999997</v>
      </c>
      <c r="L192" s="15"/>
      <c r="M192" s="215">
        <v>6</v>
      </c>
      <c r="N192" s="215"/>
      <c r="O192" s="215" t="s">
        <v>529</v>
      </c>
      <c r="P192" s="215"/>
      <c r="Q192" s="215"/>
      <c r="R192" s="215"/>
      <c r="S192" s="215" t="s">
        <v>362</v>
      </c>
      <c r="T192" s="215" t="s">
        <v>378</v>
      </c>
      <c r="U192" s="215" t="s">
        <v>239</v>
      </c>
      <c r="V192" s="215" t="s">
        <v>7</v>
      </c>
      <c r="W192" s="215" t="s">
        <v>7</v>
      </c>
      <c r="X192" s="215" t="s">
        <v>7</v>
      </c>
      <c r="Y192" s="215"/>
      <c r="Z192" s="215"/>
      <c r="AA192" s="215" t="s">
        <v>96</v>
      </c>
      <c r="AB192" s="215" t="s">
        <v>362</v>
      </c>
      <c r="AC192" s="215">
        <v>109</v>
      </c>
      <c r="AD192" s="215" t="s">
        <v>225</v>
      </c>
      <c r="AE192" s="215">
        <v>6</v>
      </c>
      <c r="AF192" s="215"/>
    </row>
    <row r="193" spans="1:32" x14ac:dyDescent="0.3">
      <c r="A193" s="215" t="s">
        <v>351</v>
      </c>
      <c r="B193" s="215" t="s">
        <v>63</v>
      </c>
      <c r="C193" s="215" t="s">
        <v>95</v>
      </c>
      <c r="D193" s="215" t="s">
        <v>310</v>
      </c>
      <c r="E193" s="215" t="s">
        <v>907</v>
      </c>
      <c r="F193" s="15">
        <v>46230.40084490741</v>
      </c>
      <c r="G193" s="215" t="s">
        <v>424</v>
      </c>
      <c r="H193" s="215">
        <v>4</v>
      </c>
      <c r="I193" s="215" t="s">
        <v>908</v>
      </c>
      <c r="J193" s="15">
        <v>46233.454386574071</v>
      </c>
      <c r="K193" s="15">
        <v>46238.481249999997</v>
      </c>
      <c r="L193" s="15"/>
      <c r="M193" s="215">
        <v>4</v>
      </c>
      <c r="N193" s="215"/>
      <c r="O193" s="215" t="s">
        <v>529</v>
      </c>
      <c r="P193" s="215"/>
      <c r="Q193" s="215"/>
      <c r="R193" s="215"/>
      <c r="S193" s="215" t="s">
        <v>362</v>
      </c>
      <c r="T193" s="215" t="s">
        <v>378</v>
      </c>
      <c r="U193" s="215" t="s">
        <v>239</v>
      </c>
      <c r="V193" s="215" t="s">
        <v>7</v>
      </c>
      <c r="W193" s="215" t="s">
        <v>7</v>
      </c>
      <c r="X193" s="215" t="s">
        <v>7</v>
      </c>
      <c r="Y193" s="215"/>
      <c r="Z193" s="215"/>
      <c r="AA193" s="215" t="s">
        <v>96</v>
      </c>
      <c r="AB193" s="215" t="s">
        <v>362</v>
      </c>
      <c r="AC193" s="215">
        <v>109</v>
      </c>
      <c r="AD193" s="215" t="s">
        <v>225</v>
      </c>
      <c r="AE193" s="215">
        <v>4</v>
      </c>
      <c r="AF193" s="215"/>
    </row>
    <row r="194" spans="1:32" x14ac:dyDescent="0.3">
      <c r="A194" s="215" t="s">
        <v>351</v>
      </c>
      <c r="B194" s="215" t="s">
        <v>63</v>
      </c>
      <c r="C194" s="215" t="s">
        <v>95</v>
      </c>
      <c r="D194" s="215" t="s">
        <v>310</v>
      </c>
      <c r="E194" s="215" t="s">
        <v>907</v>
      </c>
      <c r="F194" s="15">
        <v>46230.40084490741</v>
      </c>
      <c r="G194" s="215" t="s">
        <v>424</v>
      </c>
      <c r="H194" s="215">
        <v>6</v>
      </c>
      <c r="I194" s="215" t="s">
        <v>908</v>
      </c>
      <c r="J194" s="15">
        <v>46233.454386574071</v>
      </c>
      <c r="K194" s="15">
        <v>46238.481249999997</v>
      </c>
      <c r="L194" s="15"/>
      <c r="M194" s="215">
        <v>6</v>
      </c>
      <c r="N194" s="215"/>
      <c r="O194" s="215" t="s">
        <v>529</v>
      </c>
      <c r="P194" s="215"/>
      <c r="Q194" s="215"/>
      <c r="R194" s="215"/>
      <c r="S194" s="215" t="s">
        <v>362</v>
      </c>
      <c r="T194" s="215" t="s">
        <v>378</v>
      </c>
      <c r="U194" s="215" t="s">
        <v>239</v>
      </c>
      <c r="V194" s="215" t="s">
        <v>7</v>
      </c>
      <c r="W194" s="215" t="s">
        <v>7</v>
      </c>
      <c r="X194" s="215" t="s">
        <v>7</v>
      </c>
      <c r="Y194" s="215"/>
      <c r="Z194" s="215"/>
      <c r="AA194" s="215" t="s">
        <v>96</v>
      </c>
      <c r="AB194" s="215" t="s">
        <v>362</v>
      </c>
      <c r="AC194" s="215">
        <v>109</v>
      </c>
      <c r="AD194" s="215" t="s">
        <v>225</v>
      </c>
      <c r="AE194" s="215">
        <v>6</v>
      </c>
      <c r="AF194" s="215"/>
    </row>
    <row r="195" spans="1:32" x14ac:dyDescent="0.3">
      <c r="A195" s="215" t="s">
        <v>351</v>
      </c>
      <c r="B195" s="215" t="s">
        <v>63</v>
      </c>
      <c r="C195" s="215" t="s">
        <v>95</v>
      </c>
      <c r="D195" s="215" t="s">
        <v>310</v>
      </c>
      <c r="E195" s="215" t="s">
        <v>907</v>
      </c>
      <c r="F195" s="15">
        <v>46230.40084490741</v>
      </c>
      <c r="G195" s="215" t="s">
        <v>424</v>
      </c>
      <c r="H195" s="215">
        <v>3</v>
      </c>
      <c r="I195" s="215" t="s">
        <v>908</v>
      </c>
      <c r="J195" s="15">
        <v>46233.454386574071</v>
      </c>
      <c r="K195" s="15">
        <v>46238.481249999997</v>
      </c>
      <c r="L195" s="15"/>
      <c r="M195" s="215">
        <v>3</v>
      </c>
      <c r="N195" s="215"/>
      <c r="O195" s="215" t="s">
        <v>529</v>
      </c>
      <c r="P195" s="215"/>
      <c r="Q195" s="215"/>
      <c r="R195" s="215"/>
      <c r="S195" s="215" t="s">
        <v>362</v>
      </c>
      <c r="T195" s="215" t="s">
        <v>378</v>
      </c>
      <c r="U195" s="215" t="s">
        <v>239</v>
      </c>
      <c r="V195" s="215" t="s">
        <v>7</v>
      </c>
      <c r="W195" s="215" t="s">
        <v>7</v>
      </c>
      <c r="X195" s="215" t="s">
        <v>7</v>
      </c>
      <c r="Y195" s="215"/>
      <c r="Z195" s="215"/>
      <c r="AA195" s="215" t="s">
        <v>96</v>
      </c>
      <c r="AB195" s="215" t="s">
        <v>362</v>
      </c>
      <c r="AC195" s="215">
        <v>109</v>
      </c>
      <c r="AD195" s="215" t="s">
        <v>225</v>
      </c>
      <c r="AE195" s="215">
        <v>3</v>
      </c>
      <c r="AF195" s="215"/>
    </row>
    <row r="196" spans="1:32" x14ac:dyDescent="0.3">
      <c r="A196" s="215" t="s">
        <v>351</v>
      </c>
      <c r="B196" s="215" t="s">
        <v>63</v>
      </c>
      <c r="C196" s="215" t="s">
        <v>95</v>
      </c>
      <c r="D196" s="215" t="s">
        <v>310</v>
      </c>
      <c r="E196" s="215" t="s">
        <v>907</v>
      </c>
      <c r="F196" s="15">
        <v>46230.40084490741</v>
      </c>
      <c r="G196" s="215" t="s">
        <v>424</v>
      </c>
      <c r="H196" s="215">
        <v>5</v>
      </c>
      <c r="I196" s="215" t="s">
        <v>908</v>
      </c>
      <c r="J196" s="15">
        <v>46233.454386574071</v>
      </c>
      <c r="K196" s="15">
        <v>46238.481249999997</v>
      </c>
      <c r="L196" s="15"/>
      <c r="M196" s="215">
        <v>5</v>
      </c>
      <c r="N196" s="215"/>
      <c r="O196" s="215" t="s">
        <v>529</v>
      </c>
      <c r="P196" s="215"/>
      <c r="Q196" s="215"/>
      <c r="R196" s="215"/>
      <c r="S196" s="215" t="s">
        <v>362</v>
      </c>
      <c r="T196" s="215" t="s">
        <v>378</v>
      </c>
      <c r="U196" s="215" t="s">
        <v>239</v>
      </c>
      <c r="V196" s="215" t="s">
        <v>7</v>
      </c>
      <c r="W196" s="215" t="s">
        <v>7</v>
      </c>
      <c r="X196" s="215" t="s">
        <v>7</v>
      </c>
      <c r="Y196" s="215"/>
      <c r="Z196" s="215"/>
      <c r="AA196" s="215" t="s">
        <v>96</v>
      </c>
      <c r="AB196" s="215" t="s">
        <v>362</v>
      </c>
      <c r="AC196" s="215">
        <v>109</v>
      </c>
      <c r="AD196" s="215" t="s">
        <v>225</v>
      </c>
      <c r="AE196" s="215">
        <v>5</v>
      </c>
      <c r="AF196" s="215"/>
    </row>
    <row r="197" spans="1:32" x14ac:dyDescent="0.3">
      <c r="A197" s="215" t="s">
        <v>351</v>
      </c>
      <c r="B197" s="215" t="s">
        <v>63</v>
      </c>
      <c r="C197" s="215" t="s">
        <v>95</v>
      </c>
      <c r="D197" s="215" t="s">
        <v>310</v>
      </c>
      <c r="E197" s="215" t="s">
        <v>907</v>
      </c>
      <c r="F197" s="15">
        <v>46230.40084490741</v>
      </c>
      <c r="G197" s="215" t="s">
        <v>424</v>
      </c>
      <c r="H197" s="215">
        <v>6</v>
      </c>
      <c r="I197" s="215" t="s">
        <v>908</v>
      </c>
      <c r="J197" s="15">
        <v>46233.454386574071</v>
      </c>
      <c r="K197" s="15">
        <v>46238.481249999997</v>
      </c>
      <c r="L197" s="15"/>
      <c r="M197" s="215">
        <v>6</v>
      </c>
      <c r="N197" s="215"/>
      <c r="O197" s="215" t="s">
        <v>529</v>
      </c>
      <c r="P197" s="215"/>
      <c r="Q197" s="215"/>
      <c r="R197" s="215"/>
      <c r="S197" s="215" t="s">
        <v>362</v>
      </c>
      <c r="T197" s="215" t="s">
        <v>378</v>
      </c>
      <c r="U197" s="215" t="s">
        <v>239</v>
      </c>
      <c r="V197" s="215" t="s">
        <v>7</v>
      </c>
      <c r="W197" s="215" t="s">
        <v>7</v>
      </c>
      <c r="X197" s="215" t="s">
        <v>7</v>
      </c>
      <c r="Y197" s="215"/>
      <c r="Z197" s="215"/>
      <c r="AA197" s="215" t="s">
        <v>96</v>
      </c>
      <c r="AB197" s="215" t="s">
        <v>362</v>
      </c>
      <c r="AC197" s="215">
        <v>109</v>
      </c>
      <c r="AD197" s="215" t="s">
        <v>225</v>
      </c>
      <c r="AE197" s="215">
        <v>6</v>
      </c>
      <c r="AF197" s="215"/>
    </row>
    <row r="198" spans="1:32" x14ac:dyDescent="0.3">
      <c r="A198" s="215" t="s">
        <v>351</v>
      </c>
      <c r="B198" s="215" t="s">
        <v>63</v>
      </c>
      <c r="C198" s="215" t="s">
        <v>95</v>
      </c>
      <c r="D198" s="215" t="s">
        <v>310</v>
      </c>
      <c r="E198" s="215" t="s">
        <v>438</v>
      </c>
      <c r="F198" s="15">
        <v>46212.717303240737</v>
      </c>
      <c r="G198" s="215" t="s">
        <v>412</v>
      </c>
      <c r="H198" s="215">
        <v>2</v>
      </c>
      <c r="I198" s="215" t="s">
        <v>1039</v>
      </c>
      <c r="J198" s="15">
        <v>46231.477627314816</v>
      </c>
      <c r="K198" s="15">
        <v>46238.444444444445</v>
      </c>
      <c r="L198" s="15"/>
      <c r="M198" s="215">
        <v>2</v>
      </c>
      <c r="N198" s="215"/>
      <c r="O198" s="215" t="s">
        <v>201</v>
      </c>
      <c r="P198" s="215" t="s">
        <v>532</v>
      </c>
      <c r="Q198" s="215"/>
      <c r="R198" s="215"/>
      <c r="S198" s="215" t="s">
        <v>361</v>
      </c>
      <c r="T198" s="215" t="s">
        <v>378</v>
      </c>
      <c r="U198" s="215" t="s">
        <v>239</v>
      </c>
      <c r="V198" s="215" t="s">
        <v>7</v>
      </c>
      <c r="W198" s="215" t="s">
        <v>7</v>
      </c>
      <c r="X198" s="215" t="s">
        <v>7</v>
      </c>
      <c r="Y198" s="215"/>
      <c r="Z198" s="215"/>
      <c r="AA198" s="215" t="s">
        <v>96</v>
      </c>
      <c r="AB198" s="215" t="s">
        <v>361</v>
      </c>
      <c r="AC198" s="215">
        <v>2200</v>
      </c>
      <c r="AD198" s="215" t="s">
        <v>225</v>
      </c>
      <c r="AE198" s="215">
        <v>2</v>
      </c>
      <c r="AF198" s="215"/>
    </row>
    <row r="199" spans="1:32" x14ac:dyDescent="0.3">
      <c r="A199" s="215" t="s">
        <v>351</v>
      </c>
      <c r="B199" s="215" t="s">
        <v>63</v>
      </c>
      <c r="C199" s="215" t="s">
        <v>95</v>
      </c>
      <c r="D199" s="215" t="s">
        <v>310</v>
      </c>
      <c r="E199" s="215" t="s">
        <v>438</v>
      </c>
      <c r="F199" s="15">
        <v>46212.717303240737</v>
      </c>
      <c r="G199" s="215" t="s">
        <v>412</v>
      </c>
      <c r="H199" s="215">
        <v>2</v>
      </c>
      <c r="I199" s="215" t="s">
        <v>1039</v>
      </c>
      <c r="J199" s="15">
        <v>46231.477627314816</v>
      </c>
      <c r="K199" s="15">
        <v>46238.444444444445</v>
      </c>
      <c r="L199" s="15"/>
      <c r="M199" s="215">
        <v>2</v>
      </c>
      <c r="N199" s="215"/>
      <c r="O199" s="215" t="s">
        <v>529</v>
      </c>
      <c r="P199" s="215"/>
      <c r="Q199" s="215"/>
      <c r="R199" s="215"/>
      <c r="S199" s="215" t="s">
        <v>361</v>
      </c>
      <c r="T199" s="215" t="s">
        <v>378</v>
      </c>
      <c r="U199" s="215" t="s">
        <v>239</v>
      </c>
      <c r="V199" s="215" t="s">
        <v>7</v>
      </c>
      <c r="W199" s="215" t="s">
        <v>7</v>
      </c>
      <c r="X199" s="215" t="s">
        <v>7</v>
      </c>
      <c r="Y199" s="215"/>
      <c r="Z199" s="215"/>
      <c r="AA199" s="215" t="s">
        <v>96</v>
      </c>
      <c r="AB199" s="215" t="s">
        <v>361</v>
      </c>
      <c r="AC199" s="215">
        <v>2200</v>
      </c>
      <c r="AD199" s="215" t="s">
        <v>225</v>
      </c>
      <c r="AE199" s="215">
        <v>2</v>
      </c>
      <c r="AF199" s="215"/>
    </row>
    <row r="200" spans="1:32" x14ac:dyDescent="0.3">
      <c r="A200" s="215" t="s">
        <v>351</v>
      </c>
      <c r="B200" s="215" t="s">
        <v>63</v>
      </c>
      <c r="C200" s="215" t="s">
        <v>95</v>
      </c>
      <c r="D200" s="215" t="s">
        <v>310</v>
      </c>
      <c r="E200" s="215" t="s">
        <v>437</v>
      </c>
      <c r="F200" s="15">
        <v>46202.512337962966</v>
      </c>
      <c r="G200" s="215" t="s">
        <v>436</v>
      </c>
      <c r="H200" s="215">
        <v>1</v>
      </c>
      <c r="I200" s="215" t="s">
        <v>1040</v>
      </c>
      <c r="J200" s="15">
        <v>46203.361828703702</v>
      </c>
      <c r="K200" s="15">
        <v>46212.739201388889</v>
      </c>
      <c r="L200" s="15"/>
      <c r="M200" s="215">
        <v>26</v>
      </c>
      <c r="N200" s="215"/>
      <c r="O200" s="215" t="s">
        <v>201</v>
      </c>
      <c r="P200" s="215" t="s">
        <v>532</v>
      </c>
      <c r="Q200" s="215"/>
      <c r="R200" s="215"/>
      <c r="S200" s="215" t="s">
        <v>362</v>
      </c>
      <c r="T200" s="215" t="s">
        <v>378</v>
      </c>
      <c r="U200" s="215" t="s">
        <v>239</v>
      </c>
      <c r="V200" s="215" t="s">
        <v>7</v>
      </c>
      <c r="W200" s="215" t="s">
        <v>7</v>
      </c>
      <c r="X200" s="215" t="s">
        <v>7</v>
      </c>
      <c r="Y200" s="215"/>
      <c r="Z200" s="215"/>
      <c r="AA200" s="215" t="s">
        <v>96</v>
      </c>
      <c r="AB200" s="215" t="s">
        <v>362</v>
      </c>
      <c r="AC200" s="215">
        <v>109</v>
      </c>
      <c r="AD200" s="215" t="s">
        <v>225</v>
      </c>
      <c r="AE200" s="215">
        <v>26</v>
      </c>
      <c r="AF200" s="215"/>
    </row>
    <row r="201" spans="1:32" x14ac:dyDescent="0.3">
      <c r="A201" s="215" t="s">
        <v>351</v>
      </c>
      <c r="B201" s="215" t="s">
        <v>63</v>
      </c>
      <c r="C201" s="215" t="s">
        <v>95</v>
      </c>
      <c r="D201" s="215" t="s">
        <v>310</v>
      </c>
      <c r="E201" s="215" t="s">
        <v>437</v>
      </c>
      <c r="F201" s="15">
        <v>46202.512337962966</v>
      </c>
      <c r="G201" s="215" t="s">
        <v>436</v>
      </c>
      <c r="H201" s="215">
        <v>1</v>
      </c>
      <c r="I201" s="215" t="s">
        <v>1040</v>
      </c>
      <c r="J201" s="15">
        <v>46203.361828703702</v>
      </c>
      <c r="K201" s="15">
        <v>46212.739201388889</v>
      </c>
      <c r="L201" s="15"/>
      <c r="M201" s="215">
        <v>13</v>
      </c>
      <c r="N201" s="215"/>
      <c r="O201" s="215" t="s">
        <v>529</v>
      </c>
      <c r="P201" s="215"/>
      <c r="Q201" s="215"/>
      <c r="R201" s="215"/>
      <c r="S201" s="215" t="s">
        <v>362</v>
      </c>
      <c r="T201" s="215" t="s">
        <v>378</v>
      </c>
      <c r="U201" s="215" t="s">
        <v>239</v>
      </c>
      <c r="V201" s="215" t="s">
        <v>7</v>
      </c>
      <c r="W201" s="215" t="s">
        <v>7</v>
      </c>
      <c r="X201" s="215" t="s">
        <v>7</v>
      </c>
      <c r="Y201" s="215"/>
      <c r="Z201" s="215"/>
      <c r="AA201" s="215" t="s">
        <v>96</v>
      </c>
      <c r="AB201" s="215" t="s">
        <v>362</v>
      </c>
      <c r="AC201" s="215">
        <v>109</v>
      </c>
      <c r="AD201" s="215" t="s">
        <v>225</v>
      </c>
      <c r="AE201" s="215">
        <v>13</v>
      </c>
      <c r="AF201" s="215"/>
    </row>
    <row r="202" spans="1:32" x14ac:dyDescent="0.3">
      <c r="A202" s="215" t="s">
        <v>351</v>
      </c>
      <c r="B202" s="215" t="s">
        <v>63</v>
      </c>
      <c r="C202" s="215" t="s">
        <v>95</v>
      </c>
      <c r="D202" s="215" t="s">
        <v>310</v>
      </c>
      <c r="E202" s="215" t="s">
        <v>437</v>
      </c>
      <c r="F202" s="15">
        <v>46202.512337962966</v>
      </c>
      <c r="G202" s="215" t="s">
        <v>436</v>
      </c>
      <c r="H202" s="215">
        <v>30</v>
      </c>
      <c r="I202" s="215" t="s">
        <v>1042</v>
      </c>
      <c r="J202" s="15">
        <v>46239.591469907406</v>
      </c>
      <c r="K202" s="15">
        <v>46241.497916666667</v>
      </c>
      <c r="L202" s="15"/>
      <c r="M202" s="215">
        <v>30</v>
      </c>
      <c r="N202" s="215"/>
      <c r="O202" s="215" t="s">
        <v>201</v>
      </c>
      <c r="P202" s="215" t="s">
        <v>532</v>
      </c>
      <c r="Q202" s="215"/>
      <c r="R202" s="215"/>
      <c r="S202" s="215" t="s">
        <v>362</v>
      </c>
      <c r="T202" s="215" t="s">
        <v>378</v>
      </c>
      <c r="U202" s="215" t="s">
        <v>239</v>
      </c>
      <c r="V202" s="215" t="s">
        <v>7</v>
      </c>
      <c r="W202" s="215" t="s">
        <v>7</v>
      </c>
      <c r="X202" s="215" t="s">
        <v>7</v>
      </c>
      <c r="Y202" s="215"/>
      <c r="Z202" s="215"/>
      <c r="AA202" s="215" t="s">
        <v>96</v>
      </c>
      <c r="AB202" s="215" t="s">
        <v>362</v>
      </c>
      <c r="AC202" s="215">
        <v>109</v>
      </c>
      <c r="AD202" s="215" t="s">
        <v>225</v>
      </c>
      <c r="AE202" s="215">
        <v>30</v>
      </c>
      <c r="AF202" s="215"/>
    </row>
    <row r="203" spans="1:32" x14ac:dyDescent="0.3">
      <c r="A203" s="215" t="s">
        <v>351</v>
      </c>
      <c r="B203" s="215" t="s">
        <v>63</v>
      </c>
      <c r="C203" s="215" t="s">
        <v>95</v>
      </c>
      <c r="D203" s="215" t="s">
        <v>310</v>
      </c>
      <c r="E203" s="215" t="s">
        <v>1043</v>
      </c>
      <c r="F203" s="15">
        <v>46253.45040509259</v>
      </c>
      <c r="G203" s="215" t="s">
        <v>412</v>
      </c>
      <c r="H203" s="215">
        <v>1</v>
      </c>
      <c r="I203" s="215" t="s">
        <v>1044</v>
      </c>
      <c r="J203" s="15">
        <v>46255.393750000003</v>
      </c>
      <c r="K203" s="15">
        <v>46258.414583333331</v>
      </c>
      <c r="L203" s="15"/>
      <c r="M203" s="215">
        <v>1</v>
      </c>
      <c r="N203" s="215"/>
      <c r="O203" s="215" t="s">
        <v>201</v>
      </c>
      <c r="P203" s="215" t="s">
        <v>532</v>
      </c>
      <c r="Q203" s="215"/>
      <c r="R203" s="215"/>
      <c r="S203" s="215" t="s">
        <v>361</v>
      </c>
      <c r="T203" s="215" t="s">
        <v>378</v>
      </c>
      <c r="U203" s="215" t="s">
        <v>239</v>
      </c>
      <c r="V203" s="215" t="s">
        <v>7</v>
      </c>
      <c r="W203" s="215" t="s">
        <v>7</v>
      </c>
      <c r="X203" s="215" t="s">
        <v>7</v>
      </c>
      <c r="Y203" s="215"/>
      <c r="Z203" s="215"/>
      <c r="AA203" s="215" t="s">
        <v>96</v>
      </c>
      <c r="AB203" s="215" t="s">
        <v>361</v>
      </c>
      <c r="AC203" s="215">
        <v>2200</v>
      </c>
      <c r="AD203" s="215" t="s">
        <v>225</v>
      </c>
      <c r="AE203" s="215">
        <v>1</v>
      </c>
      <c r="AF203" s="215"/>
    </row>
    <row r="204" spans="1:32" x14ac:dyDescent="0.3">
      <c r="A204" s="215" t="s">
        <v>351</v>
      </c>
      <c r="B204" s="215" t="s">
        <v>63</v>
      </c>
      <c r="C204" s="215" t="s">
        <v>95</v>
      </c>
      <c r="D204" s="215" t="s">
        <v>310</v>
      </c>
      <c r="E204" s="215" t="s">
        <v>1049</v>
      </c>
      <c r="F204" s="15">
        <v>46225.356817129628</v>
      </c>
      <c r="G204" s="215" t="s">
        <v>409</v>
      </c>
      <c r="H204" s="215">
        <v>1</v>
      </c>
      <c r="I204" s="215" t="s">
        <v>1050</v>
      </c>
      <c r="J204" s="15">
        <v>46233.380069444444</v>
      </c>
      <c r="K204" s="15">
        <v>46238.463194444441</v>
      </c>
      <c r="L204" s="15"/>
      <c r="M204" s="215">
        <v>1</v>
      </c>
      <c r="N204" s="215"/>
      <c r="O204" s="215" t="s">
        <v>201</v>
      </c>
      <c r="P204" s="215" t="s">
        <v>532</v>
      </c>
      <c r="Q204" s="215"/>
      <c r="R204" s="215"/>
      <c r="S204" s="215" t="s">
        <v>360</v>
      </c>
      <c r="T204" s="215" t="s">
        <v>378</v>
      </c>
      <c r="U204" s="215" t="s">
        <v>239</v>
      </c>
      <c r="V204" s="215" t="s">
        <v>7</v>
      </c>
      <c r="W204" s="215" t="s">
        <v>7</v>
      </c>
      <c r="X204" s="215" t="s">
        <v>7</v>
      </c>
      <c r="Y204" s="215"/>
      <c r="Z204" s="215"/>
      <c r="AA204" s="215" t="s">
        <v>96</v>
      </c>
      <c r="AB204" s="215" t="s">
        <v>360</v>
      </c>
      <c r="AC204" s="215">
        <v>50</v>
      </c>
      <c r="AD204" s="215" t="s">
        <v>225</v>
      </c>
      <c r="AE204" s="215">
        <v>1</v>
      </c>
      <c r="AF204" s="215"/>
    </row>
    <row r="205" spans="1:32" x14ac:dyDescent="0.3">
      <c r="A205" s="215" t="s">
        <v>351</v>
      </c>
      <c r="B205" s="215" t="s">
        <v>63</v>
      </c>
      <c r="C205" s="215" t="s">
        <v>95</v>
      </c>
      <c r="D205" s="215" t="s">
        <v>310</v>
      </c>
      <c r="E205" s="215" t="s">
        <v>1055</v>
      </c>
      <c r="F205" s="15">
        <v>46223.754212962966</v>
      </c>
      <c r="G205" s="215" t="s">
        <v>412</v>
      </c>
      <c r="H205" s="215">
        <v>1</v>
      </c>
      <c r="I205" s="215" t="s">
        <v>1056</v>
      </c>
      <c r="J205" s="15">
        <v>46232.484236111108</v>
      </c>
      <c r="K205" s="15">
        <v>46238.427083333336</v>
      </c>
      <c r="L205" s="15"/>
      <c r="M205" s="215">
        <v>1</v>
      </c>
      <c r="N205" s="215"/>
      <c r="O205" s="215" t="s">
        <v>201</v>
      </c>
      <c r="P205" s="215" t="s">
        <v>532</v>
      </c>
      <c r="Q205" s="215"/>
      <c r="R205" s="215"/>
      <c r="S205" s="215" t="s">
        <v>361</v>
      </c>
      <c r="T205" s="215" t="s">
        <v>378</v>
      </c>
      <c r="U205" s="215" t="s">
        <v>239</v>
      </c>
      <c r="V205" s="215" t="s">
        <v>7</v>
      </c>
      <c r="W205" s="215" t="s">
        <v>7</v>
      </c>
      <c r="X205" s="215" t="s">
        <v>7</v>
      </c>
      <c r="Y205" s="215"/>
      <c r="Z205" s="215"/>
      <c r="AA205" s="215" t="s">
        <v>96</v>
      </c>
      <c r="AB205" s="215" t="s">
        <v>361</v>
      </c>
      <c r="AC205" s="215">
        <v>2200</v>
      </c>
      <c r="AD205" s="215" t="s">
        <v>225</v>
      </c>
      <c r="AE205" s="215">
        <v>1</v>
      </c>
      <c r="AF205" s="215"/>
    </row>
    <row r="206" spans="1:32" x14ac:dyDescent="0.3">
      <c r="A206" s="215" t="s">
        <v>351</v>
      </c>
      <c r="B206" s="215" t="s">
        <v>63</v>
      </c>
      <c r="C206" s="215" t="s">
        <v>95</v>
      </c>
      <c r="D206" s="215" t="s">
        <v>310</v>
      </c>
      <c r="E206" s="215" t="s">
        <v>797</v>
      </c>
      <c r="F206" s="15">
        <v>46232.31826388889</v>
      </c>
      <c r="G206" s="215" t="s">
        <v>411</v>
      </c>
      <c r="H206" s="215">
        <v>1</v>
      </c>
      <c r="I206" s="215" t="s">
        <v>1033</v>
      </c>
      <c r="J206" s="15">
        <v>46232.407094907408</v>
      </c>
      <c r="K206" s="15">
        <v>46238.423611111109</v>
      </c>
      <c r="L206" s="15"/>
      <c r="M206" s="215">
        <v>1</v>
      </c>
      <c r="N206" s="215"/>
      <c r="O206" s="215" t="s">
        <v>201</v>
      </c>
      <c r="P206" s="215" t="s">
        <v>532</v>
      </c>
      <c r="Q206" s="215"/>
      <c r="R206" s="215"/>
      <c r="S206" s="215" t="s">
        <v>363</v>
      </c>
      <c r="T206" s="215" t="s">
        <v>378</v>
      </c>
      <c r="U206" s="215" t="s">
        <v>239</v>
      </c>
      <c r="V206" s="215" t="s">
        <v>7</v>
      </c>
      <c r="W206" s="215" t="s">
        <v>7</v>
      </c>
      <c r="X206" s="215" t="s">
        <v>7</v>
      </c>
      <c r="Y206" s="215"/>
      <c r="Z206" s="215"/>
      <c r="AA206" s="215" t="s">
        <v>96</v>
      </c>
      <c r="AB206" s="215" t="s">
        <v>363</v>
      </c>
      <c r="AC206" s="215">
        <v>101</v>
      </c>
      <c r="AD206" s="215" t="s">
        <v>225</v>
      </c>
      <c r="AE206" s="215">
        <v>1</v>
      </c>
      <c r="AF206" s="215"/>
    </row>
    <row r="207" spans="1:32" x14ac:dyDescent="0.3">
      <c r="A207" s="215" t="s">
        <v>351</v>
      </c>
      <c r="B207" s="215" t="s">
        <v>63</v>
      </c>
      <c r="C207" s="215" t="s">
        <v>95</v>
      </c>
      <c r="D207" s="215" t="s">
        <v>310</v>
      </c>
      <c r="E207" s="215" t="s">
        <v>1064</v>
      </c>
      <c r="F207" s="15">
        <v>46223.623645833337</v>
      </c>
      <c r="G207" s="215" t="s">
        <v>412</v>
      </c>
      <c r="H207" s="215">
        <v>1</v>
      </c>
      <c r="I207" s="215" t="s">
        <v>1065</v>
      </c>
      <c r="J207" s="15">
        <v>46224.351388888892</v>
      </c>
      <c r="K207" s="15">
        <v>46227.68472222222</v>
      </c>
      <c r="L207" s="15">
        <v>46234.655555555553</v>
      </c>
      <c r="M207" s="215">
        <v>1</v>
      </c>
      <c r="N207" s="215"/>
      <c r="O207" s="215" t="s">
        <v>201</v>
      </c>
      <c r="P207" s="215" t="s">
        <v>532</v>
      </c>
      <c r="Q207" s="215"/>
      <c r="R207" s="215"/>
      <c r="S207" s="215" t="s">
        <v>361</v>
      </c>
      <c r="T207" s="215" t="s">
        <v>378</v>
      </c>
      <c r="U207" s="215" t="s">
        <v>239</v>
      </c>
      <c r="V207" s="215" t="s">
        <v>7</v>
      </c>
      <c r="W207" s="215" t="s">
        <v>7</v>
      </c>
      <c r="X207" s="215" t="s">
        <v>7</v>
      </c>
      <c r="Y207" s="215"/>
      <c r="Z207" s="215"/>
      <c r="AA207" s="215" t="s">
        <v>96</v>
      </c>
      <c r="AB207" s="215" t="s">
        <v>361</v>
      </c>
      <c r="AC207" s="215">
        <v>2200</v>
      </c>
      <c r="AD207" s="215" t="s">
        <v>225</v>
      </c>
      <c r="AE207" s="215">
        <v>1</v>
      </c>
      <c r="AF207" s="215"/>
    </row>
    <row r="208" spans="1:32" x14ac:dyDescent="0.3">
      <c r="A208" s="215" t="s">
        <v>351</v>
      </c>
      <c r="B208" s="215" t="s">
        <v>63</v>
      </c>
      <c r="C208" s="215" t="s">
        <v>95</v>
      </c>
      <c r="D208" s="215" t="s">
        <v>310</v>
      </c>
      <c r="E208" s="215" t="s">
        <v>1064</v>
      </c>
      <c r="F208" s="15">
        <v>46223.623645833337</v>
      </c>
      <c r="G208" s="215" t="s">
        <v>412</v>
      </c>
      <c r="H208" s="215">
        <v>1</v>
      </c>
      <c r="I208" s="215" t="s">
        <v>1065</v>
      </c>
      <c r="J208" s="15">
        <v>46224.351388888892</v>
      </c>
      <c r="K208" s="15">
        <v>46227.68472222222</v>
      </c>
      <c r="L208" s="15">
        <v>46234.655555555553</v>
      </c>
      <c r="M208" s="215">
        <v>1</v>
      </c>
      <c r="N208" s="215"/>
      <c r="O208" s="215" t="s">
        <v>529</v>
      </c>
      <c r="P208" s="215"/>
      <c r="Q208" s="215"/>
      <c r="R208" s="215"/>
      <c r="S208" s="215" t="s">
        <v>361</v>
      </c>
      <c r="T208" s="215" t="s">
        <v>378</v>
      </c>
      <c r="U208" s="215" t="s">
        <v>239</v>
      </c>
      <c r="V208" s="215" t="s">
        <v>7</v>
      </c>
      <c r="W208" s="215" t="s">
        <v>7</v>
      </c>
      <c r="X208" s="215" t="s">
        <v>7</v>
      </c>
      <c r="Y208" s="215"/>
      <c r="Z208" s="215"/>
      <c r="AA208" s="215" t="s">
        <v>96</v>
      </c>
      <c r="AB208" s="215" t="s">
        <v>361</v>
      </c>
      <c r="AC208" s="215">
        <v>2200</v>
      </c>
      <c r="AD208" s="215" t="s">
        <v>225</v>
      </c>
      <c r="AE208" s="215">
        <v>1</v>
      </c>
      <c r="AF208" s="215"/>
    </row>
    <row r="209" spans="1:32" x14ac:dyDescent="0.3">
      <c r="A209" s="215" t="s">
        <v>351</v>
      </c>
      <c r="B209" s="215" t="s">
        <v>63</v>
      </c>
      <c r="C209" s="215" t="s">
        <v>95</v>
      </c>
      <c r="D209" s="215" t="s">
        <v>310</v>
      </c>
      <c r="E209" s="215" t="s">
        <v>1064</v>
      </c>
      <c r="F209" s="15">
        <v>46223.623645833337</v>
      </c>
      <c r="G209" s="215" t="s">
        <v>412</v>
      </c>
      <c r="H209" s="215">
        <v>3</v>
      </c>
      <c r="I209" s="215" t="s">
        <v>1066</v>
      </c>
      <c r="J209" s="15">
        <v>46224.351388888892</v>
      </c>
      <c r="K209" s="15">
        <v>46227.68472222222</v>
      </c>
      <c r="L209" s="15"/>
      <c r="M209" s="215">
        <v>3</v>
      </c>
      <c r="N209" s="215"/>
      <c r="O209" s="215" t="s">
        <v>201</v>
      </c>
      <c r="P209" s="215" t="s">
        <v>532</v>
      </c>
      <c r="Q209" s="215"/>
      <c r="R209" s="215"/>
      <c r="S209" s="215" t="s">
        <v>361</v>
      </c>
      <c r="T209" s="215" t="s">
        <v>378</v>
      </c>
      <c r="U209" s="215" t="s">
        <v>239</v>
      </c>
      <c r="V209" s="215" t="s">
        <v>7</v>
      </c>
      <c r="W209" s="215" t="s">
        <v>7</v>
      </c>
      <c r="X209" s="215" t="s">
        <v>7</v>
      </c>
      <c r="Y209" s="215"/>
      <c r="Z209" s="215"/>
      <c r="AA209" s="215" t="s">
        <v>96</v>
      </c>
      <c r="AB209" s="215" t="s">
        <v>361</v>
      </c>
      <c r="AC209" s="215">
        <v>2200</v>
      </c>
      <c r="AD209" s="215" t="s">
        <v>225</v>
      </c>
      <c r="AE209" s="215">
        <v>3</v>
      </c>
      <c r="AF209" s="215"/>
    </row>
    <row r="210" spans="1:32" x14ac:dyDescent="0.3">
      <c r="A210" s="215" t="s">
        <v>351</v>
      </c>
      <c r="B210" s="215" t="s">
        <v>63</v>
      </c>
      <c r="C210" s="215" t="s">
        <v>95</v>
      </c>
      <c r="D210" s="215" t="s">
        <v>310</v>
      </c>
      <c r="E210" s="215" t="s">
        <v>443</v>
      </c>
      <c r="F210" s="15">
        <v>46217.60359953704</v>
      </c>
      <c r="G210" s="215" t="s">
        <v>439</v>
      </c>
      <c r="H210" s="215">
        <v>1</v>
      </c>
      <c r="I210" s="215" t="s">
        <v>1069</v>
      </c>
      <c r="J210" s="15">
        <v>46220.352083333331</v>
      </c>
      <c r="K210" s="15">
        <v>46227.702777777777</v>
      </c>
      <c r="L210" s="15"/>
      <c r="M210" s="215">
        <v>1</v>
      </c>
      <c r="N210" s="215"/>
      <c r="O210" s="215" t="s">
        <v>201</v>
      </c>
      <c r="P210" s="215" t="s">
        <v>532</v>
      </c>
      <c r="Q210" s="215"/>
      <c r="R210" s="215"/>
      <c r="S210" s="215" t="s">
        <v>363</v>
      </c>
      <c r="T210" s="215" t="s">
        <v>378</v>
      </c>
      <c r="U210" s="215" t="s">
        <v>239</v>
      </c>
      <c r="V210" s="215" t="s">
        <v>7</v>
      </c>
      <c r="W210" s="215" t="s">
        <v>7</v>
      </c>
      <c r="X210" s="215" t="s">
        <v>7</v>
      </c>
      <c r="Y210" s="215"/>
      <c r="Z210" s="215"/>
      <c r="AA210" s="215" t="s">
        <v>96</v>
      </c>
      <c r="AB210" s="215" t="s">
        <v>363</v>
      </c>
      <c r="AC210" s="215">
        <v>101</v>
      </c>
      <c r="AD210" s="215" t="s">
        <v>225</v>
      </c>
      <c r="AE210" s="215">
        <v>1</v>
      </c>
      <c r="AF210" s="215"/>
    </row>
    <row r="211" spans="1:32" x14ac:dyDescent="0.3">
      <c r="A211" s="215" t="s">
        <v>351</v>
      </c>
      <c r="B211" s="215" t="s">
        <v>63</v>
      </c>
      <c r="C211" s="215" t="s">
        <v>95</v>
      </c>
      <c r="D211" s="215" t="s">
        <v>310</v>
      </c>
      <c r="E211" s="215" t="s">
        <v>443</v>
      </c>
      <c r="F211" s="15">
        <v>46217.60359953704</v>
      </c>
      <c r="G211" s="215" t="s">
        <v>439</v>
      </c>
      <c r="H211" s="215">
        <v>4</v>
      </c>
      <c r="I211" s="215" t="s">
        <v>1069</v>
      </c>
      <c r="J211" s="15">
        <v>46220.352083333331</v>
      </c>
      <c r="K211" s="15">
        <v>46227.702777777777</v>
      </c>
      <c r="L211" s="15"/>
      <c r="M211" s="215">
        <v>4</v>
      </c>
      <c r="N211" s="215"/>
      <c r="O211" s="215" t="s">
        <v>529</v>
      </c>
      <c r="P211" s="215"/>
      <c r="Q211" s="215"/>
      <c r="R211" s="215"/>
      <c r="S211" s="215" t="s">
        <v>363</v>
      </c>
      <c r="T211" s="215" t="s">
        <v>378</v>
      </c>
      <c r="U211" s="215" t="s">
        <v>239</v>
      </c>
      <c r="V211" s="215" t="s">
        <v>7</v>
      </c>
      <c r="W211" s="215" t="s">
        <v>7</v>
      </c>
      <c r="X211" s="215" t="s">
        <v>7</v>
      </c>
      <c r="Y211" s="215"/>
      <c r="Z211" s="215"/>
      <c r="AA211" s="215" t="s">
        <v>96</v>
      </c>
      <c r="AB211" s="215" t="s">
        <v>363</v>
      </c>
      <c r="AC211" s="215">
        <v>101</v>
      </c>
      <c r="AD211" s="215" t="s">
        <v>225</v>
      </c>
      <c r="AE211" s="215">
        <v>4</v>
      </c>
      <c r="AF211" s="215"/>
    </row>
    <row r="212" spans="1:32" x14ac:dyDescent="0.3">
      <c r="A212" s="215" t="s">
        <v>351</v>
      </c>
      <c r="B212" s="215" t="s">
        <v>63</v>
      </c>
      <c r="C212" s="215" t="s">
        <v>95</v>
      </c>
      <c r="D212" s="215" t="s">
        <v>310</v>
      </c>
      <c r="E212" s="215" t="s">
        <v>443</v>
      </c>
      <c r="F212" s="15">
        <v>46217.60359953704</v>
      </c>
      <c r="G212" s="215" t="s">
        <v>439</v>
      </c>
      <c r="H212" s="215">
        <v>1</v>
      </c>
      <c r="I212" s="215" t="s">
        <v>1069</v>
      </c>
      <c r="J212" s="15">
        <v>46220.352083333331</v>
      </c>
      <c r="K212" s="15">
        <v>46227.702777777777</v>
      </c>
      <c r="L212" s="15"/>
      <c r="M212" s="215">
        <v>1</v>
      </c>
      <c r="N212" s="215"/>
      <c r="O212" s="215" t="s">
        <v>529</v>
      </c>
      <c r="P212" s="215"/>
      <c r="Q212" s="215"/>
      <c r="R212" s="215"/>
      <c r="S212" s="215" t="s">
        <v>363</v>
      </c>
      <c r="T212" s="215" t="s">
        <v>378</v>
      </c>
      <c r="U212" s="215" t="s">
        <v>239</v>
      </c>
      <c r="V212" s="215" t="s">
        <v>7</v>
      </c>
      <c r="W212" s="215" t="s">
        <v>7</v>
      </c>
      <c r="X212" s="215" t="s">
        <v>7</v>
      </c>
      <c r="Y212" s="215"/>
      <c r="Z212" s="215"/>
      <c r="AA212" s="215" t="s">
        <v>96</v>
      </c>
      <c r="AB212" s="215" t="s">
        <v>363</v>
      </c>
      <c r="AC212" s="215">
        <v>101</v>
      </c>
      <c r="AD212" s="215" t="s">
        <v>225</v>
      </c>
      <c r="AE212" s="215">
        <v>1</v>
      </c>
      <c r="AF212" s="215"/>
    </row>
    <row r="213" spans="1:32" x14ac:dyDescent="0.3">
      <c r="A213" s="215" t="s">
        <v>351</v>
      </c>
      <c r="B213" s="215" t="s">
        <v>63</v>
      </c>
      <c r="C213" s="215" t="s">
        <v>95</v>
      </c>
      <c r="D213" s="215" t="s">
        <v>310</v>
      </c>
      <c r="E213" s="215" t="s">
        <v>1059</v>
      </c>
      <c r="F213" s="15">
        <v>46233.719895833332</v>
      </c>
      <c r="G213" s="215" t="s">
        <v>439</v>
      </c>
      <c r="H213" s="215">
        <v>6</v>
      </c>
      <c r="I213" s="215" t="s">
        <v>1060</v>
      </c>
      <c r="J213" s="15">
        <v>46234.410682870373</v>
      </c>
      <c r="K213" s="15">
        <v>46238.434027777781</v>
      </c>
      <c r="L213" s="15"/>
      <c r="M213" s="215">
        <v>6</v>
      </c>
      <c r="N213" s="215"/>
      <c r="O213" s="215" t="s">
        <v>201</v>
      </c>
      <c r="P213" s="215" t="s">
        <v>532</v>
      </c>
      <c r="Q213" s="215"/>
      <c r="R213" s="215"/>
      <c r="S213" s="215" t="s">
        <v>361</v>
      </c>
      <c r="T213" s="215" t="s">
        <v>378</v>
      </c>
      <c r="U213" s="215" t="s">
        <v>239</v>
      </c>
      <c r="V213" s="215" t="s">
        <v>7</v>
      </c>
      <c r="W213" s="215" t="s">
        <v>7</v>
      </c>
      <c r="X213" s="215" t="s">
        <v>7</v>
      </c>
      <c r="Y213" s="215"/>
      <c r="Z213" s="215"/>
      <c r="AA213" s="215" t="s">
        <v>96</v>
      </c>
      <c r="AB213" s="215" t="s">
        <v>361</v>
      </c>
      <c r="AC213" s="215">
        <v>2200</v>
      </c>
      <c r="AD213" s="215" t="s">
        <v>225</v>
      </c>
      <c r="AE213" s="215">
        <v>6</v>
      </c>
      <c r="AF213" s="215"/>
    </row>
    <row r="214" spans="1:32" x14ac:dyDescent="0.3">
      <c r="A214" s="215" t="s">
        <v>351</v>
      </c>
      <c r="B214" s="215" t="s">
        <v>63</v>
      </c>
      <c r="C214" s="215" t="s">
        <v>95</v>
      </c>
      <c r="D214" s="215" t="s">
        <v>310</v>
      </c>
      <c r="E214" s="215" t="s">
        <v>1059</v>
      </c>
      <c r="F214" s="15">
        <v>46233.719895833332</v>
      </c>
      <c r="G214" s="215" t="s">
        <v>439</v>
      </c>
      <c r="H214" s="215">
        <v>2</v>
      </c>
      <c r="I214" s="215" t="s">
        <v>1101</v>
      </c>
      <c r="J214" s="15">
        <v>46234.408483796295</v>
      </c>
      <c r="K214" s="15">
        <v>46238.436805555553</v>
      </c>
      <c r="L214" s="15"/>
      <c r="M214" s="215">
        <v>2</v>
      </c>
      <c r="N214" s="215"/>
      <c r="O214" s="215" t="s">
        <v>201</v>
      </c>
      <c r="P214" s="215" t="s">
        <v>532</v>
      </c>
      <c r="Q214" s="215"/>
      <c r="R214" s="215"/>
      <c r="S214" s="215" t="s">
        <v>361</v>
      </c>
      <c r="T214" s="215" t="s">
        <v>378</v>
      </c>
      <c r="U214" s="215" t="s">
        <v>239</v>
      </c>
      <c r="V214" s="215" t="s">
        <v>7</v>
      </c>
      <c r="W214" s="215" t="s">
        <v>7</v>
      </c>
      <c r="X214" s="215" t="s">
        <v>7</v>
      </c>
      <c r="Y214" s="215"/>
      <c r="Z214" s="215"/>
      <c r="AA214" s="215" t="s">
        <v>96</v>
      </c>
      <c r="AB214" s="215" t="s">
        <v>361</v>
      </c>
      <c r="AC214" s="215">
        <v>2200</v>
      </c>
      <c r="AD214" s="215" t="s">
        <v>225</v>
      </c>
      <c r="AE214" s="215">
        <v>2</v>
      </c>
      <c r="AF214" s="215"/>
    </row>
    <row r="215" spans="1:32" x14ac:dyDescent="0.3">
      <c r="A215" s="215" t="s">
        <v>351</v>
      </c>
      <c r="B215" s="215" t="s">
        <v>63</v>
      </c>
      <c r="C215" s="215" t="s">
        <v>95</v>
      </c>
      <c r="D215" s="215" t="s">
        <v>310</v>
      </c>
      <c r="E215" s="215" t="s">
        <v>1059</v>
      </c>
      <c r="F215" s="15">
        <v>46233.719895833332</v>
      </c>
      <c r="G215" s="215" t="s">
        <v>439</v>
      </c>
      <c r="H215" s="215">
        <v>6</v>
      </c>
      <c r="I215" s="215" t="s">
        <v>1060</v>
      </c>
      <c r="J215" s="15">
        <v>46234.410682870373</v>
      </c>
      <c r="K215" s="15">
        <v>46238.434027777781</v>
      </c>
      <c r="L215" s="15"/>
      <c r="M215" s="215">
        <v>6</v>
      </c>
      <c r="N215" s="215"/>
      <c r="O215" s="215" t="s">
        <v>529</v>
      </c>
      <c r="P215" s="215"/>
      <c r="Q215" s="215"/>
      <c r="R215" s="215"/>
      <c r="S215" s="215" t="s">
        <v>361</v>
      </c>
      <c r="T215" s="215" t="s">
        <v>378</v>
      </c>
      <c r="U215" s="215" t="s">
        <v>239</v>
      </c>
      <c r="V215" s="215" t="s">
        <v>7</v>
      </c>
      <c r="W215" s="215" t="s">
        <v>7</v>
      </c>
      <c r="X215" s="215" t="s">
        <v>7</v>
      </c>
      <c r="Y215" s="215"/>
      <c r="Z215" s="215"/>
      <c r="AA215" s="215" t="s">
        <v>96</v>
      </c>
      <c r="AB215" s="215" t="s">
        <v>361</v>
      </c>
      <c r="AC215" s="215">
        <v>2200</v>
      </c>
      <c r="AD215" s="215" t="s">
        <v>225</v>
      </c>
      <c r="AE215" s="215">
        <v>6</v>
      </c>
      <c r="AF215" s="215"/>
    </row>
    <row r="216" spans="1:32" x14ac:dyDescent="0.3">
      <c r="A216" s="215" t="s">
        <v>351</v>
      </c>
      <c r="B216" s="215" t="s">
        <v>281</v>
      </c>
      <c r="C216" s="215" t="s">
        <v>85</v>
      </c>
      <c r="D216" s="215" t="s">
        <v>310</v>
      </c>
      <c r="E216" s="215" t="s">
        <v>443</v>
      </c>
      <c r="F216" s="15">
        <v>46217.60359953704</v>
      </c>
      <c r="G216" s="215" t="s">
        <v>439</v>
      </c>
      <c r="H216" s="215">
        <v>1</v>
      </c>
      <c r="I216" s="215" t="s">
        <v>1069</v>
      </c>
      <c r="J216" s="15">
        <v>46220.352083333331</v>
      </c>
      <c r="K216" s="15">
        <v>46227.702777777777</v>
      </c>
      <c r="L216" s="15"/>
      <c r="M216" s="215">
        <v>1</v>
      </c>
      <c r="N216" s="215"/>
      <c r="O216" s="215" t="s">
        <v>201</v>
      </c>
      <c r="P216" s="215" t="s">
        <v>531</v>
      </c>
      <c r="Q216" s="215"/>
      <c r="R216" s="215"/>
      <c r="S216" s="215" t="s">
        <v>363</v>
      </c>
      <c r="T216" s="215" t="s">
        <v>378</v>
      </c>
      <c r="U216" s="215" t="s">
        <v>239</v>
      </c>
      <c r="V216" s="215" t="s">
        <v>7</v>
      </c>
      <c r="W216" s="215" t="s">
        <v>7</v>
      </c>
      <c r="X216" s="215" t="s">
        <v>7</v>
      </c>
      <c r="Y216" s="215"/>
      <c r="Z216" s="215">
        <v>1</v>
      </c>
      <c r="AA216" s="215" t="s">
        <v>122</v>
      </c>
      <c r="AB216" s="215" t="s">
        <v>363</v>
      </c>
      <c r="AC216" s="215">
        <v>101</v>
      </c>
      <c r="AD216" s="215" t="s">
        <v>231</v>
      </c>
      <c r="AE216" s="215">
        <v>1</v>
      </c>
      <c r="AF216" s="215"/>
    </row>
    <row r="217" spans="1:32" x14ac:dyDescent="0.3">
      <c r="A217" s="215" t="s">
        <v>351</v>
      </c>
      <c r="B217" s="215" t="s">
        <v>281</v>
      </c>
      <c r="C217" s="215" t="s">
        <v>85</v>
      </c>
      <c r="D217" s="215" t="s">
        <v>310</v>
      </c>
      <c r="E217" s="215" t="s">
        <v>443</v>
      </c>
      <c r="F217" s="15">
        <v>46217.60359953704</v>
      </c>
      <c r="G217" s="215" t="s">
        <v>439</v>
      </c>
      <c r="H217" s="215">
        <v>14</v>
      </c>
      <c r="I217" s="215" t="s">
        <v>1069</v>
      </c>
      <c r="J217" s="15">
        <v>46220.352083333331</v>
      </c>
      <c r="K217" s="15">
        <v>46227.702777777777</v>
      </c>
      <c r="L217" s="15"/>
      <c r="M217" s="215">
        <v>14</v>
      </c>
      <c r="N217" s="215"/>
      <c r="O217" s="215" t="s">
        <v>529</v>
      </c>
      <c r="P217" s="215"/>
      <c r="Q217" s="215"/>
      <c r="R217" s="215"/>
      <c r="S217" s="215" t="s">
        <v>363</v>
      </c>
      <c r="T217" s="215" t="s">
        <v>378</v>
      </c>
      <c r="U217" s="215" t="s">
        <v>239</v>
      </c>
      <c r="V217" s="215" t="s">
        <v>7</v>
      </c>
      <c r="W217" s="215" t="s">
        <v>7</v>
      </c>
      <c r="X217" s="215" t="s">
        <v>7</v>
      </c>
      <c r="Y217" s="215"/>
      <c r="Z217" s="215">
        <v>1</v>
      </c>
      <c r="AA217" s="215" t="s">
        <v>122</v>
      </c>
      <c r="AB217" s="215" t="s">
        <v>363</v>
      </c>
      <c r="AC217" s="215">
        <v>101</v>
      </c>
      <c r="AD217" s="215" t="s">
        <v>231</v>
      </c>
      <c r="AE217" s="215">
        <v>14</v>
      </c>
      <c r="AF217" s="215"/>
    </row>
    <row r="218" spans="1:32" x14ac:dyDescent="0.3">
      <c r="A218" s="215" t="s">
        <v>351</v>
      </c>
      <c r="B218" s="215" t="s">
        <v>279</v>
      </c>
      <c r="C218" s="215" t="s">
        <v>197</v>
      </c>
      <c r="D218" s="215" t="s">
        <v>310</v>
      </c>
      <c r="E218" s="215" t="s">
        <v>1059</v>
      </c>
      <c r="F218" s="15">
        <v>46233.719895833332</v>
      </c>
      <c r="G218" s="215" t="s">
        <v>439</v>
      </c>
      <c r="H218" s="215">
        <v>31</v>
      </c>
      <c r="I218" s="215" t="s">
        <v>1060</v>
      </c>
      <c r="J218" s="15">
        <v>46234.410682870373</v>
      </c>
      <c r="K218" s="15">
        <v>46238.434027777781</v>
      </c>
      <c r="L218" s="15"/>
      <c r="M218" s="215">
        <v>31</v>
      </c>
      <c r="N218" s="215"/>
      <c r="O218" s="215" t="s">
        <v>201</v>
      </c>
      <c r="P218" s="215" t="s">
        <v>532</v>
      </c>
      <c r="Q218" s="215"/>
      <c r="R218" s="215"/>
      <c r="S218" s="215" t="s">
        <v>361</v>
      </c>
      <c r="T218" s="215" t="s">
        <v>378</v>
      </c>
      <c r="U218" s="215" t="s">
        <v>239</v>
      </c>
      <c r="V218" s="215" t="s">
        <v>7</v>
      </c>
      <c r="W218" s="215" t="s">
        <v>7</v>
      </c>
      <c r="X218" s="215" t="s">
        <v>7</v>
      </c>
      <c r="Y218" s="215"/>
      <c r="Z218" s="215">
        <v>16</v>
      </c>
      <c r="AA218" s="215" t="s">
        <v>122</v>
      </c>
      <c r="AB218" s="215" t="s">
        <v>361</v>
      </c>
      <c r="AC218" s="215">
        <v>2200</v>
      </c>
      <c r="AD218" s="215" t="s">
        <v>232</v>
      </c>
      <c r="AE218" s="215">
        <v>496</v>
      </c>
      <c r="AF218" s="215"/>
    </row>
    <row r="219" spans="1:32" x14ac:dyDescent="0.3">
      <c r="A219" s="215" t="s">
        <v>351</v>
      </c>
      <c r="B219" s="215" t="s">
        <v>279</v>
      </c>
      <c r="C219" s="215" t="s">
        <v>197</v>
      </c>
      <c r="D219" s="215" t="s">
        <v>310</v>
      </c>
      <c r="E219" s="215" t="s">
        <v>1059</v>
      </c>
      <c r="F219" s="15">
        <v>46233.719895833332</v>
      </c>
      <c r="G219" s="215" t="s">
        <v>439</v>
      </c>
      <c r="H219" s="215">
        <v>11</v>
      </c>
      <c r="I219" s="215" t="s">
        <v>1060</v>
      </c>
      <c r="J219" s="15">
        <v>46234.410682870373</v>
      </c>
      <c r="K219" s="15">
        <v>46238.434027777781</v>
      </c>
      <c r="L219" s="15"/>
      <c r="M219" s="215">
        <v>11</v>
      </c>
      <c r="N219" s="215"/>
      <c r="O219" s="215" t="s">
        <v>529</v>
      </c>
      <c r="P219" s="215"/>
      <c r="Q219" s="215"/>
      <c r="R219" s="215"/>
      <c r="S219" s="215" t="s">
        <v>361</v>
      </c>
      <c r="T219" s="215" t="s">
        <v>378</v>
      </c>
      <c r="U219" s="215" t="s">
        <v>239</v>
      </c>
      <c r="V219" s="215" t="s">
        <v>7</v>
      </c>
      <c r="W219" s="215" t="s">
        <v>7</v>
      </c>
      <c r="X219" s="215" t="s">
        <v>7</v>
      </c>
      <c r="Y219" s="215"/>
      <c r="Z219" s="215">
        <v>16</v>
      </c>
      <c r="AA219" s="215" t="s">
        <v>122</v>
      </c>
      <c r="AB219" s="215" t="s">
        <v>361</v>
      </c>
      <c r="AC219" s="215">
        <v>2200</v>
      </c>
      <c r="AD219" s="215" t="s">
        <v>232</v>
      </c>
      <c r="AE219" s="215">
        <v>176</v>
      </c>
      <c r="AF219" s="215"/>
    </row>
    <row r="220" spans="1:32" x14ac:dyDescent="0.3">
      <c r="A220" s="215" t="s">
        <v>351</v>
      </c>
      <c r="B220" s="215" t="s">
        <v>279</v>
      </c>
      <c r="C220" s="215" t="s">
        <v>197</v>
      </c>
      <c r="D220" s="215" t="s">
        <v>310</v>
      </c>
      <c r="E220" s="215" t="s">
        <v>438</v>
      </c>
      <c r="F220" s="15">
        <v>46212.717303240737</v>
      </c>
      <c r="G220" s="215" t="s">
        <v>412</v>
      </c>
      <c r="H220" s="215">
        <v>24</v>
      </c>
      <c r="I220" s="215" t="s">
        <v>1039</v>
      </c>
      <c r="J220" s="15">
        <v>46231.477627314816</v>
      </c>
      <c r="K220" s="15">
        <v>46238.444444444445</v>
      </c>
      <c r="L220" s="15"/>
      <c r="M220" s="215">
        <v>24</v>
      </c>
      <c r="N220" s="215"/>
      <c r="O220" s="215" t="s">
        <v>201</v>
      </c>
      <c r="P220" s="215" t="s">
        <v>531</v>
      </c>
      <c r="Q220" s="215"/>
      <c r="R220" s="215"/>
      <c r="S220" s="215" t="s">
        <v>361</v>
      </c>
      <c r="T220" s="215" t="s">
        <v>378</v>
      </c>
      <c r="U220" s="215" t="s">
        <v>239</v>
      </c>
      <c r="V220" s="215" t="s">
        <v>7</v>
      </c>
      <c r="W220" s="215" t="s">
        <v>7</v>
      </c>
      <c r="X220" s="215" t="s">
        <v>7</v>
      </c>
      <c r="Y220" s="215"/>
      <c r="Z220" s="215">
        <v>16</v>
      </c>
      <c r="AA220" s="215" t="s">
        <v>122</v>
      </c>
      <c r="AB220" s="215" t="s">
        <v>361</v>
      </c>
      <c r="AC220" s="215">
        <v>2200</v>
      </c>
      <c r="AD220" s="215" t="s">
        <v>232</v>
      </c>
      <c r="AE220" s="215">
        <v>384</v>
      </c>
      <c r="AF220" s="215"/>
    </row>
    <row r="221" spans="1:32" x14ac:dyDescent="0.3">
      <c r="A221" s="215" t="s">
        <v>351</v>
      </c>
      <c r="B221" s="215" t="s">
        <v>279</v>
      </c>
      <c r="C221" s="215" t="s">
        <v>197</v>
      </c>
      <c r="D221" s="215" t="s">
        <v>310</v>
      </c>
      <c r="E221" s="215" t="s">
        <v>438</v>
      </c>
      <c r="F221" s="15">
        <v>46212.717303240737</v>
      </c>
      <c r="G221" s="215" t="s">
        <v>412</v>
      </c>
      <c r="H221" s="215">
        <v>14</v>
      </c>
      <c r="I221" s="215" t="s">
        <v>1039</v>
      </c>
      <c r="J221" s="15">
        <v>46231.477627314816</v>
      </c>
      <c r="K221" s="15">
        <v>46238.444444444445</v>
      </c>
      <c r="L221" s="15"/>
      <c r="M221" s="215">
        <v>14</v>
      </c>
      <c r="N221" s="215"/>
      <c r="O221" s="215" t="s">
        <v>529</v>
      </c>
      <c r="P221" s="215"/>
      <c r="Q221" s="215"/>
      <c r="R221" s="215"/>
      <c r="S221" s="215" t="s">
        <v>361</v>
      </c>
      <c r="T221" s="215" t="s">
        <v>378</v>
      </c>
      <c r="U221" s="215" t="s">
        <v>239</v>
      </c>
      <c r="V221" s="215" t="s">
        <v>7</v>
      </c>
      <c r="W221" s="215" t="s">
        <v>7</v>
      </c>
      <c r="X221" s="215" t="s">
        <v>7</v>
      </c>
      <c r="Y221" s="215"/>
      <c r="Z221" s="215">
        <v>16</v>
      </c>
      <c r="AA221" s="215" t="s">
        <v>122</v>
      </c>
      <c r="AB221" s="215" t="s">
        <v>361</v>
      </c>
      <c r="AC221" s="215">
        <v>2200</v>
      </c>
      <c r="AD221" s="215" t="s">
        <v>232</v>
      </c>
      <c r="AE221" s="215">
        <v>224</v>
      </c>
      <c r="AF221" s="215"/>
    </row>
    <row r="222" spans="1:32" x14ac:dyDescent="0.3">
      <c r="A222" s="215" t="s">
        <v>351</v>
      </c>
      <c r="B222" s="215" t="s">
        <v>279</v>
      </c>
      <c r="C222" s="215" t="s">
        <v>197</v>
      </c>
      <c r="D222" s="215" t="s">
        <v>310</v>
      </c>
      <c r="E222" s="215" t="s">
        <v>437</v>
      </c>
      <c r="F222" s="15">
        <v>46202.512337962966</v>
      </c>
      <c r="G222" s="215" t="s">
        <v>436</v>
      </c>
      <c r="H222" s="215">
        <v>30</v>
      </c>
      <c r="I222" s="215" t="s">
        <v>1042</v>
      </c>
      <c r="J222" s="15">
        <v>46239.591469907406</v>
      </c>
      <c r="K222" s="15">
        <v>46241.497916666667</v>
      </c>
      <c r="L222" s="15"/>
      <c r="M222" s="215">
        <v>30</v>
      </c>
      <c r="N222" s="215"/>
      <c r="O222" s="215" t="s">
        <v>201</v>
      </c>
      <c r="P222" s="215" t="s">
        <v>532</v>
      </c>
      <c r="Q222" s="215"/>
      <c r="R222" s="215"/>
      <c r="S222" s="215" t="s">
        <v>362</v>
      </c>
      <c r="T222" s="215" t="s">
        <v>378</v>
      </c>
      <c r="U222" s="215" t="s">
        <v>239</v>
      </c>
      <c r="V222" s="215" t="s">
        <v>7</v>
      </c>
      <c r="W222" s="215" t="s">
        <v>7</v>
      </c>
      <c r="X222" s="215" t="s">
        <v>7</v>
      </c>
      <c r="Y222" s="215"/>
      <c r="Z222" s="215">
        <v>16</v>
      </c>
      <c r="AA222" s="215" t="s">
        <v>122</v>
      </c>
      <c r="AB222" s="215" t="s">
        <v>362</v>
      </c>
      <c r="AC222" s="215">
        <v>109</v>
      </c>
      <c r="AD222" s="215" t="s">
        <v>232</v>
      </c>
      <c r="AE222" s="215">
        <v>480</v>
      </c>
      <c r="AF222" s="215"/>
    </row>
    <row r="223" spans="1:32" x14ac:dyDescent="0.3">
      <c r="A223" s="215" t="s">
        <v>351</v>
      </c>
      <c r="B223" s="215" t="s">
        <v>60</v>
      </c>
      <c r="C223" s="215" t="s">
        <v>92</v>
      </c>
      <c r="D223" s="215" t="s">
        <v>310</v>
      </c>
      <c r="E223" s="215" t="s">
        <v>437</v>
      </c>
      <c r="F223" s="15">
        <v>46202.512337962966</v>
      </c>
      <c r="G223" s="215" t="s">
        <v>436</v>
      </c>
      <c r="H223" s="215">
        <v>1</v>
      </c>
      <c r="I223" s="215" t="s">
        <v>1040</v>
      </c>
      <c r="J223" s="15">
        <v>46203.361828703702</v>
      </c>
      <c r="K223" s="15">
        <v>46212.739201388889</v>
      </c>
      <c r="L223" s="15"/>
      <c r="M223" s="215">
        <v>736</v>
      </c>
      <c r="N223" s="215"/>
      <c r="O223" s="215" t="s">
        <v>201</v>
      </c>
      <c r="P223" s="215" t="s">
        <v>532</v>
      </c>
      <c r="Q223" s="215"/>
      <c r="R223" s="215"/>
      <c r="S223" s="215" t="s">
        <v>362</v>
      </c>
      <c r="T223" s="215" t="s">
        <v>378</v>
      </c>
      <c r="U223" s="215" t="s">
        <v>239</v>
      </c>
      <c r="V223" s="215" t="s">
        <v>7</v>
      </c>
      <c r="W223" s="215" t="s">
        <v>7</v>
      </c>
      <c r="X223" s="215" t="s">
        <v>7</v>
      </c>
      <c r="Y223" s="215"/>
      <c r="Z223" s="215"/>
      <c r="AA223" s="215" t="s">
        <v>92</v>
      </c>
      <c r="AB223" s="215" t="s">
        <v>362</v>
      </c>
      <c r="AC223" s="215">
        <v>109</v>
      </c>
      <c r="AD223" s="215" t="s">
        <v>236</v>
      </c>
      <c r="AE223" s="215">
        <v>736</v>
      </c>
      <c r="AF223" s="215"/>
    </row>
    <row r="224" spans="1:32" x14ac:dyDescent="0.3">
      <c r="A224" s="215" t="s">
        <v>351</v>
      </c>
      <c r="B224" s="215" t="s">
        <v>60</v>
      </c>
      <c r="C224" s="215" t="s">
        <v>92</v>
      </c>
      <c r="D224" s="215" t="s">
        <v>310</v>
      </c>
      <c r="E224" s="215" t="s">
        <v>437</v>
      </c>
      <c r="F224" s="15">
        <v>46202.512337962966</v>
      </c>
      <c r="G224" s="215" t="s">
        <v>436</v>
      </c>
      <c r="H224" s="215">
        <v>1</v>
      </c>
      <c r="I224" s="215" t="s">
        <v>1040</v>
      </c>
      <c r="J224" s="15">
        <v>46203.361828703702</v>
      </c>
      <c r="K224" s="15">
        <v>46212.739201388889</v>
      </c>
      <c r="L224" s="15"/>
      <c r="M224" s="215">
        <v>60</v>
      </c>
      <c r="N224" s="215"/>
      <c r="O224" s="215" t="s">
        <v>529</v>
      </c>
      <c r="P224" s="215"/>
      <c r="Q224" s="215"/>
      <c r="R224" s="215"/>
      <c r="S224" s="215" t="s">
        <v>362</v>
      </c>
      <c r="T224" s="215" t="s">
        <v>378</v>
      </c>
      <c r="U224" s="215" t="s">
        <v>239</v>
      </c>
      <c r="V224" s="215" t="s">
        <v>7</v>
      </c>
      <c r="W224" s="215" t="s">
        <v>7</v>
      </c>
      <c r="X224" s="215" t="s">
        <v>7</v>
      </c>
      <c r="Y224" s="215"/>
      <c r="Z224" s="215"/>
      <c r="AA224" s="215" t="s">
        <v>92</v>
      </c>
      <c r="AB224" s="215" t="s">
        <v>362</v>
      </c>
      <c r="AC224" s="215">
        <v>109</v>
      </c>
      <c r="AD224" s="215" t="s">
        <v>236</v>
      </c>
      <c r="AE224" s="215">
        <v>60</v>
      </c>
      <c r="AF224" s="215"/>
    </row>
    <row r="225" spans="1:32" x14ac:dyDescent="0.3">
      <c r="A225" s="215" t="s">
        <v>351</v>
      </c>
      <c r="B225" s="215" t="s">
        <v>42</v>
      </c>
      <c r="C225" s="215" t="s">
        <v>68</v>
      </c>
      <c r="D225" s="215" t="s">
        <v>310</v>
      </c>
      <c r="E225" s="215" t="s">
        <v>1089</v>
      </c>
      <c r="F225" s="15">
        <v>46227.417442129627</v>
      </c>
      <c r="G225" s="215" t="s">
        <v>412</v>
      </c>
      <c r="H225" s="215">
        <v>1</v>
      </c>
      <c r="I225" s="215" t="s">
        <v>1090</v>
      </c>
      <c r="J225" s="15">
        <v>46230.382638888892</v>
      </c>
      <c r="K225" s="15">
        <v>46231.361111111109</v>
      </c>
      <c r="L225" s="15"/>
      <c r="M225" s="215">
        <v>1</v>
      </c>
      <c r="N225" s="215"/>
      <c r="O225" s="215" t="s">
        <v>530</v>
      </c>
      <c r="P225" s="215"/>
      <c r="Q225" s="215"/>
      <c r="R225" s="215"/>
      <c r="S225" s="215" t="s">
        <v>360</v>
      </c>
      <c r="T225" s="215" t="s">
        <v>378</v>
      </c>
      <c r="U225" s="215" t="s">
        <v>239</v>
      </c>
      <c r="V225" s="215" t="s">
        <v>7</v>
      </c>
      <c r="W225" s="215" t="s">
        <v>7</v>
      </c>
      <c r="X225" s="215" t="s">
        <v>7</v>
      </c>
      <c r="Y225" s="215"/>
      <c r="Z225" s="215"/>
      <c r="AA225" s="215" t="s">
        <v>67</v>
      </c>
      <c r="AB225" s="215" t="s">
        <v>360</v>
      </c>
      <c r="AC225" s="215">
        <v>50</v>
      </c>
      <c r="AD225" s="215" t="s">
        <v>7</v>
      </c>
      <c r="AE225" s="215"/>
      <c r="AF225" s="215"/>
    </row>
    <row r="226" spans="1:32" x14ac:dyDescent="0.3">
      <c r="A226" s="215" t="s">
        <v>351</v>
      </c>
      <c r="B226" s="215" t="s">
        <v>281</v>
      </c>
      <c r="C226" s="215" t="s">
        <v>85</v>
      </c>
      <c r="D226" s="215" t="s">
        <v>310</v>
      </c>
      <c r="E226" s="215" t="s">
        <v>1095</v>
      </c>
      <c r="F226" s="15">
        <v>46238.326192129629</v>
      </c>
      <c r="G226" s="215" t="s">
        <v>411</v>
      </c>
      <c r="H226" s="215">
        <v>5</v>
      </c>
      <c r="I226" s="215" t="s">
        <v>1096</v>
      </c>
      <c r="J226" s="15">
        <v>46238.341504629629</v>
      </c>
      <c r="K226" s="15">
        <v>46239.65625</v>
      </c>
      <c r="L226" s="15"/>
      <c r="M226" s="215">
        <v>5</v>
      </c>
      <c r="N226" s="215"/>
      <c r="O226" s="215" t="s">
        <v>201</v>
      </c>
      <c r="P226" s="215" t="s">
        <v>532</v>
      </c>
      <c r="Q226" s="215"/>
      <c r="R226" s="215"/>
      <c r="S226" s="215" t="s">
        <v>363</v>
      </c>
      <c r="T226" s="215" t="s">
        <v>378</v>
      </c>
      <c r="U226" s="215" t="s">
        <v>239</v>
      </c>
      <c r="V226" s="215" t="s">
        <v>7</v>
      </c>
      <c r="W226" s="215" t="s">
        <v>7</v>
      </c>
      <c r="X226" s="215" t="s">
        <v>7</v>
      </c>
      <c r="Y226" s="215"/>
      <c r="Z226" s="215">
        <v>1</v>
      </c>
      <c r="AA226" s="215" t="s">
        <v>122</v>
      </c>
      <c r="AB226" s="215" t="s">
        <v>363</v>
      </c>
      <c r="AC226" s="215">
        <v>101</v>
      </c>
      <c r="AD226" s="215" t="s">
        <v>231</v>
      </c>
      <c r="AE226" s="215">
        <v>5</v>
      </c>
      <c r="AF226" s="215">
        <v>23.630000000000003</v>
      </c>
    </row>
    <row r="227" spans="1:32" x14ac:dyDescent="0.3">
      <c r="A227" s="215" t="s">
        <v>351</v>
      </c>
      <c r="B227" s="215" t="s">
        <v>281</v>
      </c>
      <c r="C227" s="215" t="s">
        <v>85</v>
      </c>
      <c r="D227" s="215" t="s">
        <v>310</v>
      </c>
      <c r="E227" s="215" t="s">
        <v>1095</v>
      </c>
      <c r="F227" s="15">
        <v>46238.326192129629</v>
      </c>
      <c r="G227" s="215" t="s">
        <v>411</v>
      </c>
      <c r="H227" s="215">
        <v>5</v>
      </c>
      <c r="I227" s="215" t="s">
        <v>1096</v>
      </c>
      <c r="J227" s="15">
        <v>46238.341504629629</v>
      </c>
      <c r="K227" s="15">
        <v>46239.65625</v>
      </c>
      <c r="L227" s="15"/>
      <c r="M227" s="215">
        <v>5</v>
      </c>
      <c r="N227" s="215"/>
      <c r="O227" s="215" t="s">
        <v>529</v>
      </c>
      <c r="P227" s="215"/>
      <c r="Q227" s="215"/>
      <c r="R227" s="215"/>
      <c r="S227" s="215" t="s">
        <v>363</v>
      </c>
      <c r="T227" s="215" t="s">
        <v>378</v>
      </c>
      <c r="U227" s="215" t="s">
        <v>239</v>
      </c>
      <c r="V227" s="215" t="s">
        <v>7</v>
      </c>
      <c r="W227" s="215" t="s">
        <v>7</v>
      </c>
      <c r="X227" s="215" t="s">
        <v>7</v>
      </c>
      <c r="Y227" s="215"/>
      <c r="Z227" s="215">
        <v>1</v>
      </c>
      <c r="AA227" s="215" t="s">
        <v>122</v>
      </c>
      <c r="AB227" s="215" t="s">
        <v>363</v>
      </c>
      <c r="AC227" s="215">
        <v>101</v>
      </c>
      <c r="AD227" s="215" t="s">
        <v>231</v>
      </c>
      <c r="AE227" s="215">
        <v>5</v>
      </c>
      <c r="AF227" s="215"/>
    </row>
    <row r="228" spans="1:32" x14ac:dyDescent="0.3">
      <c r="A228" s="215" t="s">
        <v>351</v>
      </c>
      <c r="B228" s="215" t="s">
        <v>63</v>
      </c>
      <c r="C228" s="215" t="s">
        <v>95</v>
      </c>
      <c r="D228" s="215" t="s">
        <v>310</v>
      </c>
      <c r="E228" s="215" t="s">
        <v>1095</v>
      </c>
      <c r="F228" s="15">
        <v>46238.326192129629</v>
      </c>
      <c r="G228" s="215" t="s">
        <v>411</v>
      </c>
      <c r="H228" s="215">
        <v>1</v>
      </c>
      <c r="I228" s="215" t="s">
        <v>1096</v>
      </c>
      <c r="J228" s="15">
        <v>46238.341504629629</v>
      </c>
      <c r="K228" s="15">
        <v>46239.65625</v>
      </c>
      <c r="L228" s="15"/>
      <c r="M228" s="215">
        <v>1</v>
      </c>
      <c r="N228" s="215"/>
      <c r="O228" s="215" t="s">
        <v>201</v>
      </c>
      <c r="P228" s="215" t="s">
        <v>532</v>
      </c>
      <c r="Q228" s="215"/>
      <c r="R228" s="215"/>
      <c r="S228" s="215" t="s">
        <v>363</v>
      </c>
      <c r="T228" s="215" t="s">
        <v>378</v>
      </c>
      <c r="U228" s="215" t="s">
        <v>239</v>
      </c>
      <c r="V228" s="215" t="s">
        <v>7</v>
      </c>
      <c r="W228" s="215" t="s">
        <v>7</v>
      </c>
      <c r="X228" s="215" t="s">
        <v>7</v>
      </c>
      <c r="Y228" s="215"/>
      <c r="Z228" s="215"/>
      <c r="AA228" s="215" t="s">
        <v>96</v>
      </c>
      <c r="AB228" s="215" t="s">
        <v>363</v>
      </c>
      <c r="AC228" s="215">
        <v>101</v>
      </c>
      <c r="AD228" s="215" t="s">
        <v>225</v>
      </c>
      <c r="AE228" s="215">
        <v>1</v>
      </c>
      <c r="AF228" s="215"/>
    </row>
    <row r="229" spans="1:32" x14ac:dyDescent="0.3">
      <c r="A229" s="215" t="s">
        <v>351</v>
      </c>
      <c r="B229" s="215" t="s">
        <v>63</v>
      </c>
      <c r="C229" s="215" t="s">
        <v>95</v>
      </c>
      <c r="D229" s="215" t="s">
        <v>310</v>
      </c>
      <c r="E229" s="215" t="s">
        <v>1095</v>
      </c>
      <c r="F229" s="15">
        <v>46238.326192129629</v>
      </c>
      <c r="G229" s="215" t="s">
        <v>411</v>
      </c>
      <c r="H229" s="215">
        <v>1</v>
      </c>
      <c r="I229" s="215" t="s">
        <v>1096</v>
      </c>
      <c r="J229" s="15">
        <v>46238.341504629629</v>
      </c>
      <c r="K229" s="15">
        <v>46239.65625</v>
      </c>
      <c r="L229" s="15"/>
      <c r="M229" s="215">
        <v>1</v>
      </c>
      <c r="N229" s="215"/>
      <c r="O229" s="215" t="s">
        <v>529</v>
      </c>
      <c r="P229" s="215"/>
      <c r="Q229" s="215"/>
      <c r="R229" s="215"/>
      <c r="S229" s="215" t="s">
        <v>363</v>
      </c>
      <c r="T229" s="215" t="s">
        <v>378</v>
      </c>
      <c r="U229" s="215" t="s">
        <v>239</v>
      </c>
      <c r="V229" s="215" t="s">
        <v>7</v>
      </c>
      <c r="W229" s="215" t="s">
        <v>7</v>
      </c>
      <c r="X229" s="215" t="s">
        <v>7</v>
      </c>
      <c r="Y229" s="215"/>
      <c r="Z229" s="215"/>
      <c r="AA229" s="215" t="s">
        <v>96</v>
      </c>
      <c r="AB229" s="215" t="s">
        <v>363</v>
      </c>
      <c r="AC229" s="215">
        <v>101</v>
      </c>
      <c r="AD229" s="215" t="s">
        <v>225</v>
      </c>
      <c r="AE229" s="215">
        <v>1</v>
      </c>
      <c r="AF229" s="215"/>
    </row>
    <row r="230" spans="1:32" x14ac:dyDescent="0.3">
      <c r="A230" s="215" t="s">
        <v>351</v>
      </c>
      <c r="B230" s="215" t="s">
        <v>57</v>
      </c>
      <c r="C230" s="215" t="s">
        <v>117</v>
      </c>
      <c r="D230" s="215" t="s">
        <v>310</v>
      </c>
      <c r="E230" s="215" t="s">
        <v>1095</v>
      </c>
      <c r="F230" s="15">
        <v>46238.326192129629</v>
      </c>
      <c r="G230" s="215" t="s">
        <v>411</v>
      </c>
      <c r="H230" s="215">
        <v>1</v>
      </c>
      <c r="I230" s="215" t="s">
        <v>1096</v>
      </c>
      <c r="J230" s="15">
        <v>46238.341504629629</v>
      </c>
      <c r="K230" s="15">
        <v>46239.65625</v>
      </c>
      <c r="L230" s="15"/>
      <c r="M230" s="215">
        <v>1</v>
      </c>
      <c r="N230" s="215"/>
      <c r="O230" s="215" t="s">
        <v>201</v>
      </c>
      <c r="P230" s="215" t="s">
        <v>532</v>
      </c>
      <c r="Q230" s="215"/>
      <c r="R230" s="215"/>
      <c r="S230" s="215" t="s">
        <v>363</v>
      </c>
      <c r="T230" s="215" t="s">
        <v>378</v>
      </c>
      <c r="U230" s="215" t="s">
        <v>239</v>
      </c>
      <c r="V230" s="215" t="s">
        <v>7</v>
      </c>
      <c r="W230" s="215" t="s">
        <v>7</v>
      </c>
      <c r="X230" s="215" t="s">
        <v>7</v>
      </c>
      <c r="Y230" s="215"/>
      <c r="Z230" s="215"/>
      <c r="AA230" s="215" t="s">
        <v>127</v>
      </c>
      <c r="AB230" s="215" t="s">
        <v>363</v>
      </c>
      <c r="AC230" s="215">
        <v>101</v>
      </c>
      <c r="AD230" s="215" t="s">
        <v>233</v>
      </c>
      <c r="AE230" s="215">
        <v>1</v>
      </c>
      <c r="AF230" s="215"/>
    </row>
    <row r="231" spans="1:32" x14ac:dyDescent="0.3">
      <c r="A231" s="215" t="s">
        <v>351</v>
      </c>
      <c r="B231" s="215" t="s">
        <v>57</v>
      </c>
      <c r="C231" s="215" t="s">
        <v>117</v>
      </c>
      <c r="D231" s="215" t="s">
        <v>310</v>
      </c>
      <c r="E231" s="215" t="s">
        <v>1095</v>
      </c>
      <c r="F231" s="15">
        <v>46238.326192129629</v>
      </c>
      <c r="G231" s="215" t="s">
        <v>411</v>
      </c>
      <c r="H231" s="215">
        <v>1</v>
      </c>
      <c r="I231" s="215" t="s">
        <v>1096</v>
      </c>
      <c r="J231" s="15">
        <v>46238.341504629629</v>
      </c>
      <c r="K231" s="15">
        <v>46239.65625</v>
      </c>
      <c r="L231" s="15"/>
      <c r="M231" s="215">
        <v>1</v>
      </c>
      <c r="N231" s="215"/>
      <c r="O231" s="215" t="s">
        <v>529</v>
      </c>
      <c r="P231" s="215"/>
      <c r="Q231" s="215"/>
      <c r="R231" s="215"/>
      <c r="S231" s="215" t="s">
        <v>363</v>
      </c>
      <c r="T231" s="215" t="s">
        <v>378</v>
      </c>
      <c r="U231" s="215" t="s">
        <v>239</v>
      </c>
      <c r="V231" s="215" t="s">
        <v>7</v>
      </c>
      <c r="W231" s="215" t="s">
        <v>7</v>
      </c>
      <c r="X231" s="215" t="s">
        <v>7</v>
      </c>
      <c r="Y231" s="215"/>
      <c r="Z231" s="215"/>
      <c r="AA231" s="215" t="s">
        <v>127</v>
      </c>
      <c r="AB231" s="215" t="s">
        <v>363</v>
      </c>
      <c r="AC231" s="215">
        <v>101</v>
      </c>
      <c r="AD231" s="215" t="s">
        <v>233</v>
      </c>
      <c r="AE231" s="215">
        <v>1</v>
      </c>
      <c r="AF231" s="215"/>
    </row>
    <row r="232" spans="1:32" x14ac:dyDescent="0.3">
      <c r="A232" s="215" t="s">
        <v>351</v>
      </c>
      <c r="B232" s="215" t="s">
        <v>63</v>
      </c>
      <c r="C232" s="215" t="s">
        <v>95</v>
      </c>
      <c r="D232" s="215" t="s">
        <v>310</v>
      </c>
      <c r="E232" s="215" t="s">
        <v>1059</v>
      </c>
      <c r="F232" s="15">
        <v>46233.719895833332</v>
      </c>
      <c r="G232" s="215" t="s">
        <v>439</v>
      </c>
      <c r="H232" s="215">
        <v>108</v>
      </c>
      <c r="I232" s="215" t="s">
        <v>1099</v>
      </c>
      <c r="J232" s="15">
        <v>46244.494745370372</v>
      </c>
      <c r="K232" s="15">
        <v>46247.731863425928</v>
      </c>
      <c r="L232" s="15"/>
      <c r="M232" s="215">
        <v>108</v>
      </c>
      <c r="N232" s="215"/>
      <c r="O232" s="215" t="s">
        <v>201</v>
      </c>
      <c r="P232" s="215" t="s">
        <v>532</v>
      </c>
      <c r="Q232" s="215"/>
      <c r="R232" s="215"/>
      <c r="S232" s="215" t="s">
        <v>361</v>
      </c>
      <c r="T232" s="215" t="s">
        <v>378</v>
      </c>
      <c r="U232" s="215" t="s">
        <v>239</v>
      </c>
      <c r="V232" s="215" t="s">
        <v>7</v>
      </c>
      <c r="W232" s="215" t="s">
        <v>7</v>
      </c>
      <c r="X232" s="215" t="s">
        <v>7</v>
      </c>
      <c r="Y232" s="215"/>
      <c r="Z232" s="215"/>
      <c r="AA232" s="215" t="s">
        <v>96</v>
      </c>
      <c r="AB232" s="215" t="s">
        <v>361</v>
      </c>
      <c r="AC232" s="215">
        <v>2200</v>
      </c>
      <c r="AD232" s="215" t="s">
        <v>225</v>
      </c>
      <c r="AE232" s="215">
        <v>108</v>
      </c>
      <c r="AF232" s="215">
        <v>184.68</v>
      </c>
    </row>
    <row r="233" spans="1:32" x14ac:dyDescent="0.3">
      <c r="A233" s="215" t="s">
        <v>351</v>
      </c>
      <c r="B233" s="215" t="s">
        <v>57</v>
      </c>
      <c r="C233" s="215" t="s">
        <v>117</v>
      </c>
      <c r="D233" s="215" t="s">
        <v>310</v>
      </c>
      <c r="E233" s="215" t="s">
        <v>1059</v>
      </c>
      <c r="F233" s="15">
        <v>46233.719895833332</v>
      </c>
      <c r="G233" s="215" t="s">
        <v>439</v>
      </c>
      <c r="H233" s="215">
        <v>108</v>
      </c>
      <c r="I233" s="215" t="s">
        <v>1099</v>
      </c>
      <c r="J233" s="15">
        <v>46244.494745370372</v>
      </c>
      <c r="K233" s="15">
        <v>46247.731863425928</v>
      </c>
      <c r="L233" s="15"/>
      <c r="M233" s="215">
        <v>108</v>
      </c>
      <c r="N233" s="215"/>
      <c r="O233" s="215" t="s">
        <v>201</v>
      </c>
      <c r="P233" s="215" t="s">
        <v>532</v>
      </c>
      <c r="Q233" s="215"/>
      <c r="R233" s="215"/>
      <c r="S233" s="215" t="s">
        <v>361</v>
      </c>
      <c r="T233" s="215" t="s">
        <v>378</v>
      </c>
      <c r="U233" s="215" t="s">
        <v>239</v>
      </c>
      <c r="V233" s="215" t="s">
        <v>7</v>
      </c>
      <c r="W233" s="215" t="s">
        <v>7</v>
      </c>
      <c r="X233" s="215" t="s">
        <v>7</v>
      </c>
      <c r="Y233" s="215"/>
      <c r="Z233" s="215"/>
      <c r="AA233" s="215" t="s">
        <v>127</v>
      </c>
      <c r="AB233" s="215" t="s">
        <v>361</v>
      </c>
      <c r="AC233" s="215">
        <v>2200</v>
      </c>
      <c r="AD233" s="215" t="s">
        <v>233</v>
      </c>
      <c r="AE233" s="215">
        <v>10.8</v>
      </c>
      <c r="AF233" s="215"/>
    </row>
    <row r="234" spans="1:32" x14ac:dyDescent="0.3">
      <c r="A234" s="215" t="s">
        <v>351</v>
      </c>
      <c r="B234" s="215" t="s">
        <v>63</v>
      </c>
      <c r="C234" s="215" t="s">
        <v>95</v>
      </c>
      <c r="D234" s="215" t="s">
        <v>310</v>
      </c>
      <c r="E234" s="215" t="s">
        <v>1059</v>
      </c>
      <c r="F234" s="15">
        <v>46233.719895833332</v>
      </c>
      <c r="G234" s="215" t="s">
        <v>439</v>
      </c>
      <c r="H234" s="215">
        <v>12</v>
      </c>
      <c r="I234" s="215" t="s">
        <v>1100</v>
      </c>
      <c r="J234" s="15">
        <v>46237.708252314813</v>
      </c>
      <c r="K234" s="15">
        <v>46240.458333333336</v>
      </c>
      <c r="L234" s="15"/>
      <c r="M234" s="215">
        <v>12</v>
      </c>
      <c r="N234" s="215"/>
      <c r="O234" s="215" t="s">
        <v>201</v>
      </c>
      <c r="P234" s="215" t="s">
        <v>532</v>
      </c>
      <c r="Q234" s="215"/>
      <c r="R234" s="215"/>
      <c r="S234" s="215" t="s">
        <v>361</v>
      </c>
      <c r="T234" s="215" t="s">
        <v>378</v>
      </c>
      <c r="U234" s="215" t="s">
        <v>239</v>
      </c>
      <c r="V234" s="215" t="s">
        <v>7</v>
      </c>
      <c r="W234" s="215" t="s">
        <v>7</v>
      </c>
      <c r="X234" s="215" t="s">
        <v>7</v>
      </c>
      <c r="Y234" s="215"/>
      <c r="Z234" s="215"/>
      <c r="AA234" s="215" t="s">
        <v>96</v>
      </c>
      <c r="AB234" s="215" t="s">
        <v>361</v>
      </c>
      <c r="AC234" s="215">
        <v>2200</v>
      </c>
      <c r="AD234" s="215" t="s">
        <v>225</v>
      </c>
      <c r="AE234" s="215">
        <v>12</v>
      </c>
      <c r="AF234" s="215">
        <v>20.52</v>
      </c>
    </row>
    <row r="235" spans="1:32" x14ac:dyDescent="0.3">
      <c r="A235" s="215" t="s">
        <v>351</v>
      </c>
      <c r="B235" s="215" t="s">
        <v>57</v>
      </c>
      <c r="C235" s="215" t="s">
        <v>117</v>
      </c>
      <c r="D235" s="215" t="s">
        <v>310</v>
      </c>
      <c r="E235" s="215" t="s">
        <v>1059</v>
      </c>
      <c r="F235" s="15">
        <v>46233.719895833332</v>
      </c>
      <c r="G235" s="215" t="s">
        <v>439</v>
      </c>
      <c r="H235" s="215">
        <v>12</v>
      </c>
      <c r="I235" s="215" t="s">
        <v>1100</v>
      </c>
      <c r="J235" s="15">
        <v>46237.708252314813</v>
      </c>
      <c r="K235" s="15">
        <v>46240.458333333336</v>
      </c>
      <c r="L235" s="15"/>
      <c r="M235" s="215">
        <v>12</v>
      </c>
      <c r="N235" s="215"/>
      <c r="O235" s="215" t="s">
        <v>201</v>
      </c>
      <c r="P235" s="215" t="s">
        <v>532</v>
      </c>
      <c r="Q235" s="215"/>
      <c r="R235" s="215"/>
      <c r="S235" s="215" t="s">
        <v>361</v>
      </c>
      <c r="T235" s="215" t="s">
        <v>378</v>
      </c>
      <c r="U235" s="215" t="s">
        <v>239</v>
      </c>
      <c r="V235" s="215" t="s">
        <v>7</v>
      </c>
      <c r="W235" s="215" t="s">
        <v>7</v>
      </c>
      <c r="X235" s="215" t="s">
        <v>7</v>
      </c>
      <c r="Y235" s="215"/>
      <c r="Z235" s="215"/>
      <c r="AA235" s="215" t="s">
        <v>127</v>
      </c>
      <c r="AB235" s="215" t="s">
        <v>361</v>
      </c>
      <c r="AC235" s="215">
        <v>2200</v>
      </c>
      <c r="AD235" s="215" t="s">
        <v>233</v>
      </c>
      <c r="AE235" s="215">
        <v>1.2</v>
      </c>
      <c r="AF235" s="215"/>
    </row>
    <row r="236" spans="1:32" x14ac:dyDescent="0.3">
      <c r="A236" s="215" t="s">
        <v>351</v>
      </c>
      <c r="B236" s="215" t="s">
        <v>279</v>
      </c>
      <c r="C236" s="215" t="s">
        <v>197</v>
      </c>
      <c r="D236" s="215" t="s">
        <v>310</v>
      </c>
      <c r="E236" s="215" t="s">
        <v>1059</v>
      </c>
      <c r="F236" s="15">
        <v>46233.719895833332</v>
      </c>
      <c r="G236" s="215" t="s">
        <v>439</v>
      </c>
      <c r="H236" s="215">
        <v>12</v>
      </c>
      <c r="I236" s="215" t="s">
        <v>1100</v>
      </c>
      <c r="J236" s="15">
        <v>46237.708252314813</v>
      </c>
      <c r="K236" s="15">
        <v>46240.458333333336</v>
      </c>
      <c r="L236" s="15"/>
      <c r="M236" s="215">
        <v>12</v>
      </c>
      <c r="N236" s="215"/>
      <c r="O236" s="215" t="s">
        <v>201</v>
      </c>
      <c r="P236" s="215" t="s">
        <v>532</v>
      </c>
      <c r="Q236" s="215"/>
      <c r="R236" s="215"/>
      <c r="S236" s="215" t="s">
        <v>361</v>
      </c>
      <c r="T236" s="215" t="s">
        <v>378</v>
      </c>
      <c r="U236" s="215" t="s">
        <v>239</v>
      </c>
      <c r="V236" s="215" t="s">
        <v>7</v>
      </c>
      <c r="W236" s="215" t="s">
        <v>7</v>
      </c>
      <c r="X236" s="215" t="s">
        <v>7</v>
      </c>
      <c r="Y236" s="215"/>
      <c r="Z236" s="215">
        <v>16</v>
      </c>
      <c r="AA236" s="215" t="s">
        <v>122</v>
      </c>
      <c r="AB236" s="215" t="s">
        <v>361</v>
      </c>
      <c r="AC236" s="215">
        <v>2200</v>
      </c>
      <c r="AD236" s="215" t="s">
        <v>232</v>
      </c>
      <c r="AE236" s="215">
        <v>192</v>
      </c>
      <c r="AF236" s="215"/>
    </row>
    <row r="237" spans="1:32" x14ac:dyDescent="0.3">
      <c r="A237" s="215" t="s">
        <v>351</v>
      </c>
      <c r="B237" s="215" t="s">
        <v>281</v>
      </c>
      <c r="C237" s="215" t="s">
        <v>85</v>
      </c>
      <c r="D237" s="215" t="s">
        <v>310</v>
      </c>
      <c r="E237" s="215" t="s">
        <v>1059</v>
      </c>
      <c r="F237" s="15">
        <v>46233.719895833332</v>
      </c>
      <c r="G237" s="215" t="s">
        <v>439</v>
      </c>
      <c r="H237" s="215">
        <v>2</v>
      </c>
      <c r="I237" s="215" t="s">
        <v>1101</v>
      </c>
      <c r="J237" s="15">
        <v>46234.408483796295</v>
      </c>
      <c r="K237" s="15">
        <v>46238.436805555553</v>
      </c>
      <c r="L237" s="15"/>
      <c r="M237" s="215">
        <v>2</v>
      </c>
      <c r="N237" s="215"/>
      <c r="O237" s="215" t="s">
        <v>201</v>
      </c>
      <c r="P237" s="215" t="s">
        <v>532</v>
      </c>
      <c r="Q237" s="215"/>
      <c r="R237" s="215"/>
      <c r="S237" s="215" t="s">
        <v>361</v>
      </c>
      <c r="T237" s="215" t="s">
        <v>378</v>
      </c>
      <c r="U237" s="215" t="s">
        <v>239</v>
      </c>
      <c r="V237" s="215" t="s">
        <v>7</v>
      </c>
      <c r="W237" s="215" t="s">
        <v>7</v>
      </c>
      <c r="X237" s="215" t="s">
        <v>7</v>
      </c>
      <c r="Y237" s="215"/>
      <c r="Z237" s="215">
        <v>1</v>
      </c>
      <c r="AA237" s="215" t="s">
        <v>122</v>
      </c>
      <c r="AB237" s="215" t="s">
        <v>361</v>
      </c>
      <c r="AC237" s="215">
        <v>2200</v>
      </c>
      <c r="AD237" s="215" t="s">
        <v>231</v>
      </c>
      <c r="AE237" s="215">
        <v>2</v>
      </c>
      <c r="AF237" s="215"/>
    </row>
    <row r="238" spans="1:32" x14ac:dyDescent="0.3">
      <c r="A238" s="215" t="s">
        <v>351</v>
      </c>
      <c r="B238" s="215" t="s">
        <v>279</v>
      </c>
      <c r="C238" s="215" t="s">
        <v>197</v>
      </c>
      <c r="D238" s="215" t="s">
        <v>310</v>
      </c>
      <c r="E238" s="215" t="s">
        <v>1059</v>
      </c>
      <c r="F238" s="15">
        <v>46233.719895833332</v>
      </c>
      <c r="G238" s="215" t="s">
        <v>439</v>
      </c>
      <c r="H238" s="215">
        <v>108</v>
      </c>
      <c r="I238" s="215" t="s">
        <v>1099</v>
      </c>
      <c r="J238" s="15">
        <v>46244.494745370372</v>
      </c>
      <c r="K238" s="15">
        <v>46247.731863425928</v>
      </c>
      <c r="L238" s="15"/>
      <c r="M238" s="215">
        <v>108</v>
      </c>
      <c r="N238" s="215"/>
      <c r="O238" s="215" t="s">
        <v>201</v>
      </c>
      <c r="P238" s="215" t="s">
        <v>531</v>
      </c>
      <c r="Q238" s="215"/>
      <c r="R238" s="215"/>
      <c r="S238" s="215" t="s">
        <v>361</v>
      </c>
      <c r="T238" s="215" t="s">
        <v>378</v>
      </c>
      <c r="U238" s="215" t="s">
        <v>239</v>
      </c>
      <c r="V238" s="215" t="s">
        <v>7</v>
      </c>
      <c r="W238" s="215" t="s">
        <v>7</v>
      </c>
      <c r="X238" s="215" t="s">
        <v>7</v>
      </c>
      <c r="Y238" s="215"/>
      <c r="Z238" s="215">
        <v>16</v>
      </c>
      <c r="AA238" s="215" t="s">
        <v>122</v>
      </c>
      <c r="AB238" s="215" t="s">
        <v>361</v>
      </c>
      <c r="AC238" s="215">
        <v>2200</v>
      </c>
      <c r="AD238" s="215" t="s">
        <v>232</v>
      </c>
      <c r="AE238" s="215">
        <v>1728</v>
      </c>
      <c r="AF238" s="215"/>
    </row>
    <row r="239" spans="1:32" x14ac:dyDescent="0.3">
      <c r="A239" s="215" t="s">
        <v>351</v>
      </c>
      <c r="B239" s="215" t="s">
        <v>47</v>
      </c>
      <c r="C239" s="215" t="s">
        <v>68</v>
      </c>
      <c r="D239" s="215" t="s">
        <v>310</v>
      </c>
      <c r="E239" s="215" t="s">
        <v>441</v>
      </c>
      <c r="F239" s="15">
        <v>46211.698680555557</v>
      </c>
      <c r="G239" s="215" t="s">
        <v>413</v>
      </c>
      <c r="H239" s="215">
        <v>2</v>
      </c>
      <c r="I239" s="215" t="s">
        <v>497</v>
      </c>
      <c r="J239" s="15">
        <v>46219.448703703703</v>
      </c>
      <c r="K239" s="15">
        <v>46220.459722222222</v>
      </c>
      <c r="L239" s="15"/>
      <c r="M239" s="215">
        <v>2</v>
      </c>
      <c r="N239" s="215"/>
      <c r="O239" s="215" t="s">
        <v>201</v>
      </c>
      <c r="P239" s="215" t="s">
        <v>531</v>
      </c>
      <c r="Q239" s="215"/>
      <c r="R239" s="215"/>
      <c r="S239" s="215" t="s">
        <v>362</v>
      </c>
      <c r="T239" s="215" t="s">
        <v>378</v>
      </c>
      <c r="U239" s="215" t="s">
        <v>239</v>
      </c>
      <c r="V239" s="215" t="s">
        <v>351</v>
      </c>
      <c r="W239" s="215" t="s">
        <v>378</v>
      </c>
      <c r="X239" s="215" t="s">
        <v>239</v>
      </c>
      <c r="Y239" s="215">
        <v>0</v>
      </c>
      <c r="Z239" s="215"/>
      <c r="AA239" s="215" t="s">
        <v>90</v>
      </c>
      <c r="AB239" s="215" t="s">
        <v>362</v>
      </c>
      <c r="AC239" s="215">
        <v>109</v>
      </c>
      <c r="AD239" s="215" t="s">
        <v>218</v>
      </c>
      <c r="AE239" s="215">
        <v>1</v>
      </c>
      <c r="AF239" s="215">
        <v>1</v>
      </c>
    </row>
    <row r="240" spans="1:32" x14ac:dyDescent="0.3">
      <c r="A240" s="215" t="s">
        <v>351</v>
      </c>
      <c r="B240" s="215" t="s">
        <v>279</v>
      </c>
      <c r="C240" s="215" t="s">
        <v>197</v>
      </c>
      <c r="D240" s="215" t="s">
        <v>310</v>
      </c>
      <c r="E240" s="215" t="s">
        <v>443</v>
      </c>
      <c r="F240" s="15">
        <v>46217.60359953704</v>
      </c>
      <c r="G240" s="215" t="s">
        <v>439</v>
      </c>
      <c r="H240" s="215">
        <v>13</v>
      </c>
      <c r="I240" s="215" t="s">
        <v>1102</v>
      </c>
      <c r="J240" s="15">
        <v>46237.518055555556</v>
      </c>
      <c r="K240" s="15">
        <v>46239.647916666669</v>
      </c>
      <c r="L240" s="15"/>
      <c r="M240" s="215">
        <v>13</v>
      </c>
      <c r="N240" s="215"/>
      <c r="O240" s="215" t="s">
        <v>201</v>
      </c>
      <c r="P240" s="215" t="s">
        <v>532</v>
      </c>
      <c r="Q240" s="215"/>
      <c r="R240" s="215"/>
      <c r="S240" s="215" t="s">
        <v>363</v>
      </c>
      <c r="T240" s="215" t="s">
        <v>378</v>
      </c>
      <c r="U240" s="215" t="s">
        <v>239</v>
      </c>
      <c r="V240" s="215" t="s">
        <v>7</v>
      </c>
      <c r="W240" s="215" t="s">
        <v>7</v>
      </c>
      <c r="X240" s="215" t="s">
        <v>7</v>
      </c>
      <c r="Y240" s="215"/>
      <c r="Z240" s="215">
        <v>16</v>
      </c>
      <c r="AA240" s="215" t="s">
        <v>122</v>
      </c>
      <c r="AB240" s="215" t="s">
        <v>363</v>
      </c>
      <c r="AC240" s="215">
        <v>101</v>
      </c>
      <c r="AD240" s="215" t="s">
        <v>232</v>
      </c>
      <c r="AE240" s="215">
        <v>208</v>
      </c>
      <c r="AF240" s="215"/>
    </row>
    <row r="241" spans="1:32" x14ac:dyDescent="0.3">
      <c r="A241" s="215" t="s">
        <v>351</v>
      </c>
      <c r="B241" s="215" t="s">
        <v>57</v>
      </c>
      <c r="C241" s="215" t="s">
        <v>117</v>
      </c>
      <c r="D241" s="215" t="s">
        <v>310</v>
      </c>
      <c r="E241" s="215" t="s">
        <v>822</v>
      </c>
      <c r="F241" s="15">
        <v>46247.424131944441</v>
      </c>
      <c r="G241" s="215" t="s">
        <v>409</v>
      </c>
      <c r="H241" s="215">
        <v>1</v>
      </c>
      <c r="I241" s="215" t="s">
        <v>823</v>
      </c>
      <c r="J241" s="15">
        <v>46247.640277777777</v>
      </c>
      <c r="K241" s="15">
        <v>46253.622916666667</v>
      </c>
      <c r="L241" s="15"/>
      <c r="M241" s="215">
        <v>1</v>
      </c>
      <c r="N241" s="215"/>
      <c r="O241" s="215" t="s">
        <v>201</v>
      </c>
      <c r="P241" s="215" t="s">
        <v>532</v>
      </c>
      <c r="Q241" s="215"/>
      <c r="R241" s="215"/>
      <c r="S241" s="215" t="s">
        <v>359</v>
      </c>
      <c r="T241" s="215" t="s">
        <v>377</v>
      </c>
      <c r="U241" s="215" t="s">
        <v>239</v>
      </c>
      <c r="V241" s="215" t="s">
        <v>7</v>
      </c>
      <c r="W241" s="215" t="s">
        <v>7</v>
      </c>
      <c r="X241" s="215" t="s">
        <v>7</v>
      </c>
      <c r="Y241" s="215"/>
      <c r="Z241" s="215"/>
      <c r="AA241" s="215" t="s">
        <v>127</v>
      </c>
      <c r="AB241" s="215" t="s">
        <v>359</v>
      </c>
      <c r="AC241" s="215">
        <v>2100</v>
      </c>
      <c r="AD241" s="215" t="s">
        <v>233</v>
      </c>
      <c r="AE241" s="215">
        <v>1</v>
      </c>
      <c r="AF241" s="215">
        <v>95.4</v>
      </c>
    </row>
    <row r="242" spans="1:32" x14ac:dyDescent="0.3">
      <c r="A242" s="215" t="s">
        <v>351</v>
      </c>
      <c r="B242" s="215" t="s">
        <v>57</v>
      </c>
      <c r="C242" s="215" t="s">
        <v>117</v>
      </c>
      <c r="D242" s="215" t="s">
        <v>310</v>
      </c>
      <c r="E242" s="215" t="s">
        <v>820</v>
      </c>
      <c r="F242" s="15">
        <v>46241.653622685182</v>
      </c>
      <c r="G242" s="215" t="s">
        <v>409</v>
      </c>
      <c r="H242" s="215">
        <v>1</v>
      </c>
      <c r="I242" s="215" t="s">
        <v>821</v>
      </c>
      <c r="J242" s="15">
        <v>46247.673611111109</v>
      </c>
      <c r="K242" s="15">
        <v>46253.618055555555</v>
      </c>
      <c r="L242" s="15"/>
      <c r="M242" s="215">
        <v>1</v>
      </c>
      <c r="N242" s="215"/>
      <c r="O242" s="215" t="s">
        <v>201</v>
      </c>
      <c r="P242" s="215" t="s">
        <v>532</v>
      </c>
      <c r="Q242" s="215"/>
      <c r="R242" s="215"/>
      <c r="S242" s="215" t="s">
        <v>359</v>
      </c>
      <c r="T242" s="215" t="s">
        <v>377</v>
      </c>
      <c r="U242" s="215" t="s">
        <v>239</v>
      </c>
      <c r="V242" s="215" t="s">
        <v>7</v>
      </c>
      <c r="W242" s="215" t="s">
        <v>7</v>
      </c>
      <c r="X242" s="215" t="s">
        <v>7</v>
      </c>
      <c r="Y242" s="215"/>
      <c r="Z242" s="215"/>
      <c r="AA242" s="215" t="s">
        <v>127</v>
      </c>
      <c r="AB242" s="215" t="s">
        <v>359</v>
      </c>
      <c r="AC242" s="215">
        <v>2100</v>
      </c>
      <c r="AD242" s="215" t="s">
        <v>233</v>
      </c>
      <c r="AE242" s="215">
        <v>1</v>
      </c>
      <c r="AF242" s="215"/>
    </row>
    <row r="243" spans="1:32" x14ac:dyDescent="0.3">
      <c r="A243" s="215" t="s">
        <v>351</v>
      </c>
      <c r="B243" s="215" t="s">
        <v>57</v>
      </c>
      <c r="C243" s="215" t="s">
        <v>117</v>
      </c>
      <c r="D243" s="215" t="s">
        <v>310</v>
      </c>
      <c r="E243" s="215" t="s">
        <v>824</v>
      </c>
      <c r="F243" s="15">
        <v>46238.350578703707</v>
      </c>
      <c r="G243" s="215" t="s">
        <v>409</v>
      </c>
      <c r="H243" s="215">
        <v>1</v>
      </c>
      <c r="I243" s="215" t="s">
        <v>825</v>
      </c>
      <c r="J243" s="15">
        <v>46238.650694444441</v>
      </c>
      <c r="K243" s="15">
        <v>46241.494444444441</v>
      </c>
      <c r="L243" s="15"/>
      <c r="M243" s="215">
        <v>1</v>
      </c>
      <c r="N243" s="215"/>
      <c r="O243" s="215" t="s">
        <v>201</v>
      </c>
      <c r="P243" s="215" t="s">
        <v>532</v>
      </c>
      <c r="Q243" s="215"/>
      <c r="R243" s="215"/>
      <c r="S243" s="215" t="s">
        <v>359</v>
      </c>
      <c r="T243" s="215" t="s">
        <v>377</v>
      </c>
      <c r="U243" s="215" t="s">
        <v>239</v>
      </c>
      <c r="V243" s="215" t="s">
        <v>7</v>
      </c>
      <c r="W243" s="215" t="s">
        <v>7</v>
      </c>
      <c r="X243" s="215" t="s">
        <v>7</v>
      </c>
      <c r="Y243" s="215"/>
      <c r="Z243" s="215"/>
      <c r="AA243" s="215" t="s">
        <v>127</v>
      </c>
      <c r="AB243" s="215" t="s">
        <v>359</v>
      </c>
      <c r="AC243" s="215">
        <v>2100</v>
      </c>
      <c r="AD243" s="215" t="s">
        <v>233</v>
      </c>
      <c r="AE243" s="215">
        <v>1</v>
      </c>
      <c r="AF243" s="215">
        <v>22.6</v>
      </c>
    </row>
    <row r="244" spans="1:32" x14ac:dyDescent="0.3">
      <c r="A244" s="215" t="s">
        <v>351</v>
      </c>
      <c r="B244" s="215" t="s">
        <v>279</v>
      </c>
      <c r="C244" s="215" t="s">
        <v>192</v>
      </c>
      <c r="D244" s="215" t="s">
        <v>310</v>
      </c>
      <c r="E244" s="215" t="s">
        <v>822</v>
      </c>
      <c r="F244" s="15">
        <v>46247.424131944441</v>
      </c>
      <c r="G244" s="215" t="s">
        <v>409</v>
      </c>
      <c r="H244" s="215">
        <v>557</v>
      </c>
      <c r="I244" s="215" t="s">
        <v>823</v>
      </c>
      <c r="J244" s="15">
        <v>46247.640277777777</v>
      </c>
      <c r="K244" s="15">
        <v>46253.622916666667</v>
      </c>
      <c r="L244" s="15"/>
      <c r="M244" s="215">
        <v>557</v>
      </c>
      <c r="N244" s="215"/>
      <c r="O244" s="215" t="s">
        <v>201</v>
      </c>
      <c r="P244" s="215" t="s">
        <v>531</v>
      </c>
      <c r="Q244" s="215"/>
      <c r="R244" s="215"/>
      <c r="S244" s="215" t="s">
        <v>359</v>
      </c>
      <c r="T244" s="215" t="s">
        <v>377</v>
      </c>
      <c r="U244" s="215" t="s">
        <v>239</v>
      </c>
      <c r="V244" s="215" t="s">
        <v>7</v>
      </c>
      <c r="W244" s="215" t="s">
        <v>7</v>
      </c>
      <c r="X244" s="215" t="s">
        <v>7</v>
      </c>
      <c r="Y244" s="215"/>
      <c r="Z244" s="215">
        <v>1</v>
      </c>
      <c r="AA244" s="215" t="s">
        <v>122</v>
      </c>
      <c r="AB244" s="215" t="s">
        <v>359</v>
      </c>
      <c r="AC244" s="215">
        <v>2100</v>
      </c>
      <c r="AD244" s="215" t="s">
        <v>232</v>
      </c>
      <c r="AE244" s="215">
        <v>557</v>
      </c>
      <c r="AF244" s="215"/>
    </row>
    <row r="245" spans="1:32" x14ac:dyDescent="0.3">
      <c r="A245" s="215" t="s">
        <v>351</v>
      </c>
      <c r="B245" s="215" t="s">
        <v>279</v>
      </c>
      <c r="C245" s="215" t="s">
        <v>192</v>
      </c>
      <c r="D245" s="215" t="s">
        <v>310</v>
      </c>
      <c r="E245" s="215" t="s">
        <v>820</v>
      </c>
      <c r="F245" s="15">
        <v>46241.653622685182</v>
      </c>
      <c r="G245" s="215" t="s">
        <v>409</v>
      </c>
      <c r="H245" s="215">
        <v>393</v>
      </c>
      <c r="I245" s="215" t="s">
        <v>821</v>
      </c>
      <c r="J245" s="15">
        <v>46247.673611111109</v>
      </c>
      <c r="K245" s="15">
        <v>46253.618055555555</v>
      </c>
      <c r="L245" s="15"/>
      <c r="M245" s="215">
        <v>393</v>
      </c>
      <c r="N245" s="215"/>
      <c r="O245" s="215" t="s">
        <v>201</v>
      </c>
      <c r="P245" s="215" t="s">
        <v>531</v>
      </c>
      <c r="Q245" s="215"/>
      <c r="R245" s="215"/>
      <c r="S245" s="215" t="s">
        <v>359</v>
      </c>
      <c r="T245" s="215" t="s">
        <v>377</v>
      </c>
      <c r="U245" s="215" t="s">
        <v>239</v>
      </c>
      <c r="V245" s="215" t="s">
        <v>7</v>
      </c>
      <c r="W245" s="215" t="s">
        <v>7</v>
      </c>
      <c r="X245" s="215" t="s">
        <v>7</v>
      </c>
      <c r="Y245" s="215"/>
      <c r="Z245" s="215">
        <v>1</v>
      </c>
      <c r="AA245" s="215" t="s">
        <v>122</v>
      </c>
      <c r="AB245" s="215" t="s">
        <v>359</v>
      </c>
      <c r="AC245" s="215">
        <v>2100</v>
      </c>
      <c r="AD245" s="215" t="s">
        <v>232</v>
      </c>
      <c r="AE245" s="215">
        <v>393</v>
      </c>
      <c r="AF245" s="215"/>
    </row>
    <row r="246" spans="1:32" x14ac:dyDescent="0.3">
      <c r="A246" s="215" t="s">
        <v>351</v>
      </c>
      <c r="B246" s="215" t="s">
        <v>279</v>
      </c>
      <c r="C246" s="215" t="s">
        <v>192</v>
      </c>
      <c r="D246" s="215" t="s">
        <v>310</v>
      </c>
      <c r="E246" s="215" t="s">
        <v>824</v>
      </c>
      <c r="F246" s="15">
        <v>46238.350578703707</v>
      </c>
      <c r="G246" s="215" t="s">
        <v>409</v>
      </c>
      <c r="H246" s="215">
        <v>224</v>
      </c>
      <c r="I246" s="215" t="s">
        <v>825</v>
      </c>
      <c r="J246" s="15">
        <v>46238.650694444441</v>
      </c>
      <c r="K246" s="15">
        <v>46241.494444444441</v>
      </c>
      <c r="L246" s="15"/>
      <c r="M246" s="215">
        <v>224</v>
      </c>
      <c r="N246" s="215"/>
      <c r="O246" s="215" t="s">
        <v>201</v>
      </c>
      <c r="P246" s="215" t="s">
        <v>532</v>
      </c>
      <c r="Q246" s="215"/>
      <c r="R246" s="215"/>
      <c r="S246" s="215" t="s">
        <v>359</v>
      </c>
      <c r="T246" s="215" t="s">
        <v>377</v>
      </c>
      <c r="U246" s="215" t="s">
        <v>239</v>
      </c>
      <c r="V246" s="215" t="s">
        <v>7</v>
      </c>
      <c r="W246" s="215" t="s">
        <v>7</v>
      </c>
      <c r="X246" s="215" t="s">
        <v>7</v>
      </c>
      <c r="Y246" s="215"/>
      <c r="Z246" s="215">
        <v>1</v>
      </c>
      <c r="AA246" s="215" t="s">
        <v>122</v>
      </c>
      <c r="AB246" s="215" t="s">
        <v>359</v>
      </c>
      <c r="AC246" s="215">
        <v>2100</v>
      </c>
      <c r="AD246" s="215" t="s">
        <v>232</v>
      </c>
      <c r="AE246" s="215">
        <v>224</v>
      </c>
      <c r="AF246" s="215"/>
    </row>
    <row r="247" spans="1:32" x14ac:dyDescent="0.3">
      <c r="A247" s="215" t="s">
        <v>351</v>
      </c>
      <c r="B247" s="215" t="s">
        <v>63</v>
      </c>
      <c r="C247" s="215" t="s">
        <v>95</v>
      </c>
      <c r="D247" s="215" t="s">
        <v>310</v>
      </c>
      <c r="E247" s="215" t="s">
        <v>822</v>
      </c>
      <c r="F247" s="15">
        <v>46247.424131944441</v>
      </c>
      <c r="G247" s="215" t="s">
        <v>409</v>
      </c>
      <c r="H247" s="215">
        <v>1</v>
      </c>
      <c r="I247" s="215" t="s">
        <v>823</v>
      </c>
      <c r="J247" s="15">
        <v>46247.640277777777</v>
      </c>
      <c r="K247" s="15">
        <v>46253.622916666667</v>
      </c>
      <c r="L247" s="15"/>
      <c r="M247" s="215">
        <v>1</v>
      </c>
      <c r="N247" s="215"/>
      <c r="O247" s="215" t="s">
        <v>201</v>
      </c>
      <c r="P247" s="215" t="s">
        <v>532</v>
      </c>
      <c r="Q247" s="215"/>
      <c r="R247" s="215"/>
      <c r="S247" s="215" t="s">
        <v>359</v>
      </c>
      <c r="T247" s="215" t="s">
        <v>377</v>
      </c>
      <c r="U247" s="215" t="s">
        <v>239</v>
      </c>
      <c r="V247" s="215" t="s">
        <v>7</v>
      </c>
      <c r="W247" s="215" t="s">
        <v>7</v>
      </c>
      <c r="X247" s="215" t="s">
        <v>7</v>
      </c>
      <c r="Y247" s="215"/>
      <c r="Z247" s="215"/>
      <c r="AA247" s="215" t="s">
        <v>96</v>
      </c>
      <c r="AB247" s="215" t="s">
        <v>359</v>
      </c>
      <c r="AC247" s="215">
        <v>2100</v>
      </c>
      <c r="AD247" s="215" t="s">
        <v>225</v>
      </c>
      <c r="AE247" s="215">
        <v>1</v>
      </c>
      <c r="AF247" s="215"/>
    </row>
    <row r="248" spans="1:32" x14ac:dyDescent="0.3">
      <c r="A248" s="215" t="s">
        <v>351</v>
      </c>
      <c r="B248" s="215" t="s">
        <v>63</v>
      </c>
      <c r="C248" s="215" t="s">
        <v>95</v>
      </c>
      <c r="D248" s="215" t="s">
        <v>310</v>
      </c>
      <c r="E248" s="215" t="s">
        <v>820</v>
      </c>
      <c r="F248" s="15">
        <v>46241.653622685182</v>
      </c>
      <c r="G248" s="215" t="s">
        <v>409</v>
      </c>
      <c r="H248" s="215">
        <v>1</v>
      </c>
      <c r="I248" s="215" t="s">
        <v>821</v>
      </c>
      <c r="J248" s="15">
        <v>46247.673611111109</v>
      </c>
      <c r="K248" s="15">
        <v>46253.618055555555</v>
      </c>
      <c r="L248" s="15"/>
      <c r="M248" s="215">
        <v>1</v>
      </c>
      <c r="N248" s="215"/>
      <c r="O248" s="215" t="s">
        <v>201</v>
      </c>
      <c r="P248" s="215" t="s">
        <v>532</v>
      </c>
      <c r="Q248" s="215"/>
      <c r="R248" s="215"/>
      <c r="S248" s="215" t="s">
        <v>359</v>
      </c>
      <c r="T248" s="215" t="s">
        <v>377</v>
      </c>
      <c r="U248" s="215" t="s">
        <v>239</v>
      </c>
      <c r="V248" s="215" t="s">
        <v>7</v>
      </c>
      <c r="W248" s="215" t="s">
        <v>7</v>
      </c>
      <c r="X248" s="215" t="s">
        <v>7</v>
      </c>
      <c r="Y248" s="215"/>
      <c r="Z248" s="215"/>
      <c r="AA248" s="215" t="s">
        <v>96</v>
      </c>
      <c r="AB248" s="215" t="s">
        <v>359</v>
      </c>
      <c r="AC248" s="215">
        <v>2100</v>
      </c>
      <c r="AD248" s="215" t="s">
        <v>225</v>
      </c>
      <c r="AE248" s="215">
        <v>1</v>
      </c>
      <c r="AF248" s="215"/>
    </row>
    <row r="249" spans="1:32" x14ac:dyDescent="0.3">
      <c r="A249" s="215" t="s">
        <v>351</v>
      </c>
      <c r="B249" s="215" t="s">
        <v>63</v>
      </c>
      <c r="C249" s="215" t="s">
        <v>95</v>
      </c>
      <c r="D249" s="215" t="s">
        <v>310</v>
      </c>
      <c r="E249" s="215" t="s">
        <v>824</v>
      </c>
      <c r="F249" s="15">
        <v>46238.350578703707</v>
      </c>
      <c r="G249" s="215" t="s">
        <v>409</v>
      </c>
      <c r="H249" s="215">
        <v>1</v>
      </c>
      <c r="I249" s="215" t="s">
        <v>825</v>
      </c>
      <c r="J249" s="15">
        <v>46238.650694444441</v>
      </c>
      <c r="K249" s="15">
        <v>46241.494444444441</v>
      </c>
      <c r="L249" s="15"/>
      <c r="M249" s="215">
        <v>1</v>
      </c>
      <c r="N249" s="215"/>
      <c r="O249" s="215" t="s">
        <v>201</v>
      </c>
      <c r="P249" s="215" t="s">
        <v>532</v>
      </c>
      <c r="Q249" s="215"/>
      <c r="R249" s="215"/>
      <c r="S249" s="215" t="s">
        <v>359</v>
      </c>
      <c r="T249" s="215" t="s">
        <v>377</v>
      </c>
      <c r="U249" s="215" t="s">
        <v>239</v>
      </c>
      <c r="V249" s="215" t="s">
        <v>7</v>
      </c>
      <c r="W249" s="215" t="s">
        <v>7</v>
      </c>
      <c r="X249" s="215" t="s">
        <v>7</v>
      </c>
      <c r="Y249" s="215"/>
      <c r="Z249" s="215"/>
      <c r="AA249" s="215" t="s">
        <v>96</v>
      </c>
      <c r="AB249" s="215" t="s">
        <v>359</v>
      </c>
      <c r="AC249" s="215">
        <v>2100</v>
      </c>
      <c r="AD249" s="215" t="s">
        <v>225</v>
      </c>
      <c r="AE249" s="215">
        <v>1</v>
      </c>
      <c r="AF249" s="215"/>
    </row>
    <row r="250" spans="1:32" x14ac:dyDescent="0.3">
      <c r="A250" s="215" t="s">
        <v>351</v>
      </c>
      <c r="B250" s="215" t="s">
        <v>45</v>
      </c>
      <c r="C250" s="215" t="s">
        <v>68</v>
      </c>
      <c r="D250" s="215" t="s">
        <v>310</v>
      </c>
      <c r="E250" s="215" t="s">
        <v>867</v>
      </c>
      <c r="F250" s="15">
        <v>46234.569490740738</v>
      </c>
      <c r="G250" s="215" t="s">
        <v>408</v>
      </c>
      <c r="H250" s="215">
        <v>5</v>
      </c>
      <c r="I250" s="215" t="s">
        <v>868</v>
      </c>
      <c r="J250" s="15">
        <v>46234.710416666669</v>
      </c>
      <c r="K250" s="15">
        <v>46239.541666666664</v>
      </c>
      <c r="L250" s="15"/>
      <c r="M250" s="215">
        <v>5</v>
      </c>
      <c r="N250" s="215"/>
      <c r="O250" s="215" t="s">
        <v>201</v>
      </c>
      <c r="P250" s="215" t="s">
        <v>531</v>
      </c>
      <c r="Q250" s="215"/>
      <c r="R250" s="215"/>
      <c r="S250" s="215" t="s">
        <v>359</v>
      </c>
      <c r="T250" s="215" t="s">
        <v>377</v>
      </c>
      <c r="U250" s="215" t="s">
        <v>239</v>
      </c>
      <c r="V250" s="215" t="s">
        <v>351</v>
      </c>
      <c r="W250" s="215" t="s">
        <v>378</v>
      </c>
      <c r="X250" s="215" t="s">
        <v>239</v>
      </c>
      <c r="Y250" s="215">
        <v>103</v>
      </c>
      <c r="Z250" s="215"/>
      <c r="AA250" s="215" t="s">
        <v>67</v>
      </c>
      <c r="AB250" s="215" t="s">
        <v>359</v>
      </c>
      <c r="AC250" s="215">
        <v>2100</v>
      </c>
      <c r="AD250" s="215" t="s">
        <v>217</v>
      </c>
      <c r="AE250" s="215">
        <v>1</v>
      </c>
      <c r="AF250" s="215">
        <v>1</v>
      </c>
    </row>
    <row r="251" spans="1:32" x14ac:dyDescent="0.3">
      <c r="A251" s="215" t="s">
        <v>351</v>
      </c>
      <c r="B251" s="215" t="s">
        <v>45</v>
      </c>
      <c r="C251" s="215" t="s">
        <v>68</v>
      </c>
      <c r="D251" s="215" t="s">
        <v>310</v>
      </c>
      <c r="E251" s="215" t="s">
        <v>869</v>
      </c>
      <c r="F251" s="15">
        <v>46233.473078703704</v>
      </c>
      <c r="G251" s="215" t="s">
        <v>408</v>
      </c>
      <c r="H251" s="215">
        <v>3</v>
      </c>
      <c r="I251" s="215" t="s">
        <v>870</v>
      </c>
      <c r="J251" s="15">
        <v>46233.640972222223</v>
      </c>
      <c r="K251" s="15">
        <v>46237.458333333336</v>
      </c>
      <c r="L251" s="15"/>
      <c r="M251" s="215">
        <v>3</v>
      </c>
      <c r="N251" s="215"/>
      <c r="O251" s="215" t="s">
        <v>201</v>
      </c>
      <c r="P251" s="215" t="s">
        <v>532</v>
      </c>
      <c r="Q251" s="215"/>
      <c r="R251" s="215"/>
      <c r="S251" s="215" t="s">
        <v>359</v>
      </c>
      <c r="T251" s="215" t="s">
        <v>377</v>
      </c>
      <c r="U251" s="215" t="s">
        <v>239</v>
      </c>
      <c r="V251" s="215" t="s">
        <v>351</v>
      </c>
      <c r="W251" s="215" t="s">
        <v>378</v>
      </c>
      <c r="X251" s="215" t="s">
        <v>239</v>
      </c>
      <c r="Y251" s="215">
        <v>103</v>
      </c>
      <c r="Z251" s="215"/>
      <c r="AA251" s="215" t="s">
        <v>67</v>
      </c>
      <c r="AB251" s="215" t="s">
        <v>359</v>
      </c>
      <c r="AC251" s="215">
        <v>2100</v>
      </c>
      <c r="AD251" s="215" t="s">
        <v>217</v>
      </c>
      <c r="AE251" s="215">
        <v>1</v>
      </c>
      <c r="AF251" s="215">
        <v>1</v>
      </c>
    </row>
    <row r="252" spans="1:32" x14ac:dyDescent="0.3">
      <c r="A252" s="215" t="s">
        <v>351</v>
      </c>
      <c r="B252" s="215" t="s">
        <v>45</v>
      </c>
      <c r="C252" s="215" t="s">
        <v>68</v>
      </c>
      <c r="D252" s="215" t="s">
        <v>310</v>
      </c>
      <c r="E252" s="215" t="s">
        <v>871</v>
      </c>
      <c r="F252" s="15">
        <v>46233.472222222219</v>
      </c>
      <c r="G252" s="215" t="s">
        <v>408</v>
      </c>
      <c r="H252" s="215">
        <v>2</v>
      </c>
      <c r="I252" s="215" t="s">
        <v>870</v>
      </c>
      <c r="J252" s="15">
        <v>46233.640972222223</v>
      </c>
      <c r="K252" s="15">
        <v>46237.458333333336</v>
      </c>
      <c r="L252" s="15"/>
      <c r="M252" s="215">
        <v>2</v>
      </c>
      <c r="N252" s="215"/>
      <c r="O252" s="215" t="s">
        <v>201</v>
      </c>
      <c r="P252" s="215" t="s">
        <v>532</v>
      </c>
      <c r="Q252" s="215"/>
      <c r="R252" s="215"/>
      <c r="S252" s="215" t="s">
        <v>359</v>
      </c>
      <c r="T252" s="215" t="s">
        <v>377</v>
      </c>
      <c r="U252" s="215" t="s">
        <v>239</v>
      </c>
      <c r="V252" s="215" t="s">
        <v>351</v>
      </c>
      <c r="W252" s="215" t="s">
        <v>378</v>
      </c>
      <c r="X252" s="215" t="s">
        <v>239</v>
      </c>
      <c r="Y252" s="215"/>
      <c r="Z252" s="215"/>
      <c r="AA252" s="215" t="s">
        <v>67</v>
      </c>
      <c r="AB252" s="215" t="s">
        <v>359</v>
      </c>
      <c r="AC252" s="215">
        <v>2100</v>
      </c>
      <c r="AD252" s="215" t="s">
        <v>217</v>
      </c>
      <c r="AE252" s="215">
        <v>1</v>
      </c>
      <c r="AF252" s="215"/>
    </row>
    <row r="253" spans="1:32" x14ac:dyDescent="0.3">
      <c r="A253" s="215" t="s">
        <v>351</v>
      </c>
      <c r="B253" s="215" t="s">
        <v>45</v>
      </c>
      <c r="C253" s="215" t="s">
        <v>68</v>
      </c>
      <c r="D253" s="215" t="s">
        <v>310</v>
      </c>
      <c r="E253" s="215" t="s">
        <v>872</v>
      </c>
      <c r="F253" s="15">
        <v>46233.471770833334</v>
      </c>
      <c r="G253" s="215" t="s">
        <v>408</v>
      </c>
      <c r="H253" s="215">
        <v>3</v>
      </c>
      <c r="I253" s="215" t="s">
        <v>870</v>
      </c>
      <c r="J253" s="15">
        <v>46233.640972222223</v>
      </c>
      <c r="K253" s="15">
        <v>46237.458333333336</v>
      </c>
      <c r="L253" s="15"/>
      <c r="M253" s="215">
        <v>3</v>
      </c>
      <c r="N253" s="215"/>
      <c r="O253" s="215" t="s">
        <v>201</v>
      </c>
      <c r="P253" s="215" t="s">
        <v>532</v>
      </c>
      <c r="Q253" s="215"/>
      <c r="R253" s="215"/>
      <c r="S253" s="215" t="s">
        <v>359</v>
      </c>
      <c r="T253" s="215" t="s">
        <v>377</v>
      </c>
      <c r="U253" s="215" t="s">
        <v>239</v>
      </c>
      <c r="V253" s="215" t="s">
        <v>351</v>
      </c>
      <c r="W253" s="215" t="s">
        <v>378</v>
      </c>
      <c r="X253" s="215" t="s">
        <v>239</v>
      </c>
      <c r="Y253" s="215"/>
      <c r="Z253" s="215"/>
      <c r="AA253" s="215" t="s">
        <v>67</v>
      </c>
      <c r="AB253" s="215" t="s">
        <v>359</v>
      </c>
      <c r="AC253" s="215">
        <v>2100</v>
      </c>
      <c r="AD253" s="215" t="s">
        <v>217</v>
      </c>
      <c r="AE253" s="215">
        <v>1</v>
      </c>
      <c r="AF253" s="215"/>
    </row>
    <row r="254" spans="1:32" x14ac:dyDescent="0.3">
      <c r="A254" s="215" t="s">
        <v>351</v>
      </c>
      <c r="B254" s="215" t="s">
        <v>279</v>
      </c>
      <c r="C254" s="215" t="s">
        <v>197</v>
      </c>
      <c r="D254" s="215" t="s">
        <v>310</v>
      </c>
      <c r="E254" s="215" t="s">
        <v>828</v>
      </c>
      <c r="F254" s="15">
        <v>46239.427071759259</v>
      </c>
      <c r="G254" s="215" t="s">
        <v>412</v>
      </c>
      <c r="H254" s="215">
        <v>1</v>
      </c>
      <c r="I254" s="215" t="s">
        <v>829</v>
      </c>
      <c r="J254" s="15">
        <v>46240.368750000001</v>
      </c>
      <c r="K254" s="15">
        <v>46246.47152777778</v>
      </c>
      <c r="L254" s="15"/>
      <c r="M254" s="215">
        <v>1</v>
      </c>
      <c r="N254" s="215"/>
      <c r="O254" s="215" t="s">
        <v>201</v>
      </c>
      <c r="P254" s="215" t="s">
        <v>531</v>
      </c>
      <c r="Q254" s="215"/>
      <c r="R254" s="215"/>
      <c r="S254" s="215" t="s">
        <v>359</v>
      </c>
      <c r="T254" s="215" t="s">
        <v>377</v>
      </c>
      <c r="U254" s="215" t="s">
        <v>239</v>
      </c>
      <c r="V254" s="215" t="s">
        <v>7</v>
      </c>
      <c r="W254" s="215" t="s">
        <v>7</v>
      </c>
      <c r="X254" s="215" t="s">
        <v>7</v>
      </c>
      <c r="Y254" s="215"/>
      <c r="Z254" s="215">
        <v>16</v>
      </c>
      <c r="AA254" s="215" t="s">
        <v>122</v>
      </c>
      <c r="AB254" s="215" t="s">
        <v>359</v>
      </c>
      <c r="AC254" s="215">
        <v>2100</v>
      </c>
      <c r="AD254" s="215" t="s">
        <v>232</v>
      </c>
      <c r="AE254" s="215">
        <v>16</v>
      </c>
      <c r="AF254" s="215">
        <v>65.25</v>
      </c>
    </row>
    <row r="255" spans="1:32" x14ac:dyDescent="0.3">
      <c r="A255" s="215" t="s">
        <v>351</v>
      </c>
      <c r="B255" s="215" t="s">
        <v>279</v>
      </c>
      <c r="C255" s="215" t="s">
        <v>197</v>
      </c>
      <c r="D255" s="215" t="s">
        <v>310</v>
      </c>
      <c r="E255" s="215" t="s">
        <v>828</v>
      </c>
      <c r="F255" s="15">
        <v>46239.427071759259</v>
      </c>
      <c r="G255" s="215" t="s">
        <v>412</v>
      </c>
      <c r="H255" s="215">
        <v>9</v>
      </c>
      <c r="I255" s="215" t="s">
        <v>829</v>
      </c>
      <c r="J255" s="15">
        <v>46240.368750000001</v>
      </c>
      <c r="K255" s="15">
        <v>46246.47152777778</v>
      </c>
      <c r="L255" s="15"/>
      <c r="M255" s="215">
        <v>9</v>
      </c>
      <c r="N255" s="215"/>
      <c r="O255" s="215" t="s">
        <v>529</v>
      </c>
      <c r="P255" s="215"/>
      <c r="Q255" s="215"/>
      <c r="R255" s="215"/>
      <c r="S255" s="215" t="s">
        <v>359</v>
      </c>
      <c r="T255" s="215" t="s">
        <v>377</v>
      </c>
      <c r="U255" s="215" t="s">
        <v>239</v>
      </c>
      <c r="V255" s="215" t="s">
        <v>7</v>
      </c>
      <c r="W255" s="215" t="s">
        <v>7</v>
      </c>
      <c r="X255" s="215" t="s">
        <v>7</v>
      </c>
      <c r="Y255" s="215"/>
      <c r="Z255" s="215">
        <v>16</v>
      </c>
      <c r="AA255" s="215" t="s">
        <v>122</v>
      </c>
      <c r="AB255" s="215" t="s">
        <v>359</v>
      </c>
      <c r="AC255" s="215">
        <v>2100</v>
      </c>
      <c r="AD255" s="215" t="s">
        <v>232</v>
      </c>
      <c r="AE255" s="215">
        <v>144</v>
      </c>
      <c r="AF255" s="215"/>
    </row>
    <row r="256" spans="1:32" x14ac:dyDescent="0.3">
      <c r="A256" s="215" t="s">
        <v>351</v>
      </c>
      <c r="B256" s="215" t="s">
        <v>279</v>
      </c>
      <c r="C256" s="215" t="s">
        <v>197</v>
      </c>
      <c r="D256" s="215" t="s">
        <v>310</v>
      </c>
      <c r="E256" s="215" t="s">
        <v>828</v>
      </c>
      <c r="F256" s="15">
        <v>46239.427071759259</v>
      </c>
      <c r="G256" s="215" t="s">
        <v>412</v>
      </c>
      <c r="H256" s="215">
        <v>25</v>
      </c>
      <c r="I256" s="215" t="s">
        <v>829</v>
      </c>
      <c r="J256" s="15">
        <v>46240.368750000001</v>
      </c>
      <c r="K256" s="15">
        <v>46246.47152777778</v>
      </c>
      <c r="L256" s="15"/>
      <c r="M256" s="215">
        <v>25</v>
      </c>
      <c r="N256" s="215"/>
      <c r="O256" s="215" t="s">
        <v>529</v>
      </c>
      <c r="P256" s="215"/>
      <c r="Q256" s="215"/>
      <c r="R256" s="215"/>
      <c r="S256" s="215" t="s">
        <v>359</v>
      </c>
      <c r="T256" s="215" t="s">
        <v>377</v>
      </c>
      <c r="U256" s="215" t="s">
        <v>239</v>
      </c>
      <c r="V256" s="215" t="s">
        <v>7</v>
      </c>
      <c r="W256" s="215" t="s">
        <v>7</v>
      </c>
      <c r="X256" s="215" t="s">
        <v>7</v>
      </c>
      <c r="Y256" s="215"/>
      <c r="Z256" s="215">
        <v>16</v>
      </c>
      <c r="AA256" s="215" t="s">
        <v>122</v>
      </c>
      <c r="AB256" s="215" t="s">
        <v>359</v>
      </c>
      <c r="AC256" s="215">
        <v>2100</v>
      </c>
      <c r="AD256" s="215" t="s">
        <v>232</v>
      </c>
      <c r="AE256" s="215">
        <v>400</v>
      </c>
      <c r="AF256" s="215"/>
    </row>
    <row r="257" spans="1:32" x14ac:dyDescent="0.3">
      <c r="A257" s="215" t="s">
        <v>351</v>
      </c>
      <c r="B257" s="215" t="s">
        <v>279</v>
      </c>
      <c r="C257" s="215" t="s">
        <v>197</v>
      </c>
      <c r="D257" s="215" t="s">
        <v>310</v>
      </c>
      <c r="E257" s="215" t="s">
        <v>828</v>
      </c>
      <c r="F257" s="15">
        <v>46239.427071759259</v>
      </c>
      <c r="G257" s="215" t="s">
        <v>412</v>
      </c>
      <c r="H257" s="215">
        <v>1</v>
      </c>
      <c r="I257" s="215" t="s">
        <v>829</v>
      </c>
      <c r="J257" s="15">
        <v>46240.368750000001</v>
      </c>
      <c r="K257" s="15">
        <v>46246.47152777778</v>
      </c>
      <c r="L257" s="15"/>
      <c r="M257" s="215">
        <v>1</v>
      </c>
      <c r="N257" s="215"/>
      <c r="O257" s="215" t="s">
        <v>529</v>
      </c>
      <c r="P257" s="215"/>
      <c r="Q257" s="215"/>
      <c r="R257" s="215"/>
      <c r="S257" s="215" t="s">
        <v>359</v>
      </c>
      <c r="T257" s="215" t="s">
        <v>377</v>
      </c>
      <c r="U257" s="215" t="s">
        <v>239</v>
      </c>
      <c r="V257" s="215" t="s">
        <v>7</v>
      </c>
      <c r="W257" s="215" t="s">
        <v>7</v>
      </c>
      <c r="X257" s="215" t="s">
        <v>7</v>
      </c>
      <c r="Y257" s="215"/>
      <c r="Z257" s="215">
        <v>16</v>
      </c>
      <c r="AA257" s="215" t="s">
        <v>122</v>
      </c>
      <c r="AB257" s="215" t="s">
        <v>359</v>
      </c>
      <c r="AC257" s="215">
        <v>2100</v>
      </c>
      <c r="AD257" s="215" t="s">
        <v>232</v>
      </c>
      <c r="AE257" s="215">
        <v>16</v>
      </c>
      <c r="AF257" s="215"/>
    </row>
    <row r="258" spans="1:32" x14ac:dyDescent="0.3">
      <c r="A258" s="215" t="s">
        <v>351</v>
      </c>
      <c r="B258" s="215" t="s">
        <v>279</v>
      </c>
      <c r="C258" s="215" t="s">
        <v>197</v>
      </c>
      <c r="D258" s="215" t="s">
        <v>310</v>
      </c>
      <c r="E258" s="215" t="s">
        <v>828</v>
      </c>
      <c r="F258" s="15">
        <v>46239.427071759259</v>
      </c>
      <c r="G258" s="215" t="s">
        <v>412</v>
      </c>
      <c r="H258" s="215">
        <v>2</v>
      </c>
      <c r="I258" s="215" t="s">
        <v>829</v>
      </c>
      <c r="J258" s="15">
        <v>46240.368750000001</v>
      </c>
      <c r="K258" s="15">
        <v>46246.47152777778</v>
      </c>
      <c r="L258" s="15"/>
      <c r="M258" s="215">
        <v>2</v>
      </c>
      <c r="N258" s="215"/>
      <c r="O258" s="215" t="s">
        <v>529</v>
      </c>
      <c r="P258" s="215"/>
      <c r="Q258" s="215"/>
      <c r="R258" s="215"/>
      <c r="S258" s="215" t="s">
        <v>359</v>
      </c>
      <c r="T258" s="215" t="s">
        <v>377</v>
      </c>
      <c r="U258" s="215" t="s">
        <v>239</v>
      </c>
      <c r="V258" s="215" t="s">
        <v>7</v>
      </c>
      <c r="W258" s="215" t="s">
        <v>7</v>
      </c>
      <c r="X258" s="215" t="s">
        <v>7</v>
      </c>
      <c r="Y258" s="215"/>
      <c r="Z258" s="215">
        <v>16</v>
      </c>
      <c r="AA258" s="215" t="s">
        <v>122</v>
      </c>
      <c r="AB258" s="215" t="s">
        <v>359</v>
      </c>
      <c r="AC258" s="215">
        <v>2100</v>
      </c>
      <c r="AD258" s="215" t="s">
        <v>232</v>
      </c>
      <c r="AE258" s="215">
        <v>32</v>
      </c>
      <c r="AF258" s="215"/>
    </row>
    <row r="259" spans="1:32" x14ac:dyDescent="0.3">
      <c r="A259" s="215" t="s">
        <v>351</v>
      </c>
      <c r="B259" s="215" t="s">
        <v>63</v>
      </c>
      <c r="C259" s="215" t="s">
        <v>95</v>
      </c>
      <c r="D259" s="215" t="s">
        <v>310</v>
      </c>
      <c r="E259" s="215" t="s">
        <v>828</v>
      </c>
      <c r="F259" s="15">
        <v>46239.427071759259</v>
      </c>
      <c r="G259" s="215" t="s">
        <v>412</v>
      </c>
      <c r="H259" s="215">
        <v>9</v>
      </c>
      <c r="I259" s="215" t="s">
        <v>829</v>
      </c>
      <c r="J259" s="15">
        <v>46240.368750000001</v>
      </c>
      <c r="K259" s="15">
        <v>46246.47152777778</v>
      </c>
      <c r="L259" s="15"/>
      <c r="M259" s="215">
        <v>9</v>
      </c>
      <c r="N259" s="215"/>
      <c r="O259" s="215" t="s">
        <v>201</v>
      </c>
      <c r="P259" s="215" t="s">
        <v>532</v>
      </c>
      <c r="Q259" s="215"/>
      <c r="R259" s="215"/>
      <c r="S259" s="215" t="s">
        <v>359</v>
      </c>
      <c r="T259" s="215" t="s">
        <v>377</v>
      </c>
      <c r="U259" s="215" t="s">
        <v>239</v>
      </c>
      <c r="V259" s="215" t="s">
        <v>7</v>
      </c>
      <c r="W259" s="215" t="s">
        <v>7</v>
      </c>
      <c r="X259" s="215" t="s">
        <v>7</v>
      </c>
      <c r="Y259" s="215"/>
      <c r="Z259" s="215"/>
      <c r="AA259" s="215" t="s">
        <v>96</v>
      </c>
      <c r="AB259" s="215" t="s">
        <v>359</v>
      </c>
      <c r="AC259" s="215">
        <v>2100</v>
      </c>
      <c r="AD259" s="215" t="s">
        <v>225</v>
      </c>
      <c r="AE259" s="215">
        <v>9</v>
      </c>
      <c r="AF259" s="215"/>
    </row>
    <row r="260" spans="1:32" x14ac:dyDescent="0.3">
      <c r="A260" s="215" t="s">
        <v>351</v>
      </c>
      <c r="B260" s="215" t="s">
        <v>63</v>
      </c>
      <c r="C260" s="215" t="s">
        <v>95</v>
      </c>
      <c r="D260" s="215" t="s">
        <v>310</v>
      </c>
      <c r="E260" s="215" t="s">
        <v>828</v>
      </c>
      <c r="F260" s="15">
        <v>46239.427071759259</v>
      </c>
      <c r="G260" s="215" t="s">
        <v>412</v>
      </c>
      <c r="H260" s="215">
        <v>25</v>
      </c>
      <c r="I260" s="215" t="s">
        <v>829</v>
      </c>
      <c r="J260" s="15">
        <v>46240.368750000001</v>
      </c>
      <c r="K260" s="15">
        <v>46246.47152777778</v>
      </c>
      <c r="L260" s="15"/>
      <c r="M260" s="215">
        <v>25</v>
      </c>
      <c r="N260" s="215"/>
      <c r="O260" s="215" t="s">
        <v>529</v>
      </c>
      <c r="P260" s="215"/>
      <c r="Q260" s="215"/>
      <c r="R260" s="215"/>
      <c r="S260" s="215" t="s">
        <v>359</v>
      </c>
      <c r="T260" s="215" t="s">
        <v>377</v>
      </c>
      <c r="U260" s="215" t="s">
        <v>239</v>
      </c>
      <c r="V260" s="215" t="s">
        <v>7</v>
      </c>
      <c r="W260" s="215" t="s">
        <v>7</v>
      </c>
      <c r="X260" s="215" t="s">
        <v>7</v>
      </c>
      <c r="Y260" s="215"/>
      <c r="Z260" s="215"/>
      <c r="AA260" s="215" t="s">
        <v>96</v>
      </c>
      <c r="AB260" s="215" t="s">
        <v>359</v>
      </c>
      <c r="AC260" s="215">
        <v>2100</v>
      </c>
      <c r="AD260" s="215" t="s">
        <v>225</v>
      </c>
      <c r="AE260" s="215">
        <v>25</v>
      </c>
      <c r="AF260" s="215"/>
    </row>
    <row r="261" spans="1:32" x14ac:dyDescent="0.3">
      <c r="A261" s="215" t="s">
        <v>351</v>
      </c>
      <c r="B261" s="215" t="s">
        <v>63</v>
      </c>
      <c r="C261" s="215" t="s">
        <v>95</v>
      </c>
      <c r="D261" s="215" t="s">
        <v>310</v>
      </c>
      <c r="E261" s="215" t="s">
        <v>828</v>
      </c>
      <c r="F261" s="15">
        <v>46239.427071759259</v>
      </c>
      <c r="G261" s="215" t="s">
        <v>412</v>
      </c>
      <c r="H261" s="215">
        <v>1</v>
      </c>
      <c r="I261" s="215" t="s">
        <v>829</v>
      </c>
      <c r="J261" s="15">
        <v>46240.368750000001</v>
      </c>
      <c r="K261" s="15">
        <v>46246.47152777778</v>
      </c>
      <c r="L261" s="15"/>
      <c r="M261" s="215">
        <v>1</v>
      </c>
      <c r="N261" s="215"/>
      <c r="O261" s="215" t="s">
        <v>529</v>
      </c>
      <c r="P261" s="215"/>
      <c r="Q261" s="215"/>
      <c r="R261" s="215"/>
      <c r="S261" s="215" t="s">
        <v>359</v>
      </c>
      <c r="T261" s="215" t="s">
        <v>377</v>
      </c>
      <c r="U261" s="215" t="s">
        <v>239</v>
      </c>
      <c r="V261" s="215" t="s">
        <v>7</v>
      </c>
      <c r="W261" s="215" t="s">
        <v>7</v>
      </c>
      <c r="X261" s="215" t="s">
        <v>7</v>
      </c>
      <c r="Y261" s="215"/>
      <c r="Z261" s="215"/>
      <c r="AA261" s="215" t="s">
        <v>96</v>
      </c>
      <c r="AB261" s="215" t="s">
        <v>359</v>
      </c>
      <c r="AC261" s="215">
        <v>2100</v>
      </c>
      <c r="AD261" s="215" t="s">
        <v>225</v>
      </c>
      <c r="AE261" s="215">
        <v>1</v>
      </c>
      <c r="AF261" s="215"/>
    </row>
    <row r="262" spans="1:32" x14ac:dyDescent="0.3">
      <c r="A262" s="215" t="s">
        <v>351</v>
      </c>
      <c r="B262" s="215" t="s">
        <v>63</v>
      </c>
      <c r="C262" s="215" t="s">
        <v>95</v>
      </c>
      <c r="D262" s="215" t="s">
        <v>310</v>
      </c>
      <c r="E262" s="215" t="s">
        <v>828</v>
      </c>
      <c r="F262" s="15">
        <v>46239.427071759259</v>
      </c>
      <c r="G262" s="215" t="s">
        <v>412</v>
      </c>
      <c r="H262" s="215">
        <v>2</v>
      </c>
      <c r="I262" s="215" t="s">
        <v>829</v>
      </c>
      <c r="J262" s="15">
        <v>46240.368750000001</v>
      </c>
      <c r="K262" s="15">
        <v>46246.47152777778</v>
      </c>
      <c r="L262" s="15"/>
      <c r="M262" s="215">
        <v>2</v>
      </c>
      <c r="N262" s="215"/>
      <c r="O262" s="215" t="s">
        <v>529</v>
      </c>
      <c r="P262" s="215"/>
      <c r="Q262" s="215"/>
      <c r="R262" s="215"/>
      <c r="S262" s="215" t="s">
        <v>359</v>
      </c>
      <c r="T262" s="215" t="s">
        <v>377</v>
      </c>
      <c r="U262" s="215" t="s">
        <v>239</v>
      </c>
      <c r="V262" s="215" t="s">
        <v>7</v>
      </c>
      <c r="W262" s="215" t="s">
        <v>7</v>
      </c>
      <c r="X262" s="215" t="s">
        <v>7</v>
      </c>
      <c r="Y262" s="215"/>
      <c r="Z262" s="215"/>
      <c r="AA262" s="215" t="s">
        <v>96</v>
      </c>
      <c r="AB262" s="215" t="s">
        <v>359</v>
      </c>
      <c r="AC262" s="215">
        <v>2100</v>
      </c>
      <c r="AD262" s="215" t="s">
        <v>225</v>
      </c>
      <c r="AE262" s="215">
        <v>2</v>
      </c>
      <c r="AF262" s="215"/>
    </row>
    <row r="263" spans="1:32" x14ac:dyDescent="0.3">
      <c r="A263" s="215" t="s">
        <v>351</v>
      </c>
      <c r="B263" s="215" t="s">
        <v>63</v>
      </c>
      <c r="C263" s="215" t="s">
        <v>95</v>
      </c>
      <c r="D263" s="215" t="s">
        <v>310</v>
      </c>
      <c r="E263" s="215" t="s">
        <v>828</v>
      </c>
      <c r="F263" s="15">
        <v>46239.427071759259</v>
      </c>
      <c r="G263" s="215" t="s">
        <v>412</v>
      </c>
      <c r="H263" s="215">
        <v>1</v>
      </c>
      <c r="I263" s="215" t="s">
        <v>829</v>
      </c>
      <c r="J263" s="15">
        <v>46240.368750000001</v>
      </c>
      <c r="K263" s="15">
        <v>46246.47152777778</v>
      </c>
      <c r="L263" s="15"/>
      <c r="M263" s="215">
        <v>1</v>
      </c>
      <c r="N263" s="215"/>
      <c r="O263" s="215" t="s">
        <v>529</v>
      </c>
      <c r="P263" s="215"/>
      <c r="Q263" s="215"/>
      <c r="R263" s="215"/>
      <c r="S263" s="215" t="s">
        <v>359</v>
      </c>
      <c r="T263" s="215" t="s">
        <v>377</v>
      </c>
      <c r="U263" s="215" t="s">
        <v>239</v>
      </c>
      <c r="V263" s="215" t="s">
        <v>7</v>
      </c>
      <c r="W263" s="215" t="s">
        <v>7</v>
      </c>
      <c r="X263" s="215" t="s">
        <v>7</v>
      </c>
      <c r="Y263" s="215"/>
      <c r="Z263" s="215"/>
      <c r="AA263" s="215" t="s">
        <v>96</v>
      </c>
      <c r="AB263" s="215" t="s">
        <v>359</v>
      </c>
      <c r="AC263" s="215">
        <v>2100</v>
      </c>
      <c r="AD263" s="215" t="s">
        <v>225</v>
      </c>
      <c r="AE263" s="215">
        <v>1</v>
      </c>
      <c r="AF263" s="215"/>
    </row>
    <row r="264" spans="1:32" x14ac:dyDescent="0.3">
      <c r="A264" s="215" t="s">
        <v>351</v>
      </c>
      <c r="B264" s="215" t="s">
        <v>57</v>
      </c>
      <c r="C264" s="215" t="s">
        <v>117</v>
      </c>
      <c r="D264" s="215" t="s">
        <v>310</v>
      </c>
      <c r="E264" s="215" t="s">
        <v>828</v>
      </c>
      <c r="F264" s="15">
        <v>46239.427071759259</v>
      </c>
      <c r="G264" s="215" t="s">
        <v>412</v>
      </c>
      <c r="H264" s="215">
        <v>9</v>
      </c>
      <c r="I264" s="215" t="s">
        <v>829</v>
      </c>
      <c r="J264" s="15">
        <v>46240.368750000001</v>
      </c>
      <c r="K264" s="15">
        <v>46246.47152777778</v>
      </c>
      <c r="L264" s="15"/>
      <c r="M264" s="215">
        <v>9</v>
      </c>
      <c r="N264" s="215"/>
      <c r="O264" s="215" t="s">
        <v>201</v>
      </c>
      <c r="P264" s="215" t="s">
        <v>532</v>
      </c>
      <c r="Q264" s="215"/>
      <c r="R264" s="215"/>
      <c r="S264" s="215" t="s">
        <v>359</v>
      </c>
      <c r="T264" s="215" t="s">
        <v>377</v>
      </c>
      <c r="U264" s="215" t="s">
        <v>239</v>
      </c>
      <c r="V264" s="215" t="s">
        <v>7</v>
      </c>
      <c r="W264" s="215" t="s">
        <v>7</v>
      </c>
      <c r="X264" s="215" t="s">
        <v>7</v>
      </c>
      <c r="Y264" s="215"/>
      <c r="Z264" s="215"/>
      <c r="AA264" s="215" t="s">
        <v>127</v>
      </c>
      <c r="AB264" s="215" t="s">
        <v>359</v>
      </c>
      <c r="AC264" s="215">
        <v>2100</v>
      </c>
      <c r="AD264" s="215" t="s">
        <v>233</v>
      </c>
      <c r="AE264" s="215">
        <v>1</v>
      </c>
      <c r="AF264" s="215"/>
    </row>
    <row r="265" spans="1:32" x14ac:dyDescent="0.3">
      <c r="A265" s="215" t="s">
        <v>351</v>
      </c>
      <c r="B265" s="215" t="s">
        <v>57</v>
      </c>
      <c r="C265" s="215" t="s">
        <v>117</v>
      </c>
      <c r="D265" s="215" t="s">
        <v>310</v>
      </c>
      <c r="E265" s="215" t="s">
        <v>828</v>
      </c>
      <c r="F265" s="15">
        <v>46239.427071759259</v>
      </c>
      <c r="G265" s="215" t="s">
        <v>412</v>
      </c>
      <c r="H265" s="215">
        <v>25</v>
      </c>
      <c r="I265" s="215" t="s">
        <v>829</v>
      </c>
      <c r="J265" s="15">
        <v>46240.368750000001</v>
      </c>
      <c r="K265" s="15">
        <v>46246.47152777778</v>
      </c>
      <c r="L265" s="15"/>
      <c r="M265" s="215">
        <v>25</v>
      </c>
      <c r="N265" s="215"/>
      <c r="O265" s="215" t="s">
        <v>529</v>
      </c>
      <c r="P265" s="215"/>
      <c r="Q265" s="215"/>
      <c r="R265" s="215"/>
      <c r="S265" s="215" t="s">
        <v>359</v>
      </c>
      <c r="T265" s="215" t="s">
        <v>377</v>
      </c>
      <c r="U265" s="215" t="s">
        <v>239</v>
      </c>
      <c r="V265" s="215" t="s">
        <v>7</v>
      </c>
      <c r="W265" s="215" t="s">
        <v>7</v>
      </c>
      <c r="X265" s="215" t="s">
        <v>7</v>
      </c>
      <c r="Y265" s="215"/>
      <c r="Z265" s="215"/>
      <c r="AA265" s="215" t="s">
        <v>127</v>
      </c>
      <c r="AB265" s="215" t="s">
        <v>359</v>
      </c>
      <c r="AC265" s="215">
        <v>2100</v>
      </c>
      <c r="AD265" s="215" t="s">
        <v>233</v>
      </c>
      <c r="AE265" s="215">
        <v>2.5</v>
      </c>
      <c r="AF265" s="215"/>
    </row>
    <row r="266" spans="1:32" x14ac:dyDescent="0.3">
      <c r="A266" s="215" t="s">
        <v>351</v>
      </c>
      <c r="B266" s="215" t="s">
        <v>57</v>
      </c>
      <c r="C266" s="215" t="s">
        <v>117</v>
      </c>
      <c r="D266" s="215" t="s">
        <v>310</v>
      </c>
      <c r="E266" s="215" t="s">
        <v>828</v>
      </c>
      <c r="F266" s="15">
        <v>46239.427071759259</v>
      </c>
      <c r="G266" s="215" t="s">
        <v>412</v>
      </c>
      <c r="H266" s="215">
        <v>1</v>
      </c>
      <c r="I266" s="215" t="s">
        <v>829</v>
      </c>
      <c r="J266" s="15">
        <v>46240.368750000001</v>
      </c>
      <c r="K266" s="15">
        <v>46246.47152777778</v>
      </c>
      <c r="L266" s="15"/>
      <c r="M266" s="215">
        <v>1</v>
      </c>
      <c r="N266" s="215"/>
      <c r="O266" s="215" t="s">
        <v>529</v>
      </c>
      <c r="P266" s="215"/>
      <c r="Q266" s="215"/>
      <c r="R266" s="215"/>
      <c r="S266" s="215" t="s">
        <v>359</v>
      </c>
      <c r="T266" s="215" t="s">
        <v>377</v>
      </c>
      <c r="U266" s="215" t="s">
        <v>239</v>
      </c>
      <c r="V266" s="215" t="s">
        <v>7</v>
      </c>
      <c r="W266" s="215" t="s">
        <v>7</v>
      </c>
      <c r="X266" s="215" t="s">
        <v>7</v>
      </c>
      <c r="Y266" s="215"/>
      <c r="Z266" s="215"/>
      <c r="AA266" s="215" t="s">
        <v>127</v>
      </c>
      <c r="AB266" s="215" t="s">
        <v>359</v>
      </c>
      <c r="AC266" s="215">
        <v>2100</v>
      </c>
      <c r="AD266" s="215" t="s">
        <v>233</v>
      </c>
      <c r="AE266" s="215">
        <v>1</v>
      </c>
      <c r="AF266" s="215"/>
    </row>
    <row r="267" spans="1:32" x14ac:dyDescent="0.3">
      <c r="A267" s="215" t="s">
        <v>351</v>
      </c>
      <c r="B267" s="215" t="s">
        <v>57</v>
      </c>
      <c r="C267" s="215" t="s">
        <v>117</v>
      </c>
      <c r="D267" s="215" t="s">
        <v>310</v>
      </c>
      <c r="E267" s="215" t="s">
        <v>828</v>
      </c>
      <c r="F267" s="15">
        <v>46239.427071759259</v>
      </c>
      <c r="G267" s="215" t="s">
        <v>412</v>
      </c>
      <c r="H267" s="215">
        <v>1</v>
      </c>
      <c r="I267" s="215" t="s">
        <v>829</v>
      </c>
      <c r="J267" s="15">
        <v>46240.368750000001</v>
      </c>
      <c r="K267" s="15">
        <v>46246.47152777778</v>
      </c>
      <c r="L267" s="15"/>
      <c r="M267" s="215">
        <v>1</v>
      </c>
      <c r="N267" s="215"/>
      <c r="O267" s="215" t="s">
        <v>529</v>
      </c>
      <c r="P267" s="215"/>
      <c r="Q267" s="215"/>
      <c r="R267" s="215"/>
      <c r="S267" s="215" t="s">
        <v>359</v>
      </c>
      <c r="T267" s="215" t="s">
        <v>377</v>
      </c>
      <c r="U267" s="215" t="s">
        <v>239</v>
      </c>
      <c r="V267" s="215" t="s">
        <v>7</v>
      </c>
      <c r="W267" s="215" t="s">
        <v>7</v>
      </c>
      <c r="X267" s="215" t="s">
        <v>7</v>
      </c>
      <c r="Y267" s="215"/>
      <c r="Z267" s="215"/>
      <c r="AA267" s="215" t="s">
        <v>127</v>
      </c>
      <c r="AB267" s="215" t="s">
        <v>359</v>
      </c>
      <c r="AC267" s="215">
        <v>2100</v>
      </c>
      <c r="AD267" s="215" t="s">
        <v>233</v>
      </c>
      <c r="AE267" s="215">
        <v>1</v>
      </c>
      <c r="AF267" s="215"/>
    </row>
    <row r="268" spans="1:32" x14ac:dyDescent="0.3">
      <c r="A268" s="215" t="s">
        <v>351</v>
      </c>
      <c r="B268" s="215" t="s">
        <v>57</v>
      </c>
      <c r="C268" s="215" t="s">
        <v>117</v>
      </c>
      <c r="D268" s="215" t="s">
        <v>310</v>
      </c>
      <c r="E268" s="215" t="s">
        <v>828</v>
      </c>
      <c r="F268" s="15">
        <v>46239.427071759259</v>
      </c>
      <c r="G268" s="215" t="s">
        <v>412</v>
      </c>
      <c r="H268" s="215">
        <v>2</v>
      </c>
      <c r="I268" s="215" t="s">
        <v>829</v>
      </c>
      <c r="J268" s="15">
        <v>46240.368750000001</v>
      </c>
      <c r="K268" s="15">
        <v>46246.47152777778</v>
      </c>
      <c r="L268" s="15"/>
      <c r="M268" s="215">
        <v>2</v>
      </c>
      <c r="N268" s="215"/>
      <c r="O268" s="215" t="s">
        <v>529</v>
      </c>
      <c r="P268" s="215"/>
      <c r="Q268" s="215"/>
      <c r="R268" s="215"/>
      <c r="S268" s="215" t="s">
        <v>359</v>
      </c>
      <c r="T268" s="215" t="s">
        <v>377</v>
      </c>
      <c r="U268" s="215" t="s">
        <v>239</v>
      </c>
      <c r="V268" s="215" t="s">
        <v>7</v>
      </c>
      <c r="W268" s="215" t="s">
        <v>7</v>
      </c>
      <c r="X268" s="215" t="s">
        <v>7</v>
      </c>
      <c r="Y268" s="215"/>
      <c r="Z268" s="215"/>
      <c r="AA268" s="215" t="s">
        <v>127</v>
      </c>
      <c r="AB268" s="215" t="s">
        <v>359</v>
      </c>
      <c r="AC268" s="215">
        <v>2100</v>
      </c>
      <c r="AD268" s="215" t="s">
        <v>233</v>
      </c>
      <c r="AE268" s="215">
        <v>1</v>
      </c>
      <c r="AF268" s="215"/>
    </row>
    <row r="269" spans="1:32" x14ac:dyDescent="0.3">
      <c r="A269" s="215" t="s">
        <v>351</v>
      </c>
      <c r="B269" s="215" t="s">
        <v>45</v>
      </c>
      <c r="C269" s="215" t="s">
        <v>68</v>
      </c>
      <c r="D269" s="215" t="s">
        <v>310</v>
      </c>
      <c r="E269" s="215" t="s">
        <v>877</v>
      </c>
      <c r="F269" s="15">
        <v>46244.473298611112</v>
      </c>
      <c r="G269" s="215" t="s">
        <v>408</v>
      </c>
      <c r="H269" s="215">
        <v>2</v>
      </c>
      <c r="I269" s="215" t="s">
        <v>878</v>
      </c>
      <c r="J269" s="15">
        <v>46245.607638888891</v>
      </c>
      <c r="K269" s="15">
        <v>46246.458333333336</v>
      </c>
      <c r="L269" s="15"/>
      <c r="M269" s="215">
        <v>2</v>
      </c>
      <c r="N269" s="215"/>
      <c r="O269" s="215" t="s">
        <v>201</v>
      </c>
      <c r="P269" s="215" t="s">
        <v>532</v>
      </c>
      <c r="Q269" s="215"/>
      <c r="R269" s="215"/>
      <c r="S269" s="215" t="s">
        <v>359</v>
      </c>
      <c r="T269" s="215" t="s">
        <v>377</v>
      </c>
      <c r="U269" s="215" t="s">
        <v>239</v>
      </c>
      <c r="V269" s="215" t="s">
        <v>351</v>
      </c>
      <c r="W269" s="215" t="s">
        <v>378</v>
      </c>
      <c r="X269" s="215" t="s">
        <v>239</v>
      </c>
      <c r="Y269" s="215">
        <v>103</v>
      </c>
      <c r="Z269" s="215"/>
      <c r="AA269" s="215" t="s">
        <v>67</v>
      </c>
      <c r="AB269" s="215" t="s">
        <v>359</v>
      </c>
      <c r="AC269" s="215">
        <v>2100</v>
      </c>
      <c r="AD269" s="215" t="s">
        <v>217</v>
      </c>
      <c r="AE269" s="215">
        <v>1</v>
      </c>
      <c r="AF269" s="215">
        <v>1</v>
      </c>
    </row>
    <row r="270" spans="1:32" x14ac:dyDescent="0.3">
      <c r="A270" s="215" t="s">
        <v>351</v>
      </c>
      <c r="B270" s="215" t="s">
        <v>45</v>
      </c>
      <c r="C270" s="215" t="s">
        <v>68</v>
      </c>
      <c r="D270" s="215" t="s">
        <v>310</v>
      </c>
      <c r="E270" s="215" t="s">
        <v>885</v>
      </c>
      <c r="F270" s="15">
        <v>46246.66033564815</v>
      </c>
      <c r="G270" s="215" t="s">
        <v>408</v>
      </c>
      <c r="H270" s="215">
        <v>3</v>
      </c>
      <c r="I270" s="215" t="s">
        <v>884</v>
      </c>
      <c r="J270" s="15">
        <v>46246.69027777778</v>
      </c>
      <c r="K270" s="15">
        <v>46252.458333333336</v>
      </c>
      <c r="L270" s="15"/>
      <c r="M270" s="215">
        <v>3</v>
      </c>
      <c r="N270" s="215"/>
      <c r="O270" s="215" t="s">
        <v>201</v>
      </c>
      <c r="P270" s="215" t="s">
        <v>531</v>
      </c>
      <c r="Q270" s="215"/>
      <c r="R270" s="215"/>
      <c r="S270" s="215" t="s">
        <v>359</v>
      </c>
      <c r="T270" s="215" t="s">
        <v>377</v>
      </c>
      <c r="U270" s="215" t="s">
        <v>239</v>
      </c>
      <c r="V270" s="215" t="s">
        <v>351</v>
      </c>
      <c r="W270" s="215" t="s">
        <v>378</v>
      </c>
      <c r="X270" s="215" t="s">
        <v>239</v>
      </c>
      <c r="Y270" s="215">
        <v>103</v>
      </c>
      <c r="Z270" s="215"/>
      <c r="AA270" s="215" t="s">
        <v>67</v>
      </c>
      <c r="AB270" s="215" t="s">
        <v>359</v>
      </c>
      <c r="AC270" s="215">
        <v>2100</v>
      </c>
      <c r="AD270" s="215" t="s">
        <v>217</v>
      </c>
      <c r="AE270" s="215">
        <v>1</v>
      </c>
      <c r="AF270" s="215">
        <v>1</v>
      </c>
    </row>
    <row r="271" spans="1:32" x14ac:dyDescent="0.3">
      <c r="A271" s="215" t="s">
        <v>351</v>
      </c>
      <c r="B271" s="215" t="s">
        <v>45</v>
      </c>
      <c r="C271" s="215" t="s">
        <v>68</v>
      </c>
      <c r="D271" s="215" t="s">
        <v>310</v>
      </c>
      <c r="E271" s="215" t="s">
        <v>886</v>
      </c>
      <c r="F271" s="15">
        <v>46246.659872685188</v>
      </c>
      <c r="G271" s="215" t="s">
        <v>887</v>
      </c>
      <c r="H271" s="215">
        <v>3</v>
      </c>
      <c r="I271" s="215" t="s">
        <v>884</v>
      </c>
      <c r="J271" s="15">
        <v>46246.69027777778</v>
      </c>
      <c r="K271" s="15">
        <v>46252.458333333336</v>
      </c>
      <c r="L271" s="15"/>
      <c r="M271" s="215">
        <v>3</v>
      </c>
      <c r="N271" s="215"/>
      <c r="O271" s="215" t="s">
        <v>201</v>
      </c>
      <c r="P271" s="215" t="s">
        <v>531</v>
      </c>
      <c r="Q271" s="215"/>
      <c r="R271" s="215"/>
      <c r="S271" s="215" t="s">
        <v>359</v>
      </c>
      <c r="T271" s="215" t="s">
        <v>377</v>
      </c>
      <c r="U271" s="215" t="s">
        <v>239</v>
      </c>
      <c r="V271" s="215" t="s">
        <v>351</v>
      </c>
      <c r="W271" s="215" t="s">
        <v>378</v>
      </c>
      <c r="X271" s="215" t="s">
        <v>239</v>
      </c>
      <c r="Y271" s="215"/>
      <c r="Z271" s="215"/>
      <c r="AA271" s="215" t="s">
        <v>67</v>
      </c>
      <c r="AB271" s="215" t="s">
        <v>359</v>
      </c>
      <c r="AC271" s="215">
        <v>2100</v>
      </c>
      <c r="AD271" s="215" t="s">
        <v>217</v>
      </c>
      <c r="AE271" s="215">
        <v>1</v>
      </c>
      <c r="AF271" s="215"/>
    </row>
    <row r="272" spans="1:32" x14ac:dyDescent="0.3">
      <c r="A272" s="215" t="s">
        <v>351</v>
      </c>
      <c r="B272" s="215" t="s">
        <v>45</v>
      </c>
      <c r="C272" s="215" t="s">
        <v>68</v>
      </c>
      <c r="D272" s="215" t="s">
        <v>310</v>
      </c>
      <c r="E272" s="215" t="s">
        <v>879</v>
      </c>
      <c r="F272" s="15">
        <v>46245.574305555558</v>
      </c>
      <c r="G272" s="215" t="s">
        <v>408</v>
      </c>
      <c r="H272" s="215">
        <v>3</v>
      </c>
      <c r="I272" s="215" t="s">
        <v>880</v>
      </c>
      <c r="J272" s="15">
        <v>46245.65902777778</v>
      </c>
      <c r="K272" s="15">
        <v>46246.458333333336</v>
      </c>
      <c r="L272" s="15"/>
      <c r="M272" s="215">
        <v>3</v>
      </c>
      <c r="N272" s="215"/>
      <c r="O272" s="215" t="s">
        <v>201</v>
      </c>
      <c r="P272" s="215" t="s">
        <v>532</v>
      </c>
      <c r="Q272" s="215"/>
      <c r="R272" s="215"/>
      <c r="S272" s="215" t="s">
        <v>359</v>
      </c>
      <c r="T272" s="215" t="s">
        <v>377</v>
      </c>
      <c r="U272" s="215" t="s">
        <v>239</v>
      </c>
      <c r="V272" s="215" t="s">
        <v>351</v>
      </c>
      <c r="W272" s="215" t="s">
        <v>378</v>
      </c>
      <c r="X272" s="215" t="s">
        <v>239</v>
      </c>
      <c r="Y272" s="215"/>
      <c r="Z272" s="215"/>
      <c r="AA272" s="215" t="s">
        <v>67</v>
      </c>
      <c r="AB272" s="215" t="s">
        <v>359</v>
      </c>
      <c r="AC272" s="215">
        <v>2100</v>
      </c>
      <c r="AD272" s="215" t="s">
        <v>217</v>
      </c>
      <c r="AE272" s="215">
        <v>1</v>
      </c>
      <c r="AF272" s="215"/>
    </row>
    <row r="273" spans="1:32" x14ac:dyDescent="0.3">
      <c r="A273" s="215" t="s">
        <v>351</v>
      </c>
      <c r="B273" s="215" t="s">
        <v>45</v>
      </c>
      <c r="C273" s="215" t="s">
        <v>68</v>
      </c>
      <c r="D273" s="215" t="s">
        <v>310</v>
      </c>
      <c r="E273" s="215" t="s">
        <v>881</v>
      </c>
      <c r="F273" s="15">
        <v>46244.657546296294</v>
      </c>
      <c r="G273" s="215" t="s">
        <v>408</v>
      </c>
      <c r="H273" s="215">
        <v>5</v>
      </c>
      <c r="I273" s="215" t="s">
        <v>882</v>
      </c>
      <c r="J273" s="15">
        <v>46245.393750000003</v>
      </c>
      <c r="K273" s="15">
        <v>46246.458333333336</v>
      </c>
      <c r="L273" s="15"/>
      <c r="M273" s="215">
        <v>5</v>
      </c>
      <c r="N273" s="215"/>
      <c r="O273" s="215" t="s">
        <v>201</v>
      </c>
      <c r="P273" s="215" t="s">
        <v>532</v>
      </c>
      <c r="Q273" s="215"/>
      <c r="R273" s="215"/>
      <c r="S273" s="215" t="s">
        <v>359</v>
      </c>
      <c r="T273" s="215" t="s">
        <v>377</v>
      </c>
      <c r="U273" s="215" t="s">
        <v>239</v>
      </c>
      <c r="V273" s="215" t="s">
        <v>351</v>
      </c>
      <c r="W273" s="215" t="s">
        <v>378</v>
      </c>
      <c r="X273" s="215" t="s">
        <v>239</v>
      </c>
      <c r="Y273" s="215"/>
      <c r="Z273" s="215"/>
      <c r="AA273" s="215" t="s">
        <v>67</v>
      </c>
      <c r="AB273" s="215" t="s">
        <v>359</v>
      </c>
      <c r="AC273" s="215">
        <v>2100</v>
      </c>
      <c r="AD273" s="215" t="s">
        <v>217</v>
      </c>
      <c r="AE273" s="215">
        <v>1</v>
      </c>
      <c r="AF273" s="215"/>
    </row>
    <row r="274" spans="1:32" x14ac:dyDescent="0.3">
      <c r="A274" s="215" t="s">
        <v>351</v>
      </c>
      <c r="B274" s="215" t="s">
        <v>45</v>
      </c>
      <c r="C274" s="215" t="s">
        <v>68</v>
      </c>
      <c r="D274" s="215" t="s">
        <v>310</v>
      </c>
      <c r="E274" s="215" t="s">
        <v>889</v>
      </c>
      <c r="F274" s="15">
        <v>46244.47451388889</v>
      </c>
      <c r="G274" s="215" t="s">
        <v>408</v>
      </c>
      <c r="H274" s="215">
        <v>3</v>
      </c>
      <c r="I274" s="215" t="s">
        <v>890</v>
      </c>
      <c r="J274" s="15">
        <v>46244.695833333331</v>
      </c>
      <c r="K274" s="15">
        <v>46246.458333333336</v>
      </c>
      <c r="L274" s="15"/>
      <c r="M274" s="215">
        <v>3</v>
      </c>
      <c r="N274" s="215"/>
      <c r="O274" s="215" t="s">
        <v>201</v>
      </c>
      <c r="P274" s="215" t="s">
        <v>532</v>
      </c>
      <c r="Q274" s="215"/>
      <c r="R274" s="215"/>
      <c r="S274" s="215" t="s">
        <v>359</v>
      </c>
      <c r="T274" s="215" t="s">
        <v>377</v>
      </c>
      <c r="U274" s="215" t="s">
        <v>239</v>
      </c>
      <c r="V274" s="215" t="s">
        <v>351</v>
      </c>
      <c r="W274" s="215" t="s">
        <v>378</v>
      </c>
      <c r="X274" s="215" t="s">
        <v>239</v>
      </c>
      <c r="Y274" s="215">
        <v>103</v>
      </c>
      <c r="Z274" s="215"/>
      <c r="AA274" s="215" t="s">
        <v>67</v>
      </c>
      <c r="AB274" s="215" t="s">
        <v>359</v>
      </c>
      <c r="AC274" s="215">
        <v>2100</v>
      </c>
      <c r="AD274" s="215" t="s">
        <v>217</v>
      </c>
      <c r="AE274" s="215">
        <v>1</v>
      </c>
      <c r="AF274" s="215"/>
    </row>
    <row r="275" spans="1:32" x14ac:dyDescent="0.3">
      <c r="A275" s="215" t="s">
        <v>351</v>
      </c>
      <c r="B275" s="215" t="s">
        <v>45</v>
      </c>
      <c r="C275" s="215" t="s">
        <v>68</v>
      </c>
      <c r="D275" s="215" t="s">
        <v>310</v>
      </c>
      <c r="E275" s="215" t="s">
        <v>883</v>
      </c>
      <c r="F275" s="15">
        <v>46246.658784722225</v>
      </c>
      <c r="G275" s="215" t="s">
        <v>408</v>
      </c>
      <c r="H275" s="215">
        <v>1</v>
      </c>
      <c r="I275" s="215" t="s">
        <v>884</v>
      </c>
      <c r="J275" s="15">
        <v>46246.69027777778</v>
      </c>
      <c r="K275" s="15">
        <v>46252.458333333336</v>
      </c>
      <c r="L275" s="15"/>
      <c r="M275" s="215">
        <v>1</v>
      </c>
      <c r="N275" s="215"/>
      <c r="O275" s="215" t="s">
        <v>201</v>
      </c>
      <c r="P275" s="215" t="s">
        <v>531</v>
      </c>
      <c r="Q275" s="215"/>
      <c r="R275" s="215"/>
      <c r="S275" s="215" t="s">
        <v>359</v>
      </c>
      <c r="T275" s="215" t="s">
        <v>377</v>
      </c>
      <c r="U275" s="215" t="s">
        <v>239</v>
      </c>
      <c r="V275" s="215" t="s">
        <v>351</v>
      </c>
      <c r="W275" s="215" t="s">
        <v>378</v>
      </c>
      <c r="X275" s="215" t="s">
        <v>239</v>
      </c>
      <c r="Y275" s="215"/>
      <c r="Z275" s="215"/>
      <c r="AA275" s="215" t="s">
        <v>67</v>
      </c>
      <c r="AB275" s="215" t="s">
        <v>359</v>
      </c>
      <c r="AC275" s="215">
        <v>2100</v>
      </c>
      <c r="AD275" s="215" t="s">
        <v>217</v>
      </c>
      <c r="AE275" s="215">
        <v>1</v>
      </c>
      <c r="AF275" s="215"/>
    </row>
    <row r="276" spans="1:32" x14ac:dyDescent="0.3">
      <c r="A276" s="215" t="s">
        <v>351</v>
      </c>
      <c r="B276" s="215" t="s">
        <v>45</v>
      </c>
      <c r="C276" s="215" t="s">
        <v>68</v>
      </c>
      <c r="D276" s="215" t="s">
        <v>310</v>
      </c>
      <c r="E276" s="215" t="s">
        <v>895</v>
      </c>
      <c r="F276" s="15">
        <v>46244.477743055555</v>
      </c>
      <c r="G276" s="215" t="s">
        <v>408</v>
      </c>
      <c r="H276" s="215">
        <v>1</v>
      </c>
      <c r="I276" s="215" t="s">
        <v>890</v>
      </c>
      <c r="J276" s="15">
        <v>46244.695833333331</v>
      </c>
      <c r="K276" s="15">
        <v>46246.458333333336</v>
      </c>
      <c r="L276" s="15"/>
      <c r="M276" s="215">
        <v>1</v>
      </c>
      <c r="N276" s="215"/>
      <c r="O276" s="215" t="s">
        <v>201</v>
      </c>
      <c r="P276" s="215" t="s">
        <v>532</v>
      </c>
      <c r="Q276" s="215"/>
      <c r="R276" s="215"/>
      <c r="S276" s="215" t="s">
        <v>359</v>
      </c>
      <c r="T276" s="215" t="s">
        <v>377</v>
      </c>
      <c r="U276" s="215" t="s">
        <v>239</v>
      </c>
      <c r="V276" s="215" t="s">
        <v>351</v>
      </c>
      <c r="W276" s="215" t="s">
        <v>378</v>
      </c>
      <c r="X276" s="215" t="s">
        <v>239</v>
      </c>
      <c r="Y276" s="215"/>
      <c r="Z276" s="215"/>
      <c r="AA276" s="215" t="s">
        <v>67</v>
      </c>
      <c r="AB276" s="215" t="s">
        <v>359</v>
      </c>
      <c r="AC276" s="215">
        <v>2100</v>
      </c>
      <c r="AD276" s="215" t="s">
        <v>217</v>
      </c>
      <c r="AE276" s="215">
        <v>1</v>
      </c>
      <c r="AF276" s="215"/>
    </row>
    <row r="277" spans="1:32" x14ac:dyDescent="0.3">
      <c r="A277" s="215" t="s">
        <v>351</v>
      </c>
      <c r="B277" s="215" t="s">
        <v>45</v>
      </c>
      <c r="C277" s="215" t="s">
        <v>68</v>
      </c>
      <c r="D277" s="215" t="s">
        <v>310</v>
      </c>
      <c r="E277" s="215" t="s">
        <v>893</v>
      </c>
      <c r="F277" s="15">
        <v>46244.473958333336</v>
      </c>
      <c r="G277" s="215" t="s">
        <v>408</v>
      </c>
      <c r="H277" s="215">
        <v>1</v>
      </c>
      <c r="I277" s="215" t="s">
        <v>892</v>
      </c>
      <c r="J277" s="15">
        <v>46244.682638888888</v>
      </c>
      <c r="K277" s="15">
        <v>46246.458333333336</v>
      </c>
      <c r="L277" s="15"/>
      <c r="M277" s="215">
        <v>1</v>
      </c>
      <c r="N277" s="215"/>
      <c r="O277" s="215" t="s">
        <v>201</v>
      </c>
      <c r="P277" s="215" t="s">
        <v>532</v>
      </c>
      <c r="Q277" s="215"/>
      <c r="R277" s="215"/>
      <c r="S277" s="215" t="s">
        <v>359</v>
      </c>
      <c r="T277" s="215" t="s">
        <v>377</v>
      </c>
      <c r="U277" s="215" t="s">
        <v>239</v>
      </c>
      <c r="V277" s="215" t="s">
        <v>351</v>
      </c>
      <c r="W277" s="215" t="s">
        <v>378</v>
      </c>
      <c r="X277" s="215" t="s">
        <v>239</v>
      </c>
      <c r="Y277" s="215"/>
      <c r="Z277" s="215"/>
      <c r="AA277" s="215" t="s">
        <v>67</v>
      </c>
      <c r="AB277" s="215" t="s">
        <v>359</v>
      </c>
      <c r="AC277" s="215">
        <v>2100</v>
      </c>
      <c r="AD277" s="215" t="s">
        <v>217</v>
      </c>
      <c r="AE277" s="215">
        <v>1</v>
      </c>
      <c r="AF277" s="215"/>
    </row>
    <row r="278" spans="1:32" x14ac:dyDescent="0.3">
      <c r="A278" s="215" t="s">
        <v>351</v>
      </c>
      <c r="B278" s="215" t="s">
        <v>45</v>
      </c>
      <c r="C278" s="215" t="s">
        <v>68</v>
      </c>
      <c r="D278" s="215" t="s">
        <v>310</v>
      </c>
      <c r="E278" s="215" t="s">
        <v>894</v>
      </c>
      <c r="F278" s="15">
        <v>46244.476030092592</v>
      </c>
      <c r="G278" s="215" t="s">
        <v>408</v>
      </c>
      <c r="H278" s="215">
        <v>3</v>
      </c>
      <c r="I278" s="215" t="s">
        <v>892</v>
      </c>
      <c r="J278" s="15">
        <v>46244.682638888888</v>
      </c>
      <c r="K278" s="15">
        <v>46246.458333333336</v>
      </c>
      <c r="L278" s="15"/>
      <c r="M278" s="215">
        <v>3</v>
      </c>
      <c r="N278" s="215"/>
      <c r="O278" s="215" t="s">
        <v>201</v>
      </c>
      <c r="P278" s="215" t="s">
        <v>532</v>
      </c>
      <c r="Q278" s="215"/>
      <c r="R278" s="215"/>
      <c r="S278" s="215" t="s">
        <v>359</v>
      </c>
      <c r="T278" s="215" t="s">
        <v>377</v>
      </c>
      <c r="U278" s="215" t="s">
        <v>239</v>
      </c>
      <c r="V278" s="215" t="s">
        <v>351</v>
      </c>
      <c r="W278" s="215" t="s">
        <v>378</v>
      </c>
      <c r="X278" s="215" t="s">
        <v>239</v>
      </c>
      <c r="Y278" s="215"/>
      <c r="Z278" s="215"/>
      <c r="AA278" s="215" t="s">
        <v>67</v>
      </c>
      <c r="AB278" s="215" t="s">
        <v>359</v>
      </c>
      <c r="AC278" s="215">
        <v>2100</v>
      </c>
      <c r="AD278" s="215" t="s">
        <v>217</v>
      </c>
      <c r="AE278" s="215">
        <v>1</v>
      </c>
      <c r="AF278" s="215"/>
    </row>
    <row r="279" spans="1:32" x14ac:dyDescent="0.3">
      <c r="A279" s="215" t="s">
        <v>351</v>
      </c>
      <c r="B279" s="215" t="s">
        <v>45</v>
      </c>
      <c r="C279" s="215" t="s">
        <v>68</v>
      </c>
      <c r="D279" s="215" t="s">
        <v>310</v>
      </c>
      <c r="E279" s="215" t="s">
        <v>896</v>
      </c>
      <c r="F279" s="15">
        <v>46237.458333333336</v>
      </c>
      <c r="G279" s="215" t="s">
        <v>408</v>
      </c>
      <c r="H279" s="215">
        <v>5</v>
      </c>
      <c r="I279" s="215" t="s">
        <v>897</v>
      </c>
      <c r="J279" s="15">
        <v>46237.70208333333</v>
      </c>
      <c r="K279" s="15">
        <v>46239.5</v>
      </c>
      <c r="L279" s="15"/>
      <c r="M279" s="215">
        <v>5</v>
      </c>
      <c r="N279" s="215"/>
      <c r="O279" s="215" t="s">
        <v>201</v>
      </c>
      <c r="P279" s="215" t="s">
        <v>532</v>
      </c>
      <c r="Q279" s="215"/>
      <c r="R279" s="215"/>
      <c r="S279" s="215" t="s">
        <v>359</v>
      </c>
      <c r="T279" s="215" t="s">
        <v>377</v>
      </c>
      <c r="U279" s="215" t="s">
        <v>239</v>
      </c>
      <c r="V279" s="215" t="s">
        <v>351</v>
      </c>
      <c r="W279" s="215" t="s">
        <v>378</v>
      </c>
      <c r="X279" s="215" t="s">
        <v>239</v>
      </c>
      <c r="Y279" s="215">
        <v>103</v>
      </c>
      <c r="Z279" s="215"/>
      <c r="AA279" s="215" t="s">
        <v>67</v>
      </c>
      <c r="AB279" s="215" t="s">
        <v>359</v>
      </c>
      <c r="AC279" s="215">
        <v>2100</v>
      </c>
      <c r="AD279" s="215" t="s">
        <v>217</v>
      </c>
      <c r="AE279" s="215">
        <v>1</v>
      </c>
      <c r="AF279" s="215"/>
    </row>
    <row r="280" spans="1:32" x14ac:dyDescent="0.3">
      <c r="A280" s="215" t="s">
        <v>351</v>
      </c>
      <c r="B280" s="215" t="s">
        <v>45</v>
      </c>
      <c r="C280" s="215" t="s">
        <v>68</v>
      </c>
      <c r="D280" s="215" t="s">
        <v>310</v>
      </c>
      <c r="E280" s="215" t="s">
        <v>891</v>
      </c>
      <c r="F280" s="15">
        <v>46244.476921296293</v>
      </c>
      <c r="G280" s="215" t="s">
        <v>408</v>
      </c>
      <c r="H280" s="215">
        <v>3</v>
      </c>
      <c r="I280" s="215" t="s">
        <v>892</v>
      </c>
      <c r="J280" s="15">
        <v>46244.682638888888</v>
      </c>
      <c r="K280" s="15">
        <v>46246.458333333336</v>
      </c>
      <c r="L280" s="15"/>
      <c r="M280" s="215">
        <v>3</v>
      </c>
      <c r="N280" s="215"/>
      <c r="O280" s="215" t="s">
        <v>201</v>
      </c>
      <c r="P280" s="215" t="s">
        <v>532</v>
      </c>
      <c r="Q280" s="215"/>
      <c r="R280" s="215"/>
      <c r="S280" s="215" t="s">
        <v>359</v>
      </c>
      <c r="T280" s="215" t="s">
        <v>377</v>
      </c>
      <c r="U280" s="215" t="s">
        <v>239</v>
      </c>
      <c r="V280" s="215" t="s">
        <v>351</v>
      </c>
      <c r="W280" s="215" t="s">
        <v>378</v>
      </c>
      <c r="X280" s="215" t="s">
        <v>239</v>
      </c>
      <c r="Y280" s="215"/>
      <c r="Z280" s="215"/>
      <c r="AA280" s="215" t="s">
        <v>67</v>
      </c>
      <c r="AB280" s="215" t="s">
        <v>359</v>
      </c>
      <c r="AC280" s="215">
        <v>2100</v>
      </c>
      <c r="AD280" s="215" t="s">
        <v>217</v>
      </c>
      <c r="AE280" s="215">
        <v>1</v>
      </c>
      <c r="AF280" s="215"/>
    </row>
    <row r="281" spans="1:32" x14ac:dyDescent="0.3">
      <c r="A281" s="215" t="s">
        <v>351</v>
      </c>
      <c r="B281" s="215" t="s">
        <v>45</v>
      </c>
      <c r="C281" s="215" t="s">
        <v>68</v>
      </c>
      <c r="D281" s="215" t="s">
        <v>310</v>
      </c>
      <c r="E281" s="215" t="s">
        <v>888</v>
      </c>
      <c r="F281" s="15">
        <v>46246.659317129626</v>
      </c>
      <c r="G281" s="215" t="s">
        <v>408</v>
      </c>
      <c r="H281" s="215">
        <v>3</v>
      </c>
      <c r="I281" s="215" t="s">
        <v>884</v>
      </c>
      <c r="J281" s="15">
        <v>46246.69027777778</v>
      </c>
      <c r="K281" s="15">
        <v>46252.458333333336</v>
      </c>
      <c r="L281" s="15"/>
      <c r="M281" s="215">
        <v>3</v>
      </c>
      <c r="N281" s="215"/>
      <c r="O281" s="215" t="s">
        <v>201</v>
      </c>
      <c r="P281" s="215" t="s">
        <v>531</v>
      </c>
      <c r="Q281" s="215"/>
      <c r="R281" s="215"/>
      <c r="S281" s="215" t="s">
        <v>359</v>
      </c>
      <c r="T281" s="215" t="s">
        <v>377</v>
      </c>
      <c r="U281" s="215" t="s">
        <v>239</v>
      </c>
      <c r="V281" s="215" t="s">
        <v>351</v>
      </c>
      <c r="W281" s="215" t="s">
        <v>378</v>
      </c>
      <c r="X281" s="215" t="s">
        <v>239</v>
      </c>
      <c r="Y281" s="215"/>
      <c r="Z281" s="215"/>
      <c r="AA281" s="215" t="s">
        <v>67</v>
      </c>
      <c r="AB281" s="215" t="s">
        <v>359</v>
      </c>
      <c r="AC281" s="215">
        <v>2100</v>
      </c>
      <c r="AD281" s="215" t="s">
        <v>217</v>
      </c>
      <c r="AE281" s="215">
        <v>1</v>
      </c>
      <c r="AF281" s="215"/>
    </row>
    <row r="282" spans="1:32" x14ac:dyDescent="0.3">
      <c r="A282" s="215" t="s">
        <v>351</v>
      </c>
      <c r="B282" s="215" t="s">
        <v>45</v>
      </c>
      <c r="C282" s="215" t="s">
        <v>68</v>
      </c>
      <c r="D282" s="215" t="s">
        <v>310</v>
      </c>
      <c r="E282" s="215" t="s">
        <v>898</v>
      </c>
      <c r="F282" s="15">
        <v>46251.598506944443</v>
      </c>
      <c r="G282" s="215" t="s">
        <v>408</v>
      </c>
      <c r="H282" s="215">
        <v>3</v>
      </c>
      <c r="I282" s="215" t="s">
        <v>899</v>
      </c>
      <c r="J282" s="15">
        <v>46253.477083333331</v>
      </c>
      <c r="K282" s="15">
        <v>46255.493055555555</v>
      </c>
      <c r="L282" s="15"/>
      <c r="M282" s="215">
        <v>3</v>
      </c>
      <c r="N282" s="215"/>
      <c r="O282" s="215" t="s">
        <v>201</v>
      </c>
      <c r="P282" s="215" t="s">
        <v>531</v>
      </c>
      <c r="Q282" s="215"/>
      <c r="R282" s="215"/>
      <c r="S282" s="215" t="s">
        <v>359</v>
      </c>
      <c r="T282" s="215" t="s">
        <v>377</v>
      </c>
      <c r="U282" s="215" t="s">
        <v>239</v>
      </c>
      <c r="V282" s="215" t="s">
        <v>351</v>
      </c>
      <c r="W282" s="215" t="s">
        <v>378</v>
      </c>
      <c r="X282" s="215" t="s">
        <v>239</v>
      </c>
      <c r="Y282" s="215">
        <v>103</v>
      </c>
      <c r="Z282" s="215"/>
      <c r="AA282" s="215" t="s">
        <v>67</v>
      </c>
      <c r="AB282" s="215" t="s">
        <v>359</v>
      </c>
      <c r="AC282" s="215">
        <v>2100</v>
      </c>
      <c r="AD282" s="215" t="s">
        <v>217</v>
      </c>
      <c r="AE282" s="215">
        <v>1</v>
      </c>
      <c r="AF282" s="215">
        <v>1</v>
      </c>
    </row>
    <row r="283" spans="1:32" x14ac:dyDescent="0.3">
      <c r="A283" s="215" t="s">
        <v>351</v>
      </c>
      <c r="B283" s="215" t="s">
        <v>51</v>
      </c>
      <c r="C283" s="215" t="s">
        <v>258</v>
      </c>
      <c r="D283" s="215" t="s">
        <v>310</v>
      </c>
      <c r="E283" s="215" t="s">
        <v>830</v>
      </c>
      <c r="F283" s="15">
        <v>46251.581516203703</v>
      </c>
      <c r="G283" s="215" t="s">
        <v>408</v>
      </c>
      <c r="H283" s="215">
        <v>100</v>
      </c>
      <c r="I283" s="215" t="s">
        <v>831</v>
      </c>
      <c r="J283" s="15">
        <v>46253.445138888892</v>
      </c>
      <c r="K283" s="15">
        <v>46255.493055555555</v>
      </c>
      <c r="L283" s="15"/>
      <c r="M283" s="215">
        <v>100</v>
      </c>
      <c r="N283" s="215"/>
      <c r="O283" s="215" t="s">
        <v>201</v>
      </c>
      <c r="P283" s="215" t="s">
        <v>531</v>
      </c>
      <c r="Q283" s="215"/>
      <c r="R283" s="215"/>
      <c r="S283" s="215" t="s">
        <v>359</v>
      </c>
      <c r="T283" s="215" t="s">
        <v>377</v>
      </c>
      <c r="U283" s="215" t="s">
        <v>239</v>
      </c>
      <c r="V283" s="215" t="s">
        <v>7</v>
      </c>
      <c r="W283" s="215" t="s">
        <v>7</v>
      </c>
      <c r="X283" s="215" t="s">
        <v>7</v>
      </c>
      <c r="Y283" s="215"/>
      <c r="Z283" s="215"/>
      <c r="AA283" s="215" t="s">
        <v>238</v>
      </c>
      <c r="AB283" s="215" t="s">
        <v>359</v>
      </c>
      <c r="AC283" s="215">
        <v>2100</v>
      </c>
      <c r="AD283" s="215" t="s">
        <v>7</v>
      </c>
      <c r="AE283" s="215"/>
      <c r="AF283" s="215">
        <v>0</v>
      </c>
    </row>
    <row r="284" spans="1:32" x14ac:dyDescent="0.3">
      <c r="A284" s="215" t="s">
        <v>351</v>
      </c>
      <c r="B284" s="215" t="s">
        <v>51</v>
      </c>
      <c r="C284" s="215" t="s">
        <v>258</v>
      </c>
      <c r="D284" s="215" t="s">
        <v>310</v>
      </c>
      <c r="E284" s="215" t="s">
        <v>832</v>
      </c>
      <c r="F284" s="15">
        <v>46251.566979166666</v>
      </c>
      <c r="G284" s="215" t="s">
        <v>408</v>
      </c>
      <c r="H284" s="215">
        <v>450</v>
      </c>
      <c r="I284" s="215" t="s">
        <v>831</v>
      </c>
      <c r="J284" s="15">
        <v>46253.445138888892</v>
      </c>
      <c r="K284" s="15">
        <v>46255.493055555555</v>
      </c>
      <c r="L284" s="15"/>
      <c r="M284" s="215">
        <v>450</v>
      </c>
      <c r="N284" s="215"/>
      <c r="O284" s="215" t="s">
        <v>201</v>
      </c>
      <c r="P284" s="215" t="s">
        <v>531</v>
      </c>
      <c r="Q284" s="215"/>
      <c r="R284" s="215"/>
      <c r="S284" s="215" t="s">
        <v>359</v>
      </c>
      <c r="T284" s="215" t="s">
        <v>377</v>
      </c>
      <c r="U284" s="215" t="s">
        <v>239</v>
      </c>
      <c r="V284" s="215" t="s">
        <v>7</v>
      </c>
      <c r="W284" s="215" t="s">
        <v>7</v>
      </c>
      <c r="X284" s="215" t="s">
        <v>7</v>
      </c>
      <c r="Y284" s="215"/>
      <c r="Z284" s="215"/>
      <c r="AA284" s="215" t="s">
        <v>238</v>
      </c>
      <c r="AB284" s="215" t="s">
        <v>359</v>
      </c>
      <c r="AC284" s="215">
        <v>2100</v>
      </c>
      <c r="AD284" s="215" t="s">
        <v>7</v>
      </c>
      <c r="AE284" s="215"/>
      <c r="AF284" s="215"/>
    </row>
    <row r="285" spans="1:32" x14ac:dyDescent="0.3">
      <c r="A285" s="215" t="s">
        <v>351</v>
      </c>
      <c r="B285" s="215" t="s">
        <v>51</v>
      </c>
      <c r="C285" s="215" t="s">
        <v>258</v>
      </c>
      <c r="D285" s="215" t="s">
        <v>310</v>
      </c>
      <c r="E285" s="215" t="s">
        <v>833</v>
      </c>
      <c r="F285" s="15">
        <v>46244.518692129626</v>
      </c>
      <c r="G285" s="215" t="s">
        <v>834</v>
      </c>
      <c r="H285" s="215">
        <v>64</v>
      </c>
      <c r="I285" s="215" t="s">
        <v>835</v>
      </c>
      <c r="J285" s="15">
        <v>46245.446527777778</v>
      </c>
      <c r="K285" s="15">
        <v>46246.4375</v>
      </c>
      <c r="L285" s="15"/>
      <c r="M285" s="215">
        <v>64</v>
      </c>
      <c r="N285" s="215"/>
      <c r="O285" s="215" t="s">
        <v>201</v>
      </c>
      <c r="P285" s="215" t="s">
        <v>532</v>
      </c>
      <c r="Q285" s="215"/>
      <c r="R285" s="215"/>
      <c r="S285" s="215" t="s">
        <v>359</v>
      </c>
      <c r="T285" s="215" t="s">
        <v>377</v>
      </c>
      <c r="U285" s="215" t="s">
        <v>239</v>
      </c>
      <c r="V285" s="215" t="s">
        <v>7</v>
      </c>
      <c r="W285" s="215" t="s">
        <v>7</v>
      </c>
      <c r="X285" s="215" t="s">
        <v>7</v>
      </c>
      <c r="Y285" s="215"/>
      <c r="Z285" s="215"/>
      <c r="AA285" s="215" t="s">
        <v>238</v>
      </c>
      <c r="AB285" s="215" t="s">
        <v>359</v>
      </c>
      <c r="AC285" s="215">
        <v>2100</v>
      </c>
      <c r="AD285" s="215" t="s">
        <v>7</v>
      </c>
      <c r="AE285" s="215"/>
      <c r="AF285" s="215"/>
    </row>
    <row r="286" spans="1:32" x14ac:dyDescent="0.3">
      <c r="A286" s="215" t="s">
        <v>351</v>
      </c>
      <c r="B286" s="215" t="s">
        <v>51</v>
      </c>
      <c r="C286" s="215" t="s">
        <v>258</v>
      </c>
      <c r="D286" s="215" t="s">
        <v>310</v>
      </c>
      <c r="E286" s="215" t="s">
        <v>836</v>
      </c>
      <c r="F286" s="15">
        <v>46240.542048611111</v>
      </c>
      <c r="G286" s="215" t="s">
        <v>412</v>
      </c>
      <c r="H286" s="215">
        <v>450</v>
      </c>
      <c r="I286" s="215" t="s">
        <v>837</v>
      </c>
      <c r="J286" s="15">
        <v>46244.459722222222</v>
      </c>
      <c r="K286" s="15">
        <v>46246.4375</v>
      </c>
      <c r="L286" s="15"/>
      <c r="M286" s="215">
        <v>450</v>
      </c>
      <c r="N286" s="215"/>
      <c r="O286" s="215" t="s">
        <v>201</v>
      </c>
      <c r="P286" s="215" t="s">
        <v>532</v>
      </c>
      <c r="Q286" s="215"/>
      <c r="R286" s="215"/>
      <c r="S286" s="215" t="s">
        <v>359</v>
      </c>
      <c r="T286" s="215" t="s">
        <v>377</v>
      </c>
      <c r="U286" s="215" t="s">
        <v>239</v>
      </c>
      <c r="V286" s="215" t="s">
        <v>7</v>
      </c>
      <c r="W286" s="215" t="s">
        <v>7</v>
      </c>
      <c r="X286" s="215" t="s">
        <v>7</v>
      </c>
      <c r="Y286" s="215"/>
      <c r="Z286" s="215"/>
      <c r="AA286" s="215" t="s">
        <v>238</v>
      </c>
      <c r="AB286" s="215" t="s">
        <v>359</v>
      </c>
      <c r="AC286" s="215">
        <v>2100</v>
      </c>
      <c r="AD286" s="215" t="s">
        <v>7</v>
      </c>
      <c r="AE286" s="215"/>
      <c r="AF286" s="215"/>
    </row>
    <row r="287" spans="1:32" x14ac:dyDescent="0.3">
      <c r="A287" s="215" t="s">
        <v>351</v>
      </c>
      <c r="B287" s="215" t="s">
        <v>45</v>
      </c>
      <c r="C287" s="215" t="s">
        <v>68</v>
      </c>
      <c r="D287" s="215" t="s">
        <v>310</v>
      </c>
      <c r="E287" s="215" t="s">
        <v>926</v>
      </c>
      <c r="F287" s="15">
        <v>46254.355046296296</v>
      </c>
      <c r="G287" s="215" t="s">
        <v>427</v>
      </c>
      <c r="H287" s="215">
        <v>35</v>
      </c>
      <c r="I287" s="215" t="s">
        <v>927</v>
      </c>
      <c r="J287" s="15">
        <v>46254.531944444447</v>
      </c>
      <c r="K287" s="15">
        <v>46258.410416666666</v>
      </c>
      <c r="L287" s="15"/>
      <c r="M287" s="215">
        <v>35</v>
      </c>
      <c r="N287" s="215"/>
      <c r="O287" s="215" t="s">
        <v>201</v>
      </c>
      <c r="P287" s="215" t="s">
        <v>532</v>
      </c>
      <c r="Q287" s="215"/>
      <c r="R287" s="215"/>
      <c r="S287" s="215" t="s">
        <v>365</v>
      </c>
      <c r="T287" s="215" t="s">
        <v>377</v>
      </c>
      <c r="U287" s="215" t="s">
        <v>239</v>
      </c>
      <c r="V287" s="215" t="s">
        <v>351</v>
      </c>
      <c r="W287" s="215" t="s">
        <v>378</v>
      </c>
      <c r="X287" s="215" t="s">
        <v>239</v>
      </c>
      <c r="Y287" s="215">
        <v>93</v>
      </c>
      <c r="Z287" s="215"/>
      <c r="AA287" s="215" t="s">
        <v>67</v>
      </c>
      <c r="AB287" s="215" t="s">
        <v>487</v>
      </c>
      <c r="AC287" s="215">
        <v>289</v>
      </c>
      <c r="AD287" s="215" t="s">
        <v>217</v>
      </c>
      <c r="AE287" s="215">
        <v>3.5</v>
      </c>
      <c r="AF287" s="215">
        <v>1</v>
      </c>
    </row>
    <row r="288" spans="1:32" x14ac:dyDescent="0.3">
      <c r="A288" s="215" t="s">
        <v>351</v>
      </c>
      <c r="B288" s="215" t="s">
        <v>45</v>
      </c>
      <c r="C288" s="215" t="s">
        <v>68</v>
      </c>
      <c r="D288" s="215" t="s">
        <v>310</v>
      </c>
      <c r="E288" s="215" t="s">
        <v>900</v>
      </c>
      <c r="F288" s="15">
        <v>46253.542812500003</v>
      </c>
      <c r="G288" s="215" t="s">
        <v>408</v>
      </c>
      <c r="H288" s="215">
        <v>3</v>
      </c>
      <c r="I288" s="215" t="s">
        <v>901</v>
      </c>
      <c r="J288" s="15">
        <v>46254.361805555556</v>
      </c>
      <c r="K288" s="15">
        <v>46255.493055555555</v>
      </c>
      <c r="L288" s="15"/>
      <c r="M288" s="215">
        <v>3</v>
      </c>
      <c r="N288" s="215"/>
      <c r="O288" s="215" t="s">
        <v>201</v>
      </c>
      <c r="P288" s="215" t="s">
        <v>532</v>
      </c>
      <c r="Q288" s="215"/>
      <c r="R288" s="215"/>
      <c r="S288" s="215" t="s">
        <v>359</v>
      </c>
      <c r="T288" s="215" t="s">
        <v>377</v>
      </c>
      <c r="U288" s="215" t="s">
        <v>239</v>
      </c>
      <c r="V288" s="215" t="s">
        <v>351</v>
      </c>
      <c r="W288" s="215" t="s">
        <v>378</v>
      </c>
      <c r="X288" s="215" t="s">
        <v>239</v>
      </c>
      <c r="Y288" s="215">
        <v>103</v>
      </c>
      <c r="Z288" s="215"/>
      <c r="AA288" s="215" t="s">
        <v>67</v>
      </c>
      <c r="AB288" s="215" t="s">
        <v>359</v>
      </c>
      <c r="AC288" s="215">
        <v>2100</v>
      </c>
      <c r="AD288" s="215" t="s">
        <v>217</v>
      </c>
      <c r="AE288" s="215">
        <v>1</v>
      </c>
      <c r="AF288" s="215"/>
    </row>
    <row r="289" spans="1:32" x14ac:dyDescent="0.3">
      <c r="A289" s="215" t="s">
        <v>351</v>
      </c>
      <c r="B289" s="215" t="s">
        <v>45</v>
      </c>
      <c r="C289" s="215" t="s">
        <v>68</v>
      </c>
      <c r="D289" s="215" t="s">
        <v>310</v>
      </c>
      <c r="E289" s="215" t="s">
        <v>902</v>
      </c>
      <c r="F289" s="15">
        <v>46253.545694444445</v>
      </c>
      <c r="G289" s="215" t="s">
        <v>408</v>
      </c>
      <c r="H289" s="215">
        <v>3</v>
      </c>
      <c r="I289" s="215" t="s">
        <v>901</v>
      </c>
      <c r="J289" s="15">
        <v>46254.361805555556</v>
      </c>
      <c r="K289" s="15">
        <v>46255.493055555555</v>
      </c>
      <c r="L289" s="15"/>
      <c r="M289" s="215">
        <v>3</v>
      </c>
      <c r="N289" s="215"/>
      <c r="O289" s="215" t="s">
        <v>201</v>
      </c>
      <c r="P289" s="215" t="s">
        <v>532</v>
      </c>
      <c r="Q289" s="215"/>
      <c r="R289" s="215"/>
      <c r="S289" s="215" t="s">
        <v>359</v>
      </c>
      <c r="T289" s="215" t="s">
        <v>377</v>
      </c>
      <c r="U289" s="215" t="s">
        <v>239</v>
      </c>
      <c r="V289" s="215" t="s">
        <v>351</v>
      </c>
      <c r="W289" s="215" t="s">
        <v>378</v>
      </c>
      <c r="X289" s="215" t="s">
        <v>239</v>
      </c>
      <c r="Y289" s="215"/>
      <c r="Z289" s="215"/>
      <c r="AA289" s="215" t="s">
        <v>67</v>
      </c>
      <c r="AB289" s="215" t="s">
        <v>359</v>
      </c>
      <c r="AC289" s="215">
        <v>2100</v>
      </c>
      <c r="AD289" s="215" t="s">
        <v>217</v>
      </c>
      <c r="AE289" s="215">
        <v>1</v>
      </c>
      <c r="AF289" s="215"/>
    </row>
    <row r="290" spans="1:32" x14ac:dyDescent="0.3">
      <c r="A290" s="215" t="s">
        <v>351</v>
      </c>
      <c r="B290" s="215" t="s">
        <v>45</v>
      </c>
      <c r="C290" s="215" t="s">
        <v>68</v>
      </c>
      <c r="D290" s="215" t="s">
        <v>310</v>
      </c>
      <c r="E290" s="215" t="s">
        <v>903</v>
      </c>
      <c r="F290" s="15">
        <v>46253.545173611114</v>
      </c>
      <c r="G290" s="215" t="s">
        <v>408</v>
      </c>
      <c r="H290" s="215">
        <v>3</v>
      </c>
      <c r="I290" s="215" t="s">
        <v>901</v>
      </c>
      <c r="J290" s="15">
        <v>46254.361805555556</v>
      </c>
      <c r="K290" s="15">
        <v>46255.493055555555</v>
      </c>
      <c r="L290" s="15"/>
      <c r="M290" s="215">
        <v>3</v>
      </c>
      <c r="N290" s="215"/>
      <c r="O290" s="215" t="s">
        <v>201</v>
      </c>
      <c r="P290" s="215" t="s">
        <v>532</v>
      </c>
      <c r="Q290" s="215"/>
      <c r="R290" s="215"/>
      <c r="S290" s="215" t="s">
        <v>359</v>
      </c>
      <c r="T290" s="215" t="s">
        <v>377</v>
      </c>
      <c r="U290" s="215" t="s">
        <v>239</v>
      </c>
      <c r="V290" s="215" t="s">
        <v>351</v>
      </c>
      <c r="W290" s="215" t="s">
        <v>378</v>
      </c>
      <c r="X290" s="215" t="s">
        <v>239</v>
      </c>
      <c r="Y290" s="215"/>
      <c r="Z290" s="215"/>
      <c r="AA290" s="215" t="s">
        <v>67</v>
      </c>
      <c r="AB290" s="215" t="s">
        <v>359</v>
      </c>
      <c r="AC290" s="215">
        <v>2100</v>
      </c>
      <c r="AD290" s="215" t="s">
        <v>217</v>
      </c>
      <c r="AE290" s="215">
        <v>1</v>
      </c>
      <c r="AF290" s="215"/>
    </row>
    <row r="291" spans="1:32" x14ac:dyDescent="0.3">
      <c r="A291" s="215" t="s">
        <v>351</v>
      </c>
      <c r="B291" s="215" t="s">
        <v>45</v>
      </c>
      <c r="C291" s="215" t="s">
        <v>68</v>
      </c>
      <c r="D291" s="215" t="s">
        <v>310</v>
      </c>
      <c r="E291" s="215" t="s">
        <v>873</v>
      </c>
      <c r="F291" s="15">
        <v>46233.471192129633</v>
      </c>
      <c r="G291" s="215" t="s">
        <v>408</v>
      </c>
      <c r="H291" s="215">
        <v>3</v>
      </c>
      <c r="I291" s="215" t="s">
        <v>874</v>
      </c>
      <c r="J291" s="15">
        <v>46233.615185185183</v>
      </c>
      <c r="K291" s="15">
        <v>46237.458333333336</v>
      </c>
      <c r="L291" s="15"/>
      <c r="M291" s="215">
        <v>3</v>
      </c>
      <c r="N291" s="215"/>
      <c r="O291" s="215" t="s">
        <v>201</v>
      </c>
      <c r="P291" s="215" t="s">
        <v>532</v>
      </c>
      <c r="Q291" s="215"/>
      <c r="R291" s="215"/>
      <c r="S291" s="215" t="s">
        <v>359</v>
      </c>
      <c r="T291" s="215" t="s">
        <v>377</v>
      </c>
      <c r="U291" s="215" t="s">
        <v>239</v>
      </c>
      <c r="V291" s="215" t="s">
        <v>351</v>
      </c>
      <c r="W291" s="215" t="s">
        <v>378</v>
      </c>
      <c r="X291" s="215" t="s">
        <v>239</v>
      </c>
      <c r="Y291" s="215"/>
      <c r="Z291" s="215"/>
      <c r="AA291" s="215" t="s">
        <v>67</v>
      </c>
      <c r="AB291" s="215" t="s">
        <v>359</v>
      </c>
      <c r="AC291" s="215">
        <v>2100</v>
      </c>
      <c r="AD291" s="215" t="s">
        <v>217</v>
      </c>
      <c r="AE291" s="215">
        <v>1</v>
      </c>
      <c r="AF291" s="215"/>
    </row>
    <row r="292" spans="1:32" x14ac:dyDescent="0.3">
      <c r="A292" s="215" t="s">
        <v>351</v>
      </c>
      <c r="B292" s="215" t="s">
        <v>45</v>
      </c>
      <c r="C292" s="215" t="s">
        <v>68</v>
      </c>
      <c r="D292" s="215" t="s">
        <v>310</v>
      </c>
      <c r="E292" s="215" t="s">
        <v>875</v>
      </c>
      <c r="F292" s="15">
        <v>46233.470659722225</v>
      </c>
      <c r="G292" s="215" t="s">
        <v>408</v>
      </c>
      <c r="H292" s="215">
        <v>3</v>
      </c>
      <c r="I292" s="215" t="s">
        <v>874</v>
      </c>
      <c r="J292" s="15">
        <v>46233.615185185183</v>
      </c>
      <c r="K292" s="15">
        <v>46237.458333333336</v>
      </c>
      <c r="L292" s="15"/>
      <c r="M292" s="215">
        <v>3</v>
      </c>
      <c r="N292" s="215"/>
      <c r="O292" s="215" t="s">
        <v>201</v>
      </c>
      <c r="P292" s="215" t="s">
        <v>532</v>
      </c>
      <c r="Q292" s="215"/>
      <c r="R292" s="215"/>
      <c r="S292" s="215" t="s">
        <v>359</v>
      </c>
      <c r="T292" s="215" t="s">
        <v>377</v>
      </c>
      <c r="U292" s="215" t="s">
        <v>239</v>
      </c>
      <c r="V292" s="215" t="s">
        <v>351</v>
      </c>
      <c r="W292" s="215" t="s">
        <v>378</v>
      </c>
      <c r="X292" s="215" t="s">
        <v>239</v>
      </c>
      <c r="Y292" s="215"/>
      <c r="Z292" s="215"/>
      <c r="AA292" s="215" t="s">
        <v>67</v>
      </c>
      <c r="AB292" s="215" t="s">
        <v>359</v>
      </c>
      <c r="AC292" s="215">
        <v>2100</v>
      </c>
      <c r="AD292" s="215" t="s">
        <v>217</v>
      </c>
      <c r="AE292" s="215">
        <v>1</v>
      </c>
      <c r="AF292" s="215"/>
    </row>
    <row r="293" spans="1:32" x14ac:dyDescent="0.3">
      <c r="A293" s="215" t="s">
        <v>351</v>
      </c>
      <c r="B293" s="215" t="s">
        <v>45</v>
      </c>
      <c r="C293" s="215" t="s">
        <v>68</v>
      </c>
      <c r="D293" s="215" t="s">
        <v>310</v>
      </c>
      <c r="E293" s="215" t="s">
        <v>876</v>
      </c>
      <c r="F293" s="15">
        <v>46233.468287037038</v>
      </c>
      <c r="G293" s="215" t="s">
        <v>408</v>
      </c>
      <c r="H293" s="215">
        <v>3</v>
      </c>
      <c r="I293" s="215" t="s">
        <v>874</v>
      </c>
      <c r="J293" s="15">
        <v>46233.615185185183</v>
      </c>
      <c r="K293" s="15">
        <v>46237.458333333336</v>
      </c>
      <c r="L293" s="15"/>
      <c r="M293" s="215">
        <v>3</v>
      </c>
      <c r="N293" s="215"/>
      <c r="O293" s="215" t="s">
        <v>201</v>
      </c>
      <c r="P293" s="215" t="s">
        <v>532</v>
      </c>
      <c r="Q293" s="215"/>
      <c r="R293" s="215"/>
      <c r="S293" s="215" t="s">
        <v>359</v>
      </c>
      <c r="T293" s="215" t="s">
        <v>377</v>
      </c>
      <c r="U293" s="215" t="s">
        <v>239</v>
      </c>
      <c r="V293" s="215" t="s">
        <v>351</v>
      </c>
      <c r="W293" s="215" t="s">
        <v>378</v>
      </c>
      <c r="X293" s="215" t="s">
        <v>239</v>
      </c>
      <c r="Y293" s="215"/>
      <c r="Z293" s="215"/>
      <c r="AA293" s="215" t="s">
        <v>67</v>
      </c>
      <c r="AB293" s="215" t="s">
        <v>359</v>
      </c>
      <c r="AC293" s="215">
        <v>2100</v>
      </c>
      <c r="AD293" s="215" t="s">
        <v>217</v>
      </c>
      <c r="AE293" s="215">
        <v>1</v>
      </c>
      <c r="AF293" s="215"/>
    </row>
    <row r="294" spans="1:32" x14ac:dyDescent="0.3">
      <c r="A294" s="215" t="s">
        <v>351</v>
      </c>
      <c r="B294" s="215" t="s">
        <v>45</v>
      </c>
      <c r="C294" s="215" t="s">
        <v>68</v>
      </c>
      <c r="D294" s="215" t="s">
        <v>310</v>
      </c>
      <c r="E294" s="215" t="s">
        <v>930</v>
      </c>
      <c r="F294" s="15">
        <v>46225.582372685189</v>
      </c>
      <c r="G294" s="215" t="s">
        <v>408</v>
      </c>
      <c r="H294" s="215">
        <v>3</v>
      </c>
      <c r="I294" s="215" t="s">
        <v>931</v>
      </c>
      <c r="J294" s="15">
        <v>46226.429560185185</v>
      </c>
      <c r="K294" s="15">
        <v>46231.455555555556</v>
      </c>
      <c r="L294" s="15"/>
      <c r="M294" s="215">
        <v>3</v>
      </c>
      <c r="N294" s="215"/>
      <c r="O294" s="215" t="s">
        <v>201</v>
      </c>
      <c r="P294" s="215" t="s">
        <v>531</v>
      </c>
      <c r="Q294" s="215"/>
      <c r="R294" s="215"/>
      <c r="S294" s="215" t="s">
        <v>359</v>
      </c>
      <c r="T294" s="215" t="s">
        <v>377</v>
      </c>
      <c r="U294" s="215" t="s">
        <v>239</v>
      </c>
      <c r="V294" s="215" t="s">
        <v>351</v>
      </c>
      <c r="W294" s="215" t="s">
        <v>378</v>
      </c>
      <c r="X294" s="215" t="s">
        <v>239</v>
      </c>
      <c r="Y294" s="215">
        <v>103</v>
      </c>
      <c r="Z294" s="215"/>
      <c r="AA294" s="215" t="s">
        <v>67</v>
      </c>
      <c r="AB294" s="215" t="s">
        <v>359</v>
      </c>
      <c r="AC294" s="215">
        <v>2100</v>
      </c>
      <c r="AD294" s="215" t="s">
        <v>217</v>
      </c>
      <c r="AE294" s="215">
        <v>1</v>
      </c>
      <c r="AF294" s="215">
        <v>1</v>
      </c>
    </row>
    <row r="295" spans="1:32" x14ac:dyDescent="0.3">
      <c r="A295" s="215" t="s">
        <v>351</v>
      </c>
      <c r="B295" s="215" t="s">
        <v>45</v>
      </c>
      <c r="C295" s="215" t="s">
        <v>68</v>
      </c>
      <c r="D295" s="215" t="s">
        <v>310</v>
      </c>
      <c r="E295" s="215" t="s">
        <v>932</v>
      </c>
      <c r="F295" s="15">
        <v>46225.581944444442</v>
      </c>
      <c r="G295" s="215" t="s">
        <v>408</v>
      </c>
      <c r="H295" s="215">
        <v>1</v>
      </c>
      <c r="I295" s="215" t="s">
        <v>931</v>
      </c>
      <c r="J295" s="15">
        <v>46226.429560185185</v>
      </c>
      <c r="K295" s="15">
        <v>46231.455555555556</v>
      </c>
      <c r="L295" s="15"/>
      <c r="M295" s="215">
        <v>1</v>
      </c>
      <c r="N295" s="215"/>
      <c r="O295" s="215" t="s">
        <v>201</v>
      </c>
      <c r="P295" s="215" t="s">
        <v>531</v>
      </c>
      <c r="Q295" s="215"/>
      <c r="R295" s="215"/>
      <c r="S295" s="215" t="s">
        <v>359</v>
      </c>
      <c r="T295" s="215" t="s">
        <v>377</v>
      </c>
      <c r="U295" s="215" t="s">
        <v>239</v>
      </c>
      <c r="V295" s="215" t="s">
        <v>351</v>
      </c>
      <c r="W295" s="215" t="s">
        <v>378</v>
      </c>
      <c r="X295" s="215" t="s">
        <v>239</v>
      </c>
      <c r="Y295" s="215"/>
      <c r="Z295" s="215"/>
      <c r="AA295" s="215" t="s">
        <v>67</v>
      </c>
      <c r="AB295" s="215" t="s">
        <v>359</v>
      </c>
      <c r="AC295" s="215">
        <v>2100</v>
      </c>
      <c r="AD295" s="215" t="s">
        <v>217</v>
      </c>
      <c r="AE295" s="215">
        <v>1</v>
      </c>
      <c r="AF295" s="215"/>
    </row>
    <row r="296" spans="1:32" x14ac:dyDescent="0.3">
      <c r="A296" s="215" t="s">
        <v>351</v>
      </c>
      <c r="B296" s="215" t="s">
        <v>45</v>
      </c>
      <c r="C296" s="215" t="s">
        <v>68</v>
      </c>
      <c r="D296" s="215" t="s">
        <v>310</v>
      </c>
      <c r="E296" s="215" t="s">
        <v>933</v>
      </c>
      <c r="F296" s="15">
        <v>46225.581226851849</v>
      </c>
      <c r="G296" s="215" t="s">
        <v>408</v>
      </c>
      <c r="H296" s="215">
        <v>3</v>
      </c>
      <c r="I296" s="215" t="s">
        <v>931</v>
      </c>
      <c r="J296" s="15">
        <v>46226.429560185185</v>
      </c>
      <c r="K296" s="15">
        <v>46231.455555555556</v>
      </c>
      <c r="L296" s="15"/>
      <c r="M296" s="215">
        <v>3</v>
      </c>
      <c r="N296" s="215"/>
      <c r="O296" s="215" t="s">
        <v>201</v>
      </c>
      <c r="P296" s="215" t="s">
        <v>531</v>
      </c>
      <c r="Q296" s="215"/>
      <c r="R296" s="215"/>
      <c r="S296" s="215" t="s">
        <v>359</v>
      </c>
      <c r="T296" s="215" t="s">
        <v>377</v>
      </c>
      <c r="U296" s="215" t="s">
        <v>239</v>
      </c>
      <c r="V296" s="215" t="s">
        <v>351</v>
      </c>
      <c r="W296" s="215" t="s">
        <v>378</v>
      </c>
      <c r="X296" s="215" t="s">
        <v>239</v>
      </c>
      <c r="Y296" s="215"/>
      <c r="Z296" s="215"/>
      <c r="AA296" s="215" t="s">
        <v>67</v>
      </c>
      <c r="AB296" s="215" t="s">
        <v>359</v>
      </c>
      <c r="AC296" s="215">
        <v>2100</v>
      </c>
      <c r="AD296" s="215" t="s">
        <v>217</v>
      </c>
      <c r="AE296" s="215">
        <v>1</v>
      </c>
      <c r="AF296" s="215"/>
    </row>
    <row r="297" spans="1:32" x14ac:dyDescent="0.3">
      <c r="A297" s="215" t="s">
        <v>351</v>
      </c>
      <c r="B297" s="215" t="s">
        <v>45</v>
      </c>
      <c r="C297" s="215" t="s">
        <v>68</v>
      </c>
      <c r="D297" s="215" t="s">
        <v>310</v>
      </c>
      <c r="E297" s="215" t="s">
        <v>934</v>
      </c>
      <c r="F297" s="15">
        <v>46225.358090277776</v>
      </c>
      <c r="G297" s="215" t="s">
        <v>412</v>
      </c>
      <c r="H297" s="215">
        <v>26</v>
      </c>
      <c r="I297" s="215" t="s">
        <v>935</v>
      </c>
      <c r="J297" s="15">
        <v>46226.397361111114</v>
      </c>
      <c r="K297" s="15">
        <v>46227.5</v>
      </c>
      <c r="L297" s="15"/>
      <c r="M297" s="215">
        <v>26</v>
      </c>
      <c r="N297" s="215"/>
      <c r="O297" s="215" t="s">
        <v>201</v>
      </c>
      <c r="P297" s="215" t="s">
        <v>532</v>
      </c>
      <c r="Q297" s="215"/>
      <c r="R297" s="215"/>
      <c r="S297" s="215" t="s">
        <v>359</v>
      </c>
      <c r="T297" s="215" t="s">
        <v>377</v>
      </c>
      <c r="U297" s="215" t="s">
        <v>239</v>
      </c>
      <c r="V297" s="215" t="s">
        <v>351</v>
      </c>
      <c r="W297" s="215" t="s">
        <v>378</v>
      </c>
      <c r="X297" s="215" t="s">
        <v>239</v>
      </c>
      <c r="Y297" s="215"/>
      <c r="Z297" s="215"/>
      <c r="AA297" s="215" t="s">
        <v>67</v>
      </c>
      <c r="AB297" s="215" t="s">
        <v>359</v>
      </c>
      <c r="AC297" s="215">
        <v>2100</v>
      </c>
      <c r="AD297" s="215" t="s">
        <v>217</v>
      </c>
      <c r="AE297" s="215">
        <v>2.6</v>
      </c>
      <c r="AF297" s="215">
        <v>1.23</v>
      </c>
    </row>
    <row r="298" spans="1:32" x14ac:dyDescent="0.3">
      <c r="A298" s="215" t="s">
        <v>351</v>
      </c>
      <c r="B298" s="215" t="s">
        <v>45</v>
      </c>
      <c r="C298" s="215" t="s">
        <v>68</v>
      </c>
      <c r="D298" s="215" t="s">
        <v>310</v>
      </c>
      <c r="E298" s="215" t="s">
        <v>936</v>
      </c>
      <c r="F298" s="15">
        <v>46225.333067129628</v>
      </c>
      <c r="G298" s="215" t="s">
        <v>429</v>
      </c>
      <c r="H298" s="215">
        <v>8</v>
      </c>
      <c r="I298" s="215" t="s">
        <v>937</v>
      </c>
      <c r="J298" s="15">
        <v>46225.466446759259</v>
      </c>
      <c r="K298" s="15">
        <v>46227.5</v>
      </c>
      <c r="L298" s="15">
        <v>46227.5</v>
      </c>
      <c r="M298" s="215">
        <v>8</v>
      </c>
      <c r="N298" s="215"/>
      <c r="O298" s="215" t="s">
        <v>201</v>
      </c>
      <c r="P298" s="215" t="s">
        <v>531</v>
      </c>
      <c r="Q298" s="215"/>
      <c r="R298" s="215"/>
      <c r="S298" s="215" t="s">
        <v>359</v>
      </c>
      <c r="T298" s="215" t="s">
        <v>377</v>
      </c>
      <c r="U298" s="215" t="s">
        <v>239</v>
      </c>
      <c r="V298" s="215" t="s">
        <v>351</v>
      </c>
      <c r="W298" s="215" t="s">
        <v>378</v>
      </c>
      <c r="X298" s="215" t="s">
        <v>239</v>
      </c>
      <c r="Y298" s="215">
        <v>103</v>
      </c>
      <c r="Z298" s="215"/>
      <c r="AA298" s="215" t="s">
        <v>67</v>
      </c>
      <c r="AB298" s="215" t="s">
        <v>359</v>
      </c>
      <c r="AC298" s="215">
        <v>2100</v>
      </c>
      <c r="AD298" s="215" t="s">
        <v>217</v>
      </c>
      <c r="AE298" s="215">
        <v>1</v>
      </c>
      <c r="AF298" s="215"/>
    </row>
    <row r="299" spans="1:32" x14ac:dyDescent="0.3">
      <c r="A299" s="215" t="s">
        <v>351</v>
      </c>
      <c r="B299" s="215" t="s">
        <v>45</v>
      </c>
      <c r="C299" s="215" t="s">
        <v>68</v>
      </c>
      <c r="D299" s="215" t="s">
        <v>310</v>
      </c>
      <c r="E299" s="215" t="s">
        <v>948</v>
      </c>
      <c r="F299" s="15">
        <v>46223.488009259258</v>
      </c>
      <c r="G299" s="215" t="s">
        <v>408</v>
      </c>
      <c r="H299" s="215">
        <v>2</v>
      </c>
      <c r="I299" s="215" t="s">
        <v>949</v>
      </c>
      <c r="J299" s="15">
        <v>46223.579861111109</v>
      </c>
      <c r="K299" s="15">
        <v>46231.451388888891</v>
      </c>
      <c r="L299" s="15">
        <v>46230.708333333336</v>
      </c>
      <c r="M299" s="215">
        <v>2</v>
      </c>
      <c r="N299" s="215"/>
      <c r="O299" s="215" t="s">
        <v>201</v>
      </c>
      <c r="P299" s="215" t="s">
        <v>531</v>
      </c>
      <c r="Q299" s="215"/>
      <c r="R299" s="215"/>
      <c r="S299" s="215" t="s">
        <v>359</v>
      </c>
      <c r="T299" s="215" t="s">
        <v>377</v>
      </c>
      <c r="U299" s="215" t="s">
        <v>239</v>
      </c>
      <c r="V299" s="215" t="s">
        <v>351</v>
      </c>
      <c r="W299" s="215" t="s">
        <v>378</v>
      </c>
      <c r="X299" s="215" t="s">
        <v>239</v>
      </c>
      <c r="Y299" s="215">
        <v>103</v>
      </c>
      <c r="Z299" s="215"/>
      <c r="AA299" s="215" t="s">
        <v>67</v>
      </c>
      <c r="AB299" s="215" t="s">
        <v>359</v>
      </c>
      <c r="AC299" s="215">
        <v>2100</v>
      </c>
      <c r="AD299" s="215" t="s">
        <v>217</v>
      </c>
      <c r="AE299" s="215">
        <v>1</v>
      </c>
      <c r="AF299" s="215"/>
    </row>
    <row r="300" spans="1:32" x14ac:dyDescent="0.3">
      <c r="A300" s="215" t="s">
        <v>351</v>
      </c>
      <c r="B300" s="215" t="s">
        <v>45</v>
      </c>
      <c r="C300" s="215" t="s">
        <v>68</v>
      </c>
      <c r="D300" s="215" t="s">
        <v>310</v>
      </c>
      <c r="E300" s="215" t="s">
        <v>950</v>
      </c>
      <c r="F300" s="15">
        <v>46223.487222222226</v>
      </c>
      <c r="G300" s="215" t="s">
        <v>408</v>
      </c>
      <c r="H300" s="215">
        <v>1</v>
      </c>
      <c r="I300" s="215" t="s">
        <v>949</v>
      </c>
      <c r="J300" s="15">
        <v>46223.579861111109</v>
      </c>
      <c r="K300" s="15">
        <v>46231.451388888891</v>
      </c>
      <c r="L300" s="15">
        <v>46230.708333333336</v>
      </c>
      <c r="M300" s="215">
        <v>1</v>
      </c>
      <c r="N300" s="215"/>
      <c r="O300" s="215" t="s">
        <v>201</v>
      </c>
      <c r="P300" s="215" t="s">
        <v>531</v>
      </c>
      <c r="Q300" s="215"/>
      <c r="R300" s="215"/>
      <c r="S300" s="215" t="s">
        <v>359</v>
      </c>
      <c r="T300" s="215" t="s">
        <v>377</v>
      </c>
      <c r="U300" s="215" t="s">
        <v>239</v>
      </c>
      <c r="V300" s="215" t="s">
        <v>351</v>
      </c>
      <c r="W300" s="215" t="s">
        <v>378</v>
      </c>
      <c r="X300" s="215" t="s">
        <v>239</v>
      </c>
      <c r="Y300" s="215"/>
      <c r="Z300" s="215"/>
      <c r="AA300" s="215" t="s">
        <v>67</v>
      </c>
      <c r="AB300" s="215" t="s">
        <v>359</v>
      </c>
      <c r="AC300" s="215">
        <v>2100</v>
      </c>
      <c r="AD300" s="215" t="s">
        <v>217</v>
      </c>
      <c r="AE300" s="215">
        <v>1</v>
      </c>
      <c r="AF300" s="215"/>
    </row>
    <row r="301" spans="1:32" x14ac:dyDescent="0.3">
      <c r="A301" s="215" t="s">
        <v>351</v>
      </c>
      <c r="B301" s="215" t="s">
        <v>45</v>
      </c>
      <c r="C301" s="215" t="s">
        <v>68</v>
      </c>
      <c r="D301" s="215" t="s">
        <v>310</v>
      </c>
      <c r="E301" s="215" t="s">
        <v>940</v>
      </c>
      <c r="F301" s="15">
        <v>46225.339780092596</v>
      </c>
      <c r="G301" s="215" t="s">
        <v>412</v>
      </c>
      <c r="H301" s="215">
        <v>4</v>
      </c>
      <c r="I301" s="215" t="s">
        <v>939</v>
      </c>
      <c r="J301" s="15">
        <v>46225.680555555555</v>
      </c>
      <c r="K301" s="15">
        <v>46227.5</v>
      </c>
      <c r="L301" s="15"/>
      <c r="M301" s="215">
        <v>4</v>
      </c>
      <c r="N301" s="215"/>
      <c r="O301" s="215" t="s">
        <v>201</v>
      </c>
      <c r="P301" s="215" t="s">
        <v>532</v>
      </c>
      <c r="Q301" s="215"/>
      <c r="R301" s="215"/>
      <c r="S301" s="215" t="s">
        <v>359</v>
      </c>
      <c r="T301" s="215" t="s">
        <v>377</v>
      </c>
      <c r="U301" s="215" t="s">
        <v>239</v>
      </c>
      <c r="V301" s="215" t="s">
        <v>351</v>
      </c>
      <c r="W301" s="215" t="s">
        <v>378</v>
      </c>
      <c r="X301" s="215" t="s">
        <v>239</v>
      </c>
      <c r="Y301" s="215"/>
      <c r="Z301" s="215"/>
      <c r="AA301" s="215" t="s">
        <v>67</v>
      </c>
      <c r="AB301" s="215" t="s">
        <v>359</v>
      </c>
      <c r="AC301" s="215">
        <v>2100</v>
      </c>
      <c r="AD301" s="215" t="s">
        <v>217</v>
      </c>
      <c r="AE301" s="215">
        <v>1</v>
      </c>
      <c r="AF301" s="215"/>
    </row>
    <row r="302" spans="1:32" x14ac:dyDescent="0.3">
      <c r="A302" s="215" t="s">
        <v>351</v>
      </c>
      <c r="B302" s="215" t="s">
        <v>45</v>
      </c>
      <c r="C302" s="215" t="s">
        <v>68</v>
      </c>
      <c r="D302" s="215" t="s">
        <v>310</v>
      </c>
      <c r="E302" s="215" t="s">
        <v>941</v>
      </c>
      <c r="F302" s="15">
        <v>46225.337905092594</v>
      </c>
      <c r="G302" s="215" t="s">
        <v>412</v>
      </c>
      <c r="H302" s="215">
        <v>2</v>
      </c>
      <c r="I302" s="215" t="s">
        <v>939</v>
      </c>
      <c r="J302" s="15">
        <v>46225.680555555555</v>
      </c>
      <c r="K302" s="15">
        <v>46227.5</v>
      </c>
      <c r="L302" s="15"/>
      <c r="M302" s="215">
        <v>2</v>
      </c>
      <c r="N302" s="215"/>
      <c r="O302" s="215" t="s">
        <v>201</v>
      </c>
      <c r="P302" s="215" t="s">
        <v>532</v>
      </c>
      <c r="Q302" s="215"/>
      <c r="R302" s="215"/>
      <c r="S302" s="215" t="s">
        <v>359</v>
      </c>
      <c r="T302" s="215" t="s">
        <v>377</v>
      </c>
      <c r="U302" s="215" t="s">
        <v>239</v>
      </c>
      <c r="V302" s="215" t="s">
        <v>351</v>
      </c>
      <c r="W302" s="215" t="s">
        <v>378</v>
      </c>
      <c r="X302" s="215" t="s">
        <v>239</v>
      </c>
      <c r="Y302" s="215"/>
      <c r="Z302" s="215"/>
      <c r="AA302" s="215" t="s">
        <v>67</v>
      </c>
      <c r="AB302" s="215" t="s">
        <v>359</v>
      </c>
      <c r="AC302" s="215">
        <v>2100</v>
      </c>
      <c r="AD302" s="215" t="s">
        <v>217</v>
      </c>
      <c r="AE302" s="215">
        <v>1</v>
      </c>
      <c r="AF302" s="215"/>
    </row>
    <row r="303" spans="1:32" x14ac:dyDescent="0.3">
      <c r="A303" s="215" t="s">
        <v>351</v>
      </c>
      <c r="B303" s="215" t="s">
        <v>45</v>
      </c>
      <c r="C303" s="215" t="s">
        <v>68</v>
      </c>
      <c r="D303" s="215" t="s">
        <v>310</v>
      </c>
      <c r="E303" s="215" t="s">
        <v>942</v>
      </c>
      <c r="F303" s="15">
        <v>46225.337650462963</v>
      </c>
      <c r="G303" s="215" t="s">
        <v>412</v>
      </c>
      <c r="H303" s="215">
        <v>1</v>
      </c>
      <c r="I303" s="215" t="s">
        <v>939</v>
      </c>
      <c r="J303" s="15">
        <v>46225.680555555555</v>
      </c>
      <c r="K303" s="15">
        <v>46227.5</v>
      </c>
      <c r="L303" s="15"/>
      <c r="M303" s="215">
        <v>1</v>
      </c>
      <c r="N303" s="215"/>
      <c r="O303" s="215" t="s">
        <v>201</v>
      </c>
      <c r="P303" s="215" t="s">
        <v>532</v>
      </c>
      <c r="Q303" s="215"/>
      <c r="R303" s="215"/>
      <c r="S303" s="215" t="s">
        <v>359</v>
      </c>
      <c r="T303" s="215" t="s">
        <v>377</v>
      </c>
      <c r="U303" s="215" t="s">
        <v>239</v>
      </c>
      <c r="V303" s="215" t="s">
        <v>351</v>
      </c>
      <c r="W303" s="215" t="s">
        <v>378</v>
      </c>
      <c r="X303" s="215" t="s">
        <v>239</v>
      </c>
      <c r="Y303" s="215"/>
      <c r="Z303" s="215"/>
      <c r="AA303" s="215" t="s">
        <v>67</v>
      </c>
      <c r="AB303" s="215" t="s">
        <v>359</v>
      </c>
      <c r="AC303" s="215">
        <v>2100</v>
      </c>
      <c r="AD303" s="215" t="s">
        <v>217</v>
      </c>
      <c r="AE303" s="215">
        <v>1</v>
      </c>
      <c r="AF303" s="215"/>
    </row>
    <row r="304" spans="1:32" x14ac:dyDescent="0.3">
      <c r="A304" s="215" t="s">
        <v>351</v>
      </c>
      <c r="B304" s="215" t="s">
        <v>45</v>
      </c>
      <c r="C304" s="215" t="s">
        <v>68</v>
      </c>
      <c r="D304" s="215" t="s">
        <v>310</v>
      </c>
      <c r="E304" s="215" t="s">
        <v>943</v>
      </c>
      <c r="F304" s="15">
        <v>46224.651469907411</v>
      </c>
      <c r="G304" s="215" t="s">
        <v>412</v>
      </c>
      <c r="H304" s="215">
        <v>16</v>
      </c>
      <c r="I304" s="215" t="s">
        <v>944</v>
      </c>
      <c r="J304" s="15">
        <v>46225.65902777778</v>
      </c>
      <c r="K304" s="15">
        <v>46227.5</v>
      </c>
      <c r="L304" s="15">
        <v>46227</v>
      </c>
      <c r="M304" s="215">
        <v>16</v>
      </c>
      <c r="N304" s="215"/>
      <c r="O304" s="215" t="s">
        <v>201</v>
      </c>
      <c r="P304" s="215" t="s">
        <v>532</v>
      </c>
      <c r="Q304" s="215"/>
      <c r="R304" s="215"/>
      <c r="S304" s="215" t="s">
        <v>359</v>
      </c>
      <c r="T304" s="215" t="s">
        <v>377</v>
      </c>
      <c r="U304" s="215" t="s">
        <v>239</v>
      </c>
      <c r="V304" s="215" t="s">
        <v>351</v>
      </c>
      <c r="W304" s="215" t="s">
        <v>378</v>
      </c>
      <c r="X304" s="215" t="s">
        <v>239</v>
      </c>
      <c r="Y304" s="215"/>
      <c r="Z304" s="215"/>
      <c r="AA304" s="215" t="s">
        <v>67</v>
      </c>
      <c r="AB304" s="215" t="s">
        <v>359</v>
      </c>
      <c r="AC304" s="215">
        <v>2100</v>
      </c>
      <c r="AD304" s="215" t="s">
        <v>217</v>
      </c>
      <c r="AE304" s="215">
        <v>1.6</v>
      </c>
      <c r="AF304" s="215"/>
    </row>
    <row r="305" spans="1:32" x14ac:dyDescent="0.3">
      <c r="A305" s="215" t="s">
        <v>351</v>
      </c>
      <c r="B305" s="215" t="s">
        <v>45</v>
      </c>
      <c r="C305" s="215" t="s">
        <v>68</v>
      </c>
      <c r="D305" s="215" t="s">
        <v>310</v>
      </c>
      <c r="E305" s="215" t="s">
        <v>945</v>
      </c>
      <c r="F305" s="15">
        <v>46224.65053240741</v>
      </c>
      <c r="G305" s="215" t="s">
        <v>412</v>
      </c>
      <c r="H305" s="215">
        <v>6</v>
      </c>
      <c r="I305" s="215" t="s">
        <v>944</v>
      </c>
      <c r="J305" s="15">
        <v>46225.65902777778</v>
      </c>
      <c r="K305" s="15">
        <v>46227.5</v>
      </c>
      <c r="L305" s="15">
        <v>46227</v>
      </c>
      <c r="M305" s="215">
        <v>6</v>
      </c>
      <c r="N305" s="215"/>
      <c r="O305" s="215" t="s">
        <v>201</v>
      </c>
      <c r="P305" s="215" t="s">
        <v>532</v>
      </c>
      <c r="Q305" s="215"/>
      <c r="R305" s="215"/>
      <c r="S305" s="215" t="s">
        <v>359</v>
      </c>
      <c r="T305" s="215" t="s">
        <v>377</v>
      </c>
      <c r="U305" s="215" t="s">
        <v>239</v>
      </c>
      <c r="V305" s="215" t="s">
        <v>351</v>
      </c>
      <c r="W305" s="215" t="s">
        <v>378</v>
      </c>
      <c r="X305" s="215" t="s">
        <v>239</v>
      </c>
      <c r="Y305" s="215"/>
      <c r="Z305" s="215"/>
      <c r="AA305" s="215" t="s">
        <v>67</v>
      </c>
      <c r="AB305" s="215" t="s">
        <v>359</v>
      </c>
      <c r="AC305" s="215">
        <v>2100</v>
      </c>
      <c r="AD305" s="215" t="s">
        <v>217</v>
      </c>
      <c r="AE305" s="215">
        <v>1</v>
      </c>
      <c r="AF305" s="215"/>
    </row>
    <row r="306" spans="1:32" x14ac:dyDescent="0.3">
      <c r="A306" s="215" t="s">
        <v>351</v>
      </c>
      <c r="B306" s="215" t="s">
        <v>45</v>
      </c>
      <c r="C306" s="215" t="s">
        <v>68</v>
      </c>
      <c r="D306" s="215" t="s">
        <v>310</v>
      </c>
      <c r="E306" s="215" t="s">
        <v>938</v>
      </c>
      <c r="F306" s="15">
        <v>46225.340196759258</v>
      </c>
      <c r="G306" s="215" t="s">
        <v>412</v>
      </c>
      <c r="H306" s="215">
        <v>3</v>
      </c>
      <c r="I306" s="215" t="s">
        <v>939</v>
      </c>
      <c r="J306" s="15">
        <v>46225.680555555555</v>
      </c>
      <c r="K306" s="15">
        <v>46227.5</v>
      </c>
      <c r="L306" s="15"/>
      <c r="M306" s="215">
        <v>3</v>
      </c>
      <c r="N306" s="215"/>
      <c r="O306" s="215" t="s">
        <v>201</v>
      </c>
      <c r="P306" s="215" t="s">
        <v>532</v>
      </c>
      <c r="Q306" s="215"/>
      <c r="R306" s="215"/>
      <c r="S306" s="215" t="s">
        <v>359</v>
      </c>
      <c r="T306" s="215" t="s">
        <v>377</v>
      </c>
      <c r="U306" s="215" t="s">
        <v>239</v>
      </c>
      <c r="V306" s="215" t="s">
        <v>351</v>
      </c>
      <c r="W306" s="215" t="s">
        <v>378</v>
      </c>
      <c r="X306" s="215" t="s">
        <v>239</v>
      </c>
      <c r="Y306" s="215"/>
      <c r="Z306" s="215"/>
      <c r="AA306" s="215" t="s">
        <v>67</v>
      </c>
      <c r="AB306" s="215" t="s">
        <v>359</v>
      </c>
      <c r="AC306" s="215">
        <v>2100</v>
      </c>
      <c r="AD306" s="215" t="s">
        <v>217</v>
      </c>
      <c r="AE306" s="215">
        <v>1</v>
      </c>
      <c r="AF306" s="215"/>
    </row>
    <row r="307" spans="1:32" x14ac:dyDescent="0.3">
      <c r="A307" s="215" t="s">
        <v>351</v>
      </c>
      <c r="B307" s="215" t="s">
        <v>45</v>
      </c>
      <c r="C307" s="215" t="s">
        <v>68</v>
      </c>
      <c r="D307" s="215" t="s">
        <v>310</v>
      </c>
      <c r="E307" s="215" t="s">
        <v>946</v>
      </c>
      <c r="F307" s="15">
        <v>46225.340752314813</v>
      </c>
      <c r="G307" s="215" t="s">
        <v>412</v>
      </c>
      <c r="H307" s="215">
        <v>3</v>
      </c>
      <c r="I307" s="215" t="s">
        <v>939</v>
      </c>
      <c r="J307" s="15">
        <v>46225.680555555555</v>
      </c>
      <c r="K307" s="15">
        <v>46227.5</v>
      </c>
      <c r="L307" s="15"/>
      <c r="M307" s="215">
        <v>3</v>
      </c>
      <c r="N307" s="215"/>
      <c r="O307" s="215" t="s">
        <v>201</v>
      </c>
      <c r="P307" s="215" t="s">
        <v>532</v>
      </c>
      <c r="Q307" s="215"/>
      <c r="R307" s="215"/>
      <c r="S307" s="215" t="s">
        <v>359</v>
      </c>
      <c r="T307" s="215" t="s">
        <v>377</v>
      </c>
      <c r="U307" s="215" t="s">
        <v>239</v>
      </c>
      <c r="V307" s="215" t="s">
        <v>351</v>
      </c>
      <c r="W307" s="215" t="s">
        <v>378</v>
      </c>
      <c r="X307" s="215" t="s">
        <v>239</v>
      </c>
      <c r="Y307" s="215"/>
      <c r="Z307" s="215"/>
      <c r="AA307" s="215" t="s">
        <v>67</v>
      </c>
      <c r="AB307" s="215" t="s">
        <v>359</v>
      </c>
      <c r="AC307" s="215">
        <v>2100</v>
      </c>
      <c r="AD307" s="215" t="s">
        <v>217</v>
      </c>
      <c r="AE307" s="215">
        <v>1</v>
      </c>
      <c r="AF307" s="215"/>
    </row>
    <row r="308" spans="1:32" x14ac:dyDescent="0.3">
      <c r="A308" s="215" t="s">
        <v>351</v>
      </c>
      <c r="B308" s="215" t="s">
        <v>63</v>
      </c>
      <c r="C308" s="215" t="s">
        <v>95</v>
      </c>
      <c r="D308" s="215" t="s">
        <v>310</v>
      </c>
      <c r="E308" s="215" t="s">
        <v>826</v>
      </c>
      <c r="F308" s="15">
        <v>46230.561921296299</v>
      </c>
      <c r="G308" s="215" t="s">
        <v>409</v>
      </c>
      <c r="H308" s="215">
        <v>1</v>
      </c>
      <c r="I308" s="215" t="s">
        <v>827</v>
      </c>
      <c r="J308" s="15">
        <v>46231.383333333331</v>
      </c>
      <c r="K308" s="15">
        <v>46237.474999999999</v>
      </c>
      <c r="L308" s="15"/>
      <c r="M308" s="215">
        <v>1</v>
      </c>
      <c r="N308" s="215"/>
      <c r="O308" s="215" t="s">
        <v>201</v>
      </c>
      <c r="P308" s="215" t="s">
        <v>532</v>
      </c>
      <c r="Q308" s="215"/>
      <c r="R308" s="215"/>
      <c r="S308" s="215" t="s">
        <v>359</v>
      </c>
      <c r="T308" s="215" t="s">
        <v>377</v>
      </c>
      <c r="U308" s="215" t="s">
        <v>239</v>
      </c>
      <c r="V308" s="215" t="s">
        <v>7</v>
      </c>
      <c r="W308" s="215" t="s">
        <v>7</v>
      </c>
      <c r="X308" s="215" t="s">
        <v>7</v>
      </c>
      <c r="Y308" s="215"/>
      <c r="Z308" s="215"/>
      <c r="AA308" s="215" t="s">
        <v>96</v>
      </c>
      <c r="AB308" s="215" t="s">
        <v>359</v>
      </c>
      <c r="AC308" s="215">
        <v>2100</v>
      </c>
      <c r="AD308" s="215" t="s">
        <v>225</v>
      </c>
      <c r="AE308" s="215">
        <v>1</v>
      </c>
      <c r="AF308" s="215">
        <v>24.7</v>
      </c>
    </row>
    <row r="309" spans="1:32" x14ac:dyDescent="0.3">
      <c r="A309" s="215" t="s">
        <v>351</v>
      </c>
      <c r="B309" s="215" t="s">
        <v>57</v>
      </c>
      <c r="C309" s="215" t="s">
        <v>117</v>
      </c>
      <c r="D309" s="215" t="s">
        <v>310</v>
      </c>
      <c r="E309" s="215" t="s">
        <v>826</v>
      </c>
      <c r="F309" s="15">
        <v>46230.561921296299</v>
      </c>
      <c r="G309" s="215" t="s">
        <v>409</v>
      </c>
      <c r="H309" s="215">
        <v>1</v>
      </c>
      <c r="I309" s="215" t="s">
        <v>827</v>
      </c>
      <c r="J309" s="15">
        <v>46231.383333333331</v>
      </c>
      <c r="K309" s="15">
        <v>46237.474999999999</v>
      </c>
      <c r="L309" s="15"/>
      <c r="M309" s="215">
        <v>1</v>
      </c>
      <c r="N309" s="215"/>
      <c r="O309" s="215" t="s">
        <v>201</v>
      </c>
      <c r="P309" s="215" t="s">
        <v>532</v>
      </c>
      <c r="Q309" s="215"/>
      <c r="R309" s="215"/>
      <c r="S309" s="215" t="s">
        <v>359</v>
      </c>
      <c r="T309" s="215" t="s">
        <v>377</v>
      </c>
      <c r="U309" s="215" t="s">
        <v>239</v>
      </c>
      <c r="V309" s="215" t="s">
        <v>7</v>
      </c>
      <c r="W309" s="215" t="s">
        <v>7</v>
      </c>
      <c r="X309" s="215" t="s">
        <v>7</v>
      </c>
      <c r="Y309" s="215"/>
      <c r="Z309" s="215"/>
      <c r="AA309" s="215" t="s">
        <v>127</v>
      </c>
      <c r="AB309" s="215" t="s">
        <v>359</v>
      </c>
      <c r="AC309" s="215">
        <v>2100</v>
      </c>
      <c r="AD309" s="215" t="s">
        <v>233</v>
      </c>
      <c r="AE309" s="215">
        <v>1</v>
      </c>
      <c r="AF309" s="215"/>
    </row>
    <row r="310" spans="1:32" x14ac:dyDescent="0.3">
      <c r="A310" s="215" t="s">
        <v>351</v>
      </c>
      <c r="B310" s="215" t="s">
        <v>279</v>
      </c>
      <c r="C310" s="215" t="s">
        <v>192</v>
      </c>
      <c r="D310" s="215" t="s">
        <v>310</v>
      </c>
      <c r="E310" s="215" t="s">
        <v>826</v>
      </c>
      <c r="F310" s="15">
        <v>46230.561921296299</v>
      </c>
      <c r="G310" s="215" t="s">
        <v>409</v>
      </c>
      <c r="H310" s="215">
        <v>245</v>
      </c>
      <c r="I310" s="215" t="s">
        <v>827</v>
      </c>
      <c r="J310" s="15">
        <v>46231.383333333331</v>
      </c>
      <c r="K310" s="15">
        <v>46237.474999999999</v>
      </c>
      <c r="L310" s="15"/>
      <c r="M310" s="215">
        <v>245</v>
      </c>
      <c r="N310" s="215"/>
      <c r="O310" s="215" t="s">
        <v>201</v>
      </c>
      <c r="P310" s="215" t="s">
        <v>531</v>
      </c>
      <c r="Q310" s="215"/>
      <c r="R310" s="215"/>
      <c r="S310" s="215" t="s">
        <v>359</v>
      </c>
      <c r="T310" s="215" t="s">
        <v>377</v>
      </c>
      <c r="U310" s="215" t="s">
        <v>239</v>
      </c>
      <c r="V310" s="215" t="s">
        <v>7</v>
      </c>
      <c r="W310" s="215" t="s">
        <v>7</v>
      </c>
      <c r="X310" s="215" t="s">
        <v>7</v>
      </c>
      <c r="Y310" s="215"/>
      <c r="Z310" s="215">
        <v>1</v>
      </c>
      <c r="AA310" s="215" t="s">
        <v>122</v>
      </c>
      <c r="AB310" s="215" t="s">
        <v>359</v>
      </c>
      <c r="AC310" s="215">
        <v>2100</v>
      </c>
      <c r="AD310" s="215" t="s">
        <v>232</v>
      </c>
      <c r="AE310" s="215">
        <v>245</v>
      </c>
      <c r="AF310" s="215"/>
    </row>
    <row r="311" spans="1:32" x14ac:dyDescent="0.3">
      <c r="A311" s="215" t="s">
        <v>351</v>
      </c>
      <c r="B311" s="215" t="s">
        <v>45</v>
      </c>
      <c r="C311" s="215" t="s">
        <v>68</v>
      </c>
      <c r="D311" s="215" t="s">
        <v>310</v>
      </c>
      <c r="E311" s="215" t="s">
        <v>951</v>
      </c>
      <c r="F311" s="15">
        <v>46230.441238425927</v>
      </c>
      <c r="G311" s="215" t="s">
        <v>408</v>
      </c>
      <c r="H311" s="215">
        <v>3</v>
      </c>
      <c r="I311" s="215" t="s">
        <v>952</v>
      </c>
      <c r="J311" s="15">
        <v>46230.705555555556</v>
      </c>
      <c r="K311" s="15">
        <v>46231.431944444441</v>
      </c>
      <c r="L311" s="15"/>
      <c r="M311" s="215">
        <v>3</v>
      </c>
      <c r="N311" s="215"/>
      <c r="O311" s="215" t="s">
        <v>201</v>
      </c>
      <c r="P311" s="215" t="s">
        <v>532</v>
      </c>
      <c r="Q311" s="215"/>
      <c r="R311" s="215"/>
      <c r="S311" s="215" t="s">
        <v>359</v>
      </c>
      <c r="T311" s="215" t="s">
        <v>377</v>
      </c>
      <c r="U311" s="215" t="s">
        <v>239</v>
      </c>
      <c r="V311" s="215" t="s">
        <v>351</v>
      </c>
      <c r="W311" s="215" t="s">
        <v>378</v>
      </c>
      <c r="X311" s="215" t="s">
        <v>239</v>
      </c>
      <c r="Y311" s="215">
        <v>103</v>
      </c>
      <c r="Z311" s="215"/>
      <c r="AA311" s="215" t="s">
        <v>67</v>
      </c>
      <c r="AB311" s="215" t="s">
        <v>359</v>
      </c>
      <c r="AC311" s="215">
        <v>2100</v>
      </c>
      <c r="AD311" s="215" t="s">
        <v>217</v>
      </c>
      <c r="AE311" s="215">
        <v>1</v>
      </c>
      <c r="AF311" s="215"/>
    </row>
    <row r="312" spans="1:32" x14ac:dyDescent="0.3">
      <c r="A312" s="215" t="s">
        <v>351</v>
      </c>
      <c r="B312" s="215" t="s">
        <v>45</v>
      </c>
      <c r="C312" s="215" t="s">
        <v>68</v>
      </c>
      <c r="D312" s="215" t="s">
        <v>310</v>
      </c>
      <c r="E312" s="215" t="s">
        <v>953</v>
      </c>
      <c r="F312" s="15">
        <v>46230.439814814818</v>
      </c>
      <c r="G312" s="215" t="s">
        <v>408</v>
      </c>
      <c r="H312" s="215">
        <v>4</v>
      </c>
      <c r="I312" s="215" t="s">
        <v>952</v>
      </c>
      <c r="J312" s="15">
        <v>46230.705555555556</v>
      </c>
      <c r="K312" s="15">
        <v>46231.431944444441</v>
      </c>
      <c r="L312" s="15"/>
      <c r="M312" s="215">
        <v>4</v>
      </c>
      <c r="N312" s="215"/>
      <c r="O312" s="215" t="s">
        <v>201</v>
      </c>
      <c r="P312" s="215" t="s">
        <v>532</v>
      </c>
      <c r="Q312" s="215"/>
      <c r="R312" s="215"/>
      <c r="S312" s="215" t="s">
        <v>359</v>
      </c>
      <c r="T312" s="215" t="s">
        <v>377</v>
      </c>
      <c r="U312" s="215" t="s">
        <v>239</v>
      </c>
      <c r="V312" s="215" t="s">
        <v>351</v>
      </c>
      <c r="W312" s="215" t="s">
        <v>378</v>
      </c>
      <c r="X312" s="215" t="s">
        <v>239</v>
      </c>
      <c r="Y312" s="215"/>
      <c r="Z312" s="215"/>
      <c r="AA312" s="215" t="s">
        <v>67</v>
      </c>
      <c r="AB312" s="215" t="s">
        <v>359</v>
      </c>
      <c r="AC312" s="215">
        <v>2100</v>
      </c>
      <c r="AD312" s="215" t="s">
        <v>217</v>
      </c>
      <c r="AE312" s="215">
        <v>1</v>
      </c>
      <c r="AF312" s="215"/>
    </row>
    <row r="313" spans="1:32" x14ac:dyDescent="0.3">
      <c r="A313" s="215" t="s">
        <v>351</v>
      </c>
      <c r="B313" s="215" t="s">
        <v>43</v>
      </c>
      <c r="C313" s="215" t="s">
        <v>105</v>
      </c>
      <c r="D313" s="215" t="s">
        <v>310</v>
      </c>
      <c r="E313" s="215" t="s">
        <v>1023</v>
      </c>
      <c r="F313" s="15">
        <v>46226.43414351852</v>
      </c>
      <c r="G313" s="215" t="s">
        <v>426</v>
      </c>
      <c r="H313" s="215">
        <v>1</v>
      </c>
      <c r="I313" s="215" t="s">
        <v>1024</v>
      </c>
      <c r="J313" s="15">
        <v>46226.474999999999</v>
      </c>
      <c r="K313" s="15">
        <v>46231.455555555556</v>
      </c>
      <c r="L313" s="15"/>
      <c r="M313" s="215">
        <v>1</v>
      </c>
      <c r="N313" s="215"/>
      <c r="O313" s="215" t="s">
        <v>201</v>
      </c>
      <c r="P313" s="215" t="s">
        <v>531</v>
      </c>
      <c r="Q313" s="215"/>
      <c r="R313" s="215"/>
      <c r="S313" s="215" t="s">
        <v>359</v>
      </c>
      <c r="T313" s="215" t="s">
        <v>377</v>
      </c>
      <c r="U313" s="215" t="s">
        <v>239</v>
      </c>
      <c r="V313" s="215" t="s">
        <v>351</v>
      </c>
      <c r="W313" s="215" t="s">
        <v>378</v>
      </c>
      <c r="X313" s="215" t="s">
        <v>239</v>
      </c>
      <c r="Y313" s="215"/>
      <c r="Z313" s="215"/>
      <c r="AA313" s="215" t="s">
        <v>67</v>
      </c>
      <c r="AB313" s="215" t="s">
        <v>359</v>
      </c>
      <c r="AC313" s="215">
        <v>2100</v>
      </c>
      <c r="AD313" s="215" t="s">
        <v>217</v>
      </c>
      <c r="AE313" s="215">
        <v>1</v>
      </c>
      <c r="AF313" s="215"/>
    </row>
    <row r="314" spans="1:32" x14ac:dyDescent="0.3">
      <c r="A314" s="215" t="s">
        <v>351</v>
      </c>
      <c r="B314" s="215" t="s">
        <v>45</v>
      </c>
      <c r="C314" s="215" t="s">
        <v>68</v>
      </c>
      <c r="D314" s="215" t="s">
        <v>310</v>
      </c>
      <c r="E314" s="215" t="s">
        <v>947</v>
      </c>
      <c r="F314" s="15">
        <v>46225.341481481482</v>
      </c>
      <c r="G314" s="215" t="s">
        <v>412</v>
      </c>
      <c r="H314" s="215">
        <v>11</v>
      </c>
      <c r="I314" s="215" t="s">
        <v>939</v>
      </c>
      <c r="J314" s="15">
        <v>46225.680555555555</v>
      </c>
      <c r="K314" s="15">
        <v>46227.5</v>
      </c>
      <c r="L314" s="15"/>
      <c r="M314" s="215">
        <v>11</v>
      </c>
      <c r="N314" s="215"/>
      <c r="O314" s="215" t="s">
        <v>201</v>
      </c>
      <c r="P314" s="215" t="s">
        <v>532</v>
      </c>
      <c r="Q314" s="215"/>
      <c r="R314" s="215"/>
      <c r="S314" s="215" t="s">
        <v>359</v>
      </c>
      <c r="T314" s="215" t="s">
        <v>377</v>
      </c>
      <c r="U314" s="215" t="s">
        <v>239</v>
      </c>
      <c r="V314" s="215" t="s">
        <v>351</v>
      </c>
      <c r="W314" s="215" t="s">
        <v>378</v>
      </c>
      <c r="X314" s="215" t="s">
        <v>239</v>
      </c>
      <c r="Y314" s="215"/>
      <c r="Z314" s="215"/>
      <c r="AA314" s="215" t="s">
        <v>67</v>
      </c>
      <c r="AB314" s="215" t="s">
        <v>359</v>
      </c>
      <c r="AC314" s="215">
        <v>2100</v>
      </c>
      <c r="AD314" s="215" t="s">
        <v>217</v>
      </c>
      <c r="AE314" s="215">
        <v>1.1000000000000001</v>
      </c>
      <c r="AF314" s="215"/>
    </row>
    <row r="315" spans="1:32" x14ac:dyDescent="0.3">
      <c r="A315" s="215" t="s">
        <v>351</v>
      </c>
      <c r="B315" s="215" t="s">
        <v>45</v>
      </c>
      <c r="C315" s="215" t="s">
        <v>68</v>
      </c>
      <c r="D315" s="215" t="s">
        <v>310</v>
      </c>
      <c r="E315" s="215" t="s">
        <v>916</v>
      </c>
      <c r="F315" s="15">
        <v>46244.522743055553</v>
      </c>
      <c r="G315" s="215" t="s">
        <v>421</v>
      </c>
      <c r="H315" s="215">
        <v>6</v>
      </c>
      <c r="I315" s="215" t="s">
        <v>917</v>
      </c>
      <c r="J315" s="15">
        <v>46244.706250000003</v>
      </c>
      <c r="K315" s="15">
        <v>46247.409722222219</v>
      </c>
      <c r="L315" s="15"/>
      <c r="M315" s="215">
        <v>6</v>
      </c>
      <c r="N315" s="215"/>
      <c r="O315" s="215" t="s">
        <v>201</v>
      </c>
      <c r="P315" s="215" t="s">
        <v>531</v>
      </c>
      <c r="Q315" s="215"/>
      <c r="R315" s="215"/>
      <c r="S315" s="215" t="s">
        <v>364</v>
      </c>
      <c r="T315" s="215" t="s">
        <v>379</v>
      </c>
      <c r="U315" s="215" t="s">
        <v>239</v>
      </c>
      <c r="V315" s="215" t="s">
        <v>351</v>
      </c>
      <c r="W315" s="215" t="s">
        <v>378</v>
      </c>
      <c r="X315" s="215" t="s">
        <v>239</v>
      </c>
      <c r="Y315" s="215">
        <v>0</v>
      </c>
      <c r="Z315" s="215"/>
      <c r="AA315" s="215" t="s">
        <v>67</v>
      </c>
      <c r="AB315" s="215" t="s">
        <v>364</v>
      </c>
      <c r="AC315" s="215">
        <v>1050</v>
      </c>
      <c r="AD315" s="215" t="s">
        <v>217</v>
      </c>
      <c r="AE315" s="215">
        <v>1</v>
      </c>
      <c r="AF315" s="215">
        <v>1</v>
      </c>
    </row>
    <row r="316" spans="1:32" x14ac:dyDescent="0.3">
      <c r="A316" s="215" t="s">
        <v>351</v>
      </c>
      <c r="B316" s="215" t="s">
        <v>51</v>
      </c>
      <c r="C316" s="215" t="s">
        <v>258</v>
      </c>
      <c r="D316" s="215" t="s">
        <v>310</v>
      </c>
      <c r="E316" s="215" t="s">
        <v>928</v>
      </c>
      <c r="F316" s="15">
        <v>46247.655405092592</v>
      </c>
      <c r="G316" s="215" t="s">
        <v>421</v>
      </c>
      <c r="H316" s="215">
        <v>120</v>
      </c>
      <c r="I316" s="215" t="s">
        <v>929</v>
      </c>
      <c r="J316" s="15">
        <v>46247.70208333333</v>
      </c>
      <c r="K316" s="15">
        <v>46253.604166666664</v>
      </c>
      <c r="L316" s="15"/>
      <c r="M316" s="215">
        <v>120</v>
      </c>
      <c r="N316" s="215"/>
      <c r="O316" s="215" t="s">
        <v>201</v>
      </c>
      <c r="P316" s="215" t="s">
        <v>531</v>
      </c>
      <c r="Q316" s="215"/>
      <c r="R316" s="215"/>
      <c r="S316" s="215" t="s">
        <v>364</v>
      </c>
      <c r="T316" s="215" t="s">
        <v>379</v>
      </c>
      <c r="U316" s="215" t="s">
        <v>239</v>
      </c>
      <c r="V316" s="215" t="s">
        <v>7</v>
      </c>
      <c r="W316" s="215" t="s">
        <v>7</v>
      </c>
      <c r="X316" s="215" t="s">
        <v>7</v>
      </c>
      <c r="Y316" s="215"/>
      <c r="Z316" s="215"/>
      <c r="AA316" s="215" t="s">
        <v>238</v>
      </c>
      <c r="AB316" s="215" t="s">
        <v>364</v>
      </c>
      <c r="AC316" s="215">
        <v>1050</v>
      </c>
      <c r="AD316" s="215" t="s">
        <v>7</v>
      </c>
      <c r="AE316" s="215"/>
      <c r="AF316" s="215">
        <v>0</v>
      </c>
    </row>
    <row r="317" spans="1:32" x14ac:dyDescent="0.3">
      <c r="A317" s="215" t="s">
        <v>351</v>
      </c>
      <c r="B317" s="215" t="s">
        <v>45</v>
      </c>
      <c r="C317" s="215" t="s">
        <v>68</v>
      </c>
      <c r="D317" s="215" t="s">
        <v>310</v>
      </c>
      <c r="E317" s="215" t="s">
        <v>918</v>
      </c>
      <c r="F317" s="15">
        <v>46252.385625000003</v>
      </c>
      <c r="G317" s="215" t="s">
        <v>415</v>
      </c>
      <c r="H317" s="215">
        <v>45</v>
      </c>
      <c r="I317" s="215" t="s">
        <v>919</v>
      </c>
      <c r="J317" s="15">
        <v>46252.684027777781</v>
      </c>
      <c r="K317" s="15">
        <v>46254.560416666667</v>
      </c>
      <c r="L317" s="15"/>
      <c r="M317" s="215">
        <v>45</v>
      </c>
      <c r="N317" s="215"/>
      <c r="O317" s="215" t="s">
        <v>201</v>
      </c>
      <c r="P317" s="215" t="s">
        <v>531</v>
      </c>
      <c r="Q317" s="215"/>
      <c r="R317" s="215"/>
      <c r="S317" s="215" t="s">
        <v>364</v>
      </c>
      <c r="T317" s="215" t="s">
        <v>379</v>
      </c>
      <c r="U317" s="215" t="s">
        <v>239</v>
      </c>
      <c r="V317" s="215" t="s">
        <v>351</v>
      </c>
      <c r="W317" s="215" t="s">
        <v>378</v>
      </c>
      <c r="X317" s="215" t="s">
        <v>239</v>
      </c>
      <c r="Y317" s="215">
        <v>0</v>
      </c>
      <c r="Z317" s="215"/>
      <c r="AA317" s="215" t="s">
        <v>67</v>
      </c>
      <c r="AB317" s="215" t="s">
        <v>364</v>
      </c>
      <c r="AC317" s="215">
        <v>1050</v>
      </c>
      <c r="AD317" s="215" t="s">
        <v>217</v>
      </c>
      <c r="AE317" s="215">
        <v>4.5</v>
      </c>
      <c r="AF317" s="215">
        <v>1</v>
      </c>
    </row>
    <row r="318" spans="1:32" x14ac:dyDescent="0.3">
      <c r="A318" s="215" t="s">
        <v>351</v>
      </c>
      <c r="B318" s="215" t="s">
        <v>45</v>
      </c>
      <c r="C318" s="215" t="s">
        <v>68</v>
      </c>
      <c r="D318" s="215" t="s">
        <v>310</v>
      </c>
      <c r="E318" s="215" t="s">
        <v>920</v>
      </c>
      <c r="F318" s="15">
        <v>46251.574641203704</v>
      </c>
      <c r="G318" s="215" t="s">
        <v>421</v>
      </c>
      <c r="H318" s="215">
        <v>15</v>
      </c>
      <c r="I318" s="215" t="s">
        <v>921</v>
      </c>
      <c r="J318" s="15">
        <v>46252.347222222219</v>
      </c>
      <c r="K318" s="15">
        <v>46253.486111111109</v>
      </c>
      <c r="L318" s="15"/>
      <c r="M318" s="215">
        <v>15</v>
      </c>
      <c r="N318" s="215"/>
      <c r="O318" s="215" t="s">
        <v>201</v>
      </c>
      <c r="P318" s="215" t="s">
        <v>531</v>
      </c>
      <c r="Q318" s="215"/>
      <c r="R318" s="215"/>
      <c r="S318" s="215" t="s">
        <v>364</v>
      </c>
      <c r="T318" s="215" t="s">
        <v>379</v>
      </c>
      <c r="U318" s="215" t="s">
        <v>239</v>
      </c>
      <c r="V318" s="215" t="s">
        <v>351</v>
      </c>
      <c r="W318" s="215" t="s">
        <v>378</v>
      </c>
      <c r="X318" s="215" t="s">
        <v>239</v>
      </c>
      <c r="Y318" s="215"/>
      <c r="Z318" s="215"/>
      <c r="AA318" s="215" t="s">
        <v>67</v>
      </c>
      <c r="AB318" s="215" t="s">
        <v>364</v>
      </c>
      <c r="AC318" s="215">
        <v>1050</v>
      </c>
      <c r="AD318" s="215" t="s">
        <v>217</v>
      </c>
      <c r="AE318" s="215">
        <v>1.5</v>
      </c>
      <c r="AF318" s="215">
        <v>1</v>
      </c>
    </row>
    <row r="319" spans="1:32" x14ac:dyDescent="0.3">
      <c r="A319" s="215" t="s">
        <v>351</v>
      </c>
      <c r="B319" s="215" t="s">
        <v>45</v>
      </c>
      <c r="C319" s="215" t="s">
        <v>68</v>
      </c>
      <c r="D319" s="215" t="s">
        <v>310</v>
      </c>
      <c r="E319" s="215" t="s">
        <v>922</v>
      </c>
      <c r="F319" s="15">
        <v>46224.403738425928</v>
      </c>
      <c r="G319" s="215" t="s">
        <v>415</v>
      </c>
      <c r="H319" s="215">
        <v>50</v>
      </c>
      <c r="I319" s="215" t="s">
        <v>923</v>
      </c>
      <c r="J319" s="15">
        <v>46224.678472222222</v>
      </c>
      <c r="K319" s="15">
        <v>46227.503472222219</v>
      </c>
      <c r="L319" s="15"/>
      <c r="M319" s="215">
        <v>50</v>
      </c>
      <c r="N319" s="215"/>
      <c r="O319" s="215" t="s">
        <v>201</v>
      </c>
      <c r="P319" s="215" t="s">
        <v>531</v>
      </c>
      <c r="Q319" s="215"/>
      <c r="R319" s="215"/>
      <c r="S319" s="215" t="s">
        <v>364</v>
      </c>
      <c r="T319" s="215" t="s">
        <v>379</v>
      </c>
      <c r="U319" s="215" t="s">
        <v>239</v>
      </c>
      <c r="V319" s="215" t="s">
        <v>351</v>
      </c>
      <c r="W319" s="215" t="s">
        <v>378</v>
      </c>
      <c r="X319" s="215" t="s">
        <v>239</v>
      </c>
      <c r="Y319" s="215">
        <v>0</v>
      </c>
      <c r="Z319" s="215"/>
      <c r="AA319" s="215" t="s">
        <v>67</v>
      </c>
      <c r="AB319" s="215" t="s">
        <v>364</v>
      </c>
      <c r="AC319" s="215">
        <v>1050</v>
      </c>
      <c r="AD319" s="215" t="s">
        <v>217</v>
      </c>
      <c r="AE319" s="215">
        <v>5</v>
      </c>
      <c r="AF319" s="215">
        <v>1</v>
      </c>
    </row>
    <row r="320" spans="1:32" x14ac:dyDescent="0.3">
      <c r="A320" s="215" t="s">
        <v>351</v>
      </c>
      <c r="B320" s="215" t="s">
        <v>45</v>
      </c>
      <c r="C320" s="215" t="s">
        <v>68</v>
      </c>
      <c r="D320" s="215" t="s">
        <v>310</v>
      </c>
      <c r="E320" s="215" t="s">
        <v>924</v>
      </c>
      <c r="F320" s="15">
        <v>46230.325821759259</v>
      </c>
      <c r="G320" s="215" t="s">
        <v>421</v>
      </c>
      <c r="H320" s="215">
        <v>22</v>
      </c>
      <c r="I320" s="215" t="s">
        <v>925</v>
      </c>
      <c r="J320" s="15">
        <v>46230.419444444444</v>
      </c>
      <c r="K320" s="15">
        <v>46232.520833333336</v>
      </c>
      <c r="L320" s="15"/>
      <c r="M320" s="215">
        <v>22</v>
      </c>
      <c r="N320" s="215"/>
      <c r="O320" s="215" t="s">
        <v>201</v>
      </c>
      <c r="P320" s="215" t="s">
        <v>531</v>
      </c>
      <c r="Q320" s="215"/>
      <c r="R320" s="215"/>
      <c r="S320" s="215" t="s">
        <v>364</v>
      </c>
      <c r="T320" s="215" t="s">
        <v>379</v>
      </c>
      <c r="U320" s="215" t="s">
        <v>239</v>
      </c>
      <c r="V320" s="215" t="s">
        <v>351</v>
      </c>
      <c r="W320" s="215" t="s">
        <v>378</v>
      </c>
      <c r="X320" s="215" t="s">
        <v>239</v>
      </c>
      <c r="Y320" s="215">
        <v>0</v>
      </c>
      <c r="Z320" s="215"/>
      <c r="AA320" s="215" t="s">
        <v>67</v>
      </c>
      <c r="AB320" s="215" t="s">
        <v>364</v>
      </c>
      <c r="AC320" s="215">
        <v>1050</v>
      </c>
      <c r="AD320" s="215" t="s">
        <v>217</v>
      </c>
      <c r="AE320" s="215">
        <v>2.2000000000000002</v>
      </c>
      <c r="AF320" s="215">
        <v>1</v>
      </c>
    </row>
    <row r="321" spans="1:32" x14ac:dyDescent="0.3">
      <c r="A321" s="215" t="s">
        <v>351</v>
      </c>
      <c r="B321" s="215" t="s">
        <v>48</v>
      </c>
      <c r="C321" s="215" t="s">
        <v>68</v>
      </c>
      <c r="D321" s="215" t="s">
        <v>310</v>
      </c>
      <c r="E321" s="215" t="s">
        <v>976</v>
      </c>
      <c r="F321" s="15">
        <v>46226.544976851852</v>
      </c>
      <c r="G321" s="215" t="s">
        <v>415</v>
      </c>
      <c r="H321" s="215">
        <v>1</v>
      </c>
      <c r="I321" s="215" t="s">
        <v>977</v>
      </c>
      <c r="J321" s="15">
        <v>46227.467361111114</v>
      </c>
      <c r="K321" s="15">
        <v>46230.449305555558</v>
      </c>
      <c r="L321" s="15"/>
      <c r="M321" s="215">
        <v>1</v>
      </c>
      <c r="N321" s="215"/>
      <c r="O321" s="215" t="s">
        <v>201</v>
      </c>
      <c r="P321" s="215" t="s">
        <v>532</v>
      </c>
      <c r="Q321" s="215"/>
      <c r="R321" s="215"/>
      <c r="S321" s="215" t="s">
        <v>364</v>
      </c>
      <c r="T321" s="215" t="s">
        <v>379</v>
      </c>
      <c r="U321" s="215" t="s">
        <v>239</v>
      </c>
      <c r="V321" s="215" t="s">
        <v>351</v>
      </c>
      <c r="W321" s="215" t="s">
        <v>378</v>
      </c>
      <c r="X321" s="215" t="s">
        <v>239</v>
      </c>
      <c r="Y321" s="215">
        <v>0</v>
      </c>
      <c r="Z321" s="215"/>
      <c r="AA321" s="215" t="s">
        <v>90</v>
      </c>
      <c r="AB321" s="215" t="s">
        <v>364</v>
      </c>
      <c r="AC321" s="215">
        <v>1050</v>
      </c>
      <c r="AD321" s="215" t="s">
        <v>217</v>
      </c>
      <c r="AE321" s="215">
        <v>1</v>
      </c>
      <c r="AF321" s="215">
        <v>1</v>
      </c>
    </row>
    <row r="322" spans="1:32" x14ac:dyDescent="0.3">
      <c r="A322" s="215" t="s">
        <v>352</v>
      </c>
      <c r="B322" s="215" t="s">
        <v>43</v>
      </c>
      <c r="C322" s="215" t="s">
        <v>105</v>
      </c>
      <c r="D322" s="215" t="s">
        <v>310</v>
      </c>
      <c r="E322" s="215" t="s">
        <v>1104</v>
      </c>
      <c r="F322" s="15">
        <v>46251.397696759261</v>
      </c>
      <c r="G322" s="215" t="s">
        <v>412</v>
      </c>
      <c r="H322" s="215">
        <v>1</v>
      </c>
      <c r="I322" s="215" t="s">
        <v>1105</v>
      </c>
      <c r="J322" s="15">
        <v>46252.372916666667</v>
      </c>
      <c r="K322" s="15">
        <v>46255.615277777775</v>
      </c>
      <c r="L322" s="15">
        <v>46255</v>
      </c>
      <c r="M322" s="215">
        <v>1</v>
      </c>
      <c r="N322" s="215"/>
      <c r="O322" s="215" t="s">
        <v>201</v>
      </c>
      <c r="P322" s="215" t="s">
        <v>531</v>
      </c>
      <c r="Q322" s="215"/>
      <c r="R322" s="215"/>
      <c r="S322" s="215" t="s">
        <v>1106</v>
      </c>
      <c r="T322" s="215" t="s">
        <v>1107</v>
      </c>
      <c r="U322" s="215" t="s">
        <v>261</v>
      </c>
      <c r="V322" s="215" t="s">
        <v>352</v>
      </c>
      <c r="W322" s="215" t="s">
        <v>403</v>
      </c>
      <c r="X322" s="215" t="s">
        <v>261</v>
      </c>
      <c r="Y322" s="215">
        <v>0</v>
      </c>
      <c r="Z322" s="215"/>
      <c r="AA322" s="215" t="s">
        <v>67</v>
      </c>
      <c r="AB322" s="215" t="s">
        <v>1106</v>
      </c>
      <c r="AC322" s="215">
        <v>2300</v>
      </c>
      <c r="AD322" s="215" t="s">
        <v>217</v>
      </c>
      <c r="AE322" s="215">
        <v>1</v>
      </c>
      <c r="AF322" s="215">
        <v>1</v>
      </c>
    </row>
    <row r="323" spans="1:32" x14ac:dyDescent="0.3">
      <c r="A323" s="215" t="s">
        <v>352</v>
      </c>
      <c r="B323" s="215" t="s">
        <v>63</v>
      </c>
      <c r="C323" s="215" t="s">
        <v>95</v>
      </c>
      <c r="D323" s="215" t="s">
        <v>310</v>
      </c>
      <c r="E323" s="215" t="s">
        <v>828</v>
      </c>
      <c r="F323" s="15">
        <v>46239.427071759259</v>
      </c>
      <c r="G323" s="215" t="s">
        <v>412</v>
      </c>
      <c r="H323" s="215">
        <v>18</v>
      </c>
      <c r="I323" s="215" t="s">
        <v>1108</v>
      </c>
      <c r="J323" s="15">
        <v>46240.370833333334</v>
      </c>
      <c r="K323" s="15">
        <v>46253.495833333334</v>
      </c>
      <c r="L323" s="15"/>
      <c r="M323" s="215">
        <v>18</v>
      </c>
      <c r="N323" s="215"/>
      <c r="O323" s="215" t="s">
        <v>201</v>
      </c>
      <c r="P323" s="215" t="s">
        <v>532</v>
      </c>
      <c r="Q323" s="215"/>
      <c r="R323" s="215"/>
      <c r="S323" s="215" t="s">
        <v>1106</v>
      </c>
      <c r="T323" s="215" t="s">
        <v>1107</v>
      </c>
      <c r="U323" s="215" t="s">
        <v>261</v>
      </c>
      <c r="V323" s="215" t="s">
        <v>7</v>
      </c>
      <c r="W323" s="215" t="s">
        <v>7</v>
      </c>
      <c r="X323" s="215" t="s">
        <v>7</v>
      </c>
      <c r="Y323" s="215"/>
      <c r="Z323" s="215"/>
      <c r="AA323" s="215" t="s">
        <v>96</v>
      </c>
      <c r="AB323" s="215" t="s">
        <v>1106</v>
      </c>
      <c r="AC323" s="215">
        <v>2300</v>
      </c>
      <c r="AD323" s="215" t="s">
        <v>225</v>
      </c>
      <c r="AE323" s="215">
        <v>18</v>
      </c>
      <c r="AF323" s="215">
        <v>30.78</v>
      </c>
    </row>
    <row r="324" spans="1:32" x14ac:dyDescent="0.3">
      <c r="A324" s="215" t="s">
        <v>352</v>
      </c>
      <c r="B324" s="215" t="s">
        <v>57</v>
      </c>
      <c r="C324" s="215" t="s">
        <v>117</v>
      </c>
      <c r="D324" s="215" t="s">
        <v>310</v>
      </c>
      <c r="E324" s="215" t="s">
        <v>828</v>
      </c>
      <c r="F324" s="15">
        <v>46239.427071759259</v>
      </c>
      <c r="G324" s="215" t="s">
        <v>412</v>
      </c>
      <c r="H324" s="215">
        <v>18</v>
      </c>
      <c r="I324" s="215" t="s">
        <v>1108</v>
      </c>
      <c r="J324" s="15">
        <v>46240.370833333334</v>
      </c>
      <c r="K324" s="15">
        <v>46253.495833333334</v>
      </c>
      <c r="L324" s="15"/>
      <c r="M324" s="215">
        <v>18</v>
      </c>
      <c r="N324" s="215"/>
      <c r="O324" s="215" t="s">
        <v>201</v>
      </c>
      <c r="P324" s="215" t="s">
        <v>532</v>
      </c>
      <c r="Q324" s="215"/>
      <c r="R324" s="215"/>
      <c r="S324" s="215" t="s">
        <v>1106</v>
      </c>
      <c r="T324" s="215" t="s">
        <v>1107</v>
      </c>
      <c r="U324" s="215" t="s">
        <v>261</v>
      </c>
      <c r="V324" s="215" t="s">
        <v>7</v>
      </c>
      <c r="W324" s="215" t="s">
        <v>7</v>
      </c>
      <c r="X324" s="215" t="s">
        <v>7</v>
      </c>
      <c r="Y324" s="215"/>
      <c r="Z324" s="215"/>
      <c r="AA324" s="215" t="s">
        <v>127</v>
      </c>
      <c r="AB324" s="215" t="s">
        <v>1106</v>
      </c>
      <c r="AC324" s="215">
        <v>2300</v>
      </c>
      <c r="AD324" s="215" t="s">
        <v>233</v>
      </c>
      <c r="AE324" s="215">
        <v>1.8</v>
      </c>
      <c r="AF324" s="215"/>
    </row>
    <row r="325" spans="1:32" x14ac:dyDescent="0.3">
      <c r="A325" s="215" t="s">
        <v>352</v>
      </c>
      <c r="B325" s="215" t="s">
        <v>279</v>
      </c>
      <c r="C325" s="215" t="s">
        <v>197</v>
      </c>
      <c r="D325" s="215" t="s">
        <v>310</v>
      </c>
      <c r="E325" s="215" t="s">
        <v>828</v>
      </c>
      <c r="F325" s="15">
        <v>46239.427071759259</v>
      </c>
      <c r="G325" s="215" t="s">
        <v>412</v>
      </c>
      <c r="H325" s="215">
        <v>18</v>
      </c>
      <c r="I325" s="215" t="s">
        <v>1108</v>
      </c>
      <c r="J325" s="15">
        <v>46240.370833333334</v>
      </c>
      <c r="K325" s="15">
        <v>46253.495833333334</v>
      </c>
      <c r="L325" s="15"/>
      <c r="M325" s="215">
        <v>18</v>
      </c>
      <c r="N325" s="215"/>
      <c r="O325" s="215" t="s">
        <v>201</v>
      </c>
      <c r="P325" s="215" t="s">
        <v>531</v>
      </c>
      <c r="Q325" s="215"/>
      <c r="R325" s="215"/>
      <c r="S325" s="215" t="s">
        <v>1106</v>
      </c>
      <c r="T325" s="215" t="s">
        <v>1107</v>
      </c>
      <c r="U325" s="215" t="s">
        <v>261</v>
      </c>
      <c r="V325" s="215" t="s">
        <v>7</v>
      </c>
      <c r="W325" s="215" t="s">
        <v>7</v>
      </c>
      <c r="X325" s="215" t="s">
        <v>7</v>
      </c>
      <c r="Y325" s="215"/>
      <c r="Z325" s="215">
        <v>16</v>
      </c>
      <c r="AA325" s="215" t="s">
        <v>122</v>
      </c>
      <c r="AB325" s="215" t="s">
        <v>1106</v>
      </c>
      <c r="AC325" s="215">
        <v>2300</v>
      </c>
      <c r="AD325" s="215" t="s">
        <v>232</v>
      </c>
      <c r="AE325" s="215">
        <v>288</v>
      </c>
      <c r="AF325" s="215"/>
    </row>
    <row r="326" spans="1:32" x14ac:dyDescent="0.3">
      <c r="A326" s="215" t="s">
        <v>352</v>
      </c>
      <c r="B326" s="215" t="s">
        <v>45</v>
      </c>
      <c r="C326" s="215" t="s">
        <v>68</v>
      </c>
      <c r="D326" s="215" t="s">
        <v>310</v>
      </c>
      <c r="E326" s="215" t="s">
        <v>1109</v>
      </c>
      <c r="F326" s="15">
        <v>46251.388148148151</v>
      </c>
      <c r="G326" s="215" t="s">
        <v>1110</v>
      </c>
      <c r="H326" s="215">
        <v>10</v>
      </c>
      <c r="I326" s="215" t="s">
        <v>1111</v>
      </c>
      <c r="J326" s="15">
        <v>46251.484722222223</v>
      </c>
      <c r="K326" s="15">
        <v>46255.618055555555</v>
      </c>
      <c r="L326" s="15">
        <v>46255.486111111109</v>
      </c>
      <c r="M326" s="215">
        <v>10</v>
      </c>
      <c r="N326" s="215"/>
      <c r="O326" s="215" t="s">
        <v>201</v>
      </c>
      <c r="P326" s="215" t="s">
        <v>531</v>
      </c>
      <c r="Q326" s="215"/>
      <c r="R326" s="215"/>
      <c r="S326" s="215" t="s">
        <v>1106</v>
      </c>
      <c r="T326" s="215" t="s">
        <v>1107</v>
      </c>
      <c r="U326" s="215" t="s">
        <v>261</v>
      </c>
      <c r="V326" s="215" t="s">
        <v>352</v>
      </c>
      <c r="W326" s="215" t="s">
        <v>403</v>
      </c>
      <c r="X326" s="215" t="s">
        <v>261</v>
      </c>
      <c r="Y326" s="215">
        <v>0</v>
      </c>
      <c r="Z326" s="215"/>
      <c r="AA326" s="215" t="s">
        <v>67</v>
      </c>
      <c r="AB326" s="215" t="s">
        <v>1106</v>
      </c>
      <c r="AC326" s="215">
        <v>2300</v>
      </c>
      <c r="AD326" s="215" t="s">
        <v>217</v>
      </c>
      <c r="AE326" s="215">
        <v>1</v>
      </c>
      <c r="AF326" s="215"/>
    </row>
    <row r="327" spans="1:32" x14ac:dyDescent="0.3">
      <c r="A327" s="215" t="s">
        <v>352</v>
      </c>
      <c r="B327" s="215" t="s">
        <v>51</v>
      </c>
      <c r="C327" s="215" t="s">
        <v>258</v>
      </c>
      <c r="D327" s="215" t="s">
        <v>310</v>
      </c>
      <c r="E327" s="215" t="s">
        <v>1114</v>
      </c>
      <c r="F327" s="15">
        <v>46252.367824074077</v>
      </c>
      <c r="G327" s="215" t="s">
        <v>1110</v>
      </c>
      <c r="H327" s="215">
        <v>150</v>
      </c>
      <c r="I327" s="215" t="s">
        <v>1115</v>
      </c>
      <c r="J327" s="15">
        <v>46253.532638888886</v>
      </c>
      <c r="K327" s="15">
        <v>46255.618055555555</v>
      </c>
      <c r="L327" s="15"/>
      <c r="M327" s="215">
        <v>150</v>
      </c>
      <c r="N327" s="215"/>
      <c r="O327" s="215" t="s">
        <v>201</v>
      </c>
      <c r="P327" s="215" t="s">
        <v>531</v>
      </c>
      <c r="Q327" s="215"/>
      <c r="R327" s="215"/>
      <c r="S327" s="215" t="s">
        <v>1106</v>
      </c>
      <c r="T327" s="215" t="s">
        <v>1107</v>
      </c>
      <c r="U327" s="215" t="s">
        <v>261</v>
      </c>
      <c r="V327" s="215" t="s">
        <v>7</v>
      </c>
      <c r="W327" s="215" t="s">
        <v>7</v>
      </c>
      <c r="X327" s="215" t="s">
        <v>7</v>
      </c>
      <c r="Y327" s="215"/>
      <c r="Z327" s="215"/>
      <c r="AA327" s="215" t="s">
        <v>238</v>
      </c>
      <c r="AB327" s="215" t="s">
        <v>1106</v>
      </c>
      <c r="AC327" s="215">
        <v>2300</v>
      </c>
      <c r="AD327" s="215" t="s">
        <v>7</v>
      </c>
      <c r="AE327" s="215"/>
      <c r="AF327" s="215">
        <v>0</v>
      </c>
    </row>
    <row r="328" spans="1:32" x14ac:dyDescent="0.3">
      <c r="A328" s="215" t="s">
        <v>352</v>
      </c>
      <c r="B328" s="215" t="s">
        <v>45</v>
      </c>
      <c r="C328" s="215" t="s">
        <v>68</v>
      </c>
      <c r="D328" s="215" t="s">
        <v>310</v>
      </c>
      <c r="E328" s="215" t="s">
        <v>1112</v>
      </c>
      <c r="F328" s="15">
        <v>46251.394097222219</v>
      </c>
      <c r="G328" s="215" t="s">
        <v>1110</v>
      </c>
      <c r="H328" s="215">
        <v>5</v>
      </c>
      <c r="I328" s="215" t="s">
        <v>1113</v>
      </c>
      <c r="J328" s="15">
        <v>46251.520138888889</v>
      </c>
      <c r="K328" s="15">
        <v>46255.615277777775</v>
      </c>
      <c r="L328" s="15">
        <v>46255.520138888889</v>
      </c>
      <c r="M328" s="215">
        <v>5</v>
      </c>
      <c r="N328" s="215"/>
      <c r="O328" s="215" t="s">
        <v>201</v>
      </c>
      <c r="P328" s="215" t="s">
        <v>531</v>
      </c>
      <c r="Q328" s="215"/>
      <c r="R328" s="215"/>
      <c r="S328" s="215" t="s">
        <v>1106</v>
      </c>
      <c r="T328" s="215" t="s">
        <v>1107</v>
      </c>
      <c r="U328" s="215" t="s">
        <v>261</v>
      </c>
      <c r="V328" s="215" t="s">
        <v>352</v>
      </c>
      <c r="W328" s="215" t="s">
        <v>403</v>
      </c>
      <c r="X328" s="215" t="s">
        <v>261</v>
      </c>
      <c r="Y328" s="215"/>
      <c r="Z328" s="215"/>
      <c r="AA328" s="215" t="s">
        <v>67</v>
      </c>
      <c r="AB328" s="215" t="s">
        <v>1106</v>
      </c>
      <c r="AC328" s="215">
        <v>2300</v>
      </c>
      <c r="AD328" s="215" t="s">
        <v>217</v>
      </c>
      <c r="AE328" s="215">
        <v>1</v>
      </c>
      <c r="AF328" s="215"/>
    </row>
    <row r="329" spans="1:32" x14ac:dyDescent="0.3">
      <c r="A329" s="215" t="s">
        <v>352</v>
      </c>
      <c r="B329" s="215" t="s">
        <v>48</v>
      </c>
      <c r="C329" s="215" t="s">
        <v>68</v>
      </c>
      <c r="D329" s="215" t="s">
        <v>310</v>
      </c>
      <c r="E329" s="215" t="s">
        <v>1116</v>
      </c>
      <c r="F329" s="15">
        <v>46226.72587962963</v>
      </c>
      <c r="G329" s="215" t="s">
        <v>412</v>
      </c>
      <c r="H329" s="215">
        <v>1</v>
      </c>
      <c r="I329" s="215" t="s">
        <v>1117</v>
      </c>
      <c r="J329" s="15">
        <v>46227.348449074074</v>
      </c>
      <c r="K329" s="15">
        <v>46232.441666666666</v>
      </c>
      <c r="L329" s="15">
        <v>46232.441666666666</v>
      </c>
      <c r="M329" s="215">
        <v>1</v>
      </c>
      <c r="N329" s="215"/>
      <c r="O329" s="215" t="s">
        <v>201</v>
      </c>
      <c r="P329" s="215" t="s">
        <v>531</v>
      </c>
      <c r="Q329" s="215"/>
      <c r="R329" s="215"/>
      <c r="S329" s="215" t="s">
        <v>1106</v>
      </c>
      <c r="T329" s="215" t="s">
        <v>1107</v>
      </c>
      <c r="U329" s="215" t="s">
        <v>261</v>
      </c>
      <c r="V329" s="215" t="s">
        <v>352</v>
      </c>
      <c r="W329" s="215" t="s">
        <v>403</v>
      </c>
      <c r="X329" s="215" t="s">
        <v>261</v>
      </c>
      <c r="Y329" s="215">
        <v>0</v>
      </c>
      <c r="Z329" s="215"/>
      <c r="AA329" s="215" t="s">
        <v>90</v>
      </c>
      <c r="AB329" s="215" t="s">
        <v>1106</v>
      </c>
      <c r="AC329" s="215">
        <v>2300</v>
      </c>
      <c r="AD329" s="215" t="s">
        <v>217</v>
      </c>
      <c r="AE329" s="215">
        <v>1</v>
      </c>
      <c r="AF329" s="215">
        <v>1</v>
      </c>
    </row>
    <row r="330" spans="1:32" x14ac:dyDescent="0.3">
      <c r="A330" s="215" t="s">
        <v>352</v>
      </c>
      <c r="B330" s="215" t="s">
        <v>45</v>
      </c>
      <c r="C330" s="215" t="s">
        <v>68</v>
      </c>
      <c r="D330" s="215" t="s">
        <v>310</v>
      </c>
      <c r="E330" s="215" t="s">
        <v>1118</v>
      </c>
      <c r="F330" s="15">
        <v>46219.31449074074</v>
      </c>
      <c r="G330" s="215" t="s">
        <v>1110</v>
      </c>
      <c r="H330" s="215">
        <v>9</v>
      </c>
      <c r="I330" s="215" t="s">
        <v>1119</v>
      </c>
      <c r="J330" s="15">
        <v>46219.41547453704</v>
      </c>
      <c r="K330" s="15">
        <v>46232.447916666664</v>
      </c>
      <c r="L330" s="15">
        <v>46224.708333333336</v>
      </c>
      <c r="M330" s="215">
        <v>9</v>
      </c>
      <c r="N330" s="215"/>
      <c r="O330" s="215" t="s">
        <v>201</v>
      </c>
      <c r="P330" s="215" t="s">
        <v>531</v>
      </c>
      <c r="Q330" s="215"/>
      <c r="R330" s="215"/>
      <c r="S330" s="215" t="s">
        <v>1106</v>
      </c>
      <c r="T330" s="215" t="s">
        <v>1107</v>
      </c>
      <c r="U330" s="215" t="s">
        <v>261</v>
      </c>
      <c r="V330" s="215" t="s">
        <v>352</v>
      </c>
      <c r="W330" s="215" t="s">
        <v>403</v>
      </c>
      <c r="X330" s="215" t="s">
        <v>261</v>
      </c>
      <c r="Y330" s="215">
        <v>0</v>
      </c>
      <c r="Z330" s="215"/>
      <c r="AA330" s="215" t="s">
        <v>67</v>
      </c>
      <c r="AB330" s="215" t="s">
        <v>1106</v>
      </c>
      <c r="AC330" s="215">
        <v>2300</v>
      </c>
      <c r="AD330" s="215" t="s">
        <v>217</v>
      </c>
      <c r="AE330" s="215">
        <v>1</v>
      </c>
      <c r="AF330" s="215"/>
    </row>
    <row r="331" spans="1:32" x14ac:dyDescent="0.3">
      <c r="A331" s="215" t="s">
        <v>353</v>
      </c>
      <c r="B331" s="215" t="s">
        <v>57</v>
      </c>
      <c r="C331" s="215" t="s">
        <v>117</v>
      </c>
      <c r="D331" s="215" t="s">
        <v>310</v>
      </c>
      <c r="E331" s="215" t="s">
        <v>1120</v>
      </c>
      <c r="F331" s="15">
        <v>46241.564421296294</v>
      </c>
      <c r="G331" s="215" t="s">
        <v>439</v>
      </c>
      <c r="H331" s="215">
        <v>3</v>
      </c>
      <c r="I331" s="215" t="s">
        <v>1121</v>
      </c>
      <c r="J331" s="15">
        <v>46248.417361111111</v>
      </c>
      <c r="K331" s="15">
        <v>46254.490972222222</v>
      </c>
      <c r="L331" s="15"/>
      <c r="M331" s="215">
        <v>3</v>
      </c>
      <c r="N331" s="215"/>
      <c r="O331" s="215" t="s">
        <v>201</v>
      </c>
      <c r="P331" s="215" t="s">
        <v>532</v>
      </c>
      <c r="Q331" s="215"/>
      <c r="R331" s="215"/>
      <c r="S331" s="215" t="s">
        <v>373</v>
      </c>
      <c r="T331" s="215" t="s">
        <v>387</v>
      </c>
      <c r="U331" s="215" t="s">
        <v>293</v>
      </c>
      <c r="V331" s="215" t="s">
        <v>7</v>
      </c>
      <c r="W331" s="215" t="s">
        <v>7</v>
      </c>
      <c r="X331" s="215" t="s">
        <v>7</v>
      </c>
      <c r="Y331" s="215"/>
      <c r="Z331" s="215"/>
      <c r="AA331" s="215" t="s">
        <v>127</v>
      </c>
      <c r="AB331" s="215" t="s">
        <v>407</v>
      </c>
      <c r="AC331" s="215">
        <v>2940</v>
      </c>
      <c r="AD331" s="215" t="s">
        <v>233</v>
      </c>
      <c r="AE331" s="215">
        <v>1</v>
      </c>
      <c r="AF331" s="215">
        <v>78.66</v>
      </c>
    </row>
    <row r="332" spans="1:32" x14ac:dyDescent="0.3">
      <c r="A332" s="215" t="s">
        <v>353</v>
      </c>
      <c r="B332" s="215" t="s">
        <v>57</v>
      </c>
      <c r="C332" s="215" t="s">
        <v>117</v>
      </c>
      <c r="D332" s="215" t="s">
        <v>310</v>
      </c>
      <c r="E332" s="215" t="s">
        <v>1120</v>
      </c>
      <c r="F332" s="15">
        <v>46241.564421296294</v>
      </c>
      <c r="G332" s="215" t="s">
        <v>439</v>
      </c>
      <c r="H332" s="215">
        <v>26</v>
      </c>
      <c r="I332" s="215" t="s">
        <v>1121</v>
      </c>
      <c r="J332" s="15">
        <v>46248.417361111111</v>
      </c>
      <c r="K332" s="15">
        <v>46254.490972222222</v>
      </c>
      <c r="L332" s="15"/>
      <c r="M332" s="215">
        <v>26</v>
      </c>
      <c r="N332" s="215"/>
      <c r="O332" s="215" t="s">
        <v>529</v>
      </c>
      <c r="P332" s="215"/>
      <c r="Q332" s="215"/>
      <c r="R332" s="215"/>
      <c r="S332" s="215" t="s">
        <v>373</v>
      </c>
      <c r="T332" s="215" t="s">
        <v>387</v>
      </c>
      <c r="U332" s="215" t="s">
        <v>293</v>
      </c>
      <c r="V332" s="215" t="s">
        <v>7</v>
      </c>
      <c r="W332" s="215" t="s">
        <v>7</v>
      </c>
      <c r="X332" s="215" t="s">
        <v>7</v>
      </c>
      <c r="Y332" s="215"/>
      <c r="Z332" s="215"/>
      <c r="AA332" s="215" t="s">
        <v>127</v>
      </c>
      <c r="AB332" s="215" t="s">
        <v>407</v>
      </c>
      <c r="AC332" s="215">
        <v>2940</v>
      </c>
      <c r="AD332" s="215" t="s">
        <v>233</v>
      </c>
      <c r="AE332" s="215">
        <v>2.6</v>
      </c>
      <c r="AF332" s="215"/>
    </row>
    <row r="333" spans="1:32" x14ac:dyDescent="0.3">
      <c r="A333" s="215" t="s">
        <v>353</v>
      </c>
      <c r="B333" s="215" t="s">
        <v>57</v>
      </c>
      <c r="C333" s="215" t="s">
        <v>117</v>
      </c>
      <c r="D333" s="215" t="s">
        <v>310</v>
      </c>
      <c r="E333" s="215" t="s">
        <v>1120</v>
      </c>
      <c r="F333" s="15">
        <v>46241.564421296294</v>
      </c>
      <c r="G333" s="215" t="s">
        <v>439</v>
      </c>
      <c r="H333" s="215">
        <v>6</v>
      </c>
      <c r="I333" s="215" t="s">
        <v>1121</v>
      </c>
      <c r="J333" s="15">
        <v>46248.417361111111</v>
      </c>
      <c r="K333" s="15">
        <v>46254.490972222222</v>
      </c>
      <c r="L333" s="15"/>
      <c r="M333" s="215">
        <v>6</v>
      </c>
      <c r="N333" s="215"/>
      <c r="O333" s="215" t="s">
        <v>529</v>
      </c>
      <c r="P333" s="215"/>
      <c r="Q333" s="215"/>
      <c r="R333" s="215"/>
      <c r="S333" s="215" t="s">
        <v>373</v>
      </c>
      <c r="T333" s="215" t="s">
        <v>387</v>
      </c>
      <c r="U333" s="215" t="s">
        <v>293</v>
      </c>
      <c r="V333" s="215" t="s">
        <v>7</v>
      </c>
      <c r="W333" s="215" t="s">
        <v>7</v>
      </c>
      <c r="X333" s="215" t="s">
        <v>7</v>
      </c>
      <c r="Y333" s="215"/>
      <c r="Z333" s="215"/>
      <c r="AA333" s="215" t="s">
        <v>127</v>
      </c>
      <c r="AB333" s="215" t="s">
        <v>407</v>
      </c>
      <c r="AC333" s="215">
        <v>2940</v>
      </c>
      <c r="AD333" s="215" t="s">
        <v>233</v>
      </c>
      <c r="AE333" s="215">
        <v>1</v>
      </c>
      <c r="AF333" s="215"/>
    </row>
    <row r="334" spans="1:32" x14ac:dyDescent="0.3">
      <c r="A334" s="215" t="s">
        <v>353</v>
      </c>
      <c r="B334" s="215" t="s">
        <v>57</v>
      </c>
      <c r="C334" s="215" t="s">
        <v>117</v>
      </c>
      <c r="D334" s="215" t="s">
        <v>310</v>
      </c>
      <c r="E334" s="215" t="s">
        <v>1120</v>
      </c>
      <c r="F334" s="15">
        <v>46241.564421296294</v>
      </c>
      <c r="G334" s="215" t="s">
        <v>439</v>
      </c>
      <c r="H334" s="215">
        <v>7</v>
      </c>
      <c r="I334" s="215" t="s">
        <v>1121</v>
      </c>
      <c r="J334" s="15">
        <v>46248.417361111111</v>
      </c>
      <c r="K334" s="15">
        <v>46254.490972222222</v>
      </c>
      <c r="L334" s="15"/>
      <c r="M334" s="215">
        <v>7</v>
      </c>
      <c r="N334" s="215"/>
      <c r="O334" s="215" t="s">
        <v>529</v>
      </c>
      <c r="P334" s="215"/>
      <c r="Q334" s="215"/>
      <c r="R334" s="215"/>
      <c r="S334" s="215" t="s">
        <v>373</v>
      </c>
      <c r="T334" s="215" t="s">
        <v>387</v>
      </c>
      <c r="U334" s="215" t="s">
        <v>293</v>
      </c>
      <c r="V334" s="215" t="s">
        <v>7</v>
      </c>
      <c r="W334" s="215" t="s">
        <v>7</v>
      </c>
      <c r="X334" s="215" t="s">
        <v>7</v>
      </c>
      <c r="Y334" s="215"/>
      <c r="Z334" s="215"/>
      <c r="AA334" s="215" t="s">
        <v>127</v>
      </c>
      <c r="AB334" s="215" t="s">
        <v>407</v>
      </c>
      <c r="AC334" s="215">
        <v>2940</v>
      </c>
      <c r="AD334" s="215" t="s">
        <v>233</v>
      </c>
      <c r="AE334" s="215">
        <v>1</v>
      </c>
      <c r="AF334" s="215"/>
    </row>
    <row r="335" spans="1:32" x14ac:dyDescent="0.3">
      <c r="A335" s="215" t="s">
        <v>353</v>
      </c>
      <c r="B335" s="215" t="s">
        <v>63</v>
      </c>
      <c r="C335" s="215" t="s">
        <v>95</v>
      </c>
      <c r="D335" s="215" t="s">
        <v>310</v>
      </c>
      <c r="E335" s="215" t="s">
        <v>1120</v>
      </c>
      <c r="F335" s="15">
        <v>46241.564421296294</v>
      </c>
      <c r="G335" s="215" t="s">
        <v>439</v>
      </c>
      <c r="H335" s="215">
        <v>6</v>
      </c>
      <c r="I335" s="215" t="s">
        <v>1121</v>
      </c>
      <c r="J335" s="15">
        <v>46248.417361111111</v>
      </c>
      <c r="K335" s="15">
        <v>46254.490972222222</v>
      </c>
      <c r="L335" s="15"/>
      <c r="M335" s="215">
        <v>6</v>
      </c>
      <c r="N335" s="215"/>
      <c r="O335" s="215" t="s">
        <v>201</v>
      </c>
      <c r="P335" s="215" t="s">
        <v>532</v>
      </c>
      <c r="Q335" s="215"/>
      <c r="R335" s="215"/>
      <c r="S335" s="215" t="s">
        <v>373</v>
      </c>
      <c r="T335" s="215" t="s">
        <v>387</v>
      </c>
      <c r="U335" s="215" t="s">
        <v>293</v>
      </c>
      <c r="V335" s="215" t="s">
        <v>7</v>
      </c>
      <c r="W335" s="215" t="s">
        <v>7</v>
      </c>
      <c r="X335" s="215" t="s">
        <v>7</v>
      </c>
      <c r="Y335" s="215"/>
      <c r="Z335" s="215"/>
      <c r="AA335" s="215" t="s">
        <v>96</v>
      </c>
      <c r="AB335" s="215" t="s">
        <v>407</v>
      </c>
      <c r="AC335" s="215">
        <v>2940</v>
      </c>
      <c r="AD335" s="215" t="s">
        <v>225</v>
      </c>
      <c r="AE335" s="215">
        <v>6</v>
      </c>
      <c r="AF335" s="215"/>
    </row>
    <row r="336" spans="1:32" x14ac:dyDescent="0.3">
      <c r="A336" s="215" t="s">
        <v>353</v>
      </c>
      <c r="B336" s="215" t="s">
        <v>63</v>
      </c>
      <c r="C336" s="215" t="s">
        <v>95</v>
      </c>
      <c r="D336" s="215" t="s">
        <v>310</v>
      </c>
      <c r="E336" s="215" t="s">
        <v>1120</v>
      </c>
      <c r="F336" s="15">
        <v>46241.564421296294</v>
      </c>
      <c r="G336" s="215" t="s">
        <v>439</v>
      </c>
      <c r="H336" s="215">
        <v>26</v>
      </c>
      <c r="I336" s="215" t="s">
        <v>1121</v>
      </c>
      <c r="J336" s="15">
        <v>46248.417361111111</v>
      </c>
      <c r="K336" s="15">
        <v>46254.490972222222</v>
      </c>
      <c r="L336" s="15"/>
      <c r="M336" s="215">
        <v>26</v>
      </c>
      <c r="N336" s="215"/>
      <c r="O336" s="215" t="s">
        <v>529</v>
      </c>
      <c r="P336" s="215"/>
      <c r="Q336" s="215"/>
      <c r="R336" s="215"/>
      <c r="S336" s="215" t="s">
        <v>373</v>
      </c>
      <c r="T336" s="215" t="s">
        <v>387</v>
      </c>
      <c r="U336" s="215" t="s">
        <v>293</v>
      </c>
      <c r="V336" s="215" t="s">
        <v>7</v>
      </c>
      <c r="W336" s="215" t="s">
        <v>7</v>
      </c>
      <c r="X336" s="215" t="s">
        <v>7</v>
      </c>
      <c r="Y336" s="215"/>
      <c r="Z336" s="215"/>
      <c r="AA336" s="215" t="s">
        <v>96</v>
      </c>
      <c r="AB336" s="215" t="s">
        <v>407</v>
      </c>
      <c r="AC336" s="215">
        <v>2940</v>
      </c>
      <c r="AD336" s="215" t="s">
        <v>225</v>
      </c>
      <c r="AE336" s="215">
        <v>26</v>
      </c>
      <c r="AF336" s="215"/>
    </row>
    <row r="337" spans="1:32" x14ac:dyDescent="0.3">
      <c r="A337" s="215" t="s">
        <v>353</v>
      </c>
      <c r="B337" s="215" t="s">
        <v>63</v>
      </c>
      <c r="C337" s="215" t="s">
        <v>95</v>
      </c>
      <c r="D337" s="215" t="s">
        <v>310</v>
      </c>
      <c r="E337" s="215" t="s">
        <v>1120</v>
      </c>
      <c r="F337" s="15">
        <v>46241.564421296294</v>
      </c>
      <c r="G337" s="215" t="s">
        <v>439</v>
      </c>
      <c r="H337" s="215">
        <v>1</v>
      </c>
      <c r="I337" s="215" t="s">
        <v>1121</v>
      </c>
      <c r="J337" s="15">
        <v>46248.417361111111</v>
      </c>
      <c r="K337" s="15">
        <v>46254.490972222222</v>
      </c>
      <c r="L337" s="15"/>
      <c r="M337" s="215">
        <v>1</v>
      </c>
      <c r="N337" s="215"/>
      <c r="O337" s="215" t="s">
        <v>529</v>
      </c>
      <c r="P337" s="215"/>
      <c r="Q337" s="215"/>
      <c r="R337" s="215"/>
      <c r="S337" s="215" t="s">
        <v>373</v>
      </c>
      <c r="T337" s="215" t="s">
        <v>387</v>
      </c>
      <c r="U337" s="215" t="s">
        <v>293</v>
      </c>
      <c r="V337" s="215" t="s">
        <v>7</v>
      </c>
      <c r="W337" s="215" t="s">
        <v>7</v>
      </c>
      <c r="X337" s="215" t="s">
        <v>7</v>
      </c>
      <c r="Y337" s="215"/>
      <c r="Z337" s="215"/>
      <c r="AA337" s="215" t="s">
        <v>96</v>
      </c>
      <c r="AB337" s="215" t="s">
        <v>407</v>
      </c>
      <c r="AC337" s="215">
        <v>2940</v>
      </c>
      <c r="AD337" s="215" t="s">
        <v>225</v>
      </c>
      <c r="AE337" s="215">
        <v>1</v>
      </c>
      <c r="AF337" s="215"/>
    </row>
    <row r="338" spans="1:32" x14ac:dyDescent="0.3">
      <c r="A338" s="215" t="s">
        <v>353</v>
      </c>
      <c r="B338" s="215" t="s">
        <v>63</v>
      </c>
      <c r="C338" s="215" t="s">
        <v>95</v>
      </c>
      <c r="D338" s="215" t="s">
        <v>310</v>
      </c>
      <c r="E338" s="215" t="s">
        <v>1120</v>
      </c>
      <c r="F338" s="15">
        <v>46241.564421296294</v>
      </c>
      <c r="G338" s="215" t="s">
        <v>439</v>
      </c>
      <c r="H338" s="215">
        <v>32</v>
      </c>
      <c r="I338" s="215" t="s">
        <v>1121</v>
      </c>
      <c r="J338" s="15">
        <v>46248.417361111111</v>
      </c>
      <c r="K338" s="15">
        <v>46254.490972222222</v>
      </c>
      <c r="L338" s="15"/>
      <c r="M338" s="215">
        <v>32</v>
      </c>
      <c r="N338" s="215"/>
      <c r="O338" s="215" t="s">
        <v>529</v>
      </c>
      <c r="P338" s="215"/>
      <c r="Q338" s="215"/>
      <c r="R338" s="215"/>
      <c r="S338" s="215" t="s">
        <v>373</v>
      </c>
      <c r="T338" s="215" t="s">
        <v>387</v>
      </c>
      <c r="U338" s="215" t="s">
        <v>293</v>
      </c>
      <c r="V338" s="215" t="s">
        <v>7</v>
      </c>
      <c r="W338" s="215" t="s">
        <v>7</v>
      </c>
      <c r="X338" s="215" t="s">
        <v>7</v>
      </c>
      <c r="Y338" s="215"/>
      <c r="Z338" s="215"/>
      <c r="AA338" s="215" t="s">
        <v>96</v>
      </c>
      <c r="AB338" s="215" t="s">
        <v>407</v>
      </c>
      <c r="AC338" s="215">
        <v>2940</v>
      </c>
      <c r="AD338" s="215" t="s">
        <v>225</v>
      </c>
      <c r="AE338" s="215">
        <v>32</v>
      </c>
      <c r="AF338" s="215"/>
    </row>
    <row r="339" spans="1:32" x14ac:dyDescent="0.3">
      <c r="A339" s="215" t="s">
        <v>353</v>
      </c>
      <c r="B339" s="215" t="s">
        <v>63</v>
      </c>
      <c r="C339" s="215" t="s">
        <v>95</v>
      </c>
      <c r="D339" s="215" t="s">
        <v>310</v>
      </c>
      <c r="E339" s="215" t="s">
        <v>1120</v>
      </c>
      <c r="F339" s="15">
        <v>46241.564421296294</v>
      </c>
      <c r="G339" s="215" t="s">
        <v>439</v>
      </c>
      <c r="H339" s="215">
        <v>25</v>
      </c>
      <c r="I339" s="215" t="s">
        <v>1121</v>
      </c>
      <c r="J339" s="15">
        <v>46248.417361111111</v>
      </c>
      <c r="K339" s="15">
        <v>46254.490972222222</v>
      </c>
      <c r="L339" s="15"/>
      <c r="M339" s="215">
        <v>25</v>
      </c>
      <c r="N339" s="215"/>
      <c r="O339" s="215" t="s">
        <v>529</v>
      </c>
      <c r="P339" s="215"/>
      <c r="Q339" s="215"/>
      <c r="R339" s="215"/>
      <c r="S339" s="215" t="s">
        <v>373</v>
      </c>
      <c r="T339" s="215" t="s">
        <v>387</v>
      </c>
      <c r="U339" s="215" t="s">
        <v>293</v>
      </c>
      <c r="V339" s="215" t="s">
        <v>7</v>
      </c>
      <c r="W339" s="215" t="s">
        <v>7</v>
      </c>
      <c r="X339" s="215" t="s">
        <v>7</v>
      </c>
      <c r="Y339" s="215"/>
      <c r="Z339" s="215"/>
      <c r="AA339" s="215" t="s">
        <v>96</v>
      </c>
      <c r="AB339" s="215" t="s">
        <v>407</v>
      </c>
      <c r="AC339" s="215">
        <v>2940</v>
      </c>
      <c r="AD339" s="215" t="s">
        <v>225</v>
      </c>
      <c r="AE339" s="215">
        <v>25</v>
      </c>
      <c r="AF339" s="215"/>
    </row>
    <row r="340" spans="1:32" x14ac:dyDescent="0.3">
      <c r="A340" s="215" t="s">
        <v>353</v>
      </c>
      <c r="B340" s="215" t="s">
        <v>63</v>
      </c>
      <c r="C340" s="215" t="s">
        <v>95</v>
      </c>
      <c r="D340" s="215" t="s">
        <v>310</v>
      </c>
      <c r="E340" s="215" t="s">
        <v>1120</v>
      </c>
      <c r="F340" s="15">
        <v>46241.564421296294</v>
      </c>
      <c r="G340" s="215" t="s">
        <v>439</v>
      </c>
      <c r="H340" s="215">
        <v>3</v>
      </c>
      <c r="I340" s="215" t="s">
        <v>1121</v>
      </c>
      <c r="J340" s="15">
        <v>46248.417361111111</v>
      </c>
      <c r="K340" s="15">
        <v>46254.490972222222</v>
      </c>
      <c r="L340" s="15"/>
      <c r="M340" s="215">
        <v>3</v>
      </c>
      <c r="N340" s="215"/>
      <c r="O340" s="215" t="s">
        <v>529</v>
      </c>
      <c r="P340" s="215"/>
      <c r="Q340" s="215"/>
      <c r="R340" s="215"/>
      <c r="S340" s="215" t="s">
        <v>373</v>
      </c>
      <c r="T340" s="215" t="s">
        <v>387</v>
      </c>
      <c r="U340" s="215" t="s">
        <v>293</v>
      </c>
      <c r="V340" s="215" t="s">
        <v>7</v>
      </c>
      <c r="W340" s="215" t="s">
        <v>7</v>
      </c>
      <c r="X340" s="215" t="s">
        <v>7</v>
      </c>
      <c r="Y340" s="215"/>
      <c r="Z340" s="215"/>
      <c r="AA340" s="215" t="s">
        <v>96</v>
      </c>
      <c r="AB340" s="215" t="s">
        <v>407</v>
      </c>
      <c r="AC340" s="215">
        <v>2940</v>
      </c>
      <c r="AD340" s="215" t="s">
        <v>225</v>
      </c>
      <c r="AE340" s="215">
        <v>3</v>
      </c>
      <c r="AF340" s="215"/>
    </row>
    <row r="341" spans="1:32" x14ac:dyDescent="0.3">
      <c r="A341" s="215" t="s">
        <v>353</v>
      </c>
      <c r="B341" s="215" t="s">
        <v>63</v>
      </c>
      <c r="C341" s="215" t="s">
        <v>95</v>
      </c>
      <c r="D341" s="215" t="s">
        <v>310</v>
      </c>
      <c r="E341" s="215" t="s">
        <v>1120</v>
      </c>
      <c r="F341" s="15">
        <v>46241.564421296294</v>
      </c>
      <c r="G341" s="215" t="s">
        <v>439</v>
      </c>
      <c r="H341" s="215">
        <v>2</v>
      </c>
      <c r="I341" s="215" t="s">
        <v>1121</v>
      </c>
      <c r="J341" s="15">
        <v>46248.417361111111</v>
      </c>
      <c r="K341" s="15">
        <v>46254.490972222222</v>
      </c>
      <c r="L341" s="15"/>
      <c r="M341" s="215">
        <v>2</v>
      </c>
      <c r="N341" s="215"/>
      <c r="O341" s="215" t="s">
        <v>529</v>
      </c>
      <c r="P341" s="215"/>
      <c r="Q341" s="215"/>
      <c r="R341" s="215"/>
      <c r="S341" s="215" t="s">
        <v>373</v>
      </c>
      <c r="T341" s="215" t="s">
        <v>387</v>
      </c>
      <c r="U341" s="215" t="s">
        <v>293</v>
      </c>
      <c r="V341" s="215" t="s">
        <v>7</v>
      </c>
      <c r="W341" s="215" t="s">
        <v>7</v>
      </c>
      <c r="X341" s="215" t="s">
        <v>7</v>
      </c>
      <c r="Y341" s="215"/>
      <c r="Z341" s="215"/>
      <c r="AA341" s="215" t="s">
        <v>96</v>
      </c>
      <c r="AB341" s="215" t="s">
        <v>407</v>
      </c>
      <c r="AC341" s="215">
        <v>2940</v>
      </c>
      <c r="AD341" s="215" t="s">
        <v>225</v>
      </c>
      <c r="AE341" s="215">
        <v>2</v>
      </c>
      <c r="AF341" s="215"/>
    </row>
    <row r="342" spans="1:32" x14ac:dyDescent="0.3">
      <c r="A342" s="215" t="s">
        <v>353</v>
      </c>
      <c r="B342" s="215" t="s">
        <v>63</v>
      </c>
      <c r="C342" s="215" t="s">
        <v>95</v>
      </c>
      <c r="D342" s="215" t="s">
        <v>310</v>
      </c>
      <c r="E342" s="215" t="s">
        <v>1120</v>
      </c>
      <c r="F342" s="15">
        <v>46241.564421296294</v>
      </c>
      <c r="G342" s="215" t="s">
        <v>439</v>
      </c>
      <c r="H342" s="215">
        <v>12</v>
      </c>
      <c r="I342" s="215" t="s">
        <v>1121</v>
      </c>
      <c r="J342" s="15">
        <v>46248.417361111111</v>
      </c>
      <c r="K342" s="15">
        <v>46254.490972222222</v>
      </c>
      <c r="L342" s="15"/>
      <c r="M342" s="215">
        <v>12</v>
      </c>
      <c r="N342" s="215"/>
      <c r="O342" s="215" t="s">
        <v>529</v>
      </c>
      <c r="P342" s="215"/>
      <c r="Q342" s="215"/>
      <c r="R342" s="215"/>
      <c r="S342" s="215" t="s">
        <v>373</v>
      </c>
      <c r="T342" s="215" t="s">
        <v>387</v>
      </c>
      <c r="U342" s="215" t="s">
        <v>293</v>
      </c>
      <c r="V342" s="215" t="s">
        <v>7</v>
      </c>
      <c r="W342" s="215" t="s">
        <v>7</v>
      </c>
      <c r="X342" s="215" t="s">
        <v>7</v>
      </c>
      <c r="Y342" s="215"/>
      <c r="Z342" s="215"/>
      <c r="AA342" s="215" t="s">
        <v>96</v>
      </c>
      <c r="AB342" s="215" t="s">
        <v>407</v>
      </c>
      <c r="AC342" s="215">
        <v>2940</v>
      </c>
      <c r="AD342" s="215" t="s">
        <v>225</v>
      </c>
      <c r="AE342" s="215">
        <v>12</v>
      </c>
      <c r="AF342" s="215"/>
    </row>
    <row r="343" spans="1:32" x14ac:dyDescent="0.3">
      <c r="A343" s="215" t="s">
        <v>353</v>
      </c>
      <c r="B343" s="215" t="s">
        <v>57</v>
      </c>
      <c r="C343" s="215" t="s">
        <v>117</v>
      </c>
      <c r="D343" s="215" t="s">
        <v>310</v>
      </c>
      <c r="E343" s="215" t="s">
        <v>1120</v>
      </c>
      <c r="F343" s="15">
        <v>46241.564421296294</v>
      </c>
      <c r="G343" s="215" t="s">
        <v>439</v>
      </c>
      <c r="H343" s="215">
        <v>3</v>
      </c>
      <c r="I343" s="215" t="s">
        <v>1122</v>
      </c>
      <c r="J343" s="15">
        <v>46245.577777777777</v>
      </c>
      <c r="K343" s="15">
        <v>46253.505555555559</v>
      </c>
      <c r="L343" s="15"/>
      <c r="M343" s="215">
        <v>3</v>
      </c>
      <c r="N343" s="215"/>
      <c r="O343" s="215" t="s">
        <v>201</v>
      </c>
      <c r="P343" s="215" t="s">
        <v>532</v>
      </c>
      <c r="Q343" s="215"/>
      <c r="R343" s="215"/>
      <c r="S343" s="215" t="s">
        <v>373</v>
      </c>
      <c r="T343" s="215" t="s">
        <v>387</v>
      </c>
      <c r="U343" s="215" t="s">
        <v>293</v>
      </c>
      <c r="V343" s="215" t="s">
        <v>7</v>
      </c>
      <c r="W343" s="215" t="s">
        <v>7</v>
      </c>
      <c r="X343" s="215" t="s">
        <v>7</v>
      </c>
      <c r="Y343" s="215"/>
      <c r="Z343" s="215"/>
      <c r="AA343" s="215" t="s">
        <v>127</v>
      </c>
      <c r="AB343" s="215" t="s">
        <v>407</v>
      </c>
      <c r="AC343" s="215">
        <v>2940</v>
      </c>
      <c r="AD343" s="215" t="s">
        <v>233</v>
      </c>
      <c r="AE343" s="215">
        <v>1</v>
      </c>
      <c r="AF343" s="215">
        <v>195.69</v>
      </c>
    </row>
    <row r="344" spans="1:32" x14ac:dyDescent="0.3">
      <c r="A344" s="215" t="s">
        <v>353</v>
      </c>
      <c r="B344" s="215" t="s">
        <v>57</v>
      </c>
      <c r="C344" s="215" t="s">
        <v>117</v>
      </c>
      <c r="D344" s="215" t="s">
        <v>310</v>
      </c>
      <c r="E344" s="215" t="s">
        <v>1120</v>
      </c>
      <c r="F344" s="15">
        <v>46241.564421296294</v>
      </c>
      <c r="G344" s="215" t="s">
        <v>439</v>
      </c>
      <c r="H344" s="215">
        <v>5</v>
      </c>
      <c r="I344" s="215" t="s">
        <v>1122</v>
      </c>
      <c r="J344" s="15">
        <v>46245.577777777777</v>
      </c>
      <c r="K344" s="15">
        <v>46253.505555555559</v>
      </c>
      <c r="L344" s="15"/>
      <c r="M344" s="215">
        <v>5</v>
      </c>
      <c r="N344" s="215"/>
      <c r="O344" s="215" t="s">
        <v>529</v>
      </c>
      <c r="P344" s="215"/>
      <c r="Q344" s="215"/>
      <c r="R344" s="215"/>
      <c r="S344" s="215" t="s">
        <v>373</v>
      </c>
      <c r="T344" s="215" t="s">
        <v>387</v>
      </c>
      <c r="U344" s="215" t="s">
        <v>293</v>
      </c>
      <c r="V344" s="215" t="s">
        <v>7</v>
      </c>
      <c r="W344" s="215" t="s">
        <v>7</v>
      </c>
      <c r="X344" s="215" t="s">
        <v>7</v>
      </c>
      <c r="Y344" s="215"/>
      <c r="Z344" s="215"/>
      <c r="AA344" s="215" t="s">
        <v>127</v>
      </c>
      <c r="AB344" s="215" t="s">
        <v>407</v>
      </c>
      <c r="AC344" s="215">
        <v>2940</v>
      </c>
      <c r="AD344" s="215" t="s">
        <v>233</v>
      </c>
      <c r="AE344" s="215">
        <v>1</v>
      </c>
      <c r="AF344" s="215"/>
    </row>
    <row r="345" spans="1:32" x14ac:dyDescent="0.3">
      <c r="A345" s="215" t="s">
        <v>353</v>
      </c>
      <c r="B345" s="215" t="s">
        <v>63</v>
      </c>
      <c r="C345" s="215" t="s">
        <v>95</v>
      </c>
      <c r="D345" s="215" t="s">
        <v>310</v>
      </c>
      <c r="E345" s="215" t="s">
        <v>1120</v>
      </c>
      <c r="F345" s="15">
        <v>46241.564421296294</v>
      </c>
      <c r="G345" s="215" t="s">
        <v>439</v>
      </c>
      <c r="H345" s="215">
        <v>3</v>
      </c>
      <c r="I345" s="215" t="s">
        <v>1122</v>
      </c>
      <c r="J345" s="15">
        <v>46245.577777777777</v>
      </c>
      <c r="K345" s="15">
        <v>46253.505555555559</v>
      </c>
      <c r="L345" s="15"/>
      <c r="M345" s="215">
        <v>3</v>
      </c>
      <c r="N345" s="215"/>
      <c r="O345" s="215" t="s">
        <v>201</v>
      </c>
      <c r="P345" s="215" t="s">
        <v>532</v>
      </c>
      <c r="Q345" s="215"/>
      <c r="R345" s="215"/>
      <c r="S345" s="215" t="s">
        <v>373</v>
      </c>
      <c r="T345" s="215" t="s">
        <v>387</v>
      </c>
      <c r="U345" s="215" t="s">
        <v>293</v>
      </c>
      <c r="V345" s="215" t="s">
        <v>7</v>
      </c>
      <c r="W345" s="215" t="s">
        <v>7</v>
      </c>
      <c r="X345" s="215" t="s">
        <v>7</v>
      </c>
      <c r="Y345" s="215"/>
      <c r="Z345" s="215"/>
      <c r="AA345" s="215" t="s">
        <v>96</v>
      </c>
      <c r="AB345" s="215" t="s">
        <v>407</v>
      </c>
      <c r="AC345" s="215">
        <v>2940</v>
      </c>
      <c r="AD345" s="215" t="s">
        <v>225</v>
      </c>
      <c r="AE345" s="215">
        <v>3</v>
      </c>
      <c r="AF345" s="215"/>
    </row>
    <row r="346" spans="1:32" x14ac:dyDescent="0.3">
      <c r="A346" s="215" t="s">
        <v>353</v>
      </c>
      <c r="B346" s="215" t="s">
        <v>63</v>
      </c>
      <c r="C346" s="215" t="s">
        <v>95</v>
      </c>
      <c r="D346" s="215" t="s">
        <v>310</v>
      </c>
      <c r="E346" s="215" t="s">
        <v>1120</v>
      </c>
      <c r="F346" s="15">
        <v>46241.564421296294</v>
      </c>
      <c r="G346" s="215" t="s">
        <v>439</v>
      </c>
      <c r="H346" s="215">
        <v>9</v>
      </c>
      <c r="I346" s="215" t="s">
        <v>1122</v>
      </c>
      <c r="J346" s="15">
        <v>46245.577777777777</v>
      </c>
      <c r="K346" s="15">
        <v>46253.505555555559</v>
      </c>
      <c r="L346" s="15"/>
      <c r="M346" s="215">
        <v>9</v>
      </c>
      <c r="N346" s="215"/>
      <c r="O346" s="215" t="s">
        <v>529</v>
      </c>
      <c r="P346" s="215"/>
      <c r="Q346" s="215"/>
      <c r="R346" s="215"/>
      <c r="S346" s="215" t="s">
        <v>373</v>
      </c>
      <c r="T346" s="215" t="s">
        <v>387</v>
      </c>
      <c r="U346" s="215" t="s">
        <v>293</v>
      </c>
      <c r="V346" s="215" t="s">
        <v>7</v>
      </c>
      <c r="W346" s="215" t="s">
        <v>7</v>
      </c>
      <c r="X346" s="215" t="s">
        <v>7</v>
      </c>
      <c r="Y346" s="215"/>
      <c r="Z346" s="215"/>
      <c r="AA346" s="215" t="s">
        <v>96</v>
      </c>
      <c r="AB346" s="215" t="s">
        <v>407</v>
      </c>
      <c r="AC346" s="215">
        <v>2940</v>
      </c>
      <c r="AD346" s="215" t="s">
        <v>225</v>
      </c>
      <c r="AE346" s="215">
        <v>9</v>
      </c>
      <c r="AF346" s="215"/>
    </row>
    <row r="347" spans="1:32" x14ac:dyDescent="0.3">
      <c r="A347" s="215" t="s">
        <v>353</v>
      </c>
      <c r="B347" s="215" t="s">
        <v>63</v>
      </c>
      <c r="C347" s="215" t="s">
        <v>95</v>
      </c>
      <c r="D347" s="215" t="s">
        <v>310</v>
      </c>
      <c r="E347" s="215" t="s">
        <v>1120</v>
      </c>
      <c r="F347" s="15">
        <v>46241.564421296294</v>
      </c>
      <c r="G347" s="215" t="s">
        <v>439</v>
      </c>
      <c r="H347" s="215">
        <v>5</v>
      </c>
      <c r="I347" s="215" t="s">
        <v>1122</v>
      </c>
      <c r="J347" s="15">
        <v>46245.577777777777</v>
      </c>
      <c r="K347" s="15">
        <v>46253.505555555559</v>
      </c>
      <c r="L347" s="15"/>
      <c r="M347" s="215">
        <v>5</v>
      </c>
      <c r="N347" s="215"/>
      <c r="O347" s="215" t="s">
        <v>529</v>
      </c>
      <c r="P347" s="215"/>
      <c r="Q347" s="215"/>
      <c r="R347" s="215"/>
      <c r="S347" s="215" t="s">
        <v>373</v>
      </c>
      <c r="T347" s="215" t="s">
        <v>387</v>
      </c>
      <c r="U347" s="215" t="s">
        <v>293</v>
      </c>
      <c r="V347" s="215" t="s">
        <v>7</v>
      </c>
      <c r="W347" s="215" t="s">
        <v>7</v>
      </c>
      <c r="X347" s="215" t="s">
        <v>7</v>
      </c>
      <c r="Y347" s="215"/>
      <c r="Z347" s="215"/>
      <c r="AA347" s="215" t="s">
        <v>96</v>
      </c>
      <c r="AB347" s="215" t="s">
        <v>407</v>
      </c>
      <c r="AC347" s="215">
        <v>2940</v>
      </c>
      <c r="AD347" s="215" t="s">
        <v>225</v>
      </c>
      <c r="AE347" s="215">
        <v>5</v>
      </c>
      <c r="AF347" s="215"/>
    </row>
    <row r="348" spans="1:32" x14ac:dyDescent="0.3">
      <c r="A348" s="215" t="s">
        <v>353</v>
      </c>
      <c r="B348" s="215" t="s">
        <v>279</v>
      </c>
      <c r="C348" s="215" t="s">
        <v>197</v>
      </c>
      <c r="D348" s="215" t="s">
        <v>310</v>
      </c>
      <c r="E348" s="215" t="s">
        <v>1120</v>
      </c>
      <c r="F348" s="15">
        <v>46241.564421296294</v>
      </c>
      <c r="G348" s="215" t="s">
        <v>439</v>
      </c>
      <c r="H348" s="215">
        <v>26</v>
      </c>
      <c r="I348" s="215" t="s">
        <v>1121</v>
      </c>
      <c r="J348" s="15">
        <v>46248.417361111111</v>
      </c>
      <c r="K348" s="15">
        <v>46254.490972222222</v>
      </c>
      <c r="L348" s="15"/>
      <c r="M348" s="215">
        <v>26</v>
      </c>
      <c r="N348" s="215"/>
      <c r="O348" s="215" t="s">
        <v>201</v>
      </c>
      <c r="P348" s="215" t="s">
        <v>531</v>
      </c>
      <c r="Q348" s="215"/>
      <c r="R348" s="215"/>
      <c r="S348" s="215" t="s">
        <v>373</v>
      </c>
      <c r="T348" s="215" t="s">
        <v>387</v>
      </c>
      <c r="U348" s="215" t="s">
        <v>293</v>
      </c>
      <c r="V348" s="215" t="s">
        <v>7</v>
      </c>
      <c r="W348" s="215" t="s">
        <v>7</v>
      </c>
      <c r="X348" s="215" t="s">
        <v>7</v>
      </c>
      <c r="Y348" s="215"/>
      <c r="Z348" s="215">
        <v>16</v>
      </c>
      <c r="AA348" s="215" t="s">
        <v>122</v>
      </c>
      <c r="AB348" s="215" t="s">
        <v>407</v>
      </c>
      <c r="AC348" s="215">
        <v>2940</v>
      </c>
      <c r="AD348" s="215" t="s">
        <v>232</v>
      </c>
      <c r="AE348" s="215">
        <v>416</v>
      </c>
      <c r="AF348" s="215"/>
    </row>
    <row r="349" spans="1:32" x14ac:dyDescent="0.3">
      <c r="A349" s="215" t="s">
        <v>353</v>
      </c>
      <c r="B349" s="215" t="s">
        <v>279</v>
      </c>
      <c r="C349" s="215" t="s">
        <v>197</v>
      </c>
      <c r="D349" s="215" t="s">
        <v>310</v>
      </c>
      <c r="E349" s="215" t="s">
        <v>1120</v>
      </c>
      <c r="F349" s="15">
        <v>46241.564421296294</v>
      </c>
      <c r="G349" s="215" t="s">
        <v>439</v>
      </c>
      <c r="H349" s="215">
        <v>3</v>
      </c>
      <c r="I349" s="215" t="s">
        <v>1121</v>
      </c>
      <c r="J349" s="15">
        <v>46248.417361111111</v>
      </c>
      <c r="K349" s="15">
        <v>46254.490972222222</v>
      </c>
      <c r="L349" s="15"/>
      <c r="M349" s="215">
        <v>3</v>
      </c>
      <c r="N349" s="215"/>
      <c r="O349" s="215" t="s">
        <v>529</v>
      </c>
      <c r="P349" s="215"/>
      <c r="Q349" s="215"/>
      <c r="R349" s="215"/>
      <c r="S349" s="215" t="s">
        <v>373</v>
      </c>
      <c r="T349" s="215" t="s">
        <v>387</v>
      </c>
      <c r="U349" s="215" t="s">
        <v>293</v>
      </c>
      <c r="V349" s="215" t="s">
        <v>7</v>
      </c>
      <c r="W349" s="215" t="s">
        <v>7</v>
      </c>
      <c r="X349" s="215" t="s">
        <v>7</v>
      </c>
      <c r="Y349" s="215"/>
      <c r="Z349" s="215">
        <v>16</v>
      </c>
      <c r="AA349" s="215" t="s">
        <v>122</v>
      </c>
      <c r="AB349" s="215" t="s">
        <v>407</v>
      </c>
      <c r="AC349" s="215">
        <v>2940</v>
      </c>
      <c r="AD349" s="215" t="s">
        <v>232</v>
      </c>
      <c r="AE349" s="215">
        <v>48</v>
      </c>
      <c r="AF349" s="215"/>
    </row>
    <row r="350" spans="1:32" x14ac:dyDescent="0.3">
      <c r="A350" s="215" t="s">
        <v>353</v>
      </c>
      <c r="B350" s="215" t="s">
        <v>279</v>
      </c>
      <c r="C350" s="215" t="s">
        <v>197</v>
      </c>
      <c r="D350" s="215" t="s">
        <v>310</v>
      </c>
      <c r="E350" s="215" t="s">
        <v>1120</v>
      </c>
      <c r="F350" s="15">
        <v>46241.564421296294</v>
      </c>
      <c r="G350" s="215" t="s">
        <v>439</v>
      </c>
      <c r="H350" s="215">
        <v>6</v>
      </c>
      <c r="I350" s="215" t="s">
        <v>1121</v>
      </c>
      <c r="J350" s="15">
        <v>46248.417361111111</v>
      </c>
      <c r="K350" s="15">
        <v>46254.490972222222</v>
      </c>
      <c r="L350" s="15"/>
      <c r="M350" s="215">
        <v>6</v>
      </c>
      <c r="N350" s="215"/>
      <c r="O350" s="215" t="s">
        <v>529</v>
      </c>
      <c r="P350" s="215"/>
      <c r="Q350" s="215"/>
      <c r="R350" s="215"/>
      <c r="S350" s="215" t="s">
        <v>373</v>
      </c>
      <c r="T350" s="215" t="s">
        <v>387</v>
      </c>
      <c r="U350" s="215" t="s">
        <v>293</v>
      </c>
      <c r="V350" s="215" t="s">
        <v>7</v>
      </c>
      <c r="W350" s="215" t="s">
        <v>7</v>
      </c>
      <c r="X350" s="215" t="s">
        <v>7</v>
      </c>
      <c r="Y350" s="215"/>
      <c r="Z350" s="215">
        <v>16</v>
      </c>
      <c r="AA350" s="215" t="s">
        <v>122</v>
      </c>
      <c r="AB350" s="215" t="s">
        <v>407</v>
      </c>
      <c r="AC350" s="215">
        <v>2940</v>
      </c>
      <c r="AD350" s="215" t="s">
        <v>232</v>
      </c>
      <c r="AE350" s="215">
        <v>96</v>
      </c>
      <c r="AF350" s="215"/>
    </row>
    <row r="351" spans="1:32" x14ac:dyDescent="0.3">
      <c r="A351" s="215" t="s">
        <v>353</v>
      </c>
      <c r="B351" s="215" t="s">
        <v>279</v>
      </c>
      <c r="C351" s="215" t="s">
        <v>197</v>
      </c>
      <c r="D351" s="215" t="s">
        <v>310</v>
      </c>
      <c r="E351" s="215" t="s">
        <v>1120</v>
      </c>
      <c r="F351" s="15">
        <v>46241.564421296294</v>
      </c>
      <c r="G351" s="215" t="s">
        <v>439</v>
      </c>
      <c r="H351" s="215">
        <v>7</v>
      </c>
      <c r="I351" s="215" t="s">
        <v>1121</v>
      </c>
      <c r="J351" s="15">
        <v>46248.417361111111</v>
      </c>
      <c r="K351" s="15">
        <v>46254.490972222222</v>
      </c>
      <c r="L351" s="15"/>
      <c r="M351" s="215">
        <v>7</v>
      </c>
      <c r="N351" s="215"/>
      <c r="O351" s="215" t="s">
        <v>529</v>
      </c>
      <c r="P351" s="215"/>
      <c r="Q351" s="215"/>
      <c r="R351" s="215"/>
      <c r="S351" s="215" t="s">
        <v>373</v>
      </c>
      <c r="T351" s="215" t="s">
        <v>387</v>
      </c>
      <c r="U351" s="215" t="s">
        <v>293</v>
      </c>
      <c r="V351" s="215" t="s">
        <v>7</v>
      </c>
      <c r="W351" s="215" t="s">
        <v>7</v>
      </c>
      <c r="X351" s="215" t="s">
        <v>7</v>
      </c>
      <c r="Y351" s="215"/>
      <c r="Z351" s="215">
        <v>16</v>
      </c>
      <c r="AA351" s="215" t="s">
        <v>122</v>
      </c>
      <c r="AB351" s="215" t="s">
        <v>407</v>
      </c>
      <c r="AC351" s="215">
        <v>2940</v>
      </c>
      <c r="AD351" s="215" t="s">
        <v>232</v>
      </c>
      <c r="AE351" s="215">
        <v>112</v>
      </c>
      <c r="AF351" s="215"/>
    </row>
    <row r="352" spans="1:32" x14ac:dyDescent="0.3">
      <c r="A352" s="215" t="s">
        <v>353</v>
      </c>
      <c r="B352" s="215" t="s">
        <v>63</v>
      </c>
      <c r="C352" s="215" t="s">
        <v>95</v>
      </c>
      <c r="D352" s="215" t="s">
        <v>310</v>
      </c>
      <c r="E352" s="215" t="s">
        <v>1120</v>
      </c>
      <c r="F352" s="15">
        <v>46241.564421296294</v>
      </c>
      <c r="G352" s="215" t="s">
        <v>439</v>
      </c>
      <c r="H352" s="215">
        <v>7</v>
      </c>
      <c r="I352" s="215" t="s">
        <v>1123</v>
      </c>
      <c r="J352" s="15">
        <v>46245.47152777778</v>
      </c>
      <c r="K352" s="15">
        <v>46253.505555555559</v>
      </c>
      <c r="L352" s="15"/>
      <c r="M352" s="215">
        <v>7</v>
      </c>
      <c r="N352" s="215"/>
      <c r="O352" s="215" t="s">
        <v>201</v>
      </c>
      <c r="P352" s="215" t="s">
        <v>532</v>
      </c>
      <c r="Q352" s="215"/>
      <c r="R352" s="215"/>
      <c r="S352" s="215" t="s">
        <v>373</v>
      </c>
      <c r="T352" s="215" t="s">
        <v>387</v>
      </c>
      <c r="U352" s="215" t="s">
        <v>293</v>
      </c>
      <c r="V352" s="215" t="s">
        <v>7</v>
      </c>
      <c r="W352" s="215" t="s">
        <v>7</v>
      </c>
      <c r="X352" s="215" t="s">
        <v>7</v>
      </c>
      <c r="Y352" s="215"/>
      <c r="Z352" s="215"/>
      <c r="AA352" s="215" t="s">
        <v>96</v>
      </c>
      <c r="AB352" s="215" t="s">
        <v>407</v>
      </c>
      <c r="AC352" s="215">
        <v>2940</v>
      </c>
      <c r="AD352" s="215" t="s">
        <v>225</v>
      </c>
      <c r="AE352" s="215">
        <v>7</v>
      </c>
      <c r="AF352" s="215"/>
    </row>
    <row r="353" spans="1:32" x14ac:dyDescent="0.3">
      <c r="A353" s="215" t="s">
        <v>353</v>
      </c>
      <c r="B353" s="215" t="s">
        <v>279</v>
      </c>
      <c r="C353" s="215" t="s">
        <v>197</v>
      </c>
      <c r="D353" s="215" t="s">
        <v>310</v>
      </c>
      <c r="E353" s="215" t="s">
        <v>1120</v>
      </c>
      <c r="F353" s="15">
        <v>46241.564421296294</v>
      </c>
      <c r="G353" s="215" t="s">
        <v>439</v>
      </c>
      <c r="H353" s="215">
        <v>30</v>
      </c>
      <c r="I353" s="215" t="s">
        <v>1123</v>
      </c>
      <c r="J353" s="15">
        <v>46245.47152777778</v>
      </c>
      <c r="K353" s="15">
        <v>46253.505555555559</v>
      </c>
      <c r="L353" s="15"/>
      <c r="M353" s="215">
        <v>30</v>
      </c>
      <c r="N353" s="215"/>
      <c r="O353" s="215" t="s">
        <v>201</v>
      </c>
      <c r="P353" s="215" t="s">
        <v>531</v>
      </c>
      <c r="Q353" s="215"/>
      <c r="R353" s="215"/>
      <c r="S353" s="215" t="s">
        <v>373</v>
      </c>
      <c r="T353" s="215" t="s">
        <v>387</v>
      </c>
      <c r="U353" s="215" t="s">
        <v>293</v>
      </c>
      <c r="V353" s="215" t="s">
        <v>7</v>
      </c>
      <c r="W353" s="215" t="s">
        <v>7</v>
      </c>
      <c r="X353" s="215" t="s">
        <v>7</v>
      </c>
      <c r="Y353" s="215"/>
      <c r="Z353" s="215">
        <v>16</v>
      </c>
      <c r="AA353" s="215" t="s">
        <v>122</v>
      </c>
      <c r="AB353" s="215" t="s">
        <v>407</v>
      </c>
      <c r="AC353" s="215">
        <v>2940</v>
      </c>
      <c r="AD353" s="215" t="s">
        <v>232</v>
      </c>
      <c r="AE353" s="215">
        <v>480</v>
      </c>
      <c r="AF353" s="215"/>
    </row>
    <row r="354" spans="1:32" x14ac:dyDescent="0.3">
      <c r="A354" s="215" t="s">
        <v>353</v>
      </c>
      <c r="B354" s="215" t="s">
        <v>279</v>
      </c>
      <c r="C354" s="215" t="s">
        <v>197</v>
      </c>
      <c r="D354" s="215" t="s">
        <v>310</v>
      </c>
      <c r="E354" s="215" t="s">
        <v>1120</v>
      </c>
      <c r="F354" s="15">
        <v>46241.564421296294</v>
      </c>
      <c r="G354" s="215" t="s">
        <v>439</v>
      </c>
      <c r="H354" s="215">
        <v>32</v>
      </c>
      <c r="I354" s="215" t="s">
        <v>1123</v>
      </c>
      <c r="J354" s="15">
        <v>46245.47152777778</v>
      </c>
      <c r="K354" s="15">
        <v>46253.505555555559</v>
      </c>
      <c r="L354" s="15"/>
      <c r="M354" s="215">
        <v>32</v>
      </c>
      <c r="N354" s="215"/>
      <c r="O354" s="215" t="s">
        <v>529</v>
      </c>
      <c r="P354" s="215"/>
      <c r="Q354" s="215"/>
      <c r="R354" s="215"/>
      <c r="S354" s="215" t="s">
        <v>373</v>
      </c>
      <c r="T354" s="215" t="s">
        <v>387</v>
      </c>
      <c r="U354" s="215" t="s">
        <v>293</v>
      </c>
      <c r="V354" s="215" t="s">
        <v>7</v>
      </c>
      <c r="W354" s="215" t="s">
        <v>7</v>
      </c>
      <c r="X354" s="215" t="s">
        <v>7</v>
      </c>
      <c r="Y354" s="215"/>
      <c r="Z354" s="215">
        <v>16</v>
      </c>
      <c r="AA354" s="215" t="s">
        <v>122</v>
      </c>
      <c r="AB354" s="215" t="s">
        <v>407</v>
      </c>
      <c r="AC354" s="215">
        <v>2940</v>
      </c>
      <c r="AD354" s="215" t="s">
        <v>232</v>
      </c>
      <c r="AE354" s="215">
        <v>512</v>
      </c>
      <c r="AF354" s="215"/>
    </row>
    <row r="355" spans="1:32" x14ac:dyDescent="0.3">
      <c r="A355" s="215" t="s">
        <v>353</v>
      </c>
      <c r="B355" s="215" t="s">
        <v>279</v>
      </c>
      <c r="C355" s="215" t="s">
        <v>197</v>
      </c>
      <c r="D355" s="215" t="s">
        <v>310</v>
      </c>
      <c r="E355" s="215" t="s">
        <v>1120</v>
      </c>
      <c r="F355" s="15">
        <v>46241.564421296294</v>
      </c>
      <c r="G355" s="215" t="s">
        <v>439</v>
      </c>
      <c r="H355" s="215">
        <v>25</v>
      </c>
      <c r="I355" s="215" t="s">
        <v>1123</v>
      </c>
      <c r="J355" s="15">
        <v>46245.47152777778</v>
      </c>
      <c r="K355" s="15">
        <v>46253.505555555559</v>
      </c>
      <c r="L355" s="15"/>
      <c r="M355" s="215">
        <v>25</v>
      </c>
      <c r="N355" s="215"/>
      <c r="O355" s="215" t="s">
        <v>529</v>
      </c>
      <c r="P355" s="215"/>
      <c r="Q355" s="215"/>
      <c r="R355" s="215"/>
      <c r="S355" s="215" t="s">
        <v>373</v>
      </c>
      <c r="T355" s="215" t="s">
        <v>387</v>
      </c>
      <c r="U355" s="215" t="s">
        <v>293</v>
      </c>
      <c r="V355" s="215" t="s">
        <v>7</v>
      </c>
      <c r="W355" s="215" t="s">
        <v>7</v>
      </c>
      <c r="X355" s="215" t="s">
        <v>7</v>
      </c>
      <c r="Y355" s="215"/>
      <c r="Z355" s="215">
        <v>16</v>
      </c>
      <c r="AA355" s="215" t="s">
        <v>122</v>
      </c>
      <c r="AB355" s="215" t="s">
        <v>407</v>
      </c>
      <c r="AC355" s="215">
        <v>2940</v>
      </c>
      <c r="AD355" s="215" t="s">
        <v>232</v>
      </c>
      <c r="AE355" s="215">
        <v>400</v>
      </c>
      <c r="AF355" s="215"/>
    </row>
    <row r="356" spans="1:32" x14ac:dyDescent="0.3">
      <c r="A356" s="215" t="s">
        <v>353</v>
      </c>
      <c r="B356" s="215" t="s">
        <v>279</v>
      </c>
      <c r="C356" s="215" t="s">
        <v>197</v>
      </c>
      <c r="D356" s="215" t="s">
        <v>310</v>
      </c>
      <c r="E356" s="215" t="s">
        <v>1120</v>
      </c>
      <c r="F356" s="15">
        <v>46241.564421296294</v>
      </c>
      <c r="G356" s="215" t="s">
        <v>439</v>
      </c>
      <c r="H356" s="215">
        <v>2</v>
      </c>
      <c r="I356" s="215" t="s">
        <v>1123</v>
      </c>
      <c r="J356" s="15">
        <v>46245.47152777778</v>
      </c>
      <c r="K356" s="15">
        <v>46253.505555555559</v>
      </c>
      <c r="L356" s="15"/>
      <c r="M356" s="215">
        <v>2</v>
      </c>
      <c r="N356" s="215"/>
      <c r="O356" s="215" t="s">
        <v>529</v>
      </c>
      <c r="P356" s="215"/>
      <c r="Q356" s="215"/>
      <c r="R356" s="215"/>
      <c r="S356" s="215" t="s">
        <v>373</v>
      </c>
      <c r="T356" s="215" t="s">
        <v>387</v>
      </c>
      <c r="U356" s="215" t="s">
        <v>293</v>
      </c>
      <c r="V356" s="215" t="s">
        <v>7</v>
      </c>
      <c r="W356" s="215" t="s">
        <v>7</v>
      </c>
      <c r="X356" s="215" t="s">
        <v>7</v>
      </c>
      <c r="Y356" s="215"/>
      <c r="Z356" s="215">
        <v>16</v>
      </c>
      <c r="AA356" s="215" t="s">
        <v>122</v>
      </c>
      <c r="AB356" s="215" t="s">
        <v>407</v>
      </c>
      <c r="AC356" s="215">
        <v>2940</v>
      </c>
      <c r="AD356" s="215" t="s">
        <v>232</v>
      </c>
      <c r="AE356" s="215">
        <v>32</v>
      </c>
      <c r="AF356" s="215"/>
    </row>
    <row r="357" spans="1:32" x14ac:dyDescent="0.3">
      <c r="A357" s="215" t="s">
        <v>353</v>
      </c>
      <c r="B357" s="215" t="s">
        <v>279</v>
      </c>
      <c r="C357" s="215" t="s">
        <v>197</v>
      </c>
      <c r="D357" s="215" t="s">
        <v>310</v>
      </c>
      <c r="E357" s="215" t="s">
        <v>1120</v>
      </c>
      <c r="F357" s="15">
        <v>46241.564421296294</v>
      </c>
      <c r="G357" s="215" t="s">
        <v>439</v>
      </c>
      <c r="H357" s="215">
        <v>12</v>
      </c>
      <c r="I357" s="215" t="s">
        <v>1123</v>
      </c>
      <c r="J357" s="15">
        <v>46245.47152777778</v>
      </c>
      <c r="K357" s="15">
        <v>46253.505555555559</v>
      </c>
      <c r="L357" s="15"/>
      <c r="M357" s="215">
        <v>12</v>
      </c>
      <c r="N357" s="215"/>
      <c r="O357" s="215" t="s">
        <v>529</v>
      </c>
      <c r="P357" s="215"/>
      <c r="Q357" s="215"/>
      <c r="R357" s="215"/>
      <c r="S357" s="215" t="s">
        <v>373</v>
      </c>
      <c r="T357" s="215" t="s">
        <v>387</v>
      </c>
      <c r="U357" s="215" t="s">
        <v>293</v>
      </c>
      <c r="V357" s="215" t="s">
        <v>7</v>
      </c>
      <c r="W357" s="215" t="s">
        <v>7</v>
      </c>
      <c r="X357" s="215" t="s">
        <v>7</v>
      </c>
      <c r="Y357" s="215"/>
      <c r="Z357" s="215">
        <v>16</v>
      </c>
      <c r="AA357" s="215" t="s">
        <v>122</v>
      </c>
      <c r="AB357" s="215" t="s">
        <v>407</v>
      </c>
      <c r="AC357" s="215">
        <v>2940</v>
      </c>
      <c r="AD357" s="215" t="s">
        <v>232</v>
      </c>
      <c r="AE357" s="215">
        <v>192</v>
      </c>
      <c r="AF357" s="215"/>
    </row>
    <row r="358" spans="1:32" x14ac:dyDescent="0.3">
      <c r="A358" s="215" t="s">
        <v>353</v>
      </c>
      <c r="B358" s="215" t="s">
        <v>279</v>
      </c>
      <c r="C358" s="215" t="s">
        <v>197</v>
      </c>
      <c r="D358" s="215" t="s">
        <v>310</v>
      </c>
      <c r="E358" s="215" t="s">
        <v>1120</v>
      </c>
      <c r="F358" s="15">
        <v>46241.564421296294</v>
      </c>
      <c r="G358" s="215" t="s">
        <v>439</v>
      </c>
      <c r="H358" s="215">
        <v>2</v>
      </c>
      <c r="I358" s="215" t="s">
        <v>1123</v>
      </c>
      <c r="J358" s="15">
        <v>46245.47152777778</v>
      </c>
      <c r="K358" s="15">
        <v>46253.505555555559</v>
      </c>
      <c r="L358" s="15"/>
      <c r="M358" s="215">
        <v>2</v>
      </c>
      <c r="N358" s="215"/>
      <c r="O358" s="215" t="s">
        <v>529</v>
      </c>
      <c r="P358" s="215"/>
      <c r="Q358" s="215"/>
      <c r="R358" s="215"/>
      <c r="S358" s="215" t="s">
        <v>373</v>
      </c>
      <c r="T358" s="215" t="s">
        <v>387</v>
      </c>
      <c r="U358" s="215" t="s">
        <v>293</v>
      </c>
      <c r="V358" s="215" t="s">
        <v>7</v>
      </c>
      <c r="W358" s="215" t="s">
        <v>7</v>
      </c>
      <c r="X358" s="215" t="s">
        <v>7</v>
      </c>
      <c r="Y358" s="215"/>
      <c r="Z358" s="215">
        <v>16</v>
      </c>
      <c r="AA358" s="215" t="s">
        <v>122</v>
      </c>
      <c r="AB358" s="215" t="s">
        <v>407</v>
      </c>
      <c r="AC358" s="215">
        <v>2940</v>
      </c>
      <c r="AD358" s="215" t="s">
        <v>232</v>
      </c>
      <c r="AE358" s="215">
        <v>32</v>
      </c>
      <c r="AF358" s="215"/>
    </row>
    <row r="359" spans="1:32" x14ac:dyDescent="0.3">
      <c r="A359" s="215" t="s">
        <v>353</v>
      </c>
      <c r="B359" s="215" t="s">
        <v>57</v>
      </c>
      <c r="C359" s="215" t="s">
        <v>117</v>
      </c>
      <c r="D359" s="215" t="s">
        <v>310</v>
      </c>
      <c r="E359" s="215" t="s">
        <v>1120</v>
      </c>
      <c r="F359" s="15">
        <v>46241.564421296294</v>
      </c>
      <c r="G359" s="215" t="s">
        <v>439</v>
      </c>
      <c r="H359" s="215">
        <v>1</v>
      </c>
      <c r="I359" s="215" t="s">
        <v>1123</v>
      </c>
      <c r="J359" s="15">
        <v>46245.47152777778</v>
      </c>
      <c r="K359" s="15">
        <v>46253.505555555559</v>
      </c>
      <c r="L359" s="15"/>
      <c r="M359" s="215">
        <v>1</v>
      </c>
      <c r="N359" s="215"/>
      <c r="O359" s="215" t="s">
        <v>201</v>
      </c>
      <c r="P359" s="215" t="s">
        <v>532</v>
      </c>
      <c r="Q359" s="215"/>
      <c r="R359" s="215"/>
      <c r="S359" s="215" t="s">
        <v>373</v>
      </c>
      <c r="T359" s="215" t="s">
        <v>387</v>
      </c>
      <c r="U359" s="215" t="s">
        <v>293</v>
      </c>
      <c r="V359" s="215" t="s">
        <v>7</v>
      </c>
      <c r="W359" s="215" t="s">
        <v>7</v>
      </c>
      <c r="X359" s="215" t="s">
        <v>7</v>
      </c>
      <c r="Y359" s="215"/>
      <c r="Z359" s="215"/>
      <c r="AA359" s="215" t="s">
        <v>127</v>
      </c>
      <c r="AB359" s="215" t="s">
        <v>407</v>
      </c>
      <c r="AC359" s="215">
        <v>2940</v>
      </c>
      <c r="AD359" s="215" t="s">
        <v>233</v>
      </c>
      <c r="AE359" s="215">
        <v>1</v>
      </c>
      <c r="AF359" s="215"/>
    </row>
    <row r="360" spans="1:32" x14ac:dyDescent="0.3">
      <c r="A360" s="215" t="s">
        <v>353</v>
      </c>
      <c r="B360" s="215" t="s">
        <v>57</v>
      </c>
      <c r="C360" s="215" t="s">
        <v>117</v>
      </c>
      <c r="D360" s="215" t="s">
        <v>310</v>
      </c>
      <c r="E360" s="215" t="s">
        <v>1120</v>
      </c>
      <c r="F360" s="15">
        <v>46241.564421296294</v>
      </c>
      <c r="G360" s="215" t="s">
        <v>439</v>
      </c>
      <c r="H360" s="215">
        <v>32</v>
      </c>
      <c r="I360" s="215" t="s">
        <v>1123</v>
      </c>
      <c r="J360" s="15">
        <v>46245.47152777778</v>
      </c>
      <c r="K360" s="15">
        <v>46253.505555555559</v>
      </c>
      <c r="L360" s="15"/>
      <c r="M360" s="215">
        <v>32</v>
      </c>
      <c r="N360" s="215"/>
      <c r="O360" s="215" t="s">
        <v>529</v>
      </c>
      <c r="P360" s="215"/>
      <c r="Q360" s="215"/>
      <c r="R360" s="215"/>
      <c r="S360" s="215" t="s">
        <v>373</v>
      </c>
      <c r="T360" s="215" t="s">
        <v>387</v>
      </c>
      <c r="U360" s="215" t="s">
        <v>293</v>
      </c>
      <c r="V360" s="215" t="s">
        <v>7</v>
      </c>
      <c r="W360" s="215" t="s">
        <v>7</v>
      </c>
      <c r="X360" s="215" t="s">
        <v>7</v>
      </c>
      <c r="Y360" s="215"/>
      <c r="Z360" s="215"/>
      <c r="AA360" s="215" t="s">
        <v>127</v>
      </c>
      <c r="AB360" s="215" t="s">
        <v>407</v>
      </c>
      <c r="AC360" s="215">
        <v>2940</v>
      </c>
      <c r="AD360" s="215" t="s">
        <v>233</v>
      </c>
      <c r="AE360" s="215">
        <v>3.2</v>
      </c>
      <c r="AF360" s="215"/>
    </row>
    <row r="361" spans="1:32" x14ac:dyDescent="0.3">
      <c r="A361" s="215" t="s">
        <v>353</v>
      </c>
      <c r="B361" s="215" t="s">
        <v>57</v>
      </c>
      <c r="C361" s="215" t="s">
        <v>117</v>
      </c>
      <c r="D361" s="215" t="s">
        <v>310</v>
      </c>
      <c r="E361" s="215" t="s">
        <v>1120</v>
      </c>
      <c r="F361" s="15">
        <v>46241.564421296294</v>
      </c>
      <c r="G361" s="215" t="s">
        <v>439</v>
      </c>
      <c r="H361" s="215">
        <v>25</v>
      </c>
      <c r="I361" s="215" t="s">
        <v>1123</v>
      </c>
      <c r="J361" s="15">
        <v>46245.47152777778</v>
      </c>
      <c r="K361" s="15">
        <v>46253.505555555559</v>
      </c>
      <c r="L361" s="15"/>
      <c r="M361" s="215">
        <v>25</v>
      </c>
      <c r="N361" s="215"/>
      <c r="O361" s="215" t="s">
        <v>529</v>
      </c>
      <c r="P361" s="215"/>
      <c r="Q361" s="215"/>
      <c r="R361" s="215"/>
      <c r="S361" s="215" t="s">
        <v>373</v>
      </c>
      <c r="T361" s="215" t="s">
        <v>387</v>
      </c>
      <c r="U361" s="215" t="s">
        <v>293</v>
      </c>
      <c r="V361" s="215" t="s">
        <v>7</v>
      </c>
      <c r="W361" s="215" t="s">
        <v>7</v>
      </c>
      <c r="X361" s="215" t="s">
        <v>7</v>
      </c>
      <c r="Y361" s="215"/>
      <c r="Z361" s="215"/>
      <c r="AA361" s="215" t="s">
        <v>127</v>
      </c>
      <c r="AB361" s="215" t="s">
        <v>407</v>
      </c>
      <c r="AC361" s="215">
        <v>2940</v>
      </c>
      <c r="AD361" s="215" t="s">
        <v>233</v>
      </c>
      <c r="AE361" s="215">
        <v>2.5</v>
      </c>
      <c r="AF361" s="215"/>
    </row>
    <row r="362" spans="1:32" x14ac:dyDescent="0.3">
      <c r="A362" s="215" t="s">
        <v>353</v>
      </c>
      <c r="B362" s="215" t="s">
        <v>57</v>
      </c>
      <c r="C362" s="215" t="s">
        <v>117</v>
      </c>
      <c r="D362" s="215" t="s">
        <v>310</v>
      </c>
      <c r="E362" s="215" t="s">
        <v>1120</v>
      </c>
      <c r="F362" s="15">
        <v>46241.564421296294</v>
      </c>
      <c r="G362" s="215" t="s">
        <v>439</v>
      </c>
      <c r="H362" s="215">
        <v>2</v>
      </c>
      <c r="I362" s="215" t="s">
        <v>1123</v>
      </c>
      <c r="J362" s="15">
        <v>46245.47152777778</v>
      </c>
      <c r="K362" s="15">
        <v>46253.505555555559</v>
      </c>
      <c r="L362" s="15"/>
      <c r="M362" s="215">
        <v>2</v>
      </c>
      <c r="N362" s="215"/>
      <c r="O362" s="215" t="s">
        <v>529</v>
      </c>
      <c r="P362" s="215"/>
      <c r="Q362" s="215"/>
      <c r="R362" s="215"/>
      <c r="S362" s="215" t="s">
        <v>373</v>
      </c>
      <c r="T362" s="215" t="s">
        <v>387</v>
      </c>
      <c r="U362" s="215" t="s">
        <v>293</v>
      </c>
      <c r="V362" s="215" t="s">
        <v>7</v>
      </c>
      <c r="W362" s="215" t="s">
        <v>7</v>
      </c>
      <c r="X362" s="215" t="s">
        <v>7</v>
      </c>
      <c r="Y362" s="215"/>
      <c r="Z362" s="215"/>
      <c r="AA362" s="215" t="s">
        <v>127</v>
      </c>
      <c r="AB362" s="215" t="s">
        <v>407</v>
      </c>
      <c r="AC362" s="215">
        <v>2940</v>
      </c>
      <c r="AD362" s="215" t="s">
        <v>233</v>
      </c>
      <c r="AE362" s="215">
        <v>1</v>
      </c>
      <c r="AF362" s="215"/>
    </row>
    <row r="363" spans="1:32" x14ac:dyDescent="0.3">
      <c r="A363" s="215" t="s">
        <v>353</v>
      </c>
      <c r="B363" s="215" t="s">
        <v>57</v>
      </c>
      <c r="C363" s="215" t="s">
        <v>117</v>
      </c>
      <c r="D363" s="215" t="s">
        <v>310</v>
      </c>
      <c r="E363" s="215" t="s">
        <v>1120</v>
      </c>
      <c r="F363" s="15">
        <v>46241.564421296294</v>
      </c>
      <c r="G363" s="215" t="s">
        <v>439</v>
      </c>
      <c r="H363" s="215">
        <v>12</v>
      </c>
      <c r="I363" s="215" t="s">
        <v>1123</v>
      </c>
      <c r="J363" s="15">
        <v>46245.47152777778</v>
      </c>
      <c r="K363" s="15">
        <v>46253.505555555559</v>
      </c>
      <c r="L363" s="15"/>
      <c r="M363" s="215">
        <v>12</v>
      </c>
      <c r="N363" s="215"/>
      <c r="O363" s="215" t="s">
        <v>529</v>
      </c>
      <c r="P363" s="215"/>
      <c r="Q363" s="215"/>
      <c r="R363" s="215"/>
      <c r="S363" s="215" t="s">
        <v>373</v>
      </c>
      <c r="T363" s="215" t="s">
        <v>387</v>
      </c>
      <c r="U363" s="215" t="s">
        <v>293</v>
      </c>
      <c r="V363" s="215" t="s">
        <v>7</v>
      </c>
      <c r="W363" s="215" t="s">
        <v>7</v>
      </c>
      <c r="X363" s="215" t="s">
        <v>7</v>
      </c>
      <c r="Y363" s="215"/>
      <c r="Z363" s="215"/>
      <c r="AA363" s="215" t="s">
        <v>127</v>
      </c>
      <c r="AB363" s="215" t="s">
        <v>407</v>
      </c>
      <c r="AC363" s="215">
        <v>2940</v>
      </c>
      <c r="AD363" s="215" t="s">
        <v>233</v>
      </c>
      <c r="AE363" s="215">
        <v>1.2</v>
      </c>
      <c r="AF363" s="215"/>
    </row>
    <row r="364" spans="1:32" x14ac:dyDescent="0.3">
      <c r="A364" s="215" t="s">
        <v>353</v>
      </c>
      <c r="B364" s="215" t="s">
        <v>279</v>
      </c>
      <c r="C364" s="215" t="s">
        <v>197</v>
      </c>
      <c r="D364" s="215" t="s">
        <v>310</v>
      </c>
      <c r="E364" s="215" t="s">
        <v>1120</v>
      </c>
      <c r="F364" s="15">
        <v>46241.564421296294</v>
      </c>
      <c r="G364" s="215" t="s">
        <v>439</v>
      </c>
      <c r="H364" s="215">
        <v>3</v>
      </c>
      <c r="I364" s="215" t="s">
        <v>1122</v>
      </c>
      <c r="J364" s="15">
        <v>46245.577777777777</v>
      </c>
      <c r="K364" s="15">
        <v>46253.505555555559</v>
      </c>
      <c r="L364" s="15"/>
      <c r="M364" s="215">
        <v>3</v>
      </c>
      <c r="N364" s="215"/>
      <c r="O364" s="215" t="s">
        <v>201</v>
      </c>
      <c r="P364" s="215" t="s">
        <v>531</v>
      </c>
      <c r="Q364" s="215"/>
      <c r="R364" s="215"/>
      <c r="S364" s="215" t="s">
        <v>373</v>
      </c>
      <c r="T364" s="215" t="s">
        <v>387</v>
      </c>
      <c r="U364" s="215" t="s">
        <v>293</v>
      </c>
      <c r="V364" s="215" t="s">
        <v>7</v>
      </c>
      <c r="W364" s="215" t="s">
        <v>7</v>
      </c>
      <c r="X364" s="215" t="s">
        <v>7</v>
      </c>
      <c r="Y364" s="215"/>
      <c r="Z364" s="215">
        <v>16</v>
      </c>
      <c r="AA364" s="215" t="s">
        <v>122</v>
      </c>
      <c r="AB364" s="215" t="s">
        <v>407</v>
      </c>
      <c r="AC364" s="215">
        <v>2940</v>
      </c>
      <c r="AD364" s="215" t="s">
        <v>232</v>
      </c>
      <c r="AE364" s="215">
        <v>48</v>
      </c>
      <c r="AF364" s="215"/>
    </row>
    <row r="365" spans="1:32" x14ac:dyDescent="0.3">
      <c r="A365" s="215" t="s">
        <v>353</v>
      </c>
      <c r="B365" s="215" t="s">
        <v>279</v>
      </c>
      <c r="C365" s="215" t="s">
        <v>197</v>
      </c>
      <c r="D365" s="215" t="s">
        <v>310</v>
      </c>
      <c r="E365" s="215" t="s">
        <v>1120</v>
      </c>
      <c r="F365" s="15">
        <v>46241.564421296294</v>
      </c>
      <c r="G365" s="215" t="s">
        <v>439</v>
      </c>
      <c r="H365" s="215">
        <v>5</v>
      </c>
      <c r="I365" s="215" t="s">
        <v>1122</v>
      </c>
      <c r="J365" s="15">
        <v>46245.577777777777</v>
      </c>
      <c r="K365" s="15">
        <v>46253.505555555559</v>
      </c>
      <c r="L365" s="15"/>
      <c r="M365" s="215">
        <v>5</v>
      </c>
      <c r="N365" s="215"/>
      <c r="O365" s="215" t="s">
        <v>529</v>
      </c>
      <c r="P365" s="215"/>
      <c r="Q365" s="215"/>
      <c r="R365" s="215"/>
      <c r="S365" s="215" t="s">
        <v>373</v>
      </c>
      <c r="T365" s="215" t="s">
        <v>387</v>
      </c>
      <c r="U365" s="215" t="s">
        <v>293</v>
      </c>
      <c r="V365" s="215" t="s">
        <v>7</v>
      </c>
      <c r="W365" s="215" t="s">
        <v>7</v>
      </c>
      <c r="X365" s="215" t="s">
        <v>7</v>
      </c>
      <c r="Y365" s="215"/>
      <c r="Z365" s="215">
        <v>16</v>
      </c>
      <c r="AA365" s="215" t="s">
        <v>122</v>
      </c>
      <c r="AB365" s="215" t="s">
        <v>407</v>
      </c>
      <c r="AC365" s="215">
        <v>2940</v>
      </c>
      <c r="AD365" s="215" t="s">
        <v>232</v>
      </c>
      <c r="AE365" s="215">
        <v>80</v>
      </c>
      <c r="AF365" s="215"/>
    </row>
    <row r="366" spans="1:32" x14ac:dyDescent="0.3">
      <c r="A366" s="215" t="s">
        <v>353</v>
      </c>
      <c r="B366" s="215" t="s">
        <v>279</v>
      </c>
      <c r="C366" s="215" t="s">
        <v>197</v>
      </c>
      <c r="D366" s="215" t="s">
        <v>310</v>
      </c>
      <c r="E366" s="215" t="s">
        <v>1120</v>
      </c>
      <c r="F366" s="15">
        <v>46241.564421296294</v>
      </c>
      <c r="G366" s="215" t="s">
        <v>439</v>
      </c>
      <c r="H366" s="215">
        <v>9</v>
      </c>
      <c r="I366" s="215" t="s">
        <v>1122</v>
      </c>
      <c r="J366" s="15">
        <v>46245.577777777777</v>
      </c>
      <c r="K366" s="15">
        <v>46253.505555555559</v>
      </c>
      <c r="L366" s="15"/>
      <c r="M366" s="215">
        <v>9</v>
      </c>
      <c r="N366" s="215"/>
      <c r="O366" s="215" t="s">
        <v>529</v>
      </c>
      <c r="P366" s="215"/>
      <c r="Q366" s="215"/>
      <c r="R366" s="215"/>
      <c r="S366" s="215" t="s">
        <v>373</v>
      </c>
      <c r="T366" s="215" t="s">
        <v>387</v>
      </c>
      <c r="U366" s="215" t="s">
        <v>293</v>
      </c>
      <c r="V366" s="215" t="s">
        <v>7</v>
      </c>
      <c r="W366" s="215" t="s">
        <v>7</v>
      </c>
      <c r="X366" s="215" t="s">
        <v>7</v>
      </c>
      <c r="Y366" s="215"/>
      <c r="Z366" s="215">
        <v>16</v>
      </c>
      <c r="AA366" s="215" t="s">
        <v>122</v>
      </c>
      <c r="AB366" s="215" t="s">
        <v>407</v>
      </c>
      <c r="AC366" s="215">
        <v>2940</v>
      </c>
      <c r="AD366" s="215" t="s">
        <v>232</v>
      </c>
      <c r="AE366" s="215">
        <v>144</v>
      </c>
      <c r="AF366" s="215"/>
    </row>
    <row r="367" spans="1:32" x14ac:dyDescent="0.3">
      <c r="A367" s="215" t="s">
        <v>353</v>
      </c>
      <c r="B367" s="215" t="s">
        <v>57</v>
      </c>
      <c r="C367" s="215" t="s">
        <v>117</v>
      </c>
      <c r="D367" s="215" t="s">
        <v>310</v>
      </c>
      <c r="E367" s="215" t="s">
        <v>1120</v>
      </c>
      <c r="F367" s="15">
        <v>46241.564421296294</v>
      </c>
      <c r="G367" s="215" t="s">
        <v>439</v>
      </c>
      <c r="H367" s="215">
        <v>9</v>
      </c>
      <c r="I367" s="215" t="s">
        <v>1122</v>
      </c>
      <c r="J367" s="15">
        <v>46245.577777777777</v>
      </c>
      <c r="K367" s="15">
        <v>46253.505555555559</v>
      </c>
      <c r="L367" s="15"/>
      <c r="M367" s="215">
        <v>9</v>
      </c>
      <c r="N367" s="215"/>
      <c r="O367" s="215" t="s">
        <v>529</v>
      </c>
      <c r="P367" s="215"/>
      <c r="Q367" s="215"/>
      <c r="R367" s="215"/>
      <c r="S367" s="215" t="s">
        <v>373</v>
      </c>
      <c r="T367" s="215" t="s">
        <v>387</v>
      </c>
      <c r="U367" s="215" t="s">
        <v>293</v>
      </c>
      <c r="V367" s="215" t="s">
        <v>7</v>
      </c>
      <c r="W367" s="215" t="s">
        <v>7</v>
      </c>
      <c r="X367" s="215" t="s">
        <v>7</v>
      </c>
      <c r="Y367" s="215"/>
      <c r="Z367" s="215"/>
      <c r="AA367" s="215" t="s">
        <v>127</v>
      </c>
      <c r="AB367" s="215" t="s">
        <v>407</v>
      </c>
      <c r="AC367" s="215">
        <v>2940</v>
      </c>
      <c r="AD367" s="215" t="s">
        <v>233</v>
      </c>
      <c r="AE367" s="215">
        <v>1</v>
      </c>
      <c r="AF367" s="215"/>
    </row>
    <row r="368" spans="1:32" x14ac:dyDescent="0.3">
      <c r="A368" s="215" t="s">
        <v>353</v>
      </c>
      <c r="B368" s="215" t="s">
        <v>63</v>
      </c>
      <c r="C368" s="215" t="s">
        <v>95</v>
      </c>
      <c r="D368" s="215" t="s">
        <v>310</v>
      </c>
      <c r="E368" s="215" t="s">
        <v>1120</v>
      </c>
      <c r="F368" s="15">
        <v>46241.564421296294</v>
      </c>
      <c r="G368" s="215" t="s">
        <v>439</v>
      </c>
      <c r="H368" s="215">
        <v>2</v>
      </c>
      <c r="I368" s="215" t="s">
        <v>1121</v>
      </c>
      <c r="J368" s="15">
        <v>46248.417361111111</v>
      </c>
      <c r="K368" s="15">
        <v>46254.490972222222</v>
      </c>
      <c r="L368" s="15"/>
      <c r="M368" s="215">
        <v>2</v>
      </c>
      <c r="N368" s="215"/>
      <c r="O368" s="215" t="s">
        <v>529</v>
      </c>
      <c r="P368" s="215"/>
      <c r="Q368" s="215"/>
      <c r="R368" s="215"/>
      <c r="S368" s="215" t="s">
        <v>373</v>
      </c>
      <c r="T368" s="215" t="s">
        <v>387</v>
      </c>
      <c r="U368" s="215" t="s">
        <v>293</v>
      </c>
      <c r="V368" s="215" t="s">
        <v>7</v>
      </c>
      <c r="W368" s="215" t="s">
        <v>7</v>
      </c>
      <c r="X368" s="215" t="s">
        <v>7</v>
      </c>
      <c r="Y368" s="215"/>
      <c r="Z368" s="215"/>
      <c r="AA368" s="215" t="s">
        <v>96</v>
      </c>
      <c r="AB368" s="215" t="s">
        <v>407</v>
      </c>
      <c r="AC368" s="215">
        <v>2940</v>
      </c>
      <c r="AD368" s="215" t="s">
        <v>225</v>
      </c>
      <c r="AE368" s="215">
        <v>2</v>
      </c>
      <c r="AF368" s="215"/>
    </row>
    <row r="369" spans="1:32" x14ac:dyDescent="0.3">
      <c r="A369" s="215" t="s">
        <v>350</v>
      </c>
      <c r="B369" s="215" t="s">
        <v>51</v>
      </c>
      <c r="C369" s="215" t="s">
        <v>258</v>
      </c>
      <c r="D369" s="215" t="s">
        <v>310</v>
      </c>
      <c r="E369" s="215" t="s">
        <v>1124</v>
      </c>
      <c r="F369" s="15">
        <v>46253.364374999997</v>
      </c>
      <c r="G369" s="215" t="s">
        <v>1125</v>
      </c>
      <c r="H369" s="215">
        <v>105</v>
      </c>
      <c r="I369" s="215" t="s">
        <v>1126</v>
      </c>
      <c r="J369" s="15">
        <v>46253.631249999999</v>
      </c>
      <c r="K369" s="15">
        <v>46254.472222222219</v>
      </c>
      <c r="L369" s="15"/>
      <c r="M369" s="215">
        <v>105</v>
      </c>
      <c r="N369" s="215"/>
      <c r="O369" s="215" t="s">
        <v>201</v>
      </c>
      <c r="P369" s="215" t="s">
        <v>532</v>
      </c>
      <c r="Q369" s="215"/>
      <c r="R369" s="215"/>
      <c r="S369" s="215" t="s">
        <v>370</v>
      </c>
      <c r="T369" s="215" t="s">
        <v>383</v>
      </c>
      <c r="U369" s="215" t="s">
        <v>240</v>
      </c>
      <c r="V369" s="215" t="s">
        <v>7</v>
      </c>
      <c r="W369" s="215" t="s">
        <v>7</v>
      </c>
      <c r="X369" s="215" t="s">
        <v>7</v>
      </c>
      <c r="Y369" s="215"/>
      <c r="Z369" s="215"/>
      <c r="AA369" s="215" t="s">
        <v>238</v>
      </c>
      <c r="AB369" s="215" t="s">
        <v>370</v>
      </c>
      <c r="AC369" s="215"/>
      <c r="AD369" s="215" t="s">
        <v>7</v>
      </c>
      <c r="AE369" s="215"/>
      <c r="AF369" s="215">
        <v>0</v>
      </c>
    </row>
    <row r="370" spans="1:32" x14ac:dyDescent="0.3">
      <c r="A370" s="215" t="s">
        <v>350</v>
      </c>
      <c r="B370" s="215" t="s">
        <v>51</v>
      </c>
      <c r="C370" s="215" t="s">
        <v>258</v>
      </c>
      <c r="D370" s="215" t="s">
        <v>310</v>
      </c>
      <c r="E370" s="215" t="s">
        <v>1127</v>
      </c>
      <c r="F370" s="15">
        <v>46252.495659722219</v>
      </c>
      <c r="G370" s="215" t="s">
        <v>414</v>
      </c>
      <c r="H370" s="215">
        <v>220</v>
      </c>
      <c r="I370" s="215" t="s">
        <v>1128</v>
      </c>
      <c r="J370" s="15">
        <v>46253.654861111114</v>
      </c>
      <c r="K370" s="15">
        <v>46255.357638888891</v>
      </c>
      <c r="L370" s="15"/>
      <c r="M370" s="215">
        <v>220</v>
      </c>
      <c r="N370" s="215"/>
      <c r="O370" s="215" t="s">
        <v>201</v>
      </c>
      <c r="P370" s="215" t="s">
        <v>532</v>
      </c>
      <c r="Q370" s="215"/>
      <c r="R370" s="215"/>
      <c r="S370" s="215" t="s">
        <v>370</v>
      </c>
      <c r="T370" s="215" t="s">
        <v>383</v>
      </c>
      <c r="U370" s="215" t="s">
        <v>240</v>
      </c>
      <c r="V370" s="215" t="s">
        <v>7</v>
      </c>
      <c r="W370" s="215" t="s">
        <v>7</v>
      </c>
      <c r="X370" s="215" t="s">
        <v>7</v>
      </c>
      <c r="Y370" s="215"/>
      <c r="Z370" s="215"/>
      <c r="AA370" s="215" t="s">
        <v>238</v>
      </c>
      <c r="AB370" s="215" t="s">
        <v>370</v>
      </c>
      <c r="AC370" s="215"/>
      <c r="AD370" s="215" t="s">
        <v>7</v>
      </c>
      <c r="AE370" s="215"/>
      <c r="AF370" s="215">
        <v>0</v>
      </c>
    </row>
    <row r="371" spans="1:32" x14ac:dyDescent="0.3">
      <c r="A371" s="215" t="s">
        <v>350</v>
      </c>
      <c r="B371" s="215" t="s">
        <v>45</v>
      </c>
      <c r="C371" s="215" t="s">
        <v>68</v>
      </c>
      <c r="D371" s="215" t="s">
        <v>310</v>
      </c>
      <c r="E371" s="215" t="s">
        <v>1129</v>
      </c>
      <c r="F371" s="15">
        <v>46244.678773148145</v>
      </c>
      <c r="G371" s="215" t="s">
        <v>414</v>
      </c>
      <c r="H371" s="215">
        <v>25</v>
      </c>
      <c r="I371" s="215" t="s">
        <v>1130</v>
      </c>
      <c r="J371" s="15">
        <v>46245.410416666666</v>
      </c>
      <c r="K371" s="15">
        <v>46246.395833333336</v>
      </c>
      <c r="L371" s="15"/>
      <c r="M371" s="215">
        <v>25</v>
      </c>
      <c r="N371" s="215"/>
      <c r="O371" s="215" t="s">
        <v>201</v>
      </c>
      <c r="P371" s="215" t="s">
        <v>532</v>
      </c>
      <c r="Q371" s="215"/>
      <c r="R371" s="215"/>
      <c r="S371" s="215" t="s">
        <v>370</v>
      </c>
      <c r="T371" s="215" t="s">
        <v>383</v>
      </c>
      <c r="U371" s="215" t="s">
        <v>240</v>
      </c>
      <c r="V371" s="215" t="s">
        <v>350</v>
      </c>
      <c r="W371" s="215" t="s">
        <v>356</v>
      </c>
      <c r="X371" s="215" t="s">
        <v>240</v>
      </c>
      <c r="Y371" s="215">
        <v>3</v>
      </c>
      <c r="Z371" s="215"/>
      <c r="AA371" s="215" t="s">
        <v>67</v>
      </c>
      <c r="AB371" s="215" t="s">
        <v>370</v>
      </c>
      <c r="AC371" s="215"/>
      <c r="AD371" s="215" t="s">
        <v>217</v>
      </c>
      <c r="AE371" s="215">
        <v>2.5</v>
      </c>
      <c r="AF371" s="215">
        <v>1</v>
      </c>
    </row>
    <row r="372" spans="1:32" x14ac:dyDescent="0.3">
      <c r="A372" s="215" t="s">
        <v>350</v>
      </c>
      <c r="B372" s="215" t="s">
        <v>45</v>
      </c>
      <c r="C372" s="215" t="s">
        <v>68</v>
      </c>
      <c r="D372" s="215" t="s">
        <v>310</v>
      </c>
      <c r="E372" s="215" t="s">
        <v>1131</v>
      </c>
      <c r="F372" s="15">
        <v>46252.494293981479</v>
      </c>
      <c r="G372" s="215" t="s">
        <v>414</v>
      </c>
      <c r="H372" s="215">
        <v>25</v>
      </c>
      <c r="I372" s="215" t="s">
        <v>1132</v>
      </c>
      <c r="J372" s="15">
        <v>46252.644444444442</v>
      </c>
      <c r="K372" s="15">
        <v>46253.423611111109</v>
      </c>
      <c r="L372" s="15"/>
      <c r="M372" s="215">
        <v>25</v>
      </c>
      <c r="N372" s="215"/>
      <c r="O372" s="215" t="s">
        <v>201</v>
      </c>
      <c r="P372" s="215" t="s">
        <v>532</v>
      </c>
      <c r="Q372" s="215"/>
      <c r="R372" s="215"/>
      <c r="S372" s="215" t="s">
        <v>370</v>
      </c>
      <c r="T372" s="215" t="s">
        <v>383</v>
      </c>
      <c r="U372" s="215" t="s">
        <v>240</v>
      </c>
      <c r="V372" s="215" t="s">
        <v>350</v>
      </c>
      <c r="W372" s="215" t="s">
        <v>356</v>
      </c>
      <c r="X372" s="215" t="s">
        <v>240</v>
      </c>
      <c r="Y372" s="215">
        <v>3</v>
      </c>
      <c r="Z372" s="215"/>
      <c r="AA372" s="215" t="s">
        <v>67</v>
      </c>
      <c r="AB372" s="215" t="s">
        <v>370</v>
      </c>
      <c r="AC372" s="215"/>
      <c r="AD372" s="215" t="s">
        <v>217</v>
      </c>
      <c r="AE372" s="215">
        <v>2.5</v>
      </c>
      <c r="AF372" s="215">
        <v>1</v>
      </c>
    </row>
    <row r="373" spans="1:32" x14ac:dyDescent="0.3">
      <c r="A373" s="215" t="s">
        <v>350</v>
      </c>
      <c r="B373" s="215" t="s">
        <v>45</v>
      </c>
      <c r="C373" s="215" t="s">
        <v>68</v>
      </c>
      <c r="D373" s="215" t="s">
        <v>310</v>
      </c>
      <c r="E373" s="215" t="s">
        <v>1133</v>
      </c>
      <c r="F373" s="15">
        <v>46237.299120370371</v>
      </c>
      <c r="G373" s="215" t="s">
        <v>414</v>
      </c>
      <c r="H373" s="215">
        <v>20</v>
      </c>
      <c r="I373" s="215" t="s">
        <v>1134</v>
      </c>
      <c r="J373" s="15">
        <v>46237.356944444444</v>
      </c>
      <c r="K373" s="15">
        <v>46239.371527777781</v>
      </c>
      <c r="L373" s="15"/>
      <c r="M373" s="215">
        <v>20</v>
      </c>
      <c r="N373" s="215"/>
      <c r="O373" s="215" t="s">
        <v>201</v>
      </c>
      <c r="P373" s="215" t="s">
        <v>531</v>
      </c>
      <c r="Q373" s="215"/>
      <c r="R373" s="215"/>
      <c r="S373" s="215" t="s">
        <v>370</v>
      </c>
      <c r="T373" s="215" t="s">
        <v>383</v>
      </c>
      <c r="U373" s="215" t="s">
        <v>240</v>
      </c>
      <c r="V373" s="215" t="s">
        <v>350</v>
      </c>
      <c r="W373" s="215" t="s">
        <v>356</v>
      </c>
      <c r="X373" s="215" t="s">
        <v>240</v>
      </c>
      <c r="Y373" s="215">
        <v>3</v>
      </c>
      <c r="Z373" s="215"/>
      <c r="AA373" s="215" t="s">
        <v>67</v>
      </c>
      <c r="AB373" s="215" t="s">
        <v>370</v>
      </c>
      <c r="AC373" s="215"/>
      <c r="AD373" s="215" t="s">
        <v>217</v>
      </c>
      <c r="AE373" s="215">
        <v>2</v>
      </c>
      <c r="AF373" s="215">
        <v>1</v>
      </c>
    </row>
    <row r="374" spans="1:32" x14ac:dyDescent="0.3">
      <c r="A374" s="215" t="s">
        <v>350</v>
      </c>
      <c r="B374" s="215" t="s">
        <v>51</v>
      </c>
      <c r="C374" s="215" t="s">
        <v>258</v>
      </c>
      <c r="D374" s="215" t="s">
        <v>310</v>
      </c>
      <c r="E374" s="215" t="s">
        <v>1135</v>
      </c>
      <c r="F374" s="15">
        <v>46218.456944444442</v>
      </c>
      <c r="G374" s="215" t="s">
        <v>1136</v>
      </c>
      <c r="H374" s="215">
        <v>6</v>
      </c>
      <c r="I374" s="215" t="s">
        <v>1137</v>
      </c>
      <c r="J374" s="15">
        <v>46218.598611111112</v>
      </c>
      <c r="K374" s="15">
        <v>46220.557638888888</v>
      </c>
      <c r="L374" s="15"/>
      <c r="M374" s="215">
        <v>6</v>
      </c>
      <c r="N374" s="215"/>
      <c r="O374" s="215" t="s">
        <v>201</v>
      </c>
      <c r="P374" s="215" t="s">
        <v>532</v>
      </c>
      <c r="Q374" s="215"/>
      <c r="R374" s="215"/>
      <c r="S374" s="215" t="s">
        <v>368</v>
      </c>
      <c r="T374" s="215" t="s">
        <v>381</v>
      </c>
      <c r="U374" s="215" t="s">
        <v>240</v>
      </c>
      <c r="V374" s="215" t="s">
        <v>7</v>
      </c>
      <c r="W374" s="215" t="s">
        <v>7</v>
      </c>
      <c r="X374" s="215" t="s">
        <v>7</v>
      </c>
      <c r="Y374" s="215"/>
      <c r="Z374" s="215"/>
      <c r="AA374" s="215" t="s">
        <v>238</v>
      </c>
      <c r="AB374" s="215" t="s">
        <v>368</v>
      </c>
      <c r="AC374" s="215">
        <v>1100</v>
      </c>
      <c r="AD374" s="215" t="s">
        <v>7</v>
      </c>
      <c r="AE374" s="215"/>
      <c r="AF374" s="215">
        <v>0</v>
      </c>
    </row>
    <row r="375" spans="1:32" x14ac:dyDescent="0.3">
      <c r="A375" s="215" t="s">
        <v>350</v>
      </c>
      <c r="B375" s="215" t="s">
        <v>51</v>
      </c>
      <c r="C375" s="215" t="s">
        <v>258</v>
      </c>
      <c r="D375" s="215" t="s">
        <v>310</v>
      </c>
      <c r="E375" s="215" t="s">
        <v>1138</v>
      </c>
      <c r="F375" s="15">
        <v>46230.652881944443</v>
      </c>
      <c r="G375" s="215" t="s">
        <v>1136</v>
      </c>
      <c r="H375" s="215">
        <v>20</v>
      </c>
      <c r="I375" s="215" t="s">
        <v>1139</v>
      </c>
      <c r="J375" s="15">
        <v>46230.70208333333</v>
      </c>
      <c r="K375" s="15">
        <v>46232.451388888891</v>
      </c>
      <c r="L375" s="15"/>
      <c r="M375" s="215">
        <v>20</v>
      </c>
      <c r="N375" s="215"/>
      <c r="O375" s="215" t="s">
        <v>201</v>
      </c>
      <c r="P375" s="215" t="s">
        <v>532</v>
      </c>
      <c r="Q375" s="215"/>
      <c r="R375" s="215"/>
      <c r="S375" s="215" t="s">
        <v>368</v>
      </c>
      <c r="T375" s="215" t="s">
        <v>381</v>
      </c>
      <c r="U375" s="215" t="s">
        <v>240</v>
      </c>
      <c r="V375" s="215" t="s">
        <v>7</v>
      </c>
      <c r="W375" s="215" t="s">
        <v>7</v>
      </c>
      <c r="X375" s="215" t="s">
        <v>7</v>
      </c>
      <c r="Y375" s="215"/>
      <c r="Z375" s="215"/>
      <c r="AA375" s="215" t="s">
        <v>238</v>
      </c>
      <c r="AB375" s="215" t="s">
        <v>368</v>
      </c>
      <c r="AC375" s="215">
        <v>1100</v>
      </c>
      <c r="AD375" s="215" t="s">
        <v>7</v>
      </c>
      <c r="AE375" s="215"/>
      <c r="AF375" s="215">
        <v>0</v>
      </c>
    </row>
    <row r="376" spans="1:32" x14ac:dyDescent="0.3">
      <c r="A376" s="215" t="s">
        <v>350</v>
      </c>
      <c r="B376" s="215" t="s">
        <v>63</v>
      </c>
      <c r="C376" s="215" t="s">
        <v>95</v>
      </c>
      <c r="D376" s="215" t="s">
        <v>310</v>
      </c>
      <c r="E376" s="215" t="s">
        <v>1140</v>
      </c>
      <c r="F376" s="15">
        <v>46248.469560185185</v>
      </c>
      <c r="G376" s="215" t="s">
        <v>425</v>
      </c>
      <c r="H376" s="215">
        <v>26</v>
      </c>
      <c r="I376" s="215" t="s">
        <v>1141</v>
      </c>
      <c r="J376" s="15">
        <v>46251.56527777778</v>
      </c>
      <c r="K376" s="15">
        <v>46254.506944444445</v>
      </c>
      <c r="L376" s="15"/>
      <c r="M376" s="215">
        <v>26</v>
      </c>
      <c r="N376" s="215"/>
      <c r="O376" s="215" t="s">
        <v>201</v>
      </c>
      <c r="P376" s="215" t="s">
        <v>532</v>
      </c>
      <c r="Q376" s="215"/>
      <c r="R376" s="215"/>
      <c r="S376" s="215" t="s">
        <v>368</v>
      </c>
      <c r="T376" s="215" t="s">
        <v>381</v>
      </c>
      <c r="U376" s="215" t="s">
        <v>240</v>
      </c>
      <c r="V376" s="215" t="s">
        <v>7</v>
      </c>
      <c r="W376" s="215" t="s">
        <v>7</v>
      </c>
      <c r="X376" s="215" t="s">
        <v>7</v>
      </c>
      <c r="Y376" s="215"/>
      <c r="Z376" s="215"/>
      <c r="AA376" s="215" t="s">
        <v>96</v>
      </c>
      <c r="AB376" s="215" t="s">
        <v>368</v>
      </c>
      <c r="AC376" s="215">
        <v>1100</v>
      </c>
      <c r="AD376" s="215" t="s">
        <v>225</v>
      </c>
      <c r="AE376" s="215">
        <v>26</v>
      </c>
      <c r="AF376" s="215">
        <v>44.46</v>
      </c>
    </row>
    <row r="377" spans="1:32" x14ac:dyDescent="0.3">
      <c r="A377" s="215" t="s">
        <v>350</v>
      </c>
      <c r="B377" s="215" t="s">
        <v>279</v>
      </c>
      <c r="C377" s="215" t="s">
        <v>197</v>
      </c>
      <c r="D377" s="215" t="s">
        <v>310</v>
      </c>
      <c r="E377" s="215" t="s">
        <v>1140</v>
      </c>
      <c r="F377" s="15">
        <v>46248.469560185185</v>
      </c>
      <c r="G377" s="215" t="s">
        <v>425</v>
      </c>
      <c r="H377" s="215">
        <v>26</v>
      </c>
      <c r="I377" s="215" t="s">
        <v>1141</v>
      </c>
      <c r="J377" s="15">
        <v>46251.56527777778</v>
      </c>
      <c r="K377" s="15">
        <v>46254.506944444445</v>
      </c>
      <c r="L377" s="15"/>
      <c r="M377" s="215">
        <v>26</v>
      </c>
      <c r="N377" s="215"/>
      <c r="O377" s="215" t="s">
        <v>201</v>
      </c>
      <c r="P377" s="215" t="s">
        <v>532</v>
      </c>
      <c r="Q377" s="215"/>
      <c r="R377" s="215"/>
      <c r="S377" s="215" t="s">
        <v>368</v>
      </c>
      <c r="T377" s="215" t="s">
        <v>381</v>
      </c>
      <c r="U377" s="215" t="s">
        <v>240</v>
      </c>
      <c r="V377" s="215" t="s">
        <v>7</v>
      </c>
      <c r="W377" s="215" t="s">
        <v>7</v>
      </c>
      <c r="X377" s="215" t="s">
        <v>7</v>
      </c>
      <c r="Y377" s="215"/>
      <c r="Z377" s="215">
        <v>16</v>
      </c>
      <c r="AA377" s="215" t="s">
        <v>122</v>
      </c>
      <c r="AB377" s="215" t="s">
        <v>368</v>
      </c>
      <c r="AC377" s="215">
        <v>1100</v>
      </c>
      <c r="AD377" s="215" t="s">
        <v>232</v>
      </c>
      <c r="AE377" s="215">
        <v>416</v>
      </c>
      <c r="AF377" s="215"/>
    </row>
    <row r="378" spans="1:32" x14ac:dyDescent="0.3">
      <c r="A378" s="215" t="s">
        <v>350</v>
      </c>
      <c r="B378" s="215" t="s">
        <v>57</v>
      </c>
      <c r="C378" s="215" t="s">
        <v>117</v>
      </c>
      <c r="D378" s="215" t="s">
        <v>310</v>
      </c>
      <c r="E378" s="215" t="s">
        <v>1140</v>
      </c>
      <c r="F378" s="15">
        <v>46248.469560185185</v>
      </c>
      <c r="G378" s="215" t="s">
        <v>425</v>
      </c>
      <c r="H378" s="215">
        <v>26</v>
      </c>
      <c r="I378" s="215" t="s">
        <v>1141</v>
      </c>
      <c r="J378" s="15">
        <v>46251.56527777778</v>
      </c>
      <c r="K378" s="15">
        <v>46254.506944444445</v>
      </c>
      <c r="L378" s="15"/>
      <c r="M378" s="215">
        <v>26</v>
      </c>
      <c r="N378" s="215"/>
      <c r="O378" s="215" t="s">
        <v>201</v>
      </c>
      <c r="P378" s="215" t="s">
        <v>532</v>
      </c>
      <c r="Q378" s="215"/>
      <c r="R378" s="215"/>
      <c r="S378" s="215" t="s">
        <v>368</v>
      </c>
      <c r="T378" s="215" t="s">
        <v>381</v>
      </c>
      <c r="U378" s="215" t="s">
        <v>240</v>
      </c>
      <c r="V378" s="215" t="s">
        <v>7</v>
      </c>
      <c r="W378" s="215" t="s">
        <v>7</v>
      </c>
      <c r="X378" s="215" t="s">
        <v>7</v>
      </c>
      <c r="Y378" s="215"/>
      <c r="Z378" s="215"/>
      <c r="AA378" s="215" t="s">
        <v>127</v>
      </c>
      <c r="AB378" s="215" t="s">
        <v>368</v>
      </c>
      <c r="AC378" s="215">
        <v>1100</v>
      </c>
      <c r="AD378" s="215" t="s">
        <v>233</v>
      </c>
      <c r="AE378" s="215">
        <v>2.6</v>
      </c>
      <c r="AF378" s="215"/>
    </row>
    <row r="379" spans="1:32" x14ac:dyDescent="0.3">
      <c r="A379" s="215" t="s">
        <v>350</v>
      </c>
      <c r="B379" s="215" t="s">
        <v>51</v>
      </c>
      <c r="C379" s="215" t="s">
        <v>258</v>
      </c>
      <c r="D379" s="215" t="s">
        <v>310</v>
      </c>
      <c r="E379" s="215" t="s">
        <v>1159</v>
      </c>
      <c r="F379" s="15">
        <v>46253.319224537037</v>
      </c>
      <c r="G379" s="215" t="s">
        <v>410</v>
      </c>
      <c r="H379" s="215">
        <v>32</v>
      </c>
      <c r="I379" s="215" t="s">
        <v>1158</v>
      </c>
      <c r="J379" s="15">
        <v>46253.518750000003</v>
      </c>
      <c r="K379" s="15">
        <v>46254.46875</v>
      </c>
      <c r="L379" s="15"/>
      <c r="M379" s="215">
        <v>32</v>
      </c>
      <c r="N379" s="215"/>
      <c r="O379" s="215" t="s">
        <v>201</v>
      </c>
      <c r="P379" s="215" t="s">
        <v>532</v>
      </c>
      <c r="Q379" s="215"/>
      <c r="R379" s="215"/>
      <c r="S379" s="215" t="s">
        <v>369</v>
      </c>
      <c r="T379" s="215" t="s">
        <v>382</v>
      </c>
      <c r="U379" s="215" t="s">
        <v>240</v>
      </c>
      <c r="V379" s="215" t="s">
        <v>7</v>
      </c>
      <c r="W379" s="215" t="s">
        <v>7</v>
      </c>
      <c r="X379" s="215" t="s">
        <v>7</v>
      </c>
      <c r="Y379" s="215"/>
      <c r="Z379" s="215"/>
      <c r="AA379" s="215" t="s">
        <v>238</v>
      </c>
      <c r="AB379" s="215" t="s">
        <v>369</v>
      </c>
      <c r="AC379" s="215"/>
      <c r="AD379" s="215" t="s">
        <v>7</v>
      </c>
      <c r="AE379" s="215"/>
      <c r="AF379" s="215">
        <v>0</v>
      </c>
    </row>
    <row r="380" spans="1:32" x14ac:dyDescent="0.3">
      <c r="A380" s="215" t="s">
        <v>350</v>
      </c>
      <c r="B380" s="215" t="s">
        <v>51</v>
      </c>
      <c r="C380" s="215" t="s">
        <v>258</v>
      </c>
      <c r="D380" s="215" t="s">
        <v>310</v>
      </c>
      <c r="E380" s="215" t="s">
        <v>1160</v>
      </c>
      <c r="F380" s="15">
        <v>46253.318599537037</v>
      </c>
      <c r="G380" s="215" t="s">
        <v>410</v>
      </c>
      <c r="H380" s="215">
        <v>32</v>
      </c>
      <c r="I380" s="215" t="s">
        <v>1158</v>
      </c>
      <c r="J380" s="15">
        <v>46253.518750000003</v>
      </c>
      <c r="K380" s="15">
        <v>46254.46875</v>
      </c>
      <c r="L380" s="15"/>
      <c r="M380" s="215">
        <v>32</v>
      </c>
      <c r="N380" s="215"/>
      <c r="O380" s="215" t="s">
        <v>201</v>
      </c>
      <c r="P380" s="215" t="s">
        <v>532</v>
      </c>
      <c r="Q380" s="215"/>
      <c r="R380" s="215"/>
      <c r="S380" s="215" t="s">
        <v>369</v>
      </c>
      <c r="T380" s="215" t="s">
        <v>382</v>
      </c>
      <c r="U380" s="215" t="s">
        <v>240</v>
      </c>
      <c r="V380" s="215" t="s">
        <v>7</v>
      </c>
      <c r="W380" s="215" t="s">
        <v>7</v>
      </c>
      <c r="X380" s="215" t="s">
        <v>7</v>
      </c>
      <c r="Y380" s="215"/>
      <c r="Z380" s="215"/>
      <c r="AA380" s="215" t="s">
        <v>238</v>
      </c>
      <c r="AB380" s="215" t="s">
        <v>369</v>
      </c>
      <c r="AC380" s="215"/>
      <c r="AD380" s="215" t="s">
        <v>7</v>
      </c>
      <c r="AE380" s="215"/>
      <c r="AF380" s="215"/>
    </row>
    <row r="381" spans="1:32" x14ac:dyDescent="0.3">
      <c r="A381" s="215" t="s">
        <v>350</v>
      </c>
      <c r="B381" s="215" t="s">
        <v>51</v>
      </c>
      <c r="C381" s="215" t="s">
        <v>258</v>
      </c>
      <c r="D381" s="215" t="s">
        <v>310</v>
      </c>
      <c r="E381" s="215" t="s">
        <v>1157</v>
      </c>
      <c r="F381" s="15">
        <v>46253.319699074076</v>
      </c>
      <c r="G381" s="215" t="s">
        <v>410</v>
      </c>
      <c r="H381" s="215">
        <v>32</v>
      </c>
      <c r="I381" s="215" t="s">
        <v>1158</v>
      </c>
      <c r="J381" s="15">
        <v>46253.518750000003</v>
      </c>
      <c r="K381" s="15">
        <v>46254.46875</v>
      </c>
      <c r="L381" s="15"/>
      <c r="M381" s="215">
        <v>32</v>
      </c>
      <c r="N381" s="215"/>
      <c r="O381" s="215" t="s">
        <v>201</v>
      </c>
      <c r="P381" s="215" t="s">
        <v>532</v>
      </c>
      <c r="Q381" s="215"/>
      <c r="R381" s="215"/>
      <c r="S381" s="215" t="s">
        <v>369</v>
      </c>
      <c r="T381" s="215" t="s">
        <v>382</v>
      </c>
      <c r="U381" s="215" t="s">
        <v>240</v>
      </c>
      <c r="V381" s="215" t="s">
        <v>7</v>
      </c>
      <c r="W381" s="215" t="s">
        <v>7</v>
      </c>
      <c r="X381" s="215" t="s">
        <v>7</v>
      </c>
      <c r="Y381" s="215"/>
      <c r="Z381" s="215"/>
      <c r="AA381" s="215" t="s">
        <v>238</v>
      </c>
      <c r="AB381" s="215" t="s">
        <v>369</v>
      </c>
      <c r="AC381" s="215"/>
      <c r="AD381" s="215" t="s">
        <v>7</v>
      </c>
      <c r="AE381" s="215"/>
      <c r="AF381" s="215"/>
    </row>
    <row r="382" spans="1:32" x14ac:dyDescent="0.3">
      <c r="A382" s="215" t="s">
        <v>350</v>
      </c>
      <c r="B382" s="215" t="s">
        <v>43</v>
      </c>
      <c r="C382" s="215" t="s">
        <v>105</v>
      </c>
      <c r="D382" s="215" t="s">
        <v>310</v>
      </c>
      <c r="E382" s="215" t="s">
        <v>1161</v>
      </c>
      <c r="F382" s="15">
        <v>46244.665532407409</v>
      </c>
      <c r="G382" s="215" t="s">
        <v>410</v>
      </c>
      <c r="H382" s="215">
        <v>3</v>
      </c>
      <c r="I382" s="215" t="s">
        <v>1162</v>
      </c>
      <c r="J382" s="15">
        <v>46246.388194444444</v>
      </c>
      <c r="K382" s="15">
        <v>46247.479166666664</v>
      </c>
      <c r="L382" s="15"/>
      <c r="M382" s="215">
        <v>3</v>
      </c>
      <c r="N382" s="215"/>
      <c r="O382" s="215" t="s">
        <v>201</v>
      </c>
      <c r="P382" s="215" t="s">
        <v>532</v>
      </c>
      <c r="Q382" s="215"/>
      <c r="R382" s="215"/>
      <c r="S382" s="215" t="s">
        <v>369</v>
      </c>
      <c r="T382" s="215" t="s">
        <v>382</v>
      </c>
      <c r="U382" s="215" t="s">
        <v>240</v>
      </c>
      <c r="V382" s="215" t="s">
        <v>350</v>
      </c>
      <c r="W382" s="215" t="s">
        <v>356</v>
      </c>
      <c r="X382" s="215" t="s">
        <v>240</v>
      </c>
      <c r="Y382" s="215">
        <v>48</v>
      </c>
      <c r="Z382" s="215"/>
      <c r="AA382" s="215" t="s">
        <v>67</v>
      </c>
      <c r="AB382" s="215" t="s">
        <v>369</v>
      </c>
      <c r="AC382" s="215"/>
      <c r="AD382" s="215" t="s">
        <v>217</v>
      </c>
      <c r="AE382" s="215">
        <v>1</v>
      </c>
      <c r="AF382" s="215">
        <v>1</v>
      </c>
    </row>
    <row r="383" spans="1:32" x14ac:dyDescent="0.3">
      <c r="A383" s="215" t="s">
        <v>350</v>
      </c>
      <c r="B383" s="215" t="s">
        <v>45</v>
      </c>
      <c r="C383" s="215" t="s">
        <v>68</v>
      </c>
      <c r="D383" s="215" t="s">
        <v>310</v>
      </c>
      <c r="E383" s="215" t="s">
        <v>1163</v>
      </c>
      <c r="F383" s="15">
        <v>46244.660208333335</v>
      </c>
      <c r="G383" s="215" t="s">
        <v>410</v>
      </c>
      <c r="H383" s="215">
        <v>25</v>
      </c>
      <c r="I383" s="215" t="s">
        <v>1164</v>
      </c>
      <c r="J383" s="15">
        <v>46245.366666666669</v>
      </c>
      <c r="K383" s="15">
        <v>46246.611111111109</v>
      </c>
      <c r="L383" s="15"/>
      <c r="M383" s="215">
        <v>25</v>
      </c>
      <c r="N383" s="215"/>
      <c r="O383" s="215" t="s">
        <v>201</v>
      </c>
      <c r="P383" s="215" t="s">
        <v>532</v>
      </c>
      <c r="Q383" s="215"/>
      <c r="R383" s="215"/>
      <c r="S383" s="215" t="s">
        <v>369</v>
      </c>
      <c r="T383" s="215" t="s">
        <v>382</v>
      </c>
      <c r="U383" s="215" t="s">
        <v>240</v>
      </c>
      <c r="V383" s="215" t="s">
        <v>350</v>
      </c>
      <c r="W383" s="215" t="s">
        <v>356</v>
      </c>
      <c r="X383" s="215" t="s">
        <v>240</v>
      </c>
      <c r="Y383" s="215">
        <v>48</v>
      </c>
      <c r="Z383" s="215"/>
      <c r="AA383" s="215" t="s">
        <v>67</v>
      </c>
      <c r="AB383" s="215" t="s">
        <v>369</v>
      </c>
      <c r="AC383" s="215"/>
      <c r="AD383" s="215" t="s">
        <v>217</v>
      </c>
      <c r="AE383" s="215">
        <v>2.5</v>
      </c>
      <c r="AF383" s="215">
        <v>1</v>
      </c>
    </row>
    <row r="384" spans="1:32" x14ac:dyDescent="0.3">
      <c r="A384" s="215" t="s">
        <v>350</v>
      </c>
      <c r="B384" s="215" t="s">
        <v>51</v>
      </c>
      <c r="C384" s="215" t="s">
        <v>258</v>
      </c>
      <c r="D384" s="215" t="s">
        <v>310</v>
      </c>
      <c r="E384" s="215" t="s">
        <v>1165</v>
      </c>
      <c r="F384" s="15">
        <v>46244.662893518522</v>
      </c>
      <c r="G384" s="215" t="s">
        <v>410</v>
      </c>
      <c r="H384" s="215">
        <v>25</v>
      </c>
      <c r="I384" s="215" t="s">
        <v>1166</v>
      </c>
      <c r="J384" s="15">
        <v>46245.432638888888</v>
      </c>
      <c r="K384" s="15">
        <v>46246.611111111109</v>
      </c>
      <c r="L384" s="15"/>
      <c r="M384" s="215">
        <v>25</v>
      </c>
      <c r="N384" s="215"/>
      <c r="O384" s="215" t="s">
        <v>201</v>
      </c>
      <c r="P384" s="215" t="s">
        <v>532</v>
      </c>
      <c r="Q384" s="215"/>
      <c r="R384" s="215"/>
      <c r="S384" s="215" t="s">
        <v>369</v>
      </c>
      <c r="T384" s="215" t="s">
        <v>382</v>
      </c>
      <c r="U384" s="215" t="s">
        <v>240</v>
      </c>
      <c r="V384" s="215" t="s">
        <v>7</v>
      </c>
      <c r="W384" s="215" t="s">
        <v>7</v>
      </c>
      <c r="X384" s="215" t="s">
        <v>7</v>
      </c>
      <c r="Y384" s="215"/>
      <c r="Z384" s="215"/>
      <c r="AA384" s="215" t="s">
        <v>238</v>
      </c>
      <c r="AB384" s="215" t="s">
        <v>369</v>
      </c>
      <c r="AC384" s="215"/>
      <c r="AD384" s="215" t="s">
        <v>7</v>
      </c>
      <c r="AE384" s="215"/>
      <c r="AF384" s="215">
        <v>0</v>
      </c>
    </row>
    <row r="385" spans="1:32" x14ac:dyDescent="0.3">
      <c r="A385" s="215" t="s">
        <v>350</v>
      </c>
      <c r="B385" s="215" t="s">
        <v>51</v>
      </c>
      <c r="C385" s="215" t="s">
        <v>258</v>
      </c>
      <c r="D385" s="215" t="s">
        <v>310</v>
      </c>
      <c r="E385" s="215" t="s">
        <v>1167</v>
      </c>
      <c r="F385" s="15">
        <v>46244.662442129629</v>
      </c>
      <c r="G385" s="215" t="s">
        <v>410</v>
      </c>
      <c r="H385" s="215">
        <v>25</v>
      </c>
      <c r="I385" s="215" t="s">
        <v>1166</v>
      </c>
      <c r="J385" s="15">
        <v>46245.432638888888</v>
      </c>
      <c r="K385" s="15">
        <v>46246.611111111109</v>
      </c>
      <c r="L385" s="15"/>
      <c r="M385" s="215">
        <v>25</v>
      </c>
      <c r="N385" s="215"/>
      <c r="O385" s="215" t="s">
        <v>201</v>
      </c>
      <c r="P385" s="215" t="s">
        <v>532</v>
      </c>
      <c r="Q385" s="215"/>
      <c r="R385" s="215"/>
      <c r="S385" s="215" t="s">
        <v>369</v>
      </c>
      <c r="T385" s="215" t="s">
        <v>382</v>
      </c>
      <c r="U385" s="215" t="s">
        <v>240</v>
      </c>
      <c r="V385" s="215" t="s">
        <v>7</v>
      </c>
      <c r="W385" s="215" t="s">
        <v>7</v>
      </c>
      <c r="X385" s="215" t="s">
        <v>7</v>
      </c>
      <c r="Y385" s="215"/>
      <c r="Z385" s="215"/>
      <c r="AA385" s="215" t="s">
        <v>238</v>
      </c>
      <c r="AB385" s="215" t="s">
        <v>369</v>
      </c>
      <c r="AC385" s="215"/>
      <c r="AD385" s="215" t="s">
        <v>7</v>
      </c>
      <c r="AE385" s="215"/>
      <c r="AF385" s="215"/>
    </row>
    <row r="386" spans="1:32" x14ac:dyDescent="0.3">
      <c r="A386" s="215" t="s">
        <v>350</v>
      </c>
      <c r="B386" s="215" t="s">
        <v>51</v>
      </c>
      <c r="C386" s="215" t="s">
        <v>258</v>
      </c>
      <c r="D386" s="215" t="s">
        <v>310</v>
      </c>
      <c r="E386" s="215" t="s">
        <v>1168</v>
      </c>
      <c r="F386" s="15">
        <v>46244.661898148152</v>
      </c>
      <c r="G386" s="215" t="s">
        <v>410</v>
      </c>
      <c r="H386" s="215">
        <v>25</v>
      </c>
      <c r="I386" s="215" t="s">
        <v>1166</v>
      </c>
      <c r="J386" s="15">
        <v>46245.432638888888</v>
      </c>
      <c r="K386" s="15">
        <v>46246.611111111109</v>
      </c>
      <c r="L386" s="15"/>
      <c r="M386" s="215">
        <v>25</v>
      </c>
      <c r="N386" s="215"/>
      <c r="O386" s="215" t="s">
        <v>201</v>
      </c>
      <c r="P386" s="215" t="s">
        <v>532</v>
      </c>
      <c r="Q386" s="215"/>
      <c r="R386" s="215"/>
      <c r="S386" s="215" t="s">
        <v>369</v>
      </c>
      <c r="T386" s="215" t="s">
        <v>382</v>
      </c>
      <c r="U386" s="215" t="s">
        <v>240</v>
      </c>
      <c r="V386" s="215" t="s">
        <v>7</v>
      </c>
      <c r="W386" s="215" t="s">
        <v>7</v>
      </c>
      <c r="X386" s="215" t="s">
        <v>7</v>
      </c>
      <c r="Y386" s="215"/>
      <c r="Z386" s="215"/>
      <c r="AA386" s="215" t="s">
        <v>238</v>
      </c>
      <c r="AB386" s="215" t="s">
        <v>369</v>
      </c>
      <c r="AC386" s="215"/>
      <c r="AD386" s="215" t="s">
        <v>7</v>
      </c>
      <c r="AE386" s="215"/>
      <c r="AF386" s="215"/>
    </row>
    <row r="387" spans="1:32" x14ac:dyDescent="0.3">
      <c r="A387" s="215" t="s">
        <v>350</v>
      </c>
      <c r="B387" s="215" t="s">
        <v>45</v>
      </c>
      <c r="C387" s="215" t="s">
        <v>68</v>
      </c>
      <c r="D387" s="215" t="s">
        <v>310</v>
      </c>
      <c r="E387" s="215" t="s">
        <v>1169</v>
      </c>
      <c r="F387" s="15">
        <v>46253.320972222224</v>
      </c>
      <c r="G387" s="215" t="s">
        <v>410</v>
      </c>
      <c r="H387" s="215">
        <v>25</v>
      </c>
      <c r="I387" s="215" t="s">
        <v>1170</v>
      </c>
      <c r="J387" s="15">
        <v>46253.515277777777</v>
      </c>
      <c r="K387" s="15">
        <v>46255.638888888891</v>
      </c>
      <c r="L387" s="15"/>
      <c r="M387" s="215">
        <v>25</v>
      </c>
      <c r="N387" s="215"/>
      <c r="O387" s="215" t="s">
        <v>201</v>
      </c>
      <c r="P387" s="215" t="s">
        <v>531</v>
      </c>
      <c r="Q387" s="215"/>
      <c r="R387" s="215"/>
      <c r="S387" s="215" t="s">
        <v>369</v>
      </c>
      <c r="T387" s="215" t="s">
        <v>382</v>
      </c>
      <c r="U387" s="215" t="s">
        <v>240</v>
      </c>
      <c r="V387" s="215" t="s">
        <v>350</v>
      </c>
      <c r="W387" s="215" t="s">
        <v>356</v>
      </c>
      <c r="X387" s="215" t="s">
        <v>240</v>
      </c>
      <c r="Y387" s="215">
        <v>48</v>
      </c>
      <c r="Z387" s="215"/>
      <c r="AA387" s="215" t="s">
        <v>67</v>
      </c>
      <c r="AB387" s="215" t="s">
        <v>369</v>
      </c>
      <c r="AC387" s="215"/>
      <c r="AD387" s="215" t="s">
        <v>217</v>
      </c>
      <c r="AE387" s="215">
        <v>2.5</v>
      </c>
      <c r="AF387" s="215">
        <v>1</v>
      </c>
    </row>
    <row r="388" spans="1:32" x14ac:dyDescent="0.3">
      <c r="A388" s="215" t="s">
        <v>350</v>
      </c>
      <c r="B388" s="215" t="s">
        <v>45</v>
      </c>
      <c r="C388" s="215" t="s">
        <v>68</v>
      </c>
      <c r="D388" s="215" t="s">
        <v>310</v>
      </c>
      <c r="E388" s="215" t="s">
        <v>1171</v>
      </c>
      <c r="F388" s="15">
        <v>46233.603067129632</v>
      </c>
      <c r="G388" s="215" t="s">
        <v>418</v>
      </c>
      <c r="H388" s="215">
        <v>50</v>
      </c>
      <c r="I388" s="215" t="s">
        <v>1172</v>
      </c>
      <c r="J388" s="15">
        <v>46233.630254629628</v>
      </c>
      <c r="K388" s="15">
        <v>46237.586805555555</v>
      </c>
      <c r="L388" s="15"/>
      <c r="M388" s="215">
        <v>50</v>
      </c>
      <c r="N388" s="215"/>
      <c r="O388" s="215" t="s">
        <v>201</v>
      </c>
      <c r="P388" s="215" t="s">
        <v>532</v>
      </c>
      <c r="Q388" s="215"/>
      <c r="R388" s="215"/>
      <c r="S388" s="215" t="s">
        <v>369</v>
      </c>
      <c r="T388" s="215" t="s">
        <v>382</v>
      </c>
      <c r="U388" s="215" t="s">
        <v>240</v>
      </c>
      <c r="V388" s="215" t="s">
        <v>350</v>
      </c>
      <c r="W388" s="215" t="s">
        <v>356</v>
      </c>
      <c r="X388" s="215" t="s">
        <v>240</v>
      </c>
      <c r="Y388" s="215">
        <v>48</v>
      </c>
      <c r="Z388" s="215"/>
      <c r="AA388" s="215" t="s">
        <v>67</v>
      </c>
      <c r="AB388" s="215" t="s">
        <v>369</v>
      </c>
      <c r="AC388" s="215"/>
      <c r="AD388" s="215" t="s">
        <v>217</v>
      </c>
      <c r="AE388" s="215">
        <v>5</v>
      </c>
      <c r="AF388" s="215">
        <v>1</v>
      </c>
    </row>
    <row r="389" spans="1:32" x14ac:dyDescent="0.3">
      <c r="A389" s="215" t="s">
        <v>350</v>
      </c>
      <c r="B389" s="215" t="s">
        <v>48</v>
      </c>
      <c r="C389" s="215" t="s">
        <v>68</v>
      </c>
      <c r="D389" s="215" t="s">
        <v>310</v>
      </c>
      <c r="E389" s="215" t="s">
        <v>1173</v>
      </c>
      <c r="F389" s="15">
        <v>46238.544641203705</v>
      </c>
      <c r="G389" s="215" t="s">
        <v>410</v>
      </c>
      <c r="H389" s="215">
        <v>3</v>
      </c>
      <c r="I389" s="215" t="s">
        <v>1174</v>
      </c>
      <c r="J389" s="15">
        <v>46238.632962962962</v>
      </c>
      <c r="K389" s="15">
        <v>46240.518055555556</v>
      </c>
      <c r="L389" s="15"/>
      <c r="M389" s="215">
        <v>3</v>
      </c>
      <c r="N389" s="215"/>
      <c r="O389" s="215" t="s">
        <v>201</v>
      </c>
      <c r="P389" s="215" t="s">
        <v>532</v>
      </c>
      <c r="Q389" s="215"/>
      <c r="R389" s="215"/>
      <c r="S389" s="215" t="s">
        <v>369</v>
      </c>
      <c r="T389" s="215" t="s">
        <v>382</v>
      </c>
      <c r="U389" s="215" t="s">
        <v>240</v>
      </c>
      <c r="V389" s="215" t="s">
        <v>350</v>
      </c>
      <c r="W389" s="215" t="s">
        <v>356</v>
      </c>
      <c r="X389" s="215" t="s">
        <v>240</v>
      </c>
      <c r="Y389" s="215">
        <v>48</v>
      </c>
      <c r="Z389" s="215"/>
      <c r="AA389" s="215" t="s">
        <v>90</v>
      </c>
      <c r="AB389" s="215" t="s">
        <v>369</v>
      </c>
      <c r="AC389" s="215"/>
      <c r="AD389" s="215" t="s">
        <v>217</v>
      </c>
      <c r="AE389" s="215">
        <v>1</v>
      </c>
      <c r="AF389" s="215">
        <v>1</v>
      </c>
    </row>
    <row r="390" spans="1:32" x14ac:dyDescent="0.3">
      <c r="A390" s="215" t="s">
        <v>350</v>
      </c>
      <c r="B390" s="215" t="s">
        <v>63</v>
      </c>
      <c r="C390" s="215" t="s">
        <v>95</v>
      </c>
      <c r="D390" s="215" t="s">
        <v>310</v>
      </c>
      <c r="E390" s="215" t="s">
        <v>1175</v>
      </c>
      <c r="F390" s="15">
        <v>46231.685798611114</v>
      </c>
      <c r="G390" s="215" t="s">
        <v>409</v>
      </c>
      <c r="H390" s="215">
        <v>1</v>
      </c>
      <c r="I390" s="215" t="s">
        <v>1176</v>
      </c>
      <c r="J390" s="15">
        <v>46232.496759259258</v>
      </c>
      <c r="K390" s="15">
        <v>46237.791666666664</v>
      </c>
      <c r="L390" s="15"/>
      <c r="M390" s="215">
        <v>1</v>
      </c>
      <c r="N390" s="215"/>
      <c r="O390" s="215" t="s">
        <v>201</v>
      </c>
      <c r="P390" s="215" t="s">
        <v>532</v>
      </c>
      <c r="Q390" s="215"/>
      <c r="R390" s="215"/>
      <c r="S390" s="215" t="s">
        <v>367</v>
      </c>
      <c r="T390" s="215" t="s">
        <v>356</v>
      </c>
      <c r="U390" s="215" t="s">
        <v>240</v>
      </c>
      <c r="V390" s="215" t="s">
        <v>7</v>
      </c>
      <c r="W390" s="215" t="s">
        <v>7</v>
      </c>
      <c r="X390" s="215" t="s">
        <v>7</v>
      </c>
      <c r="Y390" s="215"/>
      <c r="Z390" s="215"/>
      <c r="AA390" s="215" t="s">
        <v>96</v>
      </c>
      <c r="AB390" s="215" t="s">
        <v>367</v>
      </c>
      <c r="AC390" s="215">
        <v>200</v>
      </c>
      <c r="AD390" s="215" t="s">
        <v>225</v>
      </c>
      <c r="AE390" s="215">
        <v>1</v>
      </c>
      <c r="AF390" s="215">
        <v>11.1</v>
      </c>
    </row>
    <row r="391" spans="1:32" x14ac:dyDescent="0.3">
      <c r="A391" s="215" t="s">
        <v>350</v>
      </c>
      <c r="B391" s="215" t="s">
        <v>57</v>
      </c>
      <c r="C391" s="215" t="s">
        <v>117</v>
      </c>
      <c r="D391" s="215" t="s">
        <v>310</v>
      </c>
      <c r="E391" s="215" t="s">
        <v>1175</v>
      </c>
      <c r="F391" s="15">
        <v>46231.685798611114</v>
      </c>
      <c r="G391" s="215" t="s">
        <v>409</v>
      </c>
      <c r="H391" s="215">
        <v>1</v>
      </c>
      <c r="I391" s="215" t="s">
        <v>1176</v>
      </c>
      <c r="J391" s="15">
        <v>46232.496759259258</v>
      </c>
      <c r="K391" s="15">
        <v>46237.791666666664</v>
      </c>
      <c r="L391" s="15"/>
      <c r="M391" s="215">
        <v>1</v>
      </c>
      <c r="N391" s="215"/>
      <c r="O391" s="215" t="s">
        <v>201</v>
      </c>
      <c r="P391" s="215" t="s">
        <v>532</v>
      </c>
      <c r="Q391" s="215"/>
      <c r="R391" s="215"/>
      <c r="S391" s="215" t="s">
        <v>367</v>
      </c>
      <c r="T391" s="215" t="s">
        <v>356</v>
      </c>
      <c r="U391" s="215" t="s">
        <v>240</v>
      </c>
      <c r="V391" s="215" t="s">
        <v>7</v>
      </c>
      <c r="W391" s="215" t="s">
        <v>7</v>
      </c>
      <c r="X391" s="215" t="s">
        <v>7</v>
      </c>
      <c r="Y391" s="215"/>
      <c r="Z391" s="215"/>
      <c r="AA391" s="215" t="s">
        <v>127</v>
      </c>
      <c r="AB391" s="215" t="s">
        <v>367</v>
      </c>
      <c r="AC391" s="215">
        <v>200</v>
      </c>
      <c r="AD391" s="215" t="s">
        <v>233</v>
      </c>
      <c r="AE391" s="215">
        <v>1</v>
      </c>
      <c r="AF391" s="215"/>
    </row>
    <row r="392" spans="1:32" x14ac:dyDescent="0.3">
      <c r="A392" s="215" t="s">
        <v>350</v>
      </c>
      <c r="B392" s="215" t="s">
        <v>279</v>
      </c>
      <c r="C392" s="215" t="s">
        <v>192</v>
      </c>
      <c r="D392" s="215" t="s">
        <v>310</v>
      </c>
      <c r="E392" s="215" t="s">
        <v>1175</v>
      </c>
      <c r="F392" s="15">
        <v>46231.685798611114</v>
      </c>
      <c r="G392" s="215" t="s">
        <v>409</v>
      </c>
      <c r="H392" s="215">
        <v>109</v>
      </c>
      <c r="I392" s="215" t="s">
        <v>1176</v>
      </c>
      <c r="J392" s="15">
        <v>46232.496759259258</v>
      </c>
      <c r="K392" s="15">
        <v>46237.791666666664</v>
      </c>
      <c r="L392" s="15"/>
      <c r="M392" s="215">
        <v>109</v>
      </c>
      <c r="N392" s="215"/>
      <c r="O392" s="215" t="s">
        <v>201</v>
      </c>
      <c r="P392" s="215" t="s">
        <v>531</v>
      </c>
      <c r="Q392" s="215"/>
      <c r="R392" s="215"/>
      <c r="S392" s="215" t="s">
        <v>367</v>
      </c>
      <c r="T392" s="215" t="s">
        <v>356</v>
      </c>
      <c r="U392" s="215" t="s">
        <v>240</v>
      </c>
      <c r="V392" s="215" t="s">
        <v>7</v>
      </c>
      <c r="W392" s="215" t="s">
        <v>7</v>
      </c>
      <c r="X392" s="215" t="s">
        <v>7</v>
      </c>
      <c r="Y392" s="215"/>
      <c r="Z392" s="215">
        <v>1</v>
      </c>
      <c r="AA392" s="215" t="s">
        <v>122</v>
      </c>
      <c r="AB392" s="215" t="s">
        <v>367</v>
      </c>
      <c r="AC392" s="215">
        <v>200</v>
      </c>
      <c r="AD392" s="215" t="s">
        <v>232</v>
      </c>
      <c r="AE392" s="215">
        <v>109</v>
      </c>
      <c r="AF392" s="215"/>
    </row>
    <row r="393" spans="1:32" x14ac:dyDescent="0.3">
      <c r="A393" s="215" t="s">
        <v>350</v>
      </c>
      <c r="B393" s="215" t="s">
        <v>57</v>
      </c>
      <c r="C393" s="215" t="s">
        <v>117</v>
      </c>
      <c r="D393" s="215" t="s">
        <v>310</v>
      </c>
      <c r="E393" s="215" t="s">
        <v>1177</v>
      </c>
      <c r="F393" s="15">
        <v>46227.492546296293</v>
      </c>
      <c r="G393" s="215" t="s">
        <v>411</v>
      </c>
      <c r="H393" s="215">
        <v>1</v>
      </c>
      <c r="I393" s="215" t="s">
        <v>1178</v>
      </c>
      <c r="J393" s="15">
        <v>46227.612233796295</v>
      </c>
      <c r="K393" s="15">
        <v>46233.329861111109</v>
      </c>
      <c r="L393" s="15"/>
      <c r="M393" s="215">
        <v>1</v>
      </c>
      <c r="N393" s="215"/>
      <c r="O393" s="215" t="s">
        <v>201</v>
      </c>
      <c r="P393" s="215" t="s">
        <v>532</v>
      </c>
      <c r="Q393" s="215"/>
      <c r="R393" s="215"/>
      <c r="S393" s="215" t="s">
        <v>367</v>
      </c>
      <c r="T393" s="215" t="s">
        <v>356</v>
      </c>
      <c r="U393" s="215" t="s">
        <v>240</v>
      </c>
      <c r="V393" s="215" t="s">
        <v>7</v>
      </c>
      <c r="W393" s="215" t="s">
        <v>7</v>
      </c>
      <c r="X393" s="215" t="s">
        <v>7</v>
      </c>
      <c r="Y393" s="215"/>
      <c r="Z393" s="215"/>
      <c r="AA393" s="215" t="s">
        <v>127</v>
      </c>
      <c r="AB393" s="215" t="s">
        <v>367</v>
      </c>
      <c r="AC393" s="215">
        <v>200</v>
      </c>
      <c r="AD393" s="215" t="s">
        <v>233</v>
      </c>
      <c r="AE393" s="215">
        <v>1</v>
      </c>
      <c r="AF393" s="215">
        <v>1</v>
      </c>
    </row>
    <row r="394" spans="1:32" x14ac:dyDescent="0.3">
      <c r="A394" s="215" t="s">
        <v>350</v>
      </c>
      <c r="B394" s="215" t="s">
        <v>279</v>
      </c>
      <c r="C394" s="215" t="s">
        <v>192</v>
      </c>
      <c r="D394" s="215" t="s">
        <v>310</v>
      </c>
      <c r="E394" s="215" t="s">
        <v>1177</v>
      </c>
      <c r="F394" s="15">
        <v>46227.492546296293</v>
      </c>
      <c r="G394" s="215" t="s">
        <v>411</v>
      </c>
      <c r="H394" s="215">
        <v>1</v>
      </c>
      <c r="I394" s="215" t="s">
        <v>1178</v>
      </c>
      <c r="J394" s="15">
        <v>46227.612233796295</v>
      </c>
      <c r="K394" s="15">
        <v>46233.329861111109</v>
      </c>
      <c r="L394" s="15"/>
      <c r="M394" s="215">
        <v>1</v>
      </c>
      <c r="N394" s="215"/>
      <c r="O394" s="215" t="s">
        <v>201</v>
      </c>
      <c r="P394" s="215" t="s">
        <v>531</v>
      </c>
      <c r="Q394" s="215"/>
      <c r="R394" s="215"/>
      <c r="S394" s="215" t="s">
        <v>367</v>
      </c>
      <c r="T394" s="215" t="s">
        <v>356</v>
      </c>
      <c r="U394" s="215" t="s">
        <v>240</v>
      </c>
      <c r="V394" s="215" t="s">
        <v>7</v>
      </c>
      <c r="W394" s="215" t="s">
        <v>7</v>
      </c>
      <c r="X394" s="215" t="s">
        <v>7</v>
      </c>
      <c r="Y394" s="215"/>
      <c r="Z394" s="215">
        <v>1</v>
      </c>
      <c r="AA394" s="215" t="s">
        <v>122</v>
      </c>
      <c r="AB394" s="215" t="s">
        <v>367</v>
      </c>
      <c r="AC394" s="215">
        <v>200</v>
      </c>
      <c r="AD394" s="215" t="s">
        <v>232</v>
      </c>
      <c r="AE394" s="215">
        <v>1</v>
      </c>
      <c r="AF394" s="215"/>
    </row>
    <row r="395" spans="1:32" x14ac:dyDescent="0.3">
      <c r="A395" s="215" t="s">
        <v>350</v>
      </c>
      <c r="B395" s="215" t="s">
        <v>63</v>
      </c>
      <c r="C395" s="215" t="s">
        <v>95</v>
      </c>
      <c r="D395" s="215" t="s">
        <v>310</v>
      </c>
      <c r="E395" s="215" t="s">
        <v>1177</v>
      </c>
      <c r="F395" s="15">
        <v>46227.492546296293</v>
      </c>
      <c r="G395" s="215" t="s">
        <v>411</v>
      </c>
      <c r="H395" s="215">
        <v>1</v>
      </c>
      <c r="I395" s="215" t="s">
        <v>1178</v>
      </c>
      <c r="J395" s="15">
        <v>46227.612233796295</v>
      </c>
      <c r="K395" s="15">
        <v>46233.329861111109</v>
      </c>
      <c r="L395" s="15"/>
      <c r="M395" s="215">
        <v>1</v>
      </c>
      <c r="N395" s="215"/>
      <c r="O395" s="215" t="s">
        <v>201</v>
      </c>
      <c r="P395" s="215" t="s">
        <v>532</v>
      </c>
      <c r="Q395" s="215"/>
      <c r="R395" s="215"/>
      <c r="S395" s="215" t="s">
        <v>367</v>
      </c>
      <c r="T395" s="215" t="s">
        <v>356</v>
      </c>
      <c r="U395" s="215" t="s">
        <v>240</v>
      </c>
      <c r="V395" s="215" t="s">
        <v>7</v>
      </c>
      <c r="W395" s="215" t="s">
        <v>7</v>
      </c>
      <c r="X395" s="215" t="s">
        <v>7</v>
      </c>
      <c r="Y395" s="215"/>
      <c r="Z395" s="215"/>
      <c r="AA395" s="215" t="s">
        <v>96</v>
      </c>
      <c r="AB395" s="215" t="s">
        <v>367</v>
      </c>
      <c r="AC395" s="215">
        <v>200</v>
      </c>
      <c r="AD395" s="215" t="s">
        <v>225</v>
      </c>
      <c r="AE395" s="215">
        <v>1</v>
      </c>
      <c r="AF395" s="215"/>
    </row>
    <row r="396" spans="1:32" x14ac:dyDescent="0.3">
      <c r="A396" s="215" t="s">
        <v>351</v>
      </c>
      <c r="B396" s="215" t="s">
        <v>45</v>
      </c>
      <c r="C396" s="215" t="s">
        <v>68</v>
      </c>
      <c r="D396" s="215" t="s">
        <v>310</v>
      </c>
      <c r="E396" s="215" t="s">
        <v>1179</v>
      </c>
      <c r="F396" s="15">
        <v>46224.647638888891</v>
      </c>
      <c r="G396" s="215" t="s">
        <v>416</v>
      </c>
      <c r="H396" s="215">
        <v>1</v>
      </c>
      <c r="I396" s="215" t="s">
        <v>1180</v>
      </c>
      <c r="J396" s="15">
        <v>46225.434756944444</v>
      </c>
      <c r="K396" s="15">
        <v>46226.447916666664</v>
      </c>
      <c r="L396" s="15"/>
      <c r="M396" s="215">
        <v>1</v>
      </c>
      <c r="N396" s="215"/>
      <c r="O396" s="215" t="s">
        <v>201</v>
      </c>
      <c r="P396" s="215" t="s">
        <v>532</v>
      </c>
      <c r="Q396" s="215"/>
      <c r="R396" s="215"/>
      <c r="S396" s="215" t="s">
        <v>358</v>
      </c>
      <c r="T396" s="215" t="s">
        <v>376</v>
      </c>
      <c r="U396" s="215" t="s">
        <v>287</v>
      </c>
      <c r="V396" s="215" t="s">
        <v>351</v>
      </c>
      <c r="W396" s="215" t="s">
        <v>378</v>
      </c>
      <c r="X396" s="215" t="s">
        <v>239</v>
      </c>
      <c r="Y396" s="215">
        <v>76</v>
      </c>
      <c r="Z396" s="215"/>
      <c r="AA396" s="215" t="s">
        <v>67</v>
      </c>
      <c r="AB396" s="215" t="s">
        <v>358</v>
      </c>
      <c r="AC396" s="215"/>
      <c r="AD396" s="215" t="s">
        <v>217</v>
      </c>
      <c r="AE396" s="215">
        <v>1</v>
      </c>
      <c r="AF396" s="215">
        <v>1</v>
      </c>
    </row>
    <row r="397" spans="1:32" x14ac:dyDescent="0.3">
      <c r="A397" s="215" t="s">
        <v>351</v>
      </c>
      <c r="B397" s="215" t="s">
        <v>63</v>
      </c>
      <c r="C397" s="215" t="s">
        <v>95</v>
      </c>
      <c r="D397" s="215" t="s">
        <v>310</v>
      </c>
      <c r="E397" s="215" t="s">
        <v>1183</v>
      </c>
      <c r="F397" s="15">
        <v>46241.647488425922</v>
      </c>
      <c r="G397" s="215" t="s">
        <v>409</v>
      </c>
      <c r="H397" s="215">
        <v>1</v>
      </c>
      <c r="I397" s="215" t="s">
        <v>1184</v>
      </c>
      <c r="J397" s="15">
        <v>46244.369074074071</v>
      </c>
      <c r="K397" s="15">
        <v>46247.349988425929</v>
      </c>
      <c r="L397" s="15"/>
      <c r="M397" s="215">
        <v>1</v>
      </c>
      <c r="N397" s="215"/>
      <c r="O397" s="215" t="s">
        <v>201</v>
      </c>
      <c r="P397" s="215" t="s">
        <v>532</v>
      </c>
      <c r="Q397" s="215"/>
      <c r="R397" s="215"/>
      <c r="S397" s="215" t="s">
        <v>359</v>
      </c>
      <c r="T397" s="215" t="s">
        <v>377</v>
      </c>
      <c r="U397" s="215" t="s">
        <v>239</v>
      </c>
      <c r="V397" s="215" t="s">
        <v>7</v>
      </c>
      <c r="W397" s="215" t="s">
        <v>7</v>
      </c>
      <c r="X397" s="215" t="s">
        <v>7</v>
      </c>
      <c r="Y397" s="215"/>
      <c r="Z397" s="215"/>
      <c r="AA397" s="215" t="s">
        <v>96</v>
      </c>
      <c r="AB397" s="215" t="s">
        <v>359</v>
      </c>
      <c r="AC397" s="215">
        <v>2100</v>
      </c>
      <c r="AD397" s="215" t="s">
        <v>225</v>
      </c>
      <c r="AE397" s="215">
        <v>1</v>
      </c>
      <c r="AF397" s="215">
        <v>34.200000000000003</v>
      </c>
    </row>
    <row r="398" spans="1:32" x14ac:dyDescent="0.3">
      <c r="A398" s="215" t="s">
        <v>351</v>
      </c>
      <c r="B398" s="215" t="s">
        <v>57</v>
      </c>
      <c r="C398" s="215" t="s">
        <v>117</v>
      </c>
      <c r="D398" s="215" t="s">
        <v>310</v>
      </c>
      <c r="E398" s="215" t="s">
        <v>1183</v>
      </c>
      <c r="F398" s="15">
        <v>46241.647488425922</v>
      </c>
      <c r="G398" s="215" t="s">
        <v>409</v>
      </c>
      <c r="H398" s="215">
        <v>1</v>
      </c>
      <c r="I398" s="215" t="s">
        <v>1184</v>
      </c>
      <c r="J398" s="15">
        <v>46244.369074074071</v>
      </c>
      <c r="K398" s="15">
        <v>46247.349988425929</v>
      </c>
      <c r="L398" s="15"/>
      <c r="M398" s="215">
        <v>1</v>
      </c>
      <c r="N398" s="215"/>
      <c r="O398" s="215" t="s">
        <v>201</v>
      </c>
      <c r="P398" s="215" t="s">
        <v>532</v>
      </c>
      <c r="Q398" s="215"/>
      <c r="R398" s="215"/>
      <c r="S398" s="215" t="s">
        <v>359</v>
      </c>
      <c r="T398" s="215" t="s">
        <v>377</v>
      </c>
      <c r="U398" s="215" t="s">
        <v>239</v>
      </c>
      <c r="V398" s="215" t="s">
        <v>7</v>
      </c>
      <c r="W398" s="215" t="s">
        <v>7</v>
      </c>
      <c r="X398" s="215" t="s">
        <v>7</v>
      </c>
      <c r="Y398" s="215"/>
      <c r="Z398" s="215"/>
      <c r="AA398" s="215" t="s">
        <v>127</v>
      </c>
      <c r="AB398" s="215" t="s">
        <v>359</v>
      </c>
      <c r="AC398" s="215">
        <v>2100</v>
      </c>
      <c r="AD398" s="215" t="s">
        <v>233</v>
      </c>
      <c r="AE398" s="215">
        <v>1</v>
      </c>
      <c r="AF398" s="215"/>
    </row>
    <row r="399" spans="1:32" x14ac:dyDescent="0.3">
      <c r="A399" s="215" t="s">
        <v>351</v>
      </c>
      <c r="B399" s="215" t="s">
        <v>48</v>
      </c>
      <c r="C399" s="215" t="s">
        <v>68</v>
      </c>
      <c r="D399" s="215" t="s">
        <v>310</v>
      </c>
      <c r="E399" s="215" t="s">
        <v>442</v>
      </c>
      <c r="F399" s="15">
        <v>46216.601365740738</v>
      </c>
      <c r="G399" s="215" t="s">
        <v>412</v>
      </c>
      <c r="H399" s="215">
        <v>1</v>
      </c>
      <c r="I399" s="215" t="s">
        <v>1103</v>
      </c>
      <c r="J399" s="15">
        <v>46220.410416666666</v>
      </c>
      <c r="K399" s="15">
        <v>46223.497916666667</v>
      </c>
      <c r="L399" s="15"/>
      <c r="M399" s="215">
        <v>1</v>
      </c>
      <c r="N399" s="215"/>
      <c r="O399" s="215" t="s">
        <v>201</v>
      </c>
      <c r="P399" s="215" t="s">
        <v>531</v>
      </c>
      <c r="Q399" s="215"/>
      <c r="R399" s="215"/>
      <c r="S399" s="215" t="s">
        <v>360</v>
      </c>
      <c r="T399" s="215" t="s">
        <v>378</v>
      </c>
      <c r="U399" s="215" t="s">
        <v>239</v>
      </c>
      <c r="V399" s="215" t="s">
        <v>351</v>
      </c>
      <c r="W399" s="215" t="s">
        <v>378</v>
      </c>
      <c r="X399" s="215" t="s">
        <v>239</v>
      </c>
      <c r="Y399" s="215">
        <v>0</v>
      </c>
      <c r="Z399" s="215"/>
      <c r="AA399" s="215" t="s">
        <v>90</v>
      </c>
      <c r="AB399" s="215" t="s">
        <v>360</v>
      </c>
      <c r="AC399" s="215">
        <v>50</v>
      </c>
      <c r="AD399" s="215" t="s">
        <v>217</v>
      </c>
      <c r="AE399" s="215">
        <v>1</v>
      </c>
      <c r="AF399" s="215">
        <v>1</v>
      </c>
    </row>
    <row r="400" spans="1:32" x14ac:dyDescent="0.3">
      <c r="A400" s="215" t="s">
        <v>351</v>
      </c>
      <c r="B400" s="215" t="s">
        <v>57</v>
      </c>
      <c r="C400" s="215" t="s">
        <v>117</v>
      </c>
      <c r="D400" s="215" t="s">
        <v>310</v>
      </c>
      <c r="E400" s="215" t="s">
        <v>443</v>
      </c>
      <c r="F400" s="15">
        <v>46217.60359953704</v>
      </c>
      <c r="G400" s="215" t="s">
        <v>439</v>
      </c>
      <c r="H400" s="215">
        <v>13</v>
      </c>
      <c r="I400" s="215" t="s">
        <v>1102</v>
      </c>
      <c r="J400" s="15">
        <v>46237.518055555556</v>
      </c>
      <c r="K400" s="15">
        <v>46239.647916666669</v>
      </c>
      <c r="L400" s="15"/>
      <c r="M400" s="215">
        <v>13</v>
      </c>
      <c r="N400" s="215"/>
      <c r="O400" s="215" t="s">
        <v>201</v>
      </c>
      <c r="P400" s="215" t="s">
        <v>532</v>
      </c>
      <c r="Q400" s="215"/>
      <c r="R400" s="215"/>
      <c r="S400" s="215" t="s">
        <v>363</v>
      </c>
      <c r="T400" s="215" t="s">
        <v>378</v>
      </c>
      <c r="U400" s="215" t="s">
        <v>239</v>
      </c>
      <c r="V400" s="215" t="s">
        <v>7</v>
      </c>
      <c r="W400" s="215" t="s">
        <v>7</v>
      </c>
      <c r="X400" s="215" t="s">
        <v>7</v>
      </c>
      <c r="Y400" s="215"/>
      <c r="Z400" s="215"/>
      <c r="AA400" s="215" t="s">
        <v>127</v>
      </c>
      <c r="AB400" s="215" t="s">
        <v>363</v>
      </c>
      <c r="AC400" s="215">
        <v>101</v>
      </c>
      <c r="AD400" s="215" t="s">
        <v>233</v>
      </c>
      <c r="AE400" s="215">
        <v>1.3</v>
      </c>
      <c r="AF400" s="215"/>
    </row>
    <row r="401" spans="1:32" x14ac:dyDescent="0.3">
      <c r="A401" s="215" t="s">
        <v>351</v>
      </c>
      <c r="B401" s="215" t="s">
        <v>281</v>
      </c>
      <c r="C401" s="215" t="s">
        <v>85</v>
      </c>
      <c r="D401" s="215" t="s">
        <v>310</v>
      </c>
      <c r="E401" s="215" t="s">
        <v>443</v>
      </c>
      <c r="F401" s="15">
        <v>46217.60359953704</v>
      </c>
      <c r="G401" s="215" t="s">
        <v>439</v>
      </c>
      <c r="H401" s="215">
        <v>1</v>
      </c>
      <c r="I401" s="215" t="s">
        <v>1069</v>
      </c>
      <c r="J401" s="15">
        <v>46220.352083333331</v>
      </c>
      <c r="K401" s="15">
        <v>46227.702777777777</v>
      </c>
      <c r="L401" s="15"/>
      <c r="M401" s="215">
        <v>1</v>
      </c>
      <c r="N401" s="215"/>
      <c r="O401" s="215" t="s">
        <v>529</v>
      </c>
      <c r="P401" s="215"/>
      <c r="Q401" s="215"/>
      <c r="R401" s="215"/>
      <c r="S401" s="215" t="s">
        <v>363</v>
      </c>
      <c r="T401" s="215" t="s">
        <v>378</v>
      </c>
      <c r="U401" s="215" t="s">
        <v>239</v>
      </c>
      <c r="V401" s="215" t="s">
        <v>7</v>
      </c>
      <c r="W401" s="215" t="s">
        <v>7</v>
      </c>
      <c r="X401" s="215" t="s">
        <v>7</v>
      </c>
      <c r="Y401" s="215"/>
      <c r="Z401" s="215">
        <v>1</v>
      </c>
      <c r="AA401" s="215" t="s">
        <v>122</v>
      </c>
      <c r="AB401" s="215" t="s">
        <v>363</v>
      </c>
      <c r="AC401" s="215">
        <v>101</v>
      </c>
      <c r="AD401" s="215" t="s">
        <v>231</v>
      </c>
      <c r="AE401" s="215">
        <v>1</v>
      </c>
      <c r="AF401" s="215"/>
    </row>
    <row r="402" spans="1:32" x14ac:dyDescent="0.3">
      <c r="A402" s="215" t="s">
        <v>351</v>
      </c>
      <c r="B402" s="215" t="s">
        <v>279</v>
      </c>
      <c r="C402" s="215" t="s">
        <v>192</v>
      </c>
      <c r="D402" s="215" t="s">
        <v>310</v>
      </c>
      <c r="E402" s="215" t="s">
        <v>1183</v>
      </c>
      <c r="F402" s="15">
        <v>46241.647488425922</v>
      </c>
      <c r="G402" s="215" t="s">
        <v>409</v>
      </c>
      <c r="H402" s="215">
        <v>340</v>
      </c>
      <c r="I402" s="215" t="s">
        <v>1184</v>
      </c>
      <c r="J402" s="15">
        <v>46244.369074074071</v>
      </c>
      <c r="K402" s="15">
        <v>46247.349988425929</v>
      </c>
      <c r="L402" s="15"/>
      <c r="M402" s="215">
        <v>340</v>
      </c>
      <c r="N402" s="215"/>
      <c r="O402" s="215" t="s">
        <v>201</v>
      </c>
      <c r="P402" s="215" t="s">
        <v>532</v>
      </c>
      <c r="Q402" s="215"/>
      <c r="R402" s="215"/>
      <c r="S402" s="215" t="s">
        <v>359</v>
      </c>
      <c r="T402" s="215" t="s">
        <v>377</v>
      </c>
      <c r="U402" s="215" t="s">
        <v>239</v>
      </c>
      <c r="V402" s="215" t="s">
        <v>7</v>
      </c>
      <c r="W402" s="215" t="s">
        <v>7</v>
      </c>
      <c r="X402" s="215" t="s">
        <v>7</v>
      </c>
      <c r="Y402" s="215"/>
      <c r="Z402" s="215">
        <v>1</v>
      </c>
      <c r="AA402" s="215" t="s">
        <v>122</v>
      </c>
      <c r="AB402" s="215" t="s">
        <v>359</v>
      </c>
      <c r="AC402" s="215">
        <v>2100</v>
      </c>
      <c r="AD402" s="215" t="s">
        <v>232</v>
      </c>
      <c r="AE402" s="215">
        <v>340</v>
      </c>
      <c r="AF402" s="215"/>
    </row>
    <row r="403" spans="1:32" x14ac:dyDescent="0.3">
      <c r="A403" s="215" t="s">
        <v>351</v>
      </c>
      <c r="B403" s="215" t="s">
        <v>48</v>
      </c>
      <c r="C403" s="215" t="s">
        <v>68</v>
      </c>
      <c r="D403" s="215" t="s">
        <v>310</v>
      </c>
      <c r="E403" s="215" t="s">
        <v>1187</v>
      </c>
      <c r="F403" s="15">
        <v>46241.31753472222</v>
      </c>
      <c r="G403" s="215" t="s">
        <v>411</v>
      </c>
      <c r="H403" s="215">
        <v>2</v>
      </c>
      <c r="I403" s="215" t="s">
        <v>1188</v>
      </c>
      <c r="J403" s="15">
        <v>46241.34952546296</v>
      </c>
      <c r="K403" s="15">
        <v>46244.479166666664</v>
      </c>
      <c r="L403" s="15"/>
      <c r="M403" s="215">
        <v>2</v>
      </c>
      <c r="N403" s="215"/>
      <c r="O403" s="215" t="s">
        <v>201</v>
      </c>
      <c r="P403" s="215" t="s">
        <v>531</v>
      </c>
      <c r="Q403" s="215"/>
      <c r="R403" s="215"/>
      <c r="S403" s="215" t="s">
        <v>363</v>
      </c>
      <c r="T403" s="215" t="s">
        <v>378</v>
      </c>
      <c r="U403" s="215" t="s">
        <v>239</v>
      </c>
      <c r="V403" s="215" t="s">
        <v>351</v>
      </c>
      <c r="W403" s="215" t="s">
        <v>378</v>
      </c>
      <c r="X403" s="215" t="s">
        <v>239</v>
      </c>
      <c r="Y403" s="215"/>
      <c r="Z403" s="215"/>
      <c r="AA403" s="215" t="s">
        <v>90</v>
      </c>
      <c r="AB403" s="215" t="s">
        <v>363</v>
      </c>
      <c r="AC403" s="215">
        <v>101</v>
      </c>
      <c r="AD403" s="215" t="s">
        <v>217</v>
      </c>
      <c r="AE403" s="215">
        <v>1</v>
      </c>
      <c r="AF403" s="215"/>
    </row>
    <row r="404" spans="1:32" x14ac:dyDescent="0.3">
      <c r="A404" s="215" t="s">
        <v>351</v>
      </c>
      <c r="B404" s="215" t="s">
        <v>63</v>
      </c>
      <c r="C404" s="215" t="s">
        <v>95</v>
      </c>
      <c r="D404" s="215" t="s">
        <v>310</v>
      </c>
      <c r="E404" s="215" t="s">
        <v>1194</v>
      </c>
      <c r="F404" s="15">
        <v>46239.716504629629</v>
      </c>
      <c r="G404" s="215" t="s">
        <v>412</v>
      </c>
      <c r="H404" s="215">
        <v>1</v>
      </c>
      <c r="I404" s="215" t="s">
        <v>1195</v>
      </c>
      <c r="J404" s="15">
        <v>46240.376805555556</v>
      </c>
      <c r="K404" s="15">
        <v>46246.703472222223</v>
      </c>
      <c r="L404" s="15"/>
      <c r="M404" s="215">
        <v>1</v>
      </c>
      <c r="N404" s="215"/>
      <c r="O404" s="215" t="s">
        <v>201</v>
      </c>
      <c r="P404" s="215" t="s">
        <v>532</v>
      </c>
      <c r="Q404" s="215"/>
      <c r="R404" s="215"/>
      <c r="S404" s="215" t="s">
        <v>361</v>
      </c>
      <c r="T404" s="215" t="s">
        <v>378</v>
      </c>
      <c r="U404" s="215" t="s">
        <v>239</v>
      </c>
      <c r="V404" s="215" t="s">
        <v>7</v>
      </c>
      <c r="W404" s="215" t="s">
        <v>7</v>
      </c>
      <c r="X404" s="215" t="s">
        <v>7</v>
      </c>
      <c r="Y404" s="215"/>
      <c r="Z404" s="215"/>
      <c r="AA404" s="215" t="s">
        <v>96</v>
      </c>
      <c r="AB404" s="215" t="s">
        <v>361</v>
      </c>
      <c r="AC404" s="215">
        <v>2200</v>
      </c>
      <c r="AD404" s="215" t="s">
        <v>225</v>
      </c>
      <c r="AE404" s="215">
        <v>1</v>
      </c>
      <c r="AF404" s="215"/>
    </row>
    <row r="405" spans="1:32" x14ac:dyDescent="0.3">
      <c r="A405" s="215" t="s">
        <v>351</v>
      </c>
      <c r="B405" s="215" t="s">
        <v>57</v>
      </c>
      <c r="C405" s="215" t="s">
        <v>117</v>
      </c>
      <c r="D405" s="215" t="s">
        <v>310</v>
      </c>
      <c r="E405" s="215" t="s">
        <v>1194</v>
      </c>
      <c r="F405" s="15">
        <v>46239.716504629629</v>
      </c>
      <c r="G405" s="215" t="s">
        <v>412</v>
      </c>
      <c r="H405" s="215">
        <v>1</v>
      </c>
      <c r="I405" s="215" t="s">
        <v>1195</v>
      </c>
      <c r="J405" s="15">
        <v>46240.376805555556</v>
      </c>
      <c r="K405" s="15">
        <v>46246.703472222223</v>
      </c>
      <c r="L405" s="15"/>
      <c r="M405" s="215">
        <v>1</v>
      </c>
      <c r="N405" s="215"/>
      <c r="O405" s="215" t="s">
        <v>201</v>
      </c>
      <c r="P405" s="215" t="s">
        <v>532</v>
      </c>
      <c r="Q405" s="215"/>
      <c r="R405" s="215"/>
      <c r="S405" s="215" t="s">
        <v>361</v>
      </c>
      <c r="T405" s="215" t="s">
        <v>378</v>
      </c>
      <c r="U405" s="215" t="s">
        <v>239</v>
      </c>
      <c r="V405" s="215" t="s">
        <v>7</v>
      </c>
      <c r="W405" s="215" t="s">
        <v>7</v>
      </c>
      <c r="X405" s="215" t="s">
        <v>7</v>
      </c>
      <c r="Y405" s="215"/>
      <c r="Z405" s="215"/>
      <c r="AA405" s="215" t="s">
        <v>127</v>
      </c>
      <c r="AB405" s="215" t="s">
        <v>361</v>
      </c>
      <c r="AC405" s="215">
        <v>2200</v>
      </c>
      <c r="AD405" s="215" t="s">
        <v>233</v>
      </c>
      <c r="AE405" s="215">
        <v>1</v>
      </c>
      <c r="AF405" s="215"/>
    </row>
    <row r="406" spans="1:32" x14ac:dyDescent="0.3">
      <c r="A406" s="215" t="s">
        <v>351</v>
      </c>
      <c r="B406" s="215" t="s">
        <v>279</v>
      </c>
      <c r="C406" s="215" t="s">
        <v>192</v>
      </c>
      <c r="D406" s="215" t="s">
        <v>310</v>
      </c>
      <c r="E406" s="215" t="s">
        <v>1194</v>
      </c>
      <c r="F406" s="15">
        <v>46239.716504629629</v>
      </c>
      <c r="G406" s="215" t="s">
        <v>412</v>
      </c>
      <c r="H406" s="215">
        <v>1246</v>
      </c>
      <c r="I406" s="215" t="s">
        <v>1195</v>
      </c>
      <c r="J406" s="15">
        <v>46240.376805555556</v>
      </c>
      <c r="K406" s="15">
        <v>46246.703472222223</v>
      </c>
      <c r="L406" s="15"/>
      <c r="M406" s="215">
        <v>1246</v>
      </c>
      <c r="N406" s="215"/>
      <c r="O406" s="215" t="s">
        <v>201</v>
      </c>
      <c r="P406" s="215" t="s">
        <v>531</v>
      </c>
      <c r="Q406" s="215"/>
      <c r="R406" s="215"/>
      <c r="S406" s="215" t="s">
        <v>361</v>
      </c>
      <c r="T406" s="215" t="s">
        <v>378</v>
      </c>
      <c r="U406" s="215" t="s">
        <v>239</v>
      </c>
      <c r="V406" s="215" t="s">
        <v>7</v>
      </c>
      <c r="W406" s="215" t="s">
        <v>7</v>
      </c>
      <c r="X406" s="215" t="s">
        <v>7</v>
      </c>
      <c r="Y406" s="215"/>
      <c r="Z406" s="215">
        <v>1</v>
      </c>
      <c r="AA406" s="215" t="s">
        <v>122</v>
      </c>
      <c r="AB406" s="215" t="s">
        <v>361</v>
      </c>
      <c r="AC406" s="215">
        <v>2200</v>
      </c>
      <c r="AD406" s="215" t="s">
        <v>232</v>
      </c>
      <c r="AE406" s="215">
        <v>1246</v>
      </c>
      <c r="AF406" s="215"/>
    </row>
    <row r="407" spans="1:32" x14ac:dyDescent="0.3">
      <c r="A407" s="215" t="s">
        <v>351</v>
      </c>
      <c r="B407" s="215" t="s">
        <v>63</v>
      </c>
      <c r="C407" s="215" t="s">
        <v>95</v>
      </c>
      <c r="D407" s="215" t="s">
        <v>310</v>
      </c>
      <c r="E407" s="215" t="s">
        <v>443</v>
      </c>
      <c r="F407" s="15">
        <v>46217.60359953704</v>
      </c>
      <c r="G407" s="215" t="s">
        <v>439</v>
      </c>
      <c r="H407" s="215">
        <v>13</v>
      </c>
      <c r="I407" s="215" t="s">
        <v>1102</v>
      </c>
      <c r="J407" s="15">
        <v>46237.518055555556</v>
      </c>
      <c r="K407" s="15">
        <v>46239.647916666669</v>
      </c>
      <c r="L407" s="15"/>
      <c r="M407" s="215">
        <v>13</v>
      </c>
      <c r="N407" s="215"/>
      <c r="O407" s="215" t="s">
        <v>201</v>
      </c>
      <c r="P407" s="215" t="s">
        <v>532</v>
      </c>
      <c r="Q407" s="215"/>
      <c r="R407" s="215"/>
      <c r="S407" s="215" t="s">
        <v>363</v>
      </c>
      <c r="T407" s="215" t="s">
        <v>378</v>
      </c>
      <c r="U407" s="215" t="s">
        <v>239</v>
      </c>
      <c r="V407" s="215" t="s">
        <v>7</v>
      </c>
      <c r="W407" s="215" t="s">
        <v>7</v>
      </c>
      <c r="X407" s="215" t="s">
        <v>7</v>
      </c>
      <c r="Y407" s="215"/>
      <c r="Z407" s="215"/>
      <c r="AA407" s="215" t="s">
        <v>96</v>
      </c>
      <c r="AB407" s="215" t="s">
        <v>363</v>
      </c>
      <c r="AC407" s="215">
        <v>101</v>
      </c>
      <c r="AD407" s="215" t="s">
        <v>225</v>
      </c>
      <c r="AE407" s="215">
        <v>13</v>
      </c>
      <c r="AF407" s="215"/>
    </row>
    <row r="408" spans="1:32" x14ac:dyDescent="0.3">
      <c r="A408" s="215" t="s">
        <v>353</v>
      </c>
      <c r="B408" s="215" t="s">
        <v>57</v>
      </c>
      <c r="C408" s="215" t="s">
        <v>117</v>
      </c>
      <c r="D408" s="215" t="s">
        <v>310</v>
      </c>
      <c r="E408" s="215" t="s">
        <v>1120</v>
      </c>
      <c r="F408" s="15">
        <v>46241.564421296294</v>
      </c>
      <c r="G408" s="215" t="s">
        <v>439</v>
      </c>
      <c r="H408" s="215">
        <v>2</v>
      </c>
      <c r="I408" s="215" t="s">
        <v>1123</v>
      </c>
      <c r="J408" s="15">
        <v>46245.47152777778</v>
      </c>
      <c r="K408" s="15">
        <v>46253.505555555559</v>
      </c>
      <c r="L408" s="15"/>
      <c r="M408" s="215">
        <v>2</v>
      </c>
      <c r="N408" s="215"/>
      <c r="O408" s="215" t="s">
        <v>529</v>
      </c>
      <c r="P408" s="215"/>
      <c r="Q408" s="215"/>
      <c r="R408" s="215"/>
      <c r="S408" s="215" t="s">
        <v>373</v>
      </c>
      <c r="T408" s="215" t="s">
        <v>387</v>
      </c>
      <c r="U408" s="215" t="s">
        <v>293</v>
      </c>
      <c r="V408" s="215" t="s">
        <v>7</v>
      </c>
      <c r="W408" s="215" t="s">
        <v>7</v>
      </c>
      <c r="X408" s="215" t="s">
        <v>7</v>
      </c>
      <c r="Y408" s="215"/>
      <c r="Z408" s="215"/>
      <c r="AA408" s="215" t="s">
        <v>127</v>
      </c>
      <c r="AB408" s="215" t="s">
        <v>407</v>
      </c>
      <c r="AC408" s="215">
        <v>2940</v>
      </c>
      <c r="AD408" s="215" t="s">
        <v>233</v>
      </c>
      <c r="AE408" s="215">
        <v>1</v>
      </c>
      <c r="AF408" s="215"/>
    </row>
    <row r="409" spans="1:32" x14ac:dyDescent="0.3">
      <c r="A409" s="215" t="s">
        <v>353</v>
      </c>
      <c r="B409" s="215" t="s">
        <v>63</v>
      </c>
      <c r="C409" s="215" t="s">
        <v>95</v>
      </c>
      <c r="D409" s="215" t="s">
        <v>310</v>
      </c>
      <c r="E409" s="215" t="s">
        <v>775</v>
      </c>
      <c r="F409" s="15">
        <v>46253.349317129629</v>
      </c>
      <c r="G409" s="215" t="s">
        <v>411</v>
      </c>
      <c r="H409" s="215">
        <v>1</v>
      </c>
      <c r="I409" s="215" t="s">
        <v>776</v>
      </c>
      <c r="J409" s="15">
        <v>46254.589212962965</v>
      </c>
      <c r="K409" s="15">
        <v>46254.65625</v>
      </c>
      <c r="L409" s="15"/>
      <c r="M409" s="215">
        <v>1</v>
      </c>
      <c r="N409" s="215"/>
      <c r="O409" s="215" t="s">
        <v>201</v>
      </c>
      <c r="P409" s="215" t="s">
        <v>532</v>
      </c>
      <c r="Q409" s="215"/>
      <c r="R409" s="215"/>
      <c r="S409" s="215" t="s">
        <v>371</v>
      </c>
      <c r="T409" s="215" t="s">
        <v>357</v>
      </c>
      <c r="U409" s="215" t="s">
        <v>262</v>
      </c>
      <c r="V409" s="215" t="s">
        <v>7</v>
      </c>
      <c r="W409" s="215" t="s">
        <v>7</v>
      </c>
      <c r="X409" s="215" t="s">
        <v>7</v>
      </c>
      <c r="Y409" s="215"/>
      <c r="Z409" s="215"/>
      <c r="AA409" s="215" t="s">
        <v>96</v>
      </c>
      <c r="AB409" s="215" t="s">
        <v>406</v>
      </c>
      <c r="AC409" s="215">
        <v>2011</v>
      </c>
      <c r="AD409" s="215" t="s">
        <v>225</v>
      </c>
      <c r="AE409" s="215">
        <v>1</v>
      </c>
      <c r="AF409" s="215">
        <v>8.6</v>
      </c>
    </row>
    <row r="410" spans="1:32" x14ac:dyDescent="0.3">
      <c r="A410" s="215" t="s">
        <v>353</v>
      </c>
      <c r="B410" s="215" t="s">
        <v>279</v>
      </c>
      <c r="C410" s="215" t="s">
        <v>192</v>
      </c>
      <c r="D410" s="215" t="s">
        <v>310</v>
      </c>
      <c r="E410" s="215" t="s">
        <v>773</v>
      </c>
      <c r="F410" s="15">
        <v>46253.579560185186</v>
      </c>
      <c r="G410" s="215" t="s">
        <v>411</v>
      </c>
      <c r="H410" s="215">
        <v>8</v>
      </c>
      <c r="I410" s="215" t="s">
        <v>774</v>
      </c>
      <c r="J410" s="15">
        <v>46258.391006944446</v>
      </c>
      <c r="K410" s="15">
        <v>46259.304861111108</v>
      </c>
      <c r="L410" s="15"/>
      <c r="M410" s="215">
        <v>8</v>
      </c>
      <c r="N410" s="215"/>
      <c r="O410" s="215" t="s">
        <v>201</v>
      </c>
      <c r="P410" s="215" t="s">
        <v>532</v>
      </c>
      <c r="Q410" s="215"/>
      <c r="R410" s="215"/>
      <c r="S410" s="215" t="s">
        <v>371</v>
      </c>
      <c r="T410" s="215" t="s">
        <v>357</v>
      </c>
      <c r="U410" s="215" t="s">
        <v>262</v>
      </c>
      <c r="V410" s="215" t="s">
        <v>7</v>
      </c>
      <c r="W410" s="215" t="s">
        <v>7</v>
      </c>
      <c r="X410" s="215" t="s">
        <v>7</v>
      </c>
      <c r="Y410" s="215"/>
      <c r="Z410" s="215">
        <v>1</v>
      </c>
      <c r="AA410" s="215" t="s">
        <v>122</v>
      </c>
      <c r="AB410" s="215" t="s">
        <v>406</v>
      </c>
      <c r="AC410" s="215">
        <v>2011</v>
      </c>
      <c r="AD410" s="215" t="s">
        <v>232</v>
      </c>
      <c r="AE410" s="215">
        <v>8</v>
      </c>
      <c r="AF410" s="215">
        <v>1</v>
      </c>
    </row>
    <row r="411" spans="1:32" x14ac:dyDescent="0.3">
      <c r="A411" s="215" t="s">
        <v>353</v>
      </c>
      <c r="B411" s="215" t="s">
        <v>57</v>
      </c>
      <c r="C411" s="215" t="s">
        <v>117</v>
      </c>
      <c r="D411" s="215" t="s">
        <v>310</v>
      </c>
      <c r="E411" s="215" t="s">
        <v>773</v>
      </c>
      <c r="F411" s="15">
        <v>46253.579560185186</v>
      </c>
      <c r="G411" s="215" t="s">
        <v>411</v>
      </c>
      <c r="H411" s="215">
        <v>1</v>
      </c>
      <c r="I411" s="215" t="s">
        <v>774</v>
      </c>
      <c r="J411" s="15">
        <v>46258.391006944446</v>
      </c>
      <c r="K411" s="15">
        <v>46259.304861111108</v>
      </c>
      <c r="L411" s="15"/>
      <c r="M411" s="215">
        <v>1</v>
      </c>
      <c r="N411" s="215"/>
      <c r="O411" s="215" t="s">
        <v>201</v>
      </c>
      <c r="P411" s="215" t="s">
        <v>532</v>
      </c>
      <c r="Q411" s="215"/>
      <c r="R411" s="215"/>
      <c r="S411" s="215" t="s">
        <v>371</v>
      </c>
      <c r="T411" s="215" t="s">
        <v>357</v>
      </c>
      <c r="U411" s="215" t="s">
        <v>262</v>
      </c>
      <c r="V411" s="215" t="s">
        <v>7</v>
      </c>
      <c r="W411" s="215" t="s">
        <v>7</v>
      </c>
      <c r="X411" s="215" t="s">
        <v>7</v>
      </c>
      <c r="Y411" s="215"/>
      <c r="Z411" s="215"/>
      <c r="AA411" s="215" t="s">
        <v>127</v>
      </c>
      <c r="AB411" s="215" t="s">
        <v>406</v>
      </c>
      <c r="AC411" s="215">
        <v>2011</v>
      </c>
      <c r="AD411" s="215" t="s">
        <v>233</v>
      </c>
      <c r="AE411" s="215">
        <v>1</v>
      </c>
      <c r="AF411" s="215"/>
    </row>
    <row r="412" spans="1:32" x14ac:dyDescent="0.3">
      <c r="A412" s="215" t="s">
        <v>353</v>
      </c>
      <c r="B412" s="215" t="s">
        <v>63</v>
      </c>
      <c r="C412" s="215" t="s">
        <v>95</v>
      </c>
      <c r="D412" s="215" t="s">
        <v>310</v>
      </c>
      <c r="E412" s="215" t="s">
        <v>773</v>
      </c>
      <c r="F412" s="15">
        <v>46253.579560185186</v>
      </c>
      <c r="G412" s="215" t="s">
        <v>411</v>
      </c>
      <c r="H412" s="215">
        <v>1</v>
      </c>
      <c r="I412" s="215" t="s">
        <v>774</v>
      </c>
      <c r="J412" s="15">
        <v>46258.391006944446</v>
      </c>
      <c r="K412" s="15">
        <v>46259.304861111108</v>
      </c>
      <c r="L412" s="15"/>
      <c r="M412" s="215">
        <v>1</v>
      </c>
      <c r="N412" s="215"/>
      <c r="O412" s="215" t="s">
        <v>201</v>
      </c>
      <c r="P412" s="215" t="s">
        <v>532</v>
      </c>
      <c r="Q412" s="215"/>
      <c r="R412" s="215"/>
      <c r="S412" s="215" t="s">
        <v>371</v>
      </c>
      <c r="T412" s="215" t="s">
        <v>357</v>
      </c>
      <c r="U412" s="215" t="s">
        <v>262</v>
      </c>
      <c r="V412" s="215" t="s">
        <v>7</v>
      </c>
      <c r="W412" s="215" t="s">
        <v>7</v>
      </c>
      <c r="X412" s="215" t="s">
        <v>7</v>
      </c>
      <c r="Y412" s="215"/>
      <c r="Z412" s="215"/>
      <c r="AA412" s="215" t="s">
        <v>96</v>
      </c>
      <c r="AB412" s="215" t="s">
        <v>406</v>
      </c>
      <c r="AC412" s="215">
        <v>2011</v>
      </c>
      <c r="AD412" s="215" t="s">
        <v>225</v>
      </c>
      <c r="AE412" s="215">
        <v>1</v>
      </c>
      <c r="AF412" s="215"/>
    </row>
    <row r="413" spans="1:32" x14ac:dyDescent="0.3">
      <c r="A413" s="215" t="s">
        <v>353</v>
      </c>
      <c r="B413" s="215" t="s">
        <v>279</v>
      </c>
      <c r="C413" s="215" t="s">
        <v>192</v>
      </c>
      <c r="D413" s="215" t="s">
        <v>310</v>
      </c>
      <c r="E413" s="215" t="s">
        <v>770</v>
      </c>
      <c r="F413" s="15">
        <v>46247.459618055553</v>
      </c>
      <c r="G413" s="215" t="s">
        <v>771</v>
      </c>
      <c r="H413" s="215">
        <v>1</v>
      </c>
      <c r="I413" s="215" t="s">
        <v>772</v>
      </c>
      <c r="J413" s="15">
        <v>46247.561030092591</v>
      </c>
      <c r="K413" s="15">
        <v>46254.421527777777</v>
      </c>
      <c r="L413" s="15"/>
      <c r="M413" s="215">
        <v>1</v>
      </c>
      <c r="N413" s="215"/>
      <c r="O413" s="215" t="s">
        <v>201</v>
      </c>
      <c r="P413" s="215" t="s">
        <v>531</v>
      </c>
      <c r="Q413" s="215"/>
      <c r="R413" s="215"/>
      <c r="S413" s="215" t="s">
        <v>371</v>
      </c>
      <c r="T413" s="215" t="s">
        <v>357</v>
      </c>
      <c r="U413" s="215" t="s">
        <v>262</v>
      </c>
      <c r="V413" s="215" t="s">
        <v>7</v>
      </c>
      <c r="W413" s="215" t="s">
        <v>7</v>
      </c>
      <c r="X413" s="215" t="s">
        <v>7</v>
      </c>
      <c r="Y413" s="215"/>
      <c r="Z413" s="215">
        <v>1</v>
      </c>
      <c r="AA413" s="215" t="s">
        <v>122</v>
      </c>
      <c r="AB413" s="215" t="s">
        <v>406</v>
      </c>
      <c r="AC413" s="215">
        <v>2011</v>
      </c>
      <c r="AD413" s="215" t="s">
        <v>232</v>
      </c>
      <c r="AE413" s="215">
        <v>1</v>
      </c>
      <c r="AF413" s="215"/>
    </row>
    <row r="414" spans="1:32" x14ac:dyDescent="0.3">
      <c r="A414" s="215" t="s">
        <v>353</v>
      </c>
      <c r="B414" s="215" t="s">
        <v>57</v>
      </c>
      <c r="C414" s="215" t="s">
        <v>117</v>
      </c>
      <c r="D414" s="215" t="s">
        <v>310</v>
      </c>
      <c r="E414" s="215" t="s">
        <v>783</v>
      </c>
      <c r="F414" s="15">
        <v>46251.30840277778</v>
      </c>
      <c r="G414" s="215" t="s">
        <v>417</v>
      </c>
      <c r="H414" s="215">
        <v>8</v>
      </c>
      <c r="I414" s="215" t="s">
        <v>784</v>
      </c>
      <c r="J414" s="15">
        <v>46251.581250000003</v>
      </c>
      <c r="K414" s="15">
        <v>46252.500694444447</v>
      </c>
      <c r="L414" s="15"/>
      <c r="M414" s="215">
        <v>8</v>
      </c>
      <c r="N414" s="215"/>
      <c r="O414" s="215" t="s">
        <v>201</v>
      </c>
      <c r="P414" s="215" t="s">
        <v>532</v>
      </c>
      <c r="Q414" s="215"/>
      <c r="R414" s="215"/>
      <c r="S414" s="215" t="s">
        <v>371</v>
      </c>
      <c r="T414" s="215" t="s">
        <v>357</v>
      </c>
      <c r="U414" s="215" t="s">
        <v>262</v>
      </c>
      <c r="V414" s="215" t="s">
        <v>7</v>
      </c>
      <c r="W414" s="215" t="s">
        <v>7</v>
      </c>
      <c r="X414" s="215" t="s">
        <v>7</v>
      </c>
      <c r="Y414" s="215"/>
      <c r="Z414" s="215"/>
      <c r="AA414" s="215" t="s">
        <v>127</v>
      </c>
      <c r="AB414" s="215" t="s">
        <v>406</v>
      </c>
      <c r="AC414" s="215">
        <v>2011</v>
      </c>
      <c r="AD414" s="215" t="s">
        <v>233</v>
      </c>
      <c r="AE414" s="215">
        <v>1</v>
      </c>
      <c r="AF414" s="215">
        <v>158.51</v>
      </c>
    </row>
    <row r="415" spans="1:32" x14ac:dyDescent="0.3">
      <c r="A415" s="215" t="s">
        <v>353</v>
      </c>
      <c r="B415" s="215" t="s">
        <v>63</v>
      </c>
      <c r="C415" s="215" t="s">
        <v>95</v>
      </c>
      <c r="D415" s="215" t="s">
        <v>310</v>
      </c>
      <c r="E415" s="215" t="s">
        <v>783</v>
      </c>
      <c r="F415" s="15">
        <v>46251.30840277778</v>
      </c>
      <c r="G415" s="215" t="s">
        <v>417</v>
      </c>
      <c r="H415" s="215">
        <v>8</v>
      </c>
      <c r="I415" s="215" t="s">
        <v>784</v>
      </c>
      <c r="J415" s="15">
        <v>46251.581250000003</v>
      </c>
      <c r="K415" s="15">
        <v>46252.500694444447</v>
      </c>
      <c r="L415" s="15"/>
      <c r="M415" s="215">
        <v>8</v>
      </c>
      <c r="N415" s="215"/>
      <c r="O415" s="215" t="s">
        <v>201</v>
      </c>
      <c r="P415" s="215" t="s">
        <v>532</v>
      </c>
      <c r="Q415" s="215"/>
      <c r="R415" s="215"/>
      <c r="S415" s="215" t="s">
        <v>371</v>
      </c>
      <c r="T415" s="215" t="s">
        <v>357</v>
      </c>
      <c r="U415" s="215" t="s">
        <v>262</v>
      </c>
      <c r="V415" s="215" t="s">
        <v>7</v>
      </c>
      <c r="W415" s="215" t="s">
        <v>7</v>
      </c>
      <c r="X415" s="215" t="s">
        <v>7</v>
      </c>
      <c r="Y415" s="215"/>
      <c r="Z415" s="215"/>
      <c r="AA415" s="215" t="s">
        <v>96</v>
      </c>
      <c r="AB415" s="215" t="s">
        <v>406</v>
      </c>
      <c r="AC415" s="215">
        <v>2011</v>
      </c>
      <c r="AD415" s="215" t="s">
        <v>225</v>
      </c>
      <c r="AE415" s="215">
        <v>8</v>
      </c>
      <c r="AF415" s="215"/>
    </row>
    <row r="416" spans="1:32" x14ac:dyDescent="0.3">
      <c r="A416" s="215" t="s">
        <v>353</v>
      </c>
      <c r="B416" s="215" t="s">
        <v>279</v>
      </c>
      <c r="C416" s="215" t="s">
        <v>192</v>
      </c>
      <c r="D416" s="215" t="s">
        <v>310</v>
      </c>
      <c r="E416" s="215" t="s">
        <v>781</v>
      </c>
      <c r="F416" s="15">
        <v>46251.36582175926</v>
      </c>
      <c r="G416" s="215" t="s">
        <v>417</v>
      </c>
      <c r="H416" s="215">
        <v>908</v>
      </c>
      <c r="I416" s="215" t="s">
        <v>782</v>
      </c>
      <c r="J416" s="15">
        <v>46251.588622685187</v>
      </c>
      <c r="K416" s="15">
        <v>46252.654166666667</v>
      </c>
      <c r="L416" s="15"/>
      <c r="M416" s="215">
        <v>908</v>
      </c>
      <c r="N416" s="215"/>
      <c r="O416" s="215" t="s">
        <v>201</v>
      </c>
      <c r="P416" s="215" t="s">
        <v>532</v>
      </c>
      <c r="Q416" s="215"/>
      <c r="R416" s="215"/>
      <c r="S416" s="215" t="s">
        <v>371</v>
      </c>
      <c r="T416" s="215" t="s">
        <v>357</v>
      </c>
      <c r="U416" s="215" t="s">
        <v>262</v>
      </c>
      <c r="V416" s="215" t="s">
        <v>7</v>
      </c>
      <c r="W416" s="215" t="s">
        <v>7</v>
      </c>
      <c r="X416" s="215" t="s">
        <v>7</v>
      </c>
      <c r="Y416" s="215"/>
      <c r="Z416" s="215">
        <v>1</v>
      </c>
      <c r="AA416" s="215" t="s">
        <v>122</v>
      </c>
      <c r="AB416" s="215" t="s">
        <v>406</v>
      </c>
      <c r="AC416" s="215">
        <v>2011</v>
      </c>
      <c r="AD416" s="215" t="s">
        <v>232</v>
      </c>
      <c r="AE416" s="215">
        <v>908</v>
      </c>
      <c r="AF416" s="215"/>
    </row>
    <row r="417" spans="1:32" x14ac:dyDescent="0.3">
      <c r="A417" s="215" t="s">
        <v>353</v>
      </c>
      <c r="B417" s="215" t="s">
        <v>57</v>
      </c>
      <c r="C417" s="215" t="s">
        <v>117</v>
      </c>
      <c r="D417" s="215" t="s">
        <v>310</v>
      </c>
      <c r="E417" s="215" t="s">
        <v>781</v>
      </c>
      <c r="F417" s="15">
        <v>46251.36582175926</v>
      </c>
      <c r="G417" s="215" t="s">
        <v>417</v>
      </c>
      <c r="H417" s="215">
        <v>11</v>
      </c>
      <c r="I417" s="215" t="s">
        <v>782</v>
      </c>
      <c r="J417" s="15">
        <v>46251.588622685187</v>
      </c>
      <c r="K417" s="15">
        <v>46252.654166666667</v>
      </c>
      <c r="L417" s="15"/>
      <c r="M417" s="215">
        <v>11</v>
      </c>
      <c r="N417" s="215"/>
      <c r="O417" s="215" t="s">
        <v>201</v>
      </c>
      <c r="P417" s="215" t="s">
        <v>532</v>
      </c>
      <c r="Q417" s="215"/>
      <c r="R417" s="215"/>
      <c r="S417" s="215" t="s">
        <v>371</v>
      </c>
      <c r="T417" s="215" t="s">
        <v>357</v>
      </c>
      <c r="U417" s="215" t="s">
        <v>262</v>
      </c>
      <c r="V417" s="215" t="s">
        <v>7</v>
      </c>
      <c r="W417" s="215" t="s">
        <v>7</v>
      </c>
      <c r="X417" s="215" t="s">
        <v>7</v>
      </c>
      <c r="Y417" s="215"/>
      <c r="Z417" s="215"/>
      <c r="AA417" s="215" t="s">
        <v>127</v>
      </c>
      <c r="AB417" s="215" t="s">
        <v>406</v>
      </c>
      <c r="AC417" s="215">
        <v>2011</v>
      </c>
      <c r="AD417" s="215" t="s">
        <v>233</v>
      </c>
      <c r="AE417" s="215">
        <v>1.1000000000000001</v>
      </c>
      <c r="AF417" s="215"/>
    </row>
    <row r="418" spans="1:32" x14ac:dyDescent="0.3">
      <c r="A418" s="215" t="s">
        <v>353</v>
      </c>
      <c r="B418" s="215" t="s">
        <v>63</v>
      </c>
      <c r="C418" s="215" t="s">
        <v>95</v>
      </c>
      <c r="D418" s="215" t="s">
        <v>310</v>
      </c>
      <c r="E418" s="215" t="s">
        <v>781</v>
      </c>
      <c r="F418" s="15">
        <v>46251.36582175926</v>
      </c>
      <c r="G418" s="215" t="s">
        <v>417</v>
      </c>
      <c r="H418" s="215">
        <v>11</v>
      </c>
      <c r="I418" s="215" t="s">
        <v>782</v>
      </c>
      <c r="J418" s="15">
        <v>46251.588622685187</v>
      </c>
      <c r="K418" s="15">
        <v>46252.654166666667</v>
      </c>
      <c r="L418" s="15"/>
      <c r="M418" s="215">
        <v>11</v>
      </c>
      <c r="N418" s="215"/>
      <c r="O418" s="215" t="s">
        <v>201</v>
      </c>
      <c r="P418" s="215" t="s">
        <v>532</v>
      </c>
      <c r="Q418" s="215"/>
      <c r="R418" s="215"/>
      <c r="S418" s="215" t="s">
        <v>371</v>
      </c>
      <c r="T418" s="215" t="s">
        <v>357</v>
      </c>
      <c r="U418" s="215" t="s">
        <v>262</v>
      </c>
      <c r="V418" s="215" t="s">
        <v>7</v>
      </c>
      <c r="W418" s="215" t="s">
        <v>7</v>
      </c>
      <c r="X418" s="215" t="s">
        <v>7</v>
      </c>
      <c r="Y418" s="215"/>
      <c r="Z418" s="215"/>
      <c r="AA418" s="215" t="s">
        <v>96</v>
      </c>
      <c r="AB418" s="215" t="s">
        <v>406</v>
      </c>
      <c r="AC418" s="215">
        <v>2011</v>
      </c>
      <c r="AD418" s="215" t="s">
        <v>225</v>
      </c>
      <c r="AE418" s="215">
        <v>11</v>
      </c>
      <c r="AF418" s="215"/>
    </row>
    <row r="419" spans="1:32" x14ac:dyDescent="0.3">
      <c r="A419" s="215" t="s">
        <v>353</v>
      </c>
      <c r="B419" s="215" t="s">
        <v>279</v>
      </c>
      <c r="C419" s="215" t="s">
        <v>192</v>
      </c>
      <c r="D419" s="215" t="s">
        <v>310</v>
      </c>
      <c r="E419" s="215" t="s">
        <v>777</v>
      </c>
      <c r="F419" s="15">
        <v>46253.33861111111</v>
      </c>
      <c r="G419" s="215" t="s">
        <v>417</v>
      </c>
      <c r="H419" s="215">
        <v>77</v>
      </c>
      <c r="I419" s="215" t="s">
        <v>778</v>
      </c>
      <c r="J419" s="15">
        <v>46254.578773148147</v>
      </c>
      <c r="K419" s="15">
        <v>46254.634722222225</v>
      </c>
      <c r="L419" s="15"/>
      <c r="M419" s="215">
        <v>77</v>
      </c>
      <c r="N419" s="215"/>
      <c r="O419" s="215" t="s">
        <v>201</v>
      </c>
      <c r="P419" s="215" t="s">
        <v>532</v>
      </c>
      <c r="Q419" s="215"/>
      <c r="R419" s="215"/>
      <c r="S419" s="215" t="s">
        <v>371</v>
      </c>
      <c r="T419" s="215" t="s">
        <v>357</v>
      </c>
      <c r="U419" s="215" t="s">
        <v>262</v>
      </c>
      <c r="V419" s="215" t="s">
        <v>7</v>
      </c>
      <c r="W419" s="215" t="s">
        <v>7</v>
      </c>
      <c r="X419" s="215" t="s">
        <v>7</v>
      </c>
      <c r="Y419" s="215"/>
      <c r="Z419" s="215">
        <v>1</v>
      </c>
      <c r="AA419" s="215" t="s">
        <v>122</v>
      </c>
      <c r="AB419" s="215" t="s">
        <v>406</v>
      </c>
      <c r="AC419" s="215">
        <v>2011</v>
      </c>
      <c r="AD419" s="215" t="s">
        <v>232</v>
      </c>
      <c r="AE419" s="215">
        <v>77</v>
      </c>
      <c r="AF419" s="215"/>
    </row>
    <row r="420" spans="1:32" x14ac:dyDescent="0.3">
      <c r="A420" s="215" t="s">
        <v>353</v>
      </c>
      <c r="B420" s="215" t="s">
        <v>57</v>
      </c>
      <c r="C420" s="215" t="s">
        <v>117</v>
      </c>
      <c r="D420" s="215" t="s">
        <v>310</v>
      </c>
      <c r="E420" s="215" t="s">
        <v>777</v>
      </c>
      <c r="F420" s="15">
        <v>46253.33861111111</v>
      </c>
      <c r="G420" s="215" t="s">
        <v>417</v>
      </c>
      <c r="H420" s="215">
        <v>2</v>
      </c>
      <c r="I420" s="215" t="s">
        <v>778</v>
      </c>
      <c r="J420" s="15">
        <v>46254.578773148147</v>
      </c>
      <c r="K420" s="15">
        <v>46254.634722222225</v>
      </c>
      <c r="L420" s="15"/>
      <c r="M420" s="215">
        <v>2</v>
      </c>
      <c r="N420" s="215"/>
      <c r="O420" s="215" t="s">
        <v>201</v>
      </c>
      <c r="P420" s="215" t="s">
        <v>532</v>
      </c>
      <c r="Q420" s="215"/>
      <c r="R420" s="215"/>
      <c r="S420" s="215" t="s">
        <v>371</v>
      </c>
      <c r="T420" s="215" t="s">
        <v>357</v>
      </c>
      <c r="U420" s="215" t="s">
        <v>262</v>
      </c>
      <c r="V420" s="215" t="s">
        <v>7</v>
      </c>
      <c r="W420" s="215" t="s">
        <v>7</v>
      </c>
      <c r="X420" s="215" t="s">
        <v>7</v>
      </c>
      <c r="Y420" s="215"/>
      <c r="Z420" s="215"/>
      <c r="AA420" s="215" t="s">
        <v>127</v>
      </c>
      <c r="AB420" s="215" t="s">
        <v>406</v>
      </c>
      <c r="AC420" s="215">
        <v>2011</v>
      </c>
      <c r="AD420" s="215" t="s">
        <v>233</v>
      </c>
      <c r="AE420" s="215">
        <v>1</v>
      </c>
      <c r="AF420" s="215"/>
    </row>
    <row r="421" spans="1:32" x14ac:dyDescent="0.3">
      <c r="A421" s="215" t="s">
        <v>353</v>
      </c>
      <c r="B421" s="215" t="s">
        <v>279</v>
      </c>
      <c r="C421" s="215" t="s">
        <v>192</v>
      </c>
      <c r="D421" s="215" t="s">
        <v>310</v>
      </c>
      <c r="E421" s="215" t="s">
        <v>775</v>
      </c>
      <c r="F421" s="15">
        <v>46253.349317129629</v>
      </c>
      <c r="G421" s="215" t="s">
        <v>411</v>
      </c>
      <c r="H421" s="215">
        <v>1</v>
      </c>
      <c r="I421" s="215" t="s">
        <v>776</v>
      </c>
      <c r="J421" s="15">
        <v>46254.589212962965</v>
      </c>
      <c r="K421" s="15">
        <v>46254.65625</v>
      </c>
      <c r="L421" s="15"/>
      <c r="M421" s="215">
        <v>1</v>
      </c>
      <c r="N421" s="215"/>
      <c r="O421" s="215" t="s">
        <v>201</v>
      </c>
      <c r="P421" s="215" t="s">
        <v>532</v>
      </c>
      <c r="Q421" s="215"/>
      <c r="R421" s="215"/>
      <c r="S421" s="215" t="s">
        <v>371</v>
      </c>
      <c r="T421" s="215" t="s">
        <v>357</v>
      </c>
      <c r="U421" s="215" t="s">
        <v>262</v>
      </c>
      <c r="V421" s="215" t="s">
        <v>7</v>
      </c>
      <c r="W421" s="215" t="s">
        <v>7</v>
      </c>
      <c r="X421" s="215" t="s">
        <v>7</v>
      </c>
      <c r="Y421" s="215"/>
      <c r="Z421" s="215">
        <v>1</v>
      </c>
      <c r="AA421" s="215" t="s">
        <v>122</v>
      </c>
      <c r="AB421" s="215" t="s">
        <v>406</v>
      </c>
      <c r="AC421" s="215">
        <v>2011</v>
      </c>
      <c r="AD421" s="215" t="s">
        <v>232</v>
      </c>
      <c r="AE421" s="215">
        <v>1</v>
      </c>
      <c r="AF421" s="215"/>
    </row>
    <row r="422" spans="1:32" x14ac:dyDescent="0.3">
      <c r="A422" s="215" t="s">
        <v>353</v>
      </c>
      <c r="B422" s="215" t="s">
        <v>57</v>
      </c>
      <c r="C422" s="215" t="s">
        <v>117</v>
      </c>
      <c r="D422" s="215" t="s">
        <v>310</v>
      </c>
      <c r="E422" s="215" t="s">
        <v>775</v>
      </c>
      <c r="F422" s="15">
        <v>46253.349317129629</v>
      </c>
      <c r="G422" s="215" t="s">
        <v>411</v>
      </c>
      <c r="H422" s="215">
        <v>1</v>
      </c>
      <c r="I422" s="215" t="s">
        <v>776</v>
      </c>
      <c r="J422" s="15">
        <v>46254.589212962965</v>
      </c>
      <c r="K422" s="15">
        <v>46254.65625</v>
      </c>
      <c r="L422" s="15"/>
      <c r="M422" s="215">
        <v>1</v>
      </c>
      <c r="N422" s="215"/>
      <c r="O422" s="215" t="s">
        <v>201</v>
      </c>
      <c r="P422" s="215" t="s">
        <v>532</v>
      </c>
      <c r="Q422" s="215"/>
      <c r="R422" s="215"/>
      <c r="S422" s="215" t="s">
        <v>371</v>
      </c>
      <c r="T422" s="215" t="s">
        <v>357</v>
      </c>
      <c r="U422" s="215" t="s">
        <v>262</v>
      </c>
      <c r="V422" s="215" t="s">
        <v>7</v>
      </c>
      <c r="W422" s="215" t="s">
        <v>7</v>
      </c>
      <c r="X422" s="215" t="s">
        <v>7</v>
      </c>
      <c r="Y422" s="215"/>
      <c r="Z422" s="215"/>
      <c r="AA422" s="215" t="s">
        <v>127</v>
      </c>
      <c r="AB422" s="215" t="s">
        <v>406</v>
      </c>
      <c r="AC422" s="215">
        <v>2011</v>
      </c>
      <c r="AD422" s="215" t="s">
        <v>233</v>
      </c>
      <c r="AE422" s="215">
        <v>1</v>
      </c>
      <c r="AF422" s="215"/>
    </row>
    <row r="423" spans="1:32" x14ac:dyDescent="0.3">
      <c r="A423" s="215" t="s">
        <v>353</v>
      </c>
      <c r="B423" s="215" t="s">
        <v>279</v>
      </c>
      <c r="C423" s="215" t="s">
        <v>192</v>
      </c>
      <c r="D423" s="215" t="s">
        <v>310</v>
      </c>
      <c r="E423" s="215" t="s">
        <v>783</v>
      </c>
      <c r="F423" s="15">
        <v>46251.30840277778</v>
      </c>
      <c r="G423" s="215" t="s">
        <v>417</v>
      </c>
      <c r="H423" s="215">
        <v>656</v>
      </c>
      <c r="I423" s="215" t="s">
        <v>784</v>
      </c>
      <c r="J423" s="15">
        <v>46251.581250000003</v>
      </c>
      <c r="K423" s="15">
        <v>46252.500694444447</v>
      </c>
      <c r="L423" s="15"/>
      <c r="M423" s="215">
        <v>656</v>
      </c>
      <c r="N423" s="215"/>
      <c r="O423" s="215" t="s">
        <v>201</v>
      </c>
      <c r="P423" s="215" t="s">
        <v>532</v>
      </c>
      <c r="Q423" s="215"/>
      <c r="R423" s="215"/>
      <c r="S423" s="215" t="s">
        <v>371</v>
      </c>
      <c r="T423" s="215" t="s">
        <v>357</v>
      </c>
      <c r="U423" s="215" t="s">
        <v>262</v>
      </c>
      <c r="V423" s="215" t="s">
        <v>7</v>
      </c>
      <c r="W423" s="215" t="s">
        <v>7</v>
      </c>
      <c r="X423" s="215" t="s">
        <v>7</v>
      </c>
      <c r="Y423" s="215"/>
      <c r="Z423" s="215">
        <v>1</v>
      </c>
      <c r="AA423" s="215" t="s">
        <v>122</v>
      </c>
      <c r="AB423" s="215" t="s">
        <v>406</v>
      </c>
      <c r="AC423" s="215">
        <v>2011</v>
      </c>
      <c r="AD423" s="215" t="s">
        <v>232</v>
      </c>
      <c r="AE423" s="215">
        <v>656</v>
      </c>
      <c r="AF423" s="215"/>
    </row>
    <row r="424" spans="1:32" x14ac:dyDescent="0.3">
      <c r="A424" s="215" t="s">
        <v>353</v>
      </c>
      <c r="B424" s="215" t="s">
        <v>63</v>
      </c>
      <c r="C424" s="215" t="s">
        <v>95</v>
      </c>
      <c r="D424" s="215" t="s">
        <v>310</v>
      </c>
      <c r="E424" s="215" t="s">
        <v>777</v>
      </c>
      <c r="F424" s="15">
        <v>46253.33861111111</v>
      </c>
      <c r="G424" s="215" t="s">
        <v>417</v>
      </c>
      <c r="H424" s="215">
        <v>2</v>
      </c>
      <c r="I424" s="215" t="s">
        <v>778</v>
      </c>
      <c r="J424" s="15">
        <v>46254.578773148147</v>
      </c>
      <c r="K424" s="15">
        <v>46254.634722222225</v>
      </c>
      <c r="L424" s="15"/>
      <c r="M424" s="215">
        <v>2</v>
      </c>
      <c r="N424" s="215"/>
      <c r="O424" s="215" t="s">
        <v>201</v>
      </c>
      <c r="P424" s="215" t="s">
        <v>532</v>
      </c>
      <c r="Q424" s="215"/>
      <c r="R424" s="215"/>
      <c r="S424" s="215" t="s">
        <v>371</v>
      </c>
      <c r="T424" s="215" t="s">
        <v>357</v>
      </c>
      <c r="U424" s="215" t="s">
        <v>262</v>
      </c>
      <c r="V424" s="215" t="s">
        <v>7</v>
      </c>
      <c r="W424" s="215" t="s">
        <v>7</v>
      </c>
      <c r="X424" s="215" t="s">
        <v>7</v>
      </c>
      <c r="Y424" s="215"/>
      <c r="Z424" s="215"/>
      <c r="AA424" s="215" t="s">
        <v>96</v>
      </c>
      <c r="AB424" s="215" t="s">
        <v>406</v>
      </c>
      <c r="AC424" s="215">
        <v>2011</v>
      </c>
      <c r="AD424" s="215" t="s">
        <v>225</v>
      </c>
      <c r="AE424" s="215">
        <v>2</v>
      </c>
      <c r="AF424" s="215"/>
    </row>
    <row r="425" spans="1:32" x14ac:dyDescent="0.3">
      <c r="A425" s="215" t="s">
        <v>353</v>
      </c>
      <c r="B425" s="215" t="s">
        <v>279</v>
      </c>
      <c r="C425" s="215" t="s">
        <v>192</v>
      </c>
      <c r="D425" s="215" t="s">
        <v>310</v>
      </c>
      <c r="E425" s="215" t="s">
        <v>787</v>
      </c>
      <c r="F425" s="15">
        <v>46176.3434837963</v>
      </c>
      <c r="G425" s="215" t="s">
        <v>417</v>
      </c>
      <c r="H425" s="215">
        <v>1289</v>
      </c>
      <c r="I425" s="215" t="s">
        <v>788</v>
      </c>
      <c r="J425" s="15">
        <v>46176.640972222223</v>
      </c>
      <c r="K425" s="15">
        <v>46232.525000000001</v>
      </c>
      <c r="L425" s="15"/>
      <c r="M425" s="215">
        <v>1289</v>
      </c>
      <c r="N425" s="215"/>
      <c r="O425" s="215"/>
      <c r="P425" s="215"/>
      <c r="Q425" s="215"/>
      <c r="R425" s="215"/>
      <c r="S425" s="215" t="s">
        <v>371</v>
      </c>
      <c r="T425" s="215" t="s">
        <v>357</v>
      </c>
      <c r="U425" s="215" t="s">
        <v>262</v>
      </c>
      <c r="V425" s="215" t="s">
        <v>7</v>
      </c>
      <c r="W425" s="215" t="s">
        <v>7</v>
      </c>
      <c r="X425" s="215" t="s">
        <v>7</v>
      </c>
      <c r="Y425" s="215"/>
      <c r="Z425" s="215">
        <v>1</v>
      </c>
      <c r="AA425" s="215" t="s">
        <v>122</v>
      </c>
      <c r="AB425" s="215" t="s">
        <v>406</v>
      </c>
      <c r="AC425" s="215">
        <v>2011</v>
      </c>
      <c r="AD425" s="215" t="s">
        <v>232</v>
      </c>
      <c r="AE425" s="215">
        <v>1289</v>
      </c>
      <c r="AF425" s="215">
        <v>283.2</v>
      </c>
    </row>
    <row r="426" spans="1:32" x14ac:dyDescent="0.3">
      <c r="A426" s="215" t="s">
        <v>353</v>
      </c>
      <c r="B426" s="215" t="s">
        <v>51</v>
      </c>
      <c r="C426" s="215" t="s">
        <v>258</v>
      </c>
      <c r="D426" s="215" t="s">
        <v>310</v>
      </c>
      <c r="E426" s="215" t="s">
        <v>789</v>
      </c>
      <c r="F426" s="15">
        <v>46227.403078703705</v>
      </c>
      <c r="G426" s="215" t="s">
        <v>434</v>
      </c>
      <c r="H426" s="215">
        <v>40</v>
      </c>
      <c r="I426" s="215" t="s">
        <v>790</v>
      </c>
      <c r="J426" s="15">
        <v>46227.627268518518</v>
      </c>
      <c r="K426" s="15">
        <v>46234.486111111109</v>
      </c>
      <c r="L426" s="15"/>
      <c r="M426" s="215">
        <v>40</v>
      </c>
      <c r="N426" s="215"/>
      <c r="O426" s="215" t="s">
        <v>201</v>
      </c>
      <c r="P426" s="215" t="s">
        <v>531</v>
      </c>
      <c r="Q426" s="215"/>
      <c r="R426" s="215"/>
      <c r="S426" s="215" t="s">
        <v>371</v>
      </c>
      <c r="T426" s="215" t="s">
        <v>357</v>
      </c>
      <c r="U426" s="215" t="s">
        <v>262</v>
      </c>
      <c r="V426" s="215" t="s">
        <v>7</v>
      </c>
      <c r="W426" s="215" t="s">
        <v>7</v>
      </c>
      <c r="X426" s="215" t="s">
        <v>7</v>
      </c>
      <c r="Y426" s="215"/>
      <c r="Z426" s="215"/>
      <c r="AA426" s="215" t="s">
        <v>238</v>
      </c>
      <c r="AB426" s="215" t="s">
        <v>406</v>
      </c>
      <c r="AC426" s="215">
        <v>2011</v>
      </c>
      <c r="AD426" s="215" t="s">
        <v>7</v>
      </c>
      <c r="AE426" s="215"/>
      <c r="AF426" s="215">
        <v>379.28000000000003</v>
      </c>
    </row>
    <row r="427" spans="1:32" x14ac:dyDescent="0.3">
      <c r="A427" s="215" t="s">
        <v>353</v>
      </c>
      <c r="B427" s="215" t="s">
        <v>45</v>
      </c>
      <c r="C427" s="215" t="s">
        <v>68</v>
      </c>
      <c r="D427" s="215" t="s">
        <v>310</v>
      </c>
      <c r="E427" s="215" t="s">
        <v>791</v>
      </c>
      <c r="F427" s="15">
        <v>46223.312245370369</v>
      </c>
      <c r="G427" s="215" t="s">
        <v>440</v>
      </c>
      <c r="H427" s="215">
        <v>9</v>
      </c>
      <c r="I427" s="215" t="s">
        <v>792</v>
      </c>
      <c r="J427" s="15">
        <v>46223.463888888888</v>
      </c>
      <c r="K427" s="15">
        <v>46226.486805555556</v>
      </c>
      <c r="L427" s="15"/>
      <c r="M427" s="215">
        <v>9</v>
      </c>
      <c r="N427" s="215"/>
      <c r="O427" s="215" t="s">
        <v>201</v>
      </c>
      <c r="P427" s="215" t="s">
        <v>531</v>
      </c>
      <c r="Q427" s="215"/>
      <c r="R427" s="215"/>
      <c r="S427" s="215" t="s">
        <v>405</v>
      </c>
      <c r="T427" s="215" t="s">
        <v>386</v>
      </c>
      <c r="U427" s="215" t="s">
        <v>295</v>
      </c>
      <c r="V427" s="215" t="s">
        <v>353</v>
      </c>
      <c r="W427" s="215" t="s">
        <v>384</v>
      </c>
      <c r="X427" s="215" t="s">
        <v>262</v>
      </c>
      <c r="Y427" s="215"/>
      <c r="Z427" s="215"/>
      <c r="AA427" s="215" t="s">
        <v>67</v>
      </c>
      <c r="AB427" s="215" t="s">
        <v>405</v>
      </c>
      <c r="AC427" s="215"/>
      <c r="AD427" s="215" t="s">
        <v>217</v>
      </c>
      <c r="AE427" s="215">
        <v>1</v>
      </c>
      <c r="AF427" s="215">
        <v>1</v>
      </c>
    </row>
    <row r="428" spans="1:32" x14ac:dyDescent="0.3">
      <c r="A428" s="215" t="s">
        <v>353</v>
      </c>
      <c r="B428" s="215" t="s">
        <v>45</v>
      </c>
      <c r="C428" s="215" t="s">
        <v>68</v>
      </c>
      <c r="D428" s="215" t="s">
        <v>310</v>
      </c>
      <c r="E428" s="215" t="s">
        <v>793</v>
      </c>
      <c r="F428" s="15">
        <v>46217.387696759259</v>
      </c>
      <c r="G428" s="215" t="s">
        <v>435</v>
      </c>
      <c r="H428" s="215">
        <v>2</v>
      </c>
      <c r="I428" s="215" t="s">
        <v>794</v>
      </c>
      <c r="J428" s="15">
        <v>46217.475694444445</v>
      </c>
      <c r="K428" s="15">
        <v>46230.486111111109</v>
      </c>
      <c r="L428" s="15"/>
      <c r="M428" s="215">
        <v>2</v>
      </c>
      <c r="N428" s="215"/>
      <c r="O428" s="215" t="s">
        <v>201</v>
      </c>
      <c r="P428" s="215" t="s">
        <v>531</v>
      </c>
      <c r="Q428" s="215"/>
      <c r="R428" s="215"/>
      <c r="S428" s="215" t="s">
        <v>372</v>
      </c>
      <c r="T428" s="215" t="s">
        <v>385</v>
      </c>
      <c r="U428" s="215" t="s">
        <v>265</v>
      </c>
      <c r="V428" s="215" t="s">
        <v>353</v>
      </c>
      <c r="W428" s="215" t="s">
        <v>384</v>
      </c>
      <c r="X428" s="215" t="s">
        <v>262</v>
      </c>
      <c r="Y428" s="215">
        <v>678</v>
      </c>
      <c r="Z428" s="215"/>
      <c r="AA428" s="215" t="s">
        <v>67</v>
      </c>
      <c r="AB428" s="215" t="s">
        <v>372</v>
      </c>
      <c r="AC428" s="215">
        <v>1950</v>
      </c>
      <c r="AD428" s="215" t="s">
        <v>217</v>
      </c>
      <c r="AE428" s="215">
        <v>1</v>
      </c>
      <c r="AF428" s="215">
        <v>1</v>
      </c>
    </row>
    <row r="429" spans="1:32" x14ac:dyDescent="0.3">
      <c r="A429" s="215" t="s">
        <v>353</v>
      </c>
      <c r="B429" s="215" t="s">
        <v>63</v>
      </c>
      <c r="C429" s="215" t="s">
        <v>95</v>
      </c>
      <c r="D429" s="215" t="s">
        <v>310</v>
      </c>
      <c r="E429" s="215" t="s">
        <v>795</v>
      </c>
      <c r="F429" s="15">
        <v>46244.363599537035</v>
      </c>
      <c r="G429" s="215" t="s">
        <v>417</v>
      </c>
      <c r="H429" s="215">
        <v>9</v>
      </c>
      <c r="I429" s="215" t="s">
        <v>796</v>
      </c>
      <c r="J429" s="15">
        <v>46244.70039351852</v>
      </c>
      <c r="K429" s="15">
        <v>46246.680555555555</v>
      </c>
      <c r="L429" s="15"/>
      <c r="M429" s="215">
        <v>9</v>
      </c>
      <c r="N429" s="215"/>
      <c r="O429" s="215" t="s">
        <v>201</v>
      </c>
      <c r="P429" s="215" t="s">
        <v>532</v>
      </c>
      <c r="Q429" s="215"/>
      <c r="R429" s="215"/>
      <c r="S429" s="215" t="s">
        <v>371</v>
      </c>
      <c r="T429" s="215" t="s">
        <v>357</v>
      </c>
      <c r="U429" s="215" t="s">
        <v>262</v>
      </c>
      <c r="V429" s="215" t="s">
        <v>7</v>
      </c>
      <c r="W429" s="215" t="s">
        <v>7</v>
      </c>
      <c r="X429" s="215" t="s">
        <v>7</v>
      </c>
      <c r="Y429" s="215"/>
      <c r="Z429" s="215"/>
      <c r="AA429" s="215" t="s">
        <v>96</v>
      </c>
      <c r="AB429" s="215" t="s">
        <v>406</v>
      </c>
      <c r="AC429" s="215">
        <v>2011</v>
      </c>
      <c r="AD429" s="215" t="s">
        <v>225</v>
      </c>
      <c r="AE429" s="215">
        <v>9</v>
      </c>
      <c r="AF429" s="215">
        <v>74</v>
      </c>
    </row>
    <row r="430" spans="1:32" x14ac:dyDescent="0.3">
      <c r="A430" s="215" t="s">
        <v>353</v>
      </c>
      <c r="B430" s="215" t="s">
        <v>57</v>
      </c>
      <c r="C430" s="215" t="s">
        <v>117</v>
      </c>
      <c r="D430" s="215" t="s">
        <v>310</v>
      </c>
      <c r="E430" s="215" t="s">
        <v>795</v>
      </c>
      <c r="F430" s="15">
        <v>46244.363599537035</v>
      </c>
      <c r="G430" s="215" t="s">
        <v>417</v>
      </c>
      <c r="H430" s="215">
        <v>9</v>
      </c>
      <c r="I430" s="215" t="s">
        <v>796</v>
      </c>
      <c r="J430" s="15">
        <v>46244.70039351852</v>
      </c>
      <c r="K430" s="15">
        <v>46246.680555555555</v>
      </c>
      <c r="L430" s="15"/>
      <c r="M430" s="215">
        <v>9</v>
      </c>
      <c r="N430" s="215"/>
      <c r="O430" s="215" t="s">
        <v>201</v>
      </c>
      <c r="P430" s="215" t="s">
        <v>532</v>
      </c>
      <c r="Q430" s="215"/>
      <c r="R430" s="215"/>
      <c r="S430" s="215" t="s">
        <v>371</v>
      </c>
      <c r="T430" s="215" t="s">
        <v>357</v>
      </c>
      <c r="U430" s="215" t="s">
        <v>262</v>
      </c>
      <c r="V430" s="215" t="s">
        <v>7</v>
      </c>
      <c r="W430" s="215" t="s">
        <v>7</v>
      </c>
      <c r="X430" s="215" t="s">
        <v>7</v>
      </c>
      <c r="Y430" s="215"/>
      <c r="Z430" s="215"/>
      <c r="AA430" s="215" t="s">
        <v>127</v>
      </c>
      <c r="AB430" s="215" t="s">
        <v>406</v>
      </c>
      <c r="AC430" s="215">
        <v>2011</v>
      </c>
      <c r="AD430" s="215" t="s">
        <v>233</v>
      </c>
      <c r="AE430" s="215">
        <v>1</v>
      </c>
      <c r="AF430" s="215"/>
    </row>
    <row r="431" spans="1:32" x14ac:dyDescent="0.3">
      <c r="A431" s="215" t="s">
        <v>353</v>
      </c>
      <c r="B431" s="215" t="s">
        <v>279</v>
      </c>
      <c r="C431" s="215" t="s">
        <v>192</v>
      </c>
      <c r="D431" s="215" t="s">
        <v>310</v>
      </c>
      <c r="E431" s="215" t="s">
        <v>795</v>
      </c>
      <c r="F431" s="15">
        <v>46244.363599537035</v>
      </c>
      <c r="G431" s="215" t="s">
        <v>417</v>
      </c>
      <c r="H431" s="215">
        <v>730</v>
      </c>
      <c r="I431" s="215" t="s">
        <v>796</v>
      </c>
      <c r="J431" s="15">
        <v>46244.70039351852</v>
      </c>
      <c r="K431" s="15">
        <v>46246.680555555555</v>
      </c>
      <c r="L431" s="15"/>
      <c r="M431" s="215">
        <v>730</v>
      </c>
      <c r="N431" s="215"/>
      <c r="O431" s="215" t="s">
        <v>201</v>
      </c>
      <c r="P431" s="215" t="s">
        <v>532</v>
      </c>
      <c r="Q431" s="215"/>
      <c r="R431" s="215"/>
      <c r="S431" s="215" t="s">
        <v>371</v>
      </c>
      <c r="T431" s="215" t="s">
        <v>357</v>
      </c>
      <c r="U431" s="215" t="s">
        <v>262</v>
      </c>
      <c r="V431" s="215" t="s">
        <v>7</v>
      </c>
      <c r="W431" s="215" t="s">
        <v>7</v>
      </c>
      <c r="X431" s="215" t="s">
        <v>7</v>
      </c>
      <c r="Y431" s="215"/>
      <c r="Z431" s="215">
        <v>1</v>
      </c>
      <c r="AA431" s="215" t="s">
        <v>122</v>
      </c>
      <c r="AB431" s="215" t="s">
        <v>406</v>
      </c>
      <c r="AC431" s="215">
        <v>2011</v>
      </c>
      <c r="AD431" s="215" t="s">
        <v>232</v>
      </c>
      <c r="AE431" s="215">
        <v>730</v>
      </c>
      <c r="AF431" s="215"/>
    </row>
    <row r="432" spans="1:32" x14ac:dyDescent="0.3">
      <c r="A432" s="215" t="s">
        <v>353</v>
      </c>
      <c r="B432" s="215" t="s">
        <v>63</v>
      </c>
      <c r="C432" s="215" t="s">
        <v>95</v>
      </c>
      <c r="D432" s="215" t="s">
        <v>310</v>
      </c>
      <c r="E432" s="215" t="s">
        <v>797</v>
      </c>
      <c r="F432" s="15">
        <v>46232.31826388889</v>
      </c>
      <c r="G432" s="215" t="s">
        <v>411</v>
      </c>
      <c r="H432" s="215">
        <v>1</v>
      </c>
      <c r="I432" s="215" t="s">
        <v>798</v>
      </c>
      <c r="J432" s="15">
        <v>46232.40520833333</v>
      </c>
      <c r="K432" s="15">
        <v>46239.288888888892</v>
      </c>
      <c r="L432" s="15"/>
      <c r="M432" s="215">
        <v>1</v>
      </c>
      <c r="N432" s="215"/>
      <c r="O432" s="215" t="s">
        <v>201</v>
      </c>
      <c r="P432" s="215" t="s">
        <v>532</v>
      </c>
      <c r="Q432" s="215"/>
      <c r="R432" s="215"/>
      <c r="S432" s="215" t="s">
        <v>371</v>
      </c>
      <c r="T432" s="215" t="s">
        <v>357</v>
      </c>
      <c r="U432" s="215" t="s">
        <v>262</v>
      </c>
      <c r="V432" s="215" t="s">
        <v>7</v>
      </c>
      <c r="W432" s="215" t="s">
        <v>7</v>
      </c>
      <c r="X432" s="215" t="s">
        <v>7</v>
      </c>
      <c r="Y432" s="215"/>
      <c r="Z432" s="215"/>
      <c r="AA432" s="215" t="s">
        <v>96</v>
      </c>
      <c r="AB432" s="215" t="s">
        <v>406</v>
      </c>
      <c r="AC432" s="215">
        <v>2011</v>
      </c>
      <c r="AD432" s="215" t="s">
        <v>225</v>
      </c>
      <c r="AE432" s="215">
        <v>1</v>
      </c>
      <c r="AF432" s="215">
        <v>1</v>
      </c>
    </row>
    <row r="433" spans="1:32" x14ac:dyDescent="0.3">
      <c r="A433" s="215" t="s">
        <v>353</v>
      </c>
      <c r="B433" s="215" t="s">
        <v>57</v>
      </c>
      <c r="C433" s="215" t="s">
        <v>117</v>
      </c>
      <c r="D433" s="215" t="s">
        <v>310</v>
      </c>
      <c r="E433" s="215" t="s">
        <v>797</v>
      </c>
      <c r="F433" s="15">
        <v>46232.31826388889</v>
      </c>
      <c r="G433" s="215" t="s">
        <v>411</v>
      </c>
      <c r="H433" s="215">
        <v>1</v>
      </c>
      <c r="I433" s="215" t="s">
        <v>798</v>
      </c>
      <c r="J433" s="15">
        <v>46232.40520833333</v>
      </c>
      <c r="K433" s="15">
        <v>46239.288888888892</v>
      </c>
      <c r="L433" s="15"/>
      <c r="M433" s="215">
        <v>1</v>
      </c>
      <c r="N433" s="215"/>
      <c r="O433" s="215" t="s">
        <v>201</v>
      </c>
      <c r="P433" s="215" t="s">
        <v>532</v>
      </c>
      <c r="Q433" s="215"/>
      <c r="R433" s="215"/>
      <c r="S433" s="215" t="s">
        <v>371</v>
      </c>
      <c r="T433" s="215" t="s">
        <v>357</v>
      </c>
      <c r="U433" s="215" t="s">
        <v>262</v>
      </c>
      <c r="V433" s="215" t="s">
        <v>7</v>
      </c>
      <c r="W433" s="215" t="s">
        <v>7</v>
      </c>
      <c r="X433" s="215" t="s">
        <v>7</v>
      </c>
      <c r="Y433" s="215"/>
      <c r="Z433" s="215"/>
      <c r="AA433" s="215" t="s">
        <v>127</v>
      </c>
      <c r="AB433" s="215" t="s">
        <v>406</v>
      </c>
      <c r="AC433" s="215">
        <v>2011</v>
      </c>
      <c r="AD433" s="215" t="s">
        <v>233</v>
      </c>
      <c r="AE433" s="215">
        <v>1</v>
      </c>
      <c r="AF433" s="215"/>
    </row>
    <row r="434" spans="1:32" x14ac:dyDescent="0.3">
      <c r="A434" s="215" t="s">
        <v>353</v>
      </c>
      <c r="B434" s="215" t="s">
        <v>279</v>
      </c>
      <c r="C434" s="215" t="s">
        <v>192</v>
      </c>
      <c r="D434" s="215" t="s">
        <v>310</v>
      </c>
      <c r="E434" s="215" t="s">
        <v>797</v>
      </c>
      <c r="F434" s="15">
        <v>46232.31826388889</v>
      </c>
      <c r="G434" s="215" t="s">
        <v>411</v>
      </c>
      <c r="H434" s="215">
        <v>8</v>
      </c>
      <c r="I434" s="215" t="s">
        <v>798</v>
      </c>
      <c r="J434" s="15">
        <v>46232.40520833333</v>
      </c>
      <c r="K434" s="15">
        <v>46239.288888888892</v>
      </c>
      <c r="L434" s="15"/>
      <c r="M434" s="215">
        <v>8</v>
      </c>
      <c r="N434" s="215"/>
      <c r="O434" s="215" t="s">
        <v>201</v>
      </c>
      <c r="P434" s="215" t="s">
        <v>531</v>
      </c>
      <c r="Q434" s="215"/>
      <c r="R434" s="215"/>
      <c r="S434" s="215" t="s">
        <v>371</v>
      </c>
      <c r="T434" s="215" t="s">
        <v>357</v>
      </c>
      <c r="U434" s="215" t="s">
        <v>262</v>
      </c>
      <c r="V434" s="215" t="s">
        <v>7</v>
      </c>
      <c r="W434" s="215" t="s">
        <v>7</v>
      </c>
      <c r="X434" s="215" t="s">
        <v>7</v>
      </c>
      <c r="Y434" s="215"/>
      <c r="Z434" s="215">
        <v>1</v>
      </c>
      <c r="AA434" s="215" t="s">
        <v>122</v>
      </c>
      <c r="AB434" s="215" t="s">
        <v>406</v>
      </c>
      <c r="AC434" s="215">
        <v>2011</v>
      </c>
      <c r="AD434" s="215" t="s">
        <v>232</v>
      </c>
      <c r="AE434" s="215">
        <v>8</v>
      </c>
      <c r="AF434" s="215"/>
    </row>
    <row r="435" spans="1:32" x14ac:dyDescent="0.3">
      <c r="A435" s="215" t="s">
        <v>353</v>
      </c>
      <c r="B435" s="215" t="s">
        <v>63</v>
      </c>
      <c r="C435" s="215" t="s">
        <v>95</v>
      </c>
      <c r="D435" s="215" t="s">
        <v>310</v>
      </c>
      <c r="E435" s="215" t="s">
        <v>802</v>
      </c>
      <c r="F435" s="15">
        <v>46231.310787037037</v>
      </c>
      <c r="G435" s="215" t="s">
        <v>417</v>
      </c>
      <c r="H435" s="215">
        <v>13</v>
      </c>
      <c r="I435" s="215" t="s">
        <v>803</v>
      </c>
      <c r="J435" s="15">
        <v>46231.40347222222</v>
      </c>
      <c r="K435" s="15">
        <v>46233.611805555556</v>
      </c>
      <c r="L435" s="15"/>
      <c r="M435" s="215">
        <v>13</v>
      </c>
      <c r="N435" s="215"/>
      <c r="O435" s="215" t="s">
        <v>201</v>
      </c>
      <c r="P435" s="215" t="s">
        <v>532</v>
      </c>
      <c r="Q435" s="215"/>
      <c r="R435" s="215"/>
      <c r="S435" s="215" t="s">
        <v>371</v>
      </c>
      <c r="T435" s="215" t="s">
        <v>357</v>
      </c>
      <c r="U435" s="215" t="s">
        <v>262</v>
      </c>
      <c r="V435" s="215" t="s">
        <v>7</v>
      </c>
      <c r="W435" s="215" t="s">
        <v>7</v>
      </c>
      <c r="X435" s="215" t="s">
        <v>7</v>
      </c>
      <c r="Y435" s="215"/>
      <c r="Z435" s="215"/>
      <c r="AA435" s="215" t="s">
        <v>96</v>
      </c>
      <c r="AB435" s="215" t="s">
        <v>406</v>
      </c>
      <c r="AC435" s="215">
        <v>2011</v>
      </c>
      <c r="AD435" s="215" t="s">
        <v>225</v>
      </c>
      <c r="AE435" s="215">
        <v>13</v>
      </c>
      <c r="AF435" s="215">
        <v>110.63</v>
      </c>
    </row>
    <row r="436" spans="1:32" x14ac:dyDescent="0.3">
      <c r="A436" s="215" t="s">
        <v>353</v>
      </c>
      <c r="B436" s="215" t="s">
        <v>57</v>
      </c>
      <c r="C436" s="215" t="s">
        <v>117</v>
      </c>
      <c r="D436" s="215" t="s">
        <v>310</v>
      </c>
      <c r="E436" s="215" t="s">
        <v>802</v>
      </c>
      <c r="F436" s="15">
        <v>46231.310787037037</v>
      </c>
      <c r="G436" s="215" t="s">
        <v>417</v>
      </c>
      <c r="H436" s="215">
        <v>13</v>
      </c>
      <c r="I436" s="215" t="s">
        <v>803</v>
      </c>
      <c r="J436" s="15">
        <v>46231.40347222222</v>
      </c>
      <c r="K436" s="15">
        <v>46233.611805555556</v>
      </c>
      <c r="L436" s="15"/>
      <c r="M436" s="215">
        <v>13</v>
      </c>
      <c r="N436" s="215"/>
      <c r="O436" s="215" t="s">
        <v>201</v>
      </c>
      <c r="P436" s="215" t="s">
        <v>532</v>
      </c>
      <c r="Q436" s="215"/>
      <c r="R436" s="215"/>
      <c r="S436" s="215" t="s">
        <v>371</v>
      </c>
      <c r="T436" s="215" t="s">
        <v>357</v>
      </c>
      <c r="U436" s="215" t="s">
        <v>262</v>
      </c>
      <c r="V436" s="215" t="s">
        <v>7</v>
      </c>
      <c r="W436" s="215" t="s">
        <v>7</v>
      </c>
      <c r="X436" s="215" t="s">
        <v>7</v>
      </c>
      <c r="Y436" s="215"/>
      <c r="Z436" s="215"/>
      <c r="AA436" s="215" t="s">
        <v>127</v>
      </c>
      <c r="AB436" s="215" t="s">
        <v>406</v>
      </c>
      <c r="AC436" s="215">
        <v>2011</v>
      </c>
      <c r="AD436" s="215" t="s">
        <v>233</v>
      </c>
      <c r="AE436" s="215">
        <v>1.3</v>
      </c>
      <c r="AF436" s="215"/>
    </row>
    <row r="437" spans="1:32" x14ac:dyDescent="0.3">
      <c r="A437" s="215" t="s">
        <v>353</v>
      </c>
      <c r="B437" s="215" t="s">
        <v>279</v>
      </c>
      <c r="C437" s="215" t="s">
        <v>192</v>
      </c>
      <c r="D437" s="215" t="s">
        <v>310</v>
      </c>
      <c r="E437" s="215" t="s">
        <v>802</v>
      </c>
      <c r="F437" s="15">
        <v>46231.310787037037</v>
      </c>
      <c r="G437" s="215" t="s">
        <v>417</v>
      </c>
      <c r="H437" s="215">
        <v>1092</v>
      </c>
      <c r="I437" s="215" t="s">
        <v>803</v>
      </c>
      <c r="J437" s="15">
        <v>46231.40347222222</v>
      </c>
      <c r="K437" s="15">
        <v>46233.611805555556</v>
      </c>
      <c r="L437" s="15"/>
      <c r="M437" s="215">
        <v>1092</v>
      </c>
      <c r="N437" s="215"/>
      <c r="O437" s="215" t="s">
        <v>201</v>
      </c>
      <c r="P437" s="215" t="s">
        <v>532</v>
      </c>
      <c r="Q437" s="215"/>
      <c r="R437" s="215"/>
      <c r="S437" s="215" t="s">
        <v>371</v>
      </c>
      <c r="T437" s="215" t="s">
        <v>357</v>
      </c>
      <c r="U437" s="215" t="s">
        <v>262</v>
      </c>
      <c r="V437" s="215" t="s">
        <v>7</v>
      </c>
      <c r="W437" s="215" t="s">
        <v>7</v>
      </c>
      <c r="X437" s="215" t="s">
        <v>7</v>
      </c>
      <c r="Y437" s="215"/>
      <c r="Z437" s="215">
        <v>1</v>
      </c>
      <c r="AA437" s="215" t="s">
        <v>122</v>
      </c>
      <c r="AB437" s="215" t="s">
        <v>406</v>
      </c>
      <c r="AC437" s="215">
        <v>2011</v>
      </c>
      <c r="AD437" s="215" t="s">
        <v>232</v>
      </c>
      <c r="AE437" s="215">
        <v>1092</v>
      </c>
      <c r="AF437" s="215"/>
    </row>
    <row r="438" spans="1:32" x14ac:dyDescent="0.3">
      <c r="A438" s="215" t="s">
        <v>353</v>
      </c>
      <c r="B438" s="215" t="s">
        <v>63</v>
      </c>
      <c r="C438" s="215" t="s">
        <v>95</v>
      </c>
      <c r="D438" s="215" t="s">
        <v>310</v>
      </c>
      <c r="E438" s="215" t="s">
        <v>806</v>
      </c>
      <c r="F438" s="15">
        <v>46230.596712962964</v>
      </c>
      <c r="G438" s="215" t="s">
        <v>417</v>
      </c>
      <c r="H438" s="215">
        <v>4</v>
      </c>
      <c r="I438" s="215" t="s">
        <v>807</v>
      </c>
      <c r="J438" s="15">
        <v>46230.690266203703</v>
      </c>
      <c r="K438" s="15">
        <v>46232.591666666667</v>
      </c>
      <c r="L438" s="15"/>
      <c r="M438" s="215">
        <v>4</v>
      </c>
      <c r="N438" s="215"/>
      <c r="O438" s="215" t="s">
        <v>201</v>
      </c>
      <c r="P438" s="215" t="s">
        <v>532</v>
      </c>
      <c r="Q438" s="215"/>
      <c r="R438" s="215"/>
      <c r="S438" s="215" t="s">
        <v>371</v>
      </c>
      <c r="T438" s="215" t="s">
        <v>357</v>
      </c>
      <c r="U438" s="215" t="s">
        <v>262</v>
      </c>
      <c r="V438" s="215" t="s">
        <v>7</v>
      </c>
      <c r="W438" s="215" t="s">
        <v>7</v>
      </c>
      <c r="X438" s="215" t="s">
        <v>7</v>
      </c>
      <c r="Y438" s="215"/>
      <c r="Z438" s="215"/>
      <c r="AA438" s="215" t="s">
        <v>96</v>
      </c>
      <c r="AB438" s="215" t="s">
        <v>406</v>
      </c>
      <c r="AC438" s="215">
        <v>2011</v>
      </c>
      <c r="AD438" s="215" t="s">
        <v>225</v>
      </c>
      <c r="AE438" s="215">
        <v>4</v>
      </c>
      <c r="AF438" s="215"/>
    </row>
    <row r="439" spans="1:32" x14ac:dyDescent="0.3">
      <c r="A439" s="215" t="s">
        <v>353</v>
      </c>
      <c r="B439" s="215" t="s">
        <v>57</v>
      </c>
      <c r="C439" s="215" t="s">
        <v>117</v>
      </c>
      <c r="D439" s="215" t="s">
        <v>310</v>
      </c>
      <c r="E439" s="215" t="s">
        <v>806</v>
      </c>
      <c r="F439" s="15">
        <v>46230.596712962964</v>
      </c>
      <c r="G439" s="215" t="s">
        <v>417</v>
      </c>
      <c r="H439" s="215">
        <v>4</v>
      </c>
      <c r="I439" s="215" t="s">
        <v>807</v>
      </c>
      <c r="J439" s="15">
        <v>46230.690266203703</v>
      </c>
      <c r="K439" s="15">
        <v>46232.591666666667</v>
      </c>
      <c r="L439" s="15"/>
      <c r="M439" s="215">
        <v>4</v>
      </c>
      <c r="N439" s="215"/>
      <c r="O439" s="215" t="s">
        <v>201</v>
      </c>
      <c r="P439" s="215" t="s">
        <v>532</v>
      </c>
      <c r="Q439" s="215"/>
      <c r="R439" s="215"/>
      <c r="S439" s="215" t="s">
        <v>371</v>
      </c>
      <c r="T439" s="215" t="s">
        <v>357</v>
      </c>
      <c r="U439" s="215" t="s">
        <v>262</v>
      </c>
      <c r="V439" s="215" t="s">
        <v>7</v>
      </c>
      <c r="W439" s="215" t="s">
        <v>7</v>
      </c>
      <c r="X439" s="215" t="s">
        <v>7</v>
      </c>
      <c r="Y439" s="215"/>
      <c r="Z439" s="215"/>
      <c r="AA439" s="215" t="s">
        <v>127</v>
      </c>
      <c r="AB439" s="215" t="s">
        <v>406</v>
      </c>
      <c r="AC439" s="215">
        <v>2011</v>
      </c>
      <c r="AD439" s="215" t="s">
        <v>233</v>
      </c>
      <c r="AE439" s="215">
        <v>1</v>
      </c>
      <c r="AF439" s="215"/>
    </row>
    <row r="440" spans="1:32" x14ac:dyDescent="0.3">
      <c r="A440" s="215" t="s">
        <v>353</v>
      </c>
      <c r="B440" s="215" t="s">
        <v>279</v>
      </c>
      <c r="C440" s="215" t="s">
        <v>192</v>
      </c>
      <c r="D440" s="215" t="s">
        <v>310</v>
      </c>
      <c r="E440" s="215" t="s">
        <v>806</v>
      </c>
      <c r="F440" s="15">
        <v>46230.596712962964</v>
      </c>
      <c r="G440" s="215" t="s">
        <v>417</v>
      </c>
      <c r="H440" s="215">
        <v>409</v>
      </c>
      <c r="I440" s="215" t="s">
        <v>807</v>
      </c>
      <c r="J440" s="15">
        <v>46230.690266203703</v>
      </c>
      <c r="K440" s="15">
        <v>46232.591666666667</v>
      </c>
      <c r="L440" s="15"/>
      <c r="M440" s="215">
        <v>409</v>
      </c>
      <c r="N440" s="215"/>
      <c r="O440" s="215" t="s">
        <v>201</v>
      </c>
      <c r="P440" s="215" t="s">
        <v>532</v>
      </c>
      <c r="Q440" s="215"/>
      <c r="R440" s="215"/>
      <c r="S440" s="215" t="s">
        <v>371</v>
      </c>
      <c r="T440" s="215" t="s">
        <v>357</v>
      </c>
      <c r="U440" s="215" t="s">
        <v>262</v>
      </c>
      <c r="V440" s="215" t="s">
        <v>7</v>
      </c>
      <c r="W440" s="215" t="s">
        <v>7</v>
      </c>
      <c r="X440" s="215" t="s">
        <v>7</v>
      </c>
      <c r="Y440" s="215"/>
      <c r="Z440" s="215">
        <v>1</v>
      </c>
      <c r="AA440" s="215" t="s">
        <v>122</v>
      </c>
      <c r="AB440" s="215" t="s">
        <v>406</v>
      </c>
      <c r="AC440" s="215">
        <v>2011</v>
      </c>
      <c r="AD440" s="215" t="s">
        <v>232</v>
      </c>
      <c r="AE440" s="215">
        <v>409</v>
      </c>
      <c r="AF440" s="215"/>
    </row>
    <row r="441" spans="1:32" x14ac:dyDescent="0.3">
      <c r="A441" s="215" t="s">
        <v>353</v>
      </c>
      <c r="B441" s="215" t="s">
        <v>63</v>
      </c>
      <c r="C441" s="215" t="s">
        <v>95</v>
      </c>
      <c r="D441" s="215" t="s">
        <v>310</v>
      </c>
      <c r="E441" s="215" t="s">
        <v>804</v>
      </c>
      <c r="F441" s="15">
        <v>46230.594074074077</v>
      </c>
      <c r="G441" s="215" t="s">
        <v>417</v>
      </c>
      <c r="H441" s="215">
        <v>14</v>
      </c>
      <c r="I441" s="215" t="s">
        <v>805</v>
      </c>
      <c r="J441" s="15">
        <v>46231.398611111108</v>
      </c>
      <c r="K441" s="15">
        <v>46232.455960648149</v>
      </c>
      <c r="L441" s="15">
        <v>46232.682638888888</v>
      </c>
      <c r="M441" s="215">
        <v>14</v>
      </c>
      <c r="N441" s="215"/>
      <c r="O441" s="215" t="s">
        <v>201</v>
      </c>
      <c r="P441" s="215" t="s">
        <v>532</v>
      </c>
      <c r="Q441" s="215"/>
      <c r="R441" s="215"/>
      <c r="S441" s="215" t="s">
        <v>371</v>
      </c>
      <c r="T441" s="215" t="s">
        <v>357</v>
      </c>
      <c r="U441" s="215" t="s">
        <v>262</v>
      </c>
      <c r="V441" s="215" t="s">
        <v>7</v>
      </c>
      <c r="W441" s="215" t="s">
        <v>7</v>
      </c>
      <c r="X441" s="215" t="s">
        <v>7</v>
      </c>
      <c r="Y441" s="215"/>
      <c r="Z441" s="215"/>
      <c r="AA441" s="215" t="s">
        <v>96</v>
      </c>
      <c r="AB441" s="215" t="s">
        <v>406</v>
      </c>
      <c r="AC441" s="215">
        <v>2011</v>
      </c>
      <c r="AD441" s="215" t="s">
        <v>225</v>
      </c>
      <c r="AE441" s="215">
        <v>14</v>
      </c>
      <c r="AF441" s="215"/>
    </row>
    <row r="442" spans="1:32" x14ac:dyDescent="0.3">
      <c r="A442" s="215" t="s">
        <v>353</v>
      </c>
      <c r="B442" s="215" t="s">
        <v>57</v>
      </c>
      <c r="C442" s="215" t="s">
        <v>117</v>
      </c>
      <c r="D442" s="215" t="s">
        <v>310</v>
      </c>
      <c r="E442" s="215" t="s">
        <v>804</v>
      </c>
      <c r="F442" s="15">
        <v>46230.594074074077</v>
      </c>
      <c r="G442" s="215" t="s">
        <v>417</v>
      </c>
      <c r="H442" s="215">
        <v>14</v>
      </c>
      <c r="I442" s="215" t="s">
        <v>805</v>
      </c>
      <c r="J442" s="15">
        <v>46231.398611111108</v>
      </c>
      <c r="K442" s="15">
        <v>46232.455960648149</v>
      </c>
      <c r="L442" s="15">
        <v>46232.682638888888</v>
      </c>
      <c r="M442" s="215">
        <v>14</v>
      </c>
      <c r="N442" s="215"/>
      <c r="O442" s="215" t="s">
        <v>201</v>
      </c>
      <c r="P442" s="215" t="s">
        <v>532</v>
      </c>
      <c r="Q442" s="215"/>
      <c r="R442" s="215"/>
      <c r="S442" s="215" t="s">
        <v>371</v>
      </c>
      <c r="T442" s="215" t="s">
        <v>357</v>
      </c>
      <c r="U442" s="215" t="s">
        <v>262</v>
      </c>
      <c r="V442" s="215" t="s">
        <v>7</v>
      </c>
      <c r="W442" s="215" t="s">
        <v>7</v>
      </c>
      <c r="X442" s="215" t="s">
        <v>7</v>
      </c>
      <c r="Y442" s="215"/>
      <c r="Z442" s="215"/>
      <c r="AA442" s="215" t="s">
        <v>127</v>
      </c>
      <c r="AB442" s="215" t="s">
        <v>406</v>
      </c>
      <c r="AC442" s="215">
        <v>2011</v>
      </c>
      <c r="AD442" s="215" t="s">
        <v>233</v>
      </c>
      <c r="AE442" s="215">
        <v>1.4</v>
      </c>
      <c r="AF442" s="215"/>
    </row>
    <row r="443" spans="1:32" x14ac:dyDescent="0.3">
      <c r="A443" s="215" t="s">
        <v>353</v>
      </c>
      <c r="B443" s="215" t="s">
        <v>279</v>
      </c>
      <c r="C443" s="215" t="s">
        <v>192</v>
      </c>
      <c r="D443" s="215" t="s">
        <v>310</v>
      </c>
      <c r="E443" s="215" t="s">
        <v>804</v>
      </c>
      <c r="F443" s="15">
        <v>46230.594074074077</v>
      </c>
      <c r="G443" s="215" t="s">
        <v>417</v>
      </c>
      <c r="H443" s="215">
        <v>1096</v>
      </c>
      <c r="I443" s="215" t="s">
        <v>805</v>
      </c>
      <c r="J443" s="15">
        <v>46231.398611111108</v>
      </c>
      <c r="K443" s="15">
        <v>46232.455960648149</v>
      </c>
      <c r="L443" s="15">
        <v>46232.682638888888</v>
      </c>
      <c r="M443" s="215">
        <v>1096</v>
      </c>
      <c r="N443" s="215"/>
      <c r="O443" s="215" t="s">
        <v>201</v>
      </c>
      <c r="P443" s="215" t="s">
        <v>532</v>
      </c>
      <c r="Q443" s="215"/>
      <c r="R443" s="215"/>
      <c r="S443" s="215" t="s">
        <v>371</v>
      </c>
      <c r="T443" s="215" t="s">
        <v>357</v>
      </c>
      <c r="U443" s="215" t="s">
        <v>262</v>
      </c>
      <c r="V443" s="215" t="s">
        <v>7</v>
      </c>
      <c r="W443" s="215" t="s">
        <v>7</v>
      </c>
      <c r="X443" s="215" t="s">
        <v>7</v>
      </c>
      <c r="Y443" s="215"/>
      <c r="Z443" s="215">
        <v>1</v>
      </c>
      <c r="AA443" s="215" t="s">
        <v>122</v>
      </c>
      <c r="AB443" s="215" t="s">
        <v>406</v>
      </c>
      <c r="AC443" s="215">
        <v>2011</v>
      </c>
      <c r="AD443" s="215" t="s">
        <v>232</v>
      </c>
      <c r="AE443" s="215">
        <v>1096</v>
      </c>
      <c r="AF443" s="215"/>
    </row>
    <row r="444" spans="1:32" x14ac:dyDescent="0.3">
      <c r="A444" s="215" t="s">
        <v>353</v>
      </c>
      <c r="B444" s="215" t="s">
        <v>63</v>
      </c>
      <c r="C444" s="215" t="s">
        <v>95</v>
      </c>
      <c r="D444" s="215" t="s">
        <v>310</v>
      </c>
      <c r="E444" s="215" t="s">
        <v>808</v>
      </c>
      <c r="F444" s="15">
        <v>46192.397974537038</v>
      </c>
      <c r="G444" s="215" t="s">
        <v>411</v>
      </c>
      <c r="H444" s="215">
        <v>1</v>
      </c>
      <c r="I444" s="215" t="s">
        <v>809</v>
      </c>
      <c r="J444" s="15">
        <v>46192.704861111109</v>
      </c>
      <c r="K444" s="15">
        <v>46219.397222222222</v>
      </c>
      <c r="L444" s="15"/>
      <c r="M444" s="215">
        <v>1</v>
      </c>
      <c r="N444" s="215"/>
      <c r="O444" s="215" t="s">
        <v>201</v>
      </c>
      <c r="P444" s="215" t="s">
        <v>532</v>
      </c>
      <c r="Q444" s="215"/>
      <c r="R444" s="215"/>
      <c r="S444" s="215" t="s">
        <v>371</v>
      </c>
      <c r="T444" s="215" t="s">
        <v>357</v>
      </c>
      <c r="U444" s="215" t="s">
        <v>262</v>
      </c>
      <c r="V444" s="215" t="s">
        <v>7</v>
      </c>
      <c r="W444" s="215" t="s">
        <v>7</v>
      </c>
      <c r="X444" s="215" t="s">
        <v>7</v>
      </c>
      <c r="Y444" s="215"/>
      <c r="Z444" s="215"/>
      <c r="AA444" s="215" t="s">
        <v>96</v>
      </c>
      <c r="AB444" s="215" t="s">
        <v>406</v>
      </c>
      <c r="AC444" s="215">
        <v>2011</v>
      </c>
      <c r="AD444" s="215" t="s">
        <v>225</v>
      </c>
      <c r="AE444" s="215">
        <v>1</v>
      </c>
      <c r="AF444" s="215">
        <v>1</v>
      </c>
    </row>
    <row r="445" spans="1:32" x14ac:dyDescent="0.3">
      <c r="A445" s="215" t="s">
        <v>353</v>
      </c>
      <c r="B445" s="215" t="s">
        <v>57</v>
      </c>
      <c r="C445" s="215" t="s">
        <v>117</v>
      </c>
      <c r="D445" s="215" t="s">
        <v>310</v>
      </c>
      <c r="E445" s="215" t="s">
        <v>808</v>
      </c>
      <c r="F445" s="15">
        <v>46192.397974537038</v>
      </c>
      <c r="G445" s="215" t="s">
        <v>411</v>
      </c>
      <c r="H445" s="215">
        <v>1</v>
      </c>
      <c r="I445" s="215" t="s">
        <v>809</v>
      </c>
      <c r="J445" s="15">
        <v>46192.704861111109</v>
      </c>
      <c r="K445" s="15">
        <v>46219.397222222222</v>
      </c>
      <c r="L445" s="15"/>
      <c r="M445" s="215">
        <v>1</v>
      </c>
      <c r="N445" s="215"/>
      <c r="O445" s="215" t="s">
        <v>201</v>
      </c>
      <c r="P445" s="215" t="s">
        <v>532</v>
      </c>
      <c r="Q445" s="215"/>
      <c r="R445" s="215"/>
      <c r="S445" s="215" t="s">
        <v>371</v>
      </c>
      <c r="T445" s="215" t="s">
        <v>357</v>
      </c>
      <c r="U445" s="215" t="s">
        <v>262</v>
      </c>
      <c r="V445" s="215" t="s">
        <v>7</v>
      </c>
      <c r="W445" s="215" t="s">
        <v>7</v>
      </c>
      <c r="X445" s="215" t="s">
        <v>7</v>
      </c>
      <c r="Y445" s="215"/>
      <c r="Z445" s="215"/>
      <c r="AA445" s="215" t="s">
        <v>127</v>
      </c>
      <c r="AB445" s="215" t="s">
        <v>406</v>
      </c>
      <c r="AC445" s="215">
        <v>2011</v>
      </c>
      <c r="AD445" s="215" t="s">
        <v>233</v>
      </c>
      <c r="AE445" s="215">
        <v>1</v>
      </c>
      <c r="AF445" s="215"/>
    </row>
    <row r="446" spans="1:32" x14ac:dyDescent="0.3">
      <c r="A446" s="215" t="s">
        <v>353</v>
      </c>
      <c r="B446" s="215" t="s">
        <v>279</v>
      </c>
      <c r="C446" s="215" t="s">
        <v>192</v>
      </c>
      <c r="D446" s="215" t="s">
        <v>310</v>
      </c>
      <c r="E446" s="215" t="s">
        <v>808</v>
      </c>
      <c r="F446" s="15">
        <v>46192.397974537038</v>
      </c>
      <c r="G446" s="215" t="s">
        <v>411</v>
      </c>
      <c r="H446" s="215">
        <v>1</v>
      </c>
      <c r="I446" s="215" t="s">
        <v>809</v>
      </c>
      <c r="J446" s="15">
        <v>46192.704861111109</v>
      </c>
      <c r="K446" s="15">
        <v>46219.397222222222</v>
      </c>
      <c r="L446" s="15"/>
      <c r="M446" s="215">
        <v>1</v>
      </c>
      <c r="N446" s="215"/>
      <c r="O446" s="215" t="s">
        <v>201</v>
      </c>
      <c r="P446" s="215" t="s">
        <v>531</v>
      </c>
      <c r="Q446" s="215"/>
      <c r="R446" s="215"/>
      <c r="S446" s="215" t="s">
        <v>371</v>
      </c>
      <c r="T446" s="215" t="s">
        <v>357</v>
      </c>
      <c r="U446" s="215" t="s">
        <v>262</v>
      </c>
      <c r="V446" s="215" t="s">
        <v>7</v>
      </c>
      <c r="W446" s="215" t="s">
        <v>7</v>
      </c>
      <c r="X446" s="215" t="s">
        <v>7</v>
      </c>
      <c r="Y446" s="215"/>
      <c r="Z446" s="215">
        <v>1</v>
      </c>
      <c r="AA446" s="215" t="s">
        <v>122</v>
      </c>
      <c r="AB446" s="215" t="s">
        <v>406</v>
      </c>
      <c r="AC446" s="215">
        <v>2011</v>
      </c>
      <c r="AD446" s="215" t="s">
        <v>232</v>
      </c>
      <c r="AE446" s="215">
        <v>1</v>
      </c>
      <c r="AF446" s="215"/>
    </row>
    <row r="447" spans="1:32" x14ac:dyDescent="0.3">
      <c r="A447" s="215" t="s">
        <v>353</v>
      </c>
      <c r="B447" s="215" t="s">
        <v>63</v>
      </c>
      <c r="C447" s="215" t="s">
        <v>95</v>
      </c>
      <c r="D447" s="215" t="s">
        <v>310</v>
      </c>
      <c r="E447" s="215" t="s">
        <v>808</v>
      </c>
      <c r="F447" s="15">
        <v>46192.397974537038</v>
      </c>
      <c r="G447" s="215" t="s">
        <v>411</v>
      </c>
      <c r="H447" s="215">
        <v>2</v>
      </c>
      <c r="I447" s="215" t="s">
        <v>809</v>
      </c>
      <c r="J447" s="15">
        <v>46192.704861111109</v>
      </c>
      <c r="K447" s="15">
        <v>46219.397222222222</v>
      </c>
      <c r="L447" s="15"/>
      <c r="M447" s="215">
        <v>1</v>
      </c>
      <c r="N447" s="215"/>
      <c r="O447" s="215" t="s">
        <v>529</v>
      </c>
      <c r="P447" s="215"/>
      <c r="Q447" s="215"/>
      <c r="R447" s="215"/>
      <c r="S447" s="215" t="s">
        <v>371</v>
      </c>
      <c r="T447" s="215" t="s">
        <v>357</v>
      </c>
      <c r="U447" s="215" t="s">
        <v>262</v>
      </c>
      <c r="V447" s="215" t="s">
        <v>7</v>
      </c>
      <c r="W447" s="215" t="s">
        <v>7</v>
      </c>
      <c r="X447" s="215" t="s">
        <v>7</v>
      </c>
      <c r="Y447" s="215"/>
      <c r="Z447" s="215"/>
      <c r="AA447" s="215" t="s">
        <v>96</v>
      </c>
      <c r="AB447" s="215" t="s">
        <v>406</v>
      </c>
      <c r="AC447" s="215">
        <v>2011</v>
      </c>
      <c r="AD447" s="215" t="s">
        <v>225</v>
      </c>
      <c r="AE447" s="215">
        <v>1</v>
      </c>
      <c r="AF447" s="215"/>
    </row>
    <row r="448" spans="1:32" x14ac:dyDescent="0.3">
      <c r="A448" s="215" t="s">
        <v>353</v>
      </c>
      <c r="B448" s="215" t="s">
        <v>57</v>
      </c>
      <c r="C448" s="215" t="s">
        <v>117</v>
      </c>
      <c r="D448" s="215" t="s">
        <v>310</v>
      </c>
      <c r="E448" s="215" t="s">
        <v>808</v>
      </c>
      <c r="F448" s="15">
        <v>46192.397974537038</v>
      </c>
      <c r="G448" s="215" t="s">
        <v>411</v>
      </c>
      <c r="H448" s="215">
        <v>2</v>
      </c>
      <c r="I448" s="215" t="s">
        <v>809</v>
      </c>
      <c r="J448" s="15">
        <v>46192.704861111109</v>
      </c>
      <c r="K448" s="15">
        <v>46219.397222222222</v>
      </c>
      <c r="L448" s="15"/>
      <c r="M448" s="215">
        <v>1</v>
      </c>
      <c r="N448" s="215"/>
      <c r="O448" s="215" t="s">
        <v>529</v>
      </c>
      <c r="P448" s="215"/>
      <c r="Q448" s="215"/>
      <c r="R448" s="215"/>
      <c r="S448" s="215" t="s">
        <v>371</v>
      </c>
      <c r="T448" s="215" t="s">
        <v>357</v>
      </c>
      <c r="U448" s="215" t="s">
        <v>262</v>
      </c>
      <c r="V448" s="215" t="s">
        <v>7</v>
      </c>
      <c r="W448" s="215" t="s">
        <v>7</v>
      </c>
      <c r="X448" s="215" t="s">
        <v>7</v>
      </c>
      <c r="Y448" s="215"/>
      <c r="Z448" s="215"/>
      <c r="AA448" s="215" t="s">
        <v>127</v>
      </c>
      <c r="AB448" s="215" t="s">
        <v>406</v>
      </c>
      <c r="AC448" s="215">
        <v>2011</v>
      </c>
      <c r="AD448" s="215" t="s">
        <v>233</v>
      </c>
      <c r="AE448" s="215">
        <v>1</v>
      </c>
      <c r="AF448" s="215"/>
    </row>
    <row r="449" spans="1:32" x14ac:dyDescent="0.3">
      <c r="A449" s="215" t="s">
        <v>353</v>
      </c>
      <c r="B449" s="215" t="s">
        <v>279</v>
      </c>
      <c r="C449" s="215" t="s">
        <v>192</v>
      </c>
      <c r="D449" s="215" t="s">
        <v>310</v>
      </c>
      <c r="E449" s="215" t="s">
        <v>808</v>
      </c>
      <c r="F449" s="15">
        <v>46192.397974537038</v>
      </c>
      <c r="G449" s="215" t="s">
        <v>411</v>
      </c>
      <c r="H449" s="215">
        <v>6</v>
      </c>
      <c r="I449" s="215" t="s">
        <v>809</v>
      </c>
      <c r="J449" s="15">
        <v>46192.704861111109</v>
      </c>
      <c r="K449" s="15">
        <v>46219.397222222222</v>
      </c>
      <c r="L449" s="15"/>
      <c r="M449" s="215">
        <v>5</v>
      </c>
      <c r="N449" s="215"/>
      <c r="O449" s="215" t="s">
        <v>529</v>
      </c>
      <c r="P449" s="215"/>
      <c r="Q449" s="215"/>
      <c r="R449" s="215"/>
      <c r="S449" s="215" t="s">
        <v>371</v>
      </c>
      <c r="T449" s="215" t="s">
        <v>357</v>
      </c>
      <c r="U449" s="215" t="s">
        <v>262</v>
      </c>
      <c r="V449" s="215" t="s">
        <v>7</v>
      </c>
      <c r="W449" s="215" t="s">
        <v>7</v>
      </c>
      <c r="X449" s="215" t="s">
        <v>7</v>
      </c>
      <c r="Y449" s="215"/>
      <c r="Z449" s="215">
        <v>1</v>
      </c>
      <c r="AA449" s="215" t="s">
        <v>122</v>
      </c>
      <c r="AB449" s="215" t="s">
        <v>406</v>
      </c>
      <c r="AC449" s="215">
        <v>2011</v>
      </c>
      <c r="AD449" s="215" t="s">
        <v>232</v>
      </c>
      <c r="AE449" s="215">
        <v>5</v>
      </c>
      <c r="AF449" s="215"/>
    </row>
    <row r="450" spans="1:32" x14ac:dyDescent="0.3">
      <c r="A450" s="215" t="s">
        <v>353</v>
      </c>
      <c r="B450" s="215" t="s">
        <v>63</v>
      </c>
      <c r="C450" s="215" t="s">
        <v>95</v>
      </c>
      <c r="D450" s="215" t="s">
        <v>310</v>
      </c>
      <c r="E450" s="215" t="s">
        <v>787</v>
      </c>
      <c r="F450" s="15">
        <v>46176.3434837963</v>
      </c>
      <c r="G450" s="215" t="s">
        <v>417</v>
      </c>
      <c r="H450" s="215">
        <v>16</v>
      </c>
      <c r="I450" s="215" t="s">
        <v>788</v>
      </c>
      <c r="J450" s="15">
        <v>46176.640972222223</v>
      </c>
      <c r="K450" s="15">
        <v>46232.525000000001</v>
      </c>
      <c r="L450" s="15"/>
      <c r="M450" s="215">
        <v>16</v>
      </c>
      <c r="N450" s="215"/>
      <c r="O450" s="215" t="s">
        <v>201</v>
      </c>
      <c r="P450" s="215" t="s">
        <v>532</v>
      </c>
      <c r="Q450" s="215"/>
      <c r="R450" s="215"/>
      <c r="S450" s="215" t="s">
        <v>371</v>
      </c>
      <c r="T450" s="215" t="s">
        <v>357</v>
      </c>
      <c r="U450" s="215" t="s">
        <v>262</v>
      </c>
      <c r="V450" s="215" t="s">
        <v>7</v>
      </c>
      <c r="W450" s="215" t="s">
        <v>7</v>
      </c>
      <c r="X450" s="215" t="s">
        <v>7</v>
      </c>
      <c r="Y450" s="215"/>
      <c r="Z450" s="215"/>
      <c r="AA450" s="215" t="s">
        <v>96</v>
      </c>
      <c r="AB450" s="215" t="s">
        <v>406</v>
      </c>
      <c r="AC450" s="215">
        <v>2011</v>
      </c>
      <c r="AD450" s="215" t="s">
        <v>225</v>
      </c>
      <c r="AE450" s="215">
        <v>16</v>
      </c>
      <c r="AF450" s="215"/>
    </row>
    <row r="451" spans="1:32" x14ac:dyDescent="0.3">
      <c r="A451" s="215" t="s">
        <v>353</v>
      </c>
      <c r="B451" s="215" t="s">
        <v>57</v>
      </c>
      <c r="C451" s="215" t="s">
        <v>117</v>
      </c>
      <c r="D451" s="215" t="s">
        <v>310</v>
      </c>
      <c r="E451" s="215" t="s">
        <v>787</v>
      </c>
      <c r="F451" s="15">
        <v>46176.3434837963</v>
      </c>
      <c r="G451" s="215" t="s">
        <v>417</v>
      </c>
      <c r="H451" s="215">
        <v>16</v>
      </c>
      <c r="I451" s="215" t="s">
        <v>788</v>
      </c>
      <c r="J451" s="15">
        <v>46176.640972222223</v>
      </c>
      <c r="K451" s="15">
        <v>46232.525000000001</v>
      </c>
      <c r="L451" s="15"/>
      <c r="M451" s="215">
        <v>16</v>
      </c>
      <c r="N451" s="215"/>
      <c r="O451" s="215" t="s">
        <v>201</v>
      </c>
      <c r="P451" s="215" t="s">
        <v>532</v>
      </c>
      <c r="Q451" s="215"/>
      <c r="R451" s="215"/>
      <c r="S451" s="215" t="s">
        <v>371</v>
      </c>
      <c r="T451" s="215" t="s">
        <v>357</v>
      </c>
      <c r="U451" s="215" t="s">
        <v>262</v>
      </c>
      <c r="V451" s="215" t="s">
        <v>7</v>
      </c>
      <c r="W451" s="215" t="s">
        <v>7</v>
      </c>
      <c r="X451" s="215" t="s">
        <v>7</v>
      </c>
      <c r="Y451" s="215"/>
      <c r="Z451" s="215"/>
      <c r="AA451" s="215" t="s">
        <v>127</v>
      </c>
      <c r="AB451" s="215" t="s">
        <v>406</v>
      </c>
      <c r="AC451" s="215">
        <v>2011</v>
      </c>
      <c r="AD451" s="215" t="s">
        <v>233</v>
      </c>
      <c r="AE451" s="215">
        <v>1.6</v>
      </c>
      <c r="AF451" s="215"/>
    </row>
    <row r="452" spans="1:32" x14ac:dyDescent="0.3">
      <c r="A452" s="215" t="s">
        <v>353</v>
      </c>
      <c r="B452" s="215" t="s">
        <v>279</v>
      </c>
      <c r="C452" s="215" t="s">
        <v>192</v>
      </c>
      <c r="D452" s="215" t="s">
        <v>310</v>
      </c>
      <c r="E452" s="215" t="s">
        <v>799</v>
      </c>
      <c r="F452" s="15">
        <v>46232.494386574072</v>
      </c>
      <c r="G452" s="215" t="s">
        <v>800</v>
      </c>
      <c r="H452" s="215">
        <v>2565</v>
      </c>
      <c r="I452" s="215" t="s">
        <v>801</v>
      </c>
      <c r="J452" s="15">
        <v>46232.61041666667</v>
      </c>
      <c r="K452" s="15">
        <v>46237.611111111109</v>
      </c>
      <c r="L452" s="15"/>
      <c r="M452" s="215">
        <v>2565</v>
      </c>
      <c r="N452" s="215"/>
      <c r="O452" s="215" t="s">
        <v>201</v>
      </c>
      <c r="P452" s="215" t="s">
        <v>532</v>
      </c>
      <c r="Q452" s="215"/>
      <c r="R452" s="215"/>
      <c r="S452" s="215" t="s">
        <v>371</v>
      </c>
      <c r="T452" s="215" t="s">
        <v>357</v>
      </c>
      <c r="U452" s="215" t="s">
        <v>262</v>
      </c>
      <c r="V452" s="215" t="s">
        <v>7</v>
      </c>
      <c r="W452" s="215" t="s">
        <v>7</v>
      </c>
      <c r="X452" s="215" t="s">
        <v>7</v>
      </c>
      <c r="Y452" s="215"/>
      <c r="Z452" s="215">
        <v>1</v>
      </c>
      <c r="AA452" s="215" t="s">
        <v>122</v>
      </c>
      <c r="AB452" s="215" t="s">
        <v>406</v>
      </c>
      <c r="AC452" s="215">
        <v>2011</v>
      </c>
      <c r="AD452" s="215" t="s">
        <v>232</v>
      </c>
      <c r="AE452" s="215">
        <v>2565</v>
      </c>
      <c r="AF452" s="215">
        <v>260.13</v>
      </c>
    </row>
    <row r="453" spans="1:32" x14ac:dyDescent="0.3">
      <c r="A453" s="215" t="s">
        <v>353</v>
      </c>
      <c r="B453" s="215" t="s">
        <v>51</v>
      </c>
      <c r="C453" s="215" t="s">
        <v>258</v>
      </c>
      <c r="D453" s="215" t="s">
        <v>310</v>
      </c>
      <c r="E453" s="215" t="s">
        <v>810</v>
      </c>
      <c r="F453" s="15">
        <v>46223.473726851851</v>
      </c>
      <c r="G453" s="215" t="s">
        <v>412</v>
      </c>
      <c r="H453" s="215">
        <v>80</v>
      </c>
      <c r="I453" s="215" t="s">
        <v>811</v>
      </c>
      <c r="J453" s="15">
        <v>46223.613449074073</v>
      </c>
      <c r="K453" s="15">
        <v>46223.613449074073</v>
      </c>
      <c r="L453" s="15"/>
      <c r="M453" s="215">
        <v>80</v>
      </c>
      <c r="N453" s="215"/>
      <c r="O453" s="215" t="s">
        <v>201</v>
      </c>
      <c r="P453" s="215" t="s">
        <v>532</v>
      </c>
      <c r="Q453" s="215"/>
      <c r="R453" s="215"/>
      <c r="S453" s="215" t="s">
        <v>371</v>
      </c>
      <c r="T453" s="215" t="s">
        <v>357</v>
      </c>
      <c r="U453" s="215" t="s">
        <v>262</v>
      </c>
      <c r="V453" s="215" t="s">
        <v>7</v>
      </c>
      <c r="W453" s="215" t="s">
        <v>7</v>
      </c>
      <c r="X453" s="215" t="s">
        <v>7</v>
      </c>
      <c r="Y453" s="215"/>
      <c r="Z453" s="215"/>
      <c r="AA453" s="215" t="s">
        <v>238</v>
      </c>
      <c r="AB453" s="215" t="s">
        <v>406</v>
      </c>
      <c r="AC453" s="215">
        <v>2011</v>
      </c>
      <c r="AD453" s="215" t="s">
        <v>7</v>
      </c>
      <c r="AE453" s="215"/>
      <c r="AF453" s="215">
        <v>0</v>
      </c>
    </row>
    <row r="454" spans="1:32" x14ac:dyDescent="0.3">
      <c r="A454" s="215" t="s">
        <v>353</v>
      </c>
      <c r="B454" s="215" t="s">
        <v>57</v>
      </c>
      <c r="C454" s="215" t="s">
        <v>117</v>
      </c>
      <c r="D454" s="215" t="s">
        <v>310</v>
      </c>
      <c r="E454" s="215" t="s">
        <v>799</v>
      </c>
      <c r="F454" s="15">
        <v>46232.494386574072</v>
      </c>
      <c r="G454" s="215" t="s">
        <v>800</v>
      </c>
      <c r="H454" s="215">
        <v>33</v>
      </c>
      <c r="I454" s="215" t="s">
        <v>801</v>
      </c>
      <c r="J454" s="15">
        <v>46232.61041666667</v>
      </c>
      <c r="K454" s="15">
        <v>46237.611111111109</v>
      </c>
      <c r="L454" s="15"/>
      <c r="M454" s="215">
        <v>33</v>
      </c>
      <c r="N454" s="215"/>
      <c r="O454" s="215" t="s">
        <v>201</v>
      </c>
      <c r="P454" s="215" t="s">
        <v>532</v>
      </c>
      <c r="Q454" s="215"/>
      <c r="R454" s="215"/>
      <c r="S454" s="215" t="s">
        <v>371</v>
      </c>
      <c r="T454" s="215" t="s">
        <v>357</v>
      </c>
      <c r="U454" s="215" t="s">
        <v>262</v>
      </c>
      <c r="V454" s="215" t="s">
        <v>7</v>
      </c>
      <c r="W454" s="215" t="s">
        <v>7</v>
      </c>
      <c r="X454" s="215" t="s">
        <v>7</v>
      </c>
      <c r="Y454" s="215"/>
      <c r="Z454" s="215"/>
      <c r="AA454" s="215" t="s">
        <v>127</v>
      </c>
      <c r="AB454" s="215" t="s">
        <v>406</v>
      </c>
      <c r="AC454" s="215">
        <v>2011</v>
      </c>
      <c r="AD454" s="215" t="s">
        <v>233</v>
      </c>
      <c r="AE454" s="215">
        <v>3.3</v>
      </c>
      <c r="AF454" s="215"/>
    </row>
    <row r="455" spans="1:32" x14ac:dyDescent="0.3">
      <c r="A455" s="215" t="s">
        <v>353</v>
      </c>
      <c r="B455" s="215" t="s">
        <v>279</v>
      </c>
      <c r="C455" s="215" t="s">
        <v>192</v>
      </c>
      <c r="D455" s="215" t="s">
        <v>310</v>
      </c>
      <c r="E455" s="215" t="s">
        <v>799</v>
      </c>
      <c r="F455" s="15">
        <v>46232.494386574072</v>
      </c>
      <c r="G455" s="215" t="s">
        <v>800</v>
      </c>
      <c r="H455" s="215">
        <v>2425</v>
      </c>
      <c r="I455" s="215" t="s">
        <v>801</v>
      </c>
      <c r="J455" s="15">
        <v>46232.61041666667</v>
      </c>
      <c r="K455" s="15">
        <v>46258.618750000001</v>
      </c>
      <c r="L455" s="15"/>
      <c r="M455" s="215">
        <v>2425</v>
      </c>
      <c r="N455" s="215"/>
      <c r="O455" s="215" t="s">
        <v>529</v>
      </c>
      <c r="P455" s="215"/>
      <c r="Q455" s="215"/>
      <c r="R455" s="215"/>
      <c r="S455" s="215" t="s">
        <v>371</v>
      </c>
      <c r="T455" s="215" t="s">
        <v>357</v>
      </c>
      <c r="U455" s="215" t="s">
        <v>262</v>
      </c>
      <c r="V455" s="215" t="s">
        <v>7</v>
      </c>
      <c r="W455" s="215" t="s">
        <v>7</v>
      </c>
      <c r="X455" s="215" t="s">
        <v>7</v>
      </c>
      <c r="Y455" s="215"/>
      <c r="Z455" s="215">
        <v>1</v>
      </c>
      <c r="AA455" s="215" t="s">
        <v>122</v>
      </c>
      <c r="AB455" s="215" t="s">
        <v>406</v>
      </c>
      <c r="AC455" s="215">
        <v>2011</v>
      </c>
      <c r="AD455" s="215" t="s">
        <v>232</v>
      </c>
      <c r="AE455" s="215">
        <v>2425</v>
      </c>
      <c r="AF455" s="215">
        <v>247.16</v>
      </c>
    </row>
    <row r="456" spans="1:32" x14ac:dyDescent="0.3">
      <c r="A456" s="215" t="s">
        <v>353</v>
      </c>
      <c r="B456" s="215" t="s">
        <v>51</v>
      </c>
      <c r="C456" s="215" t="s">
        <v>258</v>
      </c>
      <c r="D456" s="215" t="s">
        <v>310</v>
      </c>
      <c r="E456" s="215" t="s">
        <v>812</v>
      </c>
      <c r="F456" s="15">
        <v>46220.3280787037</v>
      </c>
      <c r="G456" s="215" t="s">
        <v>440</v>
      </c>
      <c r="H456" s="215">
        <v>200</v>
      </c>
      <c r="I456" s="215" t="s">
        <v>813</v>
      </c>
      <c r="J456" s="15">
        <v>46220.679861111108</v>
      </c>
      <c r="K456" s="15">
        <v>46226.486805555556</v>
      </c>
      <c r="L456" s="15"/>
      <c r="M456" s="215">
        <v>200</v>
      </c>
      <c r="N456" s="215"/>
      <c r="O456" s="215" t="s">
        <v>201</v>
      </c>
      <c r="P456" s="215" t="s">
        <v>531</v>
      </c>
      <c r="Q456" s="215"/>
      <c r="R456" s="215"/>
      <c r="S456" s="215" t="s">
        <v>405</v>
      </c>
      <c r="T456" s="215" t="s">
        <v>386</v>
      </c>
      <c r="U456" s="215" t="s">
        <v>295</v>
      </c>
      <c r="V456" s="215" t="s">
        <v>7</v>
      </c>
      <c r="W456" s="215" t="s">
        <v>7</v>
      </c>
      <c r="X456" s="215" t="s">
        <v>7</v>
      </c>
      <c r="Y456" s="215"/>
      <c r="Z456" s="215"/>
      <c r="AA456" s="215" t="s">
        <v>238</v>
      </c>
      <c r="AB456" s="215" t="s">
        <v>405</v>
      </c>
      <c r="AC456" s="215"/>
      <c r="AD456" s="215" t="s">
        <v>7</v>
      </c>
      <c r="AE456" s="215"/>
      <c r="AF456" s="215">
        <v>0</v>
      </c>
    </row>
    <row r="457" spans="1:32" x14ac:dyDescent="0.3">
      <c r="A457" s="215" t="s">
        <v>353</v>
      </c>
      <c r="B457" s="215" t="s">
        <v>63</v>
      </c>
      <c r="C457" s="215" t="s">
        <v>95</v>
      </c>
      <c r="D457" s="215" t="s">
        <v>310</v>
      </c>
      <c r="E457" s="215" t="s">
        <v>779</v>
      </c>
      <c r="F457" s="15">
        <v>46253.600624999999</v>
      </c>
      <c r="G457" s="215" t="s">
        <v>411</v>
      </c>
      <c r="H457" s="215">
        <v>1</v>
      </c>
      <c r="I457" s="215" t="s">
        <v>780</v>
      </c>
      <c r="J457" s="15">
        <v>46254.588888888888</v>
      </c>
      <c r="K457" s="15">
        <v>46258.355555555558</v>
      </c>
      <c r="L457" s="15"/>
      <c r="M457" s="215">
        <v>1</v>
      </c>
      <c r="N457" s="215"/>
      <c r="O457" s="215" t="s">
        <v>201</v>
      </c>
      <c r="P457" s="215" t="s">
        <v>532</v>
      </c>
      <c r="Q457" s="215"/>
      <c r="R457" s="215"/>
      <c r="S457" s="215" t="s">
        <v>371</v>
      </c>
      <c r="T457" s="215" t="s">
        <v>357</v>
      </c>
      <c r="U457" s="215" t="s">
        <v>262</v>
      </c>
      <c r="V457" s="215" t="s">
        <v>7</v>
      </c>
      <c r="W457" s="215" t="s">
        <v>7</v>
      </c>
      <c r="X457" s="215" t="s">
        <v>7</v>
      </c>
      <c r="Y457" s="215"/>
      <c r="Z457" s="215"/>
      <c r="AA457" s="215" t="s">
        <v>96</v>
      </c>
      <c r="AB457" s="215" t="s">
        <v>406</v>
      </c>
      <c r="AC457" s="215">
        <v>2011</v>
      </c>
      <c r="AD457" s="215" t="s">
        <v>225</v>
      </c>
      <c r="AE457" s="215">
        <v>1</v>
      </c>
      <c r="AF457" s="215"/>
    </row>
    <row r="458" spans="1:32" x14ac:dyDescent="0.3">
      <c r="A458" s="215" t="s">
        <v>353</v>
      </c>
      <c r="B458" s="215" t="s">
        <v>57</v>
      </c>
      <c r="C458" s="215" t="s">
        <v>117</v>
      </c>
      <c r="D458" s="215" t="s">
        <v>310</v>
      </c>
      <c r="E458" s="215" t="s">
        <v>779</v>
      </c>
      <c r="F458" s="15">
        <v>46253.600624999999</v>
      </c>
      <c r="G458" s="215" t="s">
        <v>411</v>
      </c>
      <c r="H458" s="215">
        <v>1</v>
      </c>
      <c r="I458" s="215" t="s">
        <v>780</v>
      </c>
      <c r="J458" s="15">
        <v>46254.588888888888</v>
      </c>
      <c r="K458" s="15">
        <v>46258.355555555558</v>
      </c>
      <c r="L458" s="15"/>
      <c r="M458" s="215">
        <v>1</v>
      </c>
      <c r="N458" s="215"/>
      <c r="O458" s="215" t="s">
        <v>201</v>
      </c>
      <c r="P458" s="215" t="s">
        <v>532</v>
      </c>
      <c r="Q458" s="215"/>
      <c r="R458" s="215"/>
      <c r="S458" s="215" t="s">
        <v>371</v>
      </c>
      <c r="T458" s="215" t="s">
        <v>357</v>
      </c>
      <c r="U458" s="215" t="s">
        <v>262</v>
      </c>
      <c r="V458" s="215" t="s">
        <v>7</v>
      </c>
      <c r="W458" s="215" t="s">
        <v>7</v>
      </c>
      <c r="X458" s="215" t="s">
        <v>7</v>
      </c>
      <c r="Y458" s="215"/>
      <c r="Z458" s="215"/>
      <c r="AA458" s="215" t="s">
        <v>127</v>
      </c>
      <c r="AB458" s="215" t="s">
        <v>406</v>
      </c>
      <c r="AC458" s="215">
        <v>2011</v>
      </c>
      <c r="AD458" s="215" t="s">
        <v>233</v>
      </c>
      <c r="AE458" s="215">
        <v>1</v>
      </c>
      <c r="AF458" s="215"/>
    </row>
    <row r="459" spans="1:32" x14ac:dyDescent="0.3">
      <c r="A459" s="215" t="s">
        <v>353</v>
      </c>
      <c r="B459" s="215" t="s">
        <v>279</v>
      </c>
      <c r="C459" s="215" t="s">
        <v>192</v>
      </c>
      <c r="D459" s="215" t="s">
        <v>310</v>
      </c>
      <c r="E459" s="215" t="s">
        <v>779</v>
      </c>
      <c r="F459" s="15">
        <v>46253.600624999999</v>
      </c>
      <c r="G459" s="215" t="s">
        <v>411</v>
      </c>
      <c r="H459" s="215">
        <v>5</v>
      </c>
      <c r="I459" s="215" t="s">
        <v>780</v>
      </c>
      <c r="J459" s="15">
        <v>46254.588888888888</v>
      </c>
      <c r="K459" s="15">
        <v>46258.355555555558</v>
      </c>
      <c r="L459" s="15"/>
      <c r="M459" s="215">
        <v>5</v>
      </c>
      <c r="N459" s="215"/>
      <c r="O459" s="215" t="s">
        <v>201</v>
      </c>
      <c r="P459" s="215" t="s">
        <v>532</v>
      </c>
      <c r="Q459" s="215"/>
      <c r="R459" s="215"/>
      <c r="S459" s="215" t="s">
        <v>371</v>
      </c>
      <c r="T459" s="215" t="s">
        <v>357</v>
      </c>
      <c r="U459" s="215" t="s">
        <v>262</v>
      </c>
      <c r="V459" s="215" t="s">
        <v>7</v>
      </c>
      <c r="W459" s="215" t="s">
        <v>7</v>
      </c>
      <c r="X459" s="215" t="s">
        <v>7</v>
      </c>
      <c r="Y459" s="215"/>
      <c r="Z459" s="215">
        <v>1</v>
      </c>
      <c r="AA459" s="215" t="s">
        <v>122</v>
      </c>
      <c r="AB459" s="215" t="s">
        <v>406</v>
      </c>
      <c r="AC459" s="215">
        <v>2011</v>
      </c>
      <c r="AD459" s="215" t="s">
        <v>232</v>
      </c>
      <c r="AE459" s="215">
        <v>5</v>
      </c>
      <c r="AF459" s="215"/>
    </row>
    <row r="460" spans="1:32" x14ac:dyDescent="0.3">
      <c r="A460" s="215" t="s">
        <v>353</v>
      </c>
      <c r="B460" s="215" t="s">
        <v>63</v>
      </c>
      <c r="C460" s="215" t="s">
        <v>95</v>
      </c>
      <c r="D460" s="215" t="s">
        <v>310</v>
      </c>
      <c r="E460" s="215" t="s">
        <v>814</v>
      </c>
      <c r="F460" s="15">
        <v>46251.363252314812</v>
      </c>
      <c r="G460" s="215" t="s">
        <v>417</v>
      </c>
      <c r="H460" s="215">
        <v>9</v>
      </c>
      <c r="I460" s="215" t="s">
        <v>815</v>
      </c>
      <c r="J460" s="15">
        <v>46252.660416666666</v>
      </c>
      <c r="K460" s="15">
        <v>46253.341666666667</v>
      </c>
      <c r="L460" s="15"/>
      <c r="M460" s="215">
        <v>9</v>
      </c>
      <c r="N460" s="215"/>
      <c r="O460" s="215" t="s">
        <v>201</v>
      </c>
      <c r="P460" s="215" t="s">
        <v>532</v>
      </c>
      <c r="Q460" s="215"/>
      <c r="R460" s="215"/>
      <c r="S460" s="215" t="s">
        <v>371</v>
      </c>
      <c r="T460" s="215" t="s">
        <v>357</v>
      </c>
      <c r="U460" s="215" t="s">
        <v>262</v>
      </c>
      <c r="V460" s="215" t="s">
        <v>7</v>
      </c>
      <c r="W460" s="215" t="s">
        <v>7</v>
      </c>
      <c r="X460" s="215" t="s">
        <v>7</v>
      </c>
      <c r="Y460" s="215"/>
      <c r="Z460" s="215"/>
      <c r="AA460" s="215" t="s">
        <v>96</v>
      </c>
      <c r="AB460" s="215" t="s">
        <v>406</v>
      </c>
      <c r="AC460" s="215">
        <v>2011</v>
      </c>
      <c r="AD460" s="215" t="s">
        <v>225</v>
      </c>
      <c r="AE460" s="215">
        <v>9</v>
      </c>
      <c r="AF460" s="215">
        <v>76.400000000000006</v>
      </c>
    </row>
    <row r="461" spans="1:32" x14ac:dyDescent="0.3">
      <c r="A461" s="215" t="s">
        <v>353</v>
      </c>
      <c r="B461" s="215" t="s">
        <v>57</v>
      </c>
      <c r="C461" s="215" t="s">
        <v>117</v>
      </c>
      <c r="D461" s="215" t="s">
        <v>310</v>
      </c>
      <c r="E461" s="215" t="s">
        <v>814</v>
      </c>
      <c r="F461" s="15">
        <v>46251.363252314812</v>
      </c>
      <c r="G461" s="215" t="s">
        <v>417</v>
      </c>
      <c r="H461" s="215">
        <v>9</v>
      </c>
      <c r="I461" s="215" t="s">
        <v>815</v>
      </c>
      <c r="J461" s="15">
        <v>46252.660416666666</v>
      </c>
      <c r="K461" s="15">
        <v>46253.341666666667</v>
      </c>
      <c r="L461" s="15"/>
      <c r="M461" s="215">
        <v>9</v>
      </c>
      <c r="N461" s="215"/>
      <c r="O461" s="215" t="s">
        <v>201</v>
      </c>
      <c r="P461" s="215" t="s">
        <v>532</v>
      </c>
      <c r="Q461" s="215"/>
      <c r="R461" s="215"/>
      <c r="S461" s="215" t="s">
        <v>371</v>
      </c>
      <c r="T461" s="215" t="s">
        <v>357</v>
      </c>
      <c r="U461" s="215" t="s">
        <v>262</v>
      </c>
      <c r="V461" s="215" t="s">
        <v>7</v>
      </c>
      <c r="W461" s="215" t="s">
        <v>7</v>
      </c>
      <c r="X461" s="215" t="s">
        <v>7</v>
      </c>
      <c r="Y461" s="215"/>
      <c r="Z461" s="215"/>
      <c r="AA461" s="215" t="s">
        <v>127</v>
      </c>
      <c r="AB461" s="215" t="s">
        <v>406</v>
      </c>
      <c r="AC461" s="215">
        <v>2011</v>
      </c>
      <c r="AD461" s="215" t="s">
        <v>233</v>
      </c>
      <c r="AE461" s="215">
        <v>1</v>
      </c>
      <c r="AF461" s="215"/>
    </row>
    <row r="462" spans="1:32" x14ac:dyDescent="0.3">
      <c r="A462" s="215" t="s">
        <v>353</v>
      </c>
      <c r="B462" s="215" t="s">
        <v>279</v>
      </c>
      <c r="C462" s="215" t="s">
        <v>192</v>
      </c>
      <c r="D462" s="215" t="s">
        <v>310</v>
      </c>
      <c r="E462" s="215" t="s">
        <v>814</v>
      </c>
      <c r="F462" s="15">
        <v>46251.363252314812</v>
      </c>
      <c r="G462" s="215" t="s">
        <v>417</v>
      </c>
      <c r="H462" s="215">
        <v>754</v>
      </c>
      <c r="I462" s="215" t="s">
        <v>815</v>
      </c>
      <c r="J462" s="15">
        <v>46252.660416666666</v>
      </c>
      <c r="K462" s="15">
        <v>46253.341666666667</v>
      </c>
      <c r="L462" s="15"/>
      <c r="M462" s="215">
        <v>754</v>
      </c>
      <c r="N462" s="215"/>
      <c r="O462" s="215" t="s">
        <v>201</v>
      </c>
      <c r="P462" s="215" t="s">
        <v>532</v>
      </c>
      <c r="Q462" s="215"/>
      <c r="R462" s="215"/>
      <c r="S462" s="215" t="s">
        <v>371</v>
      </c>
      <c r="T462" s="215" t="s">
        <v>357</v>
      </c>
      <c r="U462" s="215" t="s">
        <v>262</v>
      </c>
      <c r="V462" s="215" t="s">
        <v>7</v>
      </c>
      <c r="W462" s="215" t="s">
        <v>7</v>
      </c>
      <c r="X462" s="215" t="s">
        <v>7</v>
      </c>
      <c r="Y462" s="215"/>
      <c r="Z462" s="215">
        <v>1</v>
      </c>
      <c r="AA462" s="215" t="s">
        <v>122</v>
      </c>
      <c r="AB462" s="215" t="s">
        <v>406</v>
      </c>
      <c r="AC462" s="215">
        <v>2011</v>
      </c>
      <c r="AD462" s="215" t="s">
        <v>232</v>
      </c>
      <c r="AE462" s="215">
        <v>754</v>
      </c>
      <c r="AF462" s="215"/>
    </row>
    <row r="463" spans="1:32" x14ac:dyDescent="0.3">
      <c r="A463" s="215" t="s">
        <v>353</v>
      </c>
      <c r="B463" s="215" t="s">
        <v>63</v>
      </c>
      <c r="C463" s="215" t="s">
        <v>95</v>
      </c>
      <c r="D463" s="215" t="s">
        <v>310</v>
      </c>
      <c r="E463" s="215" t="s">
        <v>785</v>
      </c>
      <c r="F463" s="15">
        <v>46251.313101851854</v>
      </c>
      <c r="G463" s="215" t="s">
        <v>417</v>
      </c>
      <c r="H463" s="215">
        <v>8</v>
      </c>
      <c r="I463" s="215" t="s">
        <v>786</v>
      </c>
      <c r="J463" s="15">
        <v>46251.351388888892</v>
      </c>
      <c r="K463" s="15">
        <v>46251.582638888889</v>
      </c>
      <c r="L463" s="15"/>
      <c r="M463" s="215">
        <v>8</v>
      </c>
      <c r="N463" s="215"/>
      <c r="O463" s="215" t="s">
        <v>201</v>
      </c>
      <c r="P463" s="215" t="s">
        <v>532</v>
      </c>
      <c r="Q463" s="215"/>
      <c r="R463" s="215"/>
      <c r="S463" s="215" t="s">
        <v>371</v>
      </c>
      <c r="T463" s="215" t="s">
        <v>357</v>
      </c>
      <c r="U463" s="215" t="s">
        <v>262</v>
      </c>
      <c r="V463" s="215" t="s">
        <v>7</v>
      </c>
      <c r="W463" s="215" t="s">
        <v>7</v>
      </c>
      <c r="X463" s="215" t="s">
        <v>7</v>
      </c>
      <c r="Y463" s="215"/>
      <c r="Z463" s="215"/>
      <c r="AA463" s="215" t="s">
        <v>96</v>
      </c>
      <c r="AB463" s="215" t="s">
        <v>406</v>
      </c>
      <c r="AC463" s="215">
        <v>2011</v>
      </c>
      <c r="AD463" s="215" t="s">
        <v>225</v>
      </c>
      <c r="AE463" s="215">
        <v>8</v>
      </c>
      <c r="AF463" s="215">
        <v>63</v>
      </c>
    </row>
    <row r="464" spans="1:32" x14ac:dyDescent="0.3">
      <c r="A464" s="215" t="s">
        <v>353</v>
      </c>
      <c r="B464" s="215" t="s">
        <v>57</v>
      </c>
      <c r="C464" s="215" t="s">
        <v>117</v>
      </c>
      <c r="D464" s="215" t="s">
        <v>310</v>
      </c>
      <c r="E464" s="215" t="s">
        <v>785</v>
      </c>
      <c r="F464" s="15">
        <v>46251.313101851854</v>
      </c>
      <c r="G464" s="215" t="s">
        <v>417</v>
      </c>
      <c r="H464" s="215">
        <v>8</v>
      </c>
      <c r="I464" s="215" t="s">
        <v>786</v>
      </c>
      <c r="J464" s="15">
        <v>46251.351388888892</v>
      </c>
      <c r="K464" s="15">
        <v>46251.582638888889</v>
      </c>
      <c r="L464" s="15"/>
      <c r="M464" s="215">
        <v>8</v>
      </c>
      <c r="N464" s="215"/>
      <c r="O464" s="215" t="s">
        <v>201</v>
      </c>
      <c r="P464" s="215" t="s">
        <v>532</v>
      </c>
      <c r="Q464" s="215"/>
      <c r="R464" s="215"/>
      <c r="S464" s="215" t="s">
        <v>371</v>
      </c>
      <c r="T464" s="215" t="s">
        <v>357</v>
      </c>
      <c r="U464" s="215" t="s">
        <v>262</v>
      </c>
      <c r="V464" s="215" t="s">
        <v>7</v>
      </c>
      <c r="W464" s="215" t="s">
        <v>7</v>
      </c>
      <c r="X464" s="215" t="s">
        <v>7</v>
      </c>
      <c r="Y464" s="215"/>
      <c r="Z464" s="215"/>
      <c r="AA464" s="215" t="s">
        <v>127</v>
      </c>
      <c r="AB464" s="215" t="s">
        <v>406</v>
      </c>
      <c r="AC464" s="215">
        <v>2011</v>
      </c>
      <c r="AD464" s="215" t="s">
        <v>233</v>
      </c>
      <c r="AE464" s="215">
        <v>1</v>
      </c>
      <c r="AF464" s="215"/>
    </row>
    <row r="465" spans="1:32" x14ac:dyDescent="0.3">
      <c r="A465" s="215" t="s">
        <v>353</v>
      </c>
      <c r="B465" s="215" t="s">
        <v>279</v>
      </c>
      <c r="C465" s="215" t="s">
        <v>192</v>
      </c>
      <c r="D465" s="215" t="s">
        <v>310</v>
      </c>
      <c r="E465" s="215" t="s">
        <v>785</v>
      </c>
      <c r="F465" s="15">
        <v>46251.313101851854</v>
      </c>
      <c r="G465" s="215" t="s">
        <v>417</v>
      </c>
      <c r="H465" s="215">
        <v>621</v>
      </c>
      <c r="I465" s="215" t="s">
        <v>786</v>
      </c>
      <c r="J465" s="15">
        <v>46251.351388888892</v>
      </c>
      <c r="K465" s="15">
        <v>46251.582638888889</v>
      </c>
      <c r="L465" s="15"/>
      <c r="M465" s="215">
        <v>621</v>
      </c>
      <c r="N465" s="215"/>
      <c r="O465" s="215" t="s">
        <v>201</v>
      </c>
      <c r="P465" s="215" t="s">
        <v>532</v>
      </c>
      <c r="Q465" s="215"/>
      <c r="R465" s="215"/>
      <c r="S465" s="215" t="s">
        <v>371</v>
      </c>
      <c r="T465" s="215" t="s">
        <v>357</v>
      </c>
      <c r="U465" s="215" t="s">
        <v>262</v>
      </c>
      <c r="V465" s="215" t="s">
        <v>7</v>
      </c>
      <c r="W465" s="215" t="s">
        <v>7</v>
      </c>
      <c r="X465" s="215" t="s">
        <v>7</v>
      </c>
      <c r="Y465" s="215"/>
      <c r="Z465" s="215">
        <v>1</v>
      </c>
      <c r="AA465" s="215" t="s">
        <v>122</v>
      </c>
      <c r="AB465" s="215" t="s">
        <v>406</v>
      </c>
      <c r="AC465" s="215">
        <v>2011</v>
      </c>
      <c r="AD465" s="215" t="s">
        <v>232</v>
      </c>
      <c r="AE465" s="215">
        <v>621</v>
      </c>
      <c r="AF465" s="215"/>
    </row>
    <row r="466" spans="1:32" x14ac:dyDescent="0.3">
      <c r="A466" s="215" t="s">
        <v>353</v>
      </c>
      <c r="B466" s="215" t="s">
        <v>57</v>
      </c>
      <c r="C466" s="215" t="s">
        <v>117</v>
      </c>
      <c r="D466" s="215" t="s">
        <v>310</v>
      </c>
      <c r="E466" s="215" t="s">
        <v>770</v>
      </c>
      <c r="F466" s="15">
        <v>46247.459618055553</v>
      </c>
      <c r="G466" s="215" t="s">
        <v>771</v>
      </c>
      <c r="H466" s="215">
        <v>1</v>
      </c>
      <c r="I466" s="215" t="s">
        <v>772</v>
      </c>
      <c r="J466" s="15">
        <v>46247.561030092591</v>
      </c>
      <c r="K466" s="15">
        <v>46254.421527777777</v>
      </c>
      <c r="L466" s="15"/>
      <c r="M466" s="215">
        <v>1</v>
      </c>
      <c r="N466" s="215"/>
      <c r="O466" s="215" t="s">
        <v>201</v>
      </c>
      <c r="P466" s="215" t="s">
        <v>532</v>
      </c>
      <c r="Q466" s="215"/>
      <c r="R466" s="215"/>
      <c r="S466" s="215" t="s">
        <v>371</v>
      </c>
      <c r="T466" s="215" t="s">
        <v>357</v>
      </c>
      <c r="U466" s="215" t="s">
        <v>262</v>
      </c>
      <c r="V466" s="215" t="s">
        <v>7</v>
      </c>
      <c r="W466" s="215" t="s">
        <v>7</v>
      </c>
      <c r="X466" s="215" t="s">
        <v>7</v>
      </c>
      <c r="Y466" s="215"/>
      <c r="Z466" s="215"/>
      <c r="AA466" s="215" t="s">
        <v>127</v>
      </c>
      <c r="AB466" s="215" t="s">
        <v>406</v>
      </c>
      <c r="AC466" s="215">
        <v>2011</v>
      </c>
      <c r="AD466" s="215" t="s">
        <v>233</v>
      </c>
      <c r="AE466" s="215">
        <v>1</v>
      </c>
      <c r="AF466" s="215"/>
    </row>
    <row r="467" spans="1:32" x14ac:dyDescent="0.3">
      <c r="A467" s="215" t="s">
        <v>353</v>
      </c>
      <c r="B467" s="215" t="s">
        <v>63</v>
      </c>
      <c r="C467" s="215" t="s">
        <v>95</v>
      </c>
      <c r="D467" s="215" t="s">
        <v>310</v>
      </c>
      <c r="E467" s="215" t="s">
        <v>816</v>
      </c>
      <c r="F467" s="15">
        <v>46233.7187037037</v>
      </c>
      <c r="G467" s="215" t="s">
        <v>412</v>
      </c>
      <c r="H467" s="215">
        <v>59</v>
      </c>
      <c r="I467" s="215" t="s">
        <v>817</v>
      </c>
      <c r="J467" s="15">
        <v>46234.474305555559</v>
      </c>
      <c r="K467" s="15">
        <v>46238.618750000001</v>
      </c>
      <c r="L467" s="15"/>
      <c r="M467" s="215">
        <v>59</v>
      </c>
      <c r="N467" s="215"/>
      <c r="O467" s="215" t="s">
        <v>201</v>
      </c>
      <c r="P467" s="215" t="s">
        <v>532</v>
      </c>
      <c r="Q467" s="215"/>
      <c r="R467" s="215"/>
      <c r="S467" s="215" t="s">
        <v>371</v>
      </c>
      <c r="T467" s="215" t="s">
        <v>357</v>
      </c>
      <c r="U467" s="215" t="s">
        <v>262</v>
      </c>
      <c r="V467" s="215" t="s">
        <v>7</v>
      </c>
      <c r="W467" s="215" t="s">
        <v>7</v>
      </c>
      <c r="X467" s="215" t="s">
        <v>7</v>
      </c>
      <c r="Y467" s="215"/>
      <c r="Z467" s="215"/>
      <c r="AA467" s="215" t="s">
        <v>96</v>
      </c>
      <c r="AB467" s="215" t="s">
        <v>406</v>
      </c>
      <c r="AC467" s="215">
        <v>2011</v>
      </c>
      <c r="AD467" s="215" t="s">
        <v>225</v>
      </c>
      <c r="AE467" s="215">
        <v>59</v>
      </c>
      <c r="AF467" s="215">
        <v>457.78000000000003</v>
      </c>
    </row>
    <row r="468" spans="1:32" x14ac:dyDescent="0.3">
      <c r="A468" s="215" t="s">
        <v>353</v>
      </c>
      <c r="B468" s="215" t="s">
        <v>57</v>
      </c>
      <c r="C468" s="215" t="s">
        <v>117</v>
      </c>
      <c r="D468" s="215" t="s">
        <v>310</v>
      </c>
      <c r="E468" s="215" t="s">
        <v>816</v>
      </c>
      <c r="F468" s="15">
        <v>46233.7187037037</v>
      </c>
      <c r="G468" s="215" t="s">
        <v>412</v>
      </c>
      <c r="H468" s="215">
        <v>59</v>
      </c>
      <c r="I468" s="215" t="s">
        <v>817</v>
      </c>
      <c r="J468" s="15">
        <v>46234.474305555559</v>
      </c>
      <c r="K468" s="15">
        <v>46238.618750000001</v>
      </c>
      <c r="L468" s="15"/>
      <c r="M468" s="215">
        <v>59</v>
      </c>
      <c r="N468" s="215"/>
      <c r="O468" s="215" t="s">
        <v>201</v>
      </c>
      <c r="P468" s="215" t="s">
        <v>532</v>
      </c>
      <c r="Q468" s="215"/>
      <c r="R468" s="215"/>
      <c r="S468" s="215" t="s">
        <v>371</v>
      </c>
      <c r="T468" s="215" t="s">
        <v>357</v>
      </c>
      <c r="U468" s="215" t="s">
        <v>262</v>
      </c>
      <c r="V468" s="215" t="s">
        <v>7</v>
      </c>
      <c r="W468" s="215" t="s">
        <v>7</v>
      </c>
      <c r="X468" s="215" t="s">
        <v>7</v>
      </c>
      <c r="Y468" s="215"/>
      <c r="Z468" s="215"/>
      <c r="AA468" s="215" t="s">
        <v>127</v>
      </c>
      <c r="AB468" s="215" t="s">
        <v>406</v>
      </c>
      <c r="AC468" s="215">
        <v>2011</v>
      </c>
      <c r="AD468" s="215" t="s">
        <v>233</v>
      </c>
      <c r="AE468" s="215">
        <v>5.9</v>
      </c>
      <c r="AF468" s="215"/>
    </row>
    <row r="469" spans="1:32" x14ac:dyDescent="0.3">
      <c r="A469" s="215" t="s">
        <v>353</v>
      </c>
      <c r="B469" s="215" t="s">
        <v>279</v>
      </c>
      <c r="C469" s="215" t="s">
        <v>192</v>
      </c>
      <c r="D469" s="215" t="s">
        <v>310</v>
      </c>
      <c r="E469" s="215" t="s">
        <v>816</v>
      </c>
      <c r="F469" s="15">
        <v>46233.7187037037</v>
      </c>
      <c r="G469" s="215" t="s">
        <v>412</v>
      </c>
      <c r="H469" s="215">
        <v>2601</v>
      </c>
      <c r="I469" s="215" t="s">
        <v>817</v>
      </c>
      <c r="J469" s="15">
        <v>46234.474305555559</v>
      </c>
      <c r="K469" s="15">
        <v>46238.618750000001</v>
      </c>
      <c r="L469" s="15"/>
      <c r="M469" s="215">
        <v>2601</v>
      </c>
      <c r="N469" s="215"/>
      <c r="O469" s="215" t="s">
        <v>201</v>
      </c>
      <c r="P469" s="215" t="s">
        <v>532</v>
      </c>
      <c r="Q469" s="215"/>
      <c r="R469" s="215"/>
      <c r="S469" s="215" t="s">
        <v>371</v>
      </c>
      <c r="T469" s="215" t="s">
        <v>357</v>
      </c>
      <c r="U469" s="215" t="s">
        <v>262</v>
      </c>
      <c r="V469" s="215" t="s">
        <v>7</v>
      </c>
      <c r="W469" s="215" t="s">
        <v>7</v>
      </c>
      <c r="X469" s="215" t="s">
        <v>7</v>
      </c>
      <c r="Y469" s="215"/>
      <c r="Z469" s="215">
        <v>1</v>
      </c>
      <c r="AA469" s="215" t="s">
        <v>122</v>
      </c>
      <c r="AB469" s="215" t="s">
        <v>406</v>
      </c>
      <c r="AC469" s="215">
        <v>2011</v>
      </c>
      <c r="AD469" s="215" t="s">
        <v>232</v>
      </c>
      <c r="AE469" s="215">
        <v>2601</v>
      </c>
      <c r="AF469" s="215"/>
    </row>
    <row r="470" spans="1:32" x14ac:dyDescent="0.3">
      <c r="A470" s="215" t="s">
        <v>353</v>
      </c>
      <c r="B470" s="215" t="s">
        <v>63</v>
      </c>
      <c r="C470" s="215" t="s">
        <v>95</v>
      </c>
      <c r="D470" s="215" t="s">
        <v>310</v>
      </c>
      <c r="E470" s="215" t="s">
        <v>818</v>
      </c>
      <c r="F470" s="15">
        <v>46233.717141203706</v>
      </c>
      <c r="G470" s="215" t="s">
        <v>412</v>
      </c>
      <c r="H470" s="215">
        <v>49</v>
      </c>
      <c r="I470" s="215" t="s">
        <v>819</v>
      </c>
      <c r="J470" s="15">
        <v>46234.470833333333</v>
      </c>
      <c r="K470" s="15">
        <v>46238.338888888888</v>
      </c>
      <c r="L470" s="15"/>
      <c r="M470" s="215">
        <v>49</v>
      </c>
      <c r="N470" s="215"/>
      <c r="O470" s="215" t="s">
        <v>201</v>
      </c>
      <c r="P470" s="215" t="s">
        <v>532</v>
      </c>
      <c r="Q470" s="215"/>
      <c r="R470" s="215"/>
      <c r="S470" s="215" t="s">
        <v>371</v>
      </c>
      <c r="T470" s="215" t="s">
        <v>357</v>
      </c>
      <c r="U470" s="215" t="s">
        <v>262</v>
      </c>
      <c r="V470" s="215" t="s">
        <v>7</v>
      </c>
      <c r="W470" s="215" t="s">
        <v>7</v>
      </c>
      <c r="X470" s="215" t="s">
        <v>7</v>
      </c>
      <c r="Y470" s="215"/>
      <c r="Z470" s="215"/>
      <c r="AA470" s="215" t="s">
        <v>96</v>
      </c>
      <c r="AB470" s="215" t="s">
        <v>406</v>
      </c>
      <c r="AC470" s="215">
        <v>2011</v>
      </c>
      <c r="AD470" s="215" t="s">
        <v>225</v>
      </c>
      <c r="AE470" s="215">
        <v>49</v>
      </c>
      <c r="AF470" s="215"/>
    </row>
    <row r="471" spans="1:32" x14ac:dyDescent="0.3">
      <c r="A471" s="215" t="s">
        <v>353</v>
      </c>
      <c r="B471" s="215" t="s">
        <v>57</v>
      </c>
      <c r="C471" s="215" t="s">
        <v>117</v>
      </c>
      <c r="D471" s="215" t="s">
        <v>310</v>
      </c>
      <c r="E471" s="215" t="s">
        <v>818</v>
      </c>
      <c r="F471" s="15">
        <v>46233.717141203706</v>
      </c>
      <c r="G471" s="215" t="s">
        <v>412</v>
      </c>
      <c r="H471" s="215">
        <v>49</v>
      </c>
      <c r="I471" s="215" t="s">
        <v>819</v>
      </c>
      <c r="J471" s="15">
        <v>46234.470833333333</v>
      </c>
      <c r="K471" s="15">
        <v>46238.338888888888</v>
      </c>
      <c r="L471" s="15"/>
      <c r="M471" s="215">
        <v>49</v>
      </c>
      <c r="N471" s="215"/>
      <c r="O471" s="215" t="s">
        <v>201</v>
      </c>
      <c r="P471" s="215" t="s">
        <v>532</v>
      </c>
      <c r="Q471" s="215"/>
      <c r="R471" s="215"/>
      <c r="S471" s="215" t="s">
        <v>371</v>
      </c>
      <c r="T471" s="215" t="s">
        <v>357</v>
      </c>
      <c r="U471" s="215" t="s">
        <v>262</v>
      </c>
      <c r="V471" s="215" t="s">
        <v>7</v>
      </c>
      <c r="W471" s="215" t="s">
        <v>7</v>
      </c>
      <c r="X471" s="215" t="s">
        <v>7</v>
      </c>
      <c r="Y471" s="215"/>
      <c r="Z471" s="215"/>
      <c r="AA471" s="215" t="s">
        <v>127</v>
      </c>
      <c r="AB471" s="215" t="s">
        <v>406</v>
      </c>
      <c r="AC471" s="215">
        <v>2011</v>
      </c>
      <c r="AD471" s="215" t="s">
        <v>233</v>
      </c>
      <c r="AE471" s="215">
        <v>4.9000000000000004</v>
      </c>
      <c r="AF471" s="215"/>
    </row>
    <row r="472" spans="1:32" x14ac:dyDescent="0.3">
      <c r="A472" s="215" t="s">
        <v>353</v>
      </c>
      <c r="B472" s="215" t="s">
        <v>279</v>
      </c>
      <c r="C472" s="215" t="s">
        <v>192</v>
      </c>
      <c r="D472" s="215" t="s">
        <v>310</v>
      </c>
      <c r="E472" s="215" t="s">
        <v>818</v>
      </c>
      <c r="F472" s="15">
        <v>46233.717141203706</v>
      </c>
      <c r="G472" s="215" t="s">
        <v>412</v>
      </c>
      <c r="H472" s="215">
        <v>1858</v>
      </c>
      <c r="I472" s="215" t="s">
        <v>819</v>
      </c>
      <c r="J472" s="15">
        <v>46234.470833333333</v>
      </c>
      <c r="K472" s="15">
        <v>46238.338888888888</v>
      </c>
      <c r="L472" s="15"/>
      <c r="M472" s="215">
        <v>1858</v>
      </c>
      <c r="N472" s="215"/>
      <c r="O472" s="215" t="s">
        <v>201</v>
      </c>
      <c r="P472" s="215" t="s">
        <v>532</v>
      </c>
      <c r="Q472" s="215"/>
      <c r="R472" s="215"/>
      <c r="S472" s="215" t="s">
        <v>371</v>
      </c>
      <c r="T472" s="215" t="s">
        <v>357</v>
      </c>
      <c r="U472" s="215" t="s">
        <v>262</v>
      </c>
      <c r="V472" s="215" t="s">
        <v>7</v>
      </c>
      <c r="W472" s="215" t="s">
        <v>7</v>
      </c>
      <c r="X472" s="215" t="s">
        <v>7</v>
      </c>
      <c r="Y472" s="215"/>
      <c r="Z472" s="215">
        <v>1</v>
      </c>
      <c r="AA472" s="215" t="s">
        <v>122</v>
      </c>
      <c r="AB472" s="215" t="s">
        <v>406</v>
      </c>
      <c r="AC472" s="215">
        <v>2011</v>
      </c>
      <c r="AD472" s="215" t="s">
        <v>232</v>
      </c>
      <c r="AE472" s="215">
        <v>1858</v>
      </c>
      <c r="AF472" s="215"/>
    </row>
    <row r="473" spans="1:32" x14ac:dyDescent="0.3">
      <c r="A473" s="215" t="s">
        <v>353</v>
      </c>
      <c r="B473" s="215" t="s">
        <v>63</v>
      </c>
      <c r="C473" s="215" t="s">
        <v>95</v>
      </c>
      <c r="D473" s="215" t="s">
        <v>310</v>
      </c>
      <c r="E473" s="215" t="s">
        <v>799</v>
      </c>
      <c r="F473" s="15">
        <v>46232.494386574072</v>
      </c>
      <c r="G473" s="215" t="s">
        <v>800</v>
      </c>
      <c r="H473" s="215">
        <v>24</v>
      </c>
      <c r="I473" s="215" t="s">
        <v>801</v>
      </c>
      <c r="J473" s="15">
        <v>46232.61041666667</v>
      </c>
      <c r="K473" s="15">
        <v>46234.609722222223</v>
      </c>
      <c r="L473" s="15"/>
      <c r="M473" s="215">
        <v>24</v>
      </c>
      <c r="N473" s="215"/>
      <c r="O473" s="215" t="s">
        <v>201</v>
      </c>
      <c r="P473" s="215" t="s">
        <v>532</v>
      </c>
      <c r="Q473" s="215"/>
      <c r="R473" s="215"/>
      <c r="S473" s="215" t="s">
        <v>371</v>
      </c>
      <c r="T473" s="215" t="s">
        <v>357</v>
      </c>
      <c r="U473" s="215" t="s">
        <v>262</v>
      </c>
      <c r="V473" s="215" t="s">
        <v>7</v>
      </c>
      <c r="W473" s="215" t="s">
        <v>7</v>
      </c>
      <c r="X473" s="215" t="s">
        <v>7</v>
      </c>
      <c r="Y473" s="215"/>
      <c r="Z473" s="215"/>
      <c r="AA473" s="215" t="s">
        <v>96</v>
      </c>
      <c r="AB473" s="215" t="s">
        <v>406</v>
      </c>
      <c r="AC473" s="215">
        <v>2011</v>
      </c>
      <c r="AD473" s="215" t="s">
        <v>225</v>
      </c>
      <c r="AE473" s="215">
        <v>24</v>
      </c>
      <c r="AF473" s="215"/>
    </row>
    <row r="474" spans="1:32" x14ac:dyDescent="0.3">
      <c r="A474" s="215" t="s">
        <v>353</v>
      </c>
      <c r="B474" s="215" t="s">
        <v>57</v>
      </c>
      <c r="C474" s="215" t="s">
        <v>117</v>
      </c>
      <c r="D474" s="215" t="s">
        <v>310</v>
      </c>
      <c r="E474" s="215" t="s">
        <v>799</v>
      </c>
      <c r="F474" s="15">
        <v>46232.494386574072</v>
      </c>
      <c r="G474" s="215" t="s">
        <v>800</v>
      </c>
      <c r="H474" s="215">
        <v>24</v>
      </c>
      <c r="I474" s="215" t="s">
        <v>801</v>
      </c>
      <c r="J474" s="15">
        <v>46232.61041666667</v>
      </c>
      <c r="K474" s="15">
        <v>46234.609722222223</v>
      </c>
      <c r="L474" s="15"/>
      <c r="M474" s="215">
        <v>24</v>
      </c>
      <c r="N474" s="215"/>
      <c r="O474" s="215" t="s">
        <v>529</v>
      </c>
      <c r="P474" s="215"/>
      <c r="Q474" s="215"/>
      <c r="R474" s="215"/>
      <c r="S474" s="215" t="s">
        <v>371</v>
      </c>
      <c r="T474" s="215" t="s">
        <v>357</v>
      </c>
      <c r="U474" s="215" t="s">
        <v>262</v>
      </c>
      <c r="V474" s="215" t="s">
        <v>7</v>
      </c>
      <c r="W474" s="215" t="s">
        <v>7</v>
      </c>
      <c r="X474" s="215" t="s">
        <v>7</v>
      </c>
      <c r="Y474" s="215"/>
      <c r="Z474" s="215"/>
      <c r="AA474" s="215" t="s">
        <v>127</v>
      </c>
      <c r="AB474" s="215" t="s">
        <v>406</v>
      </c>
      <c r="AC474" s="215">
        <v>2011</v>
      </c>
      <c r="AD474" s="215" t="s">
        <v>233</v>
      </c>
      <c r="AE474" s="215">
        <v>2.4</v>
      </c>
      <c r="AF474" s="215"/>
    </row>
    <row r="475" spans="1:32" x14ac:dyDescent="0.3">
      <c r="A475" s="215" t="s">
        <v>353</v>
      </c>
      <c r="B475" s="215" t="s">
        <v>279</v>
      </c>
      <c r="C475" s="215" t="s">
        <v>192</v>
      </c>
      <c r="D475" s="215" t="s">
        <v>310</v>
      </c>
      <c r="E475" s="215" t="s">
        <v>799</v>
      </c>
      <c r="F475" s="15">
        <v>46232.494386574072</v>
      </c>
      <c r="G475" s="215" t="s">
        <v>800</v>
      </c>
      <c r="H475" s="215">
        <v>1610</v>
      </c>
      <c r="I475" s="215" t="s">
        <v>801</v>
      </c>
      <c r="J475" s="15">
        <v>46232.61041666667</v>
      </c>
      <c r="K475" s="15">
        <v>46234.609722222223</v>
      </c>
      <c r="L475" s="15"/>
      <c r="M475" s="215">
        <v>1610</v>
      </c>
      <c r="N475" s="215"/>
      <c r="O475" s="215" t="s">
        <v>529</v>
      </c>
      <c r="P475" s="215"/>
      <c r="Q475" s="215"/>
      <c r="R475" s="215"/>
      <c r="S475" s="215" t="s">
        <v>371</v>
      </c>
      <c r="T475" s="215" t="s">
        <v>357</v>
      </c>
      <c r="U475" s="215" t="s">
        <v>262</v>
      </c>
      <c r="V475" s="215" t="s">
        <v>7</v>
      </c>
      <c r="W475" s="215" t="s">
        <v>7</v>
      </c>
      <c r="X475" s="215" t="s">
        <v>7</v>
      </c>
      <c r="Y475" s="215"/>
      <c r="Z475" s="215">
        <v>1</v>
      </c>
      <c r="AA475" s="215" t="s">
        <v>122</v>
      </c>
      <c r="AB475" s="215" t="s">
        <v>406</v>
      </c>
      <c r="AC475" s="215">
        <v>2011</v>
      </c>
      <c r="AD475" s="215" t="s">
        <v>232</v>
      </c>
      <c r="AE475" s="215">
        <v>1610</v>
      </c>
      <c r="AF475" s="215"/>
    </row>
    <row r="476" spans="1:32" x14ac:dyDescent="0.3">
      <c r="A476" s="215" t="s">
        <v>353</v>
      </c>
      <c r="B476" s="215" t="s">
        <v>63</v>
      </c>
      <c r="C476" s="215" t="s">
        <v>95</v>
      </c>
      <c r="D476" s="215" t="s">
        <v>310</v>
      </c>
      <c r="E476" s="215" t="s">
        <v>799</v>
      </c>
      <c r="F476" s="15">
        <v>46232.494386574072</v>
      </c>
      <c r="G476" s="215" t="s">
        <v>800</v>
      </c>
      <c r="H476" s="215">
        <v>24</v>
      </c>
      <c r="I476" s="215" t="s">
        <v>801</v>
      </c>
      <c r="J476" s="15">
        <v>46232.61041666667</v>
      </c>
      <c r="K476" s="15">
        <v>46234.683333333334</v>
      </c>
      <c r="L476" s="15"/>
      <c r="M476" s="215">
        <v>24</v>
      </c>
      <c r="N476" s="215"/>
      <c r="O476" s="215" t="s">
        <v>529</v>
      </c>
      <c r="P476" s="215"/>
      <c r="Q476" s="215"/>
      <c r="R476" s="215"/>
      <c r="S476" s="215" t="s">
        <v>371</v>
      </c>
      <c r="T476" s="215" t="s">
        <v>357</v>
      </c>
      <c r="U476" s="215" t="s">
        <v>262</v>
      </c>
      <c r="V476" s="215" t="s">
        <v>7</v>
      </c>
      <c r="W476" s="215" t="s">
        <v>7</v>
      </c>
      <c r="X476" s="215" t="s">
        <v>7</v>
      </c>
      <c r="Y476" s="215"/>
      <c r="Z476" s="215"/>
      <c r="AA476" s="215" t="s">
        <v>96</v>
      </c>
      <c r="AB476" s="215" t="s">
        <v>406</v>
      </c>
      <c r="AC476" s="215">
        <v>2011</v>
      </c>
      <c r="AD476" s="215" t="s">
        <v>225</v>
      </c>
      <c r="AE476" s="215">
        <v>24</v>
      </c>
      <c r="AF476" s="215"/>
    </row>
    <row r="477" spans="1:32" x14ac:dyDescent="0.3">
      <c r="A477" s="215" t="s">
        <v>353</v>
      </c>
      <c r="B477" s="215" t="s">
        <v>57</v>
      </c>
      <c r="C477" s="215" t="s">
        <v>117</v>
      </c>
      <c r="D477" s="215" t="s">
        <v>310</v>
      </c>
      <c r="E477" s="215" t="s">
        <v>799</v>
      </c>
      <c r="F477" s="15">
        <v>46232.494386574072</v>
      </c>
      <c r="G477" s="215" t="s">
        <v>800</v>
      </c>
      <c r="H477" s="215">
        <v>24</v>
      </c>
      <c r="I477" s="215" t="s">
        <v>801</v>
      </c>
      <c r="J477" s="15">
        <v>46232.61041666667</v>
      </c>
      <c r="K477" s="15">
        <v>46234.683333333334</v>
      </c>
      <c r="L477" s="15"/>
      <c r="M477" s="215">
        <v>24</v>
      </c>
      <c r="N477" s="215"/>
      <c r="O477" s="215" t="s">
        <v>529</v>
      </c>
      <c r="P477" s="215"/>
      <c r="Q477" s="215"/>
      <c r="R477" s="215"/>
      <c r="S477" s="215" t="s">
        <v>371</v>
      </c>
      <c r="T477" s="215" t="s">
        <v>357</v>
      </c>
      <c r="U477" s="215" t="s">
        <v>262</v>
      </c>
      <c r="V477" s="215" t="s">
        <v>7</v>
      </c>
      <c r="W477" s="215" t="s">
        <v>7</v>
      </c>
      <c r="X477" s="215" t="s">
        <v>7</v>
      </c>
      <c r="Y477" s="215"/>
      <c r="Z477" s="215"/>
      <c r="AA477" s="215" t="s">
        <v>127</v>
      </c>
      <c r="AB477" s="215" t="s">
        <v>406</v>
      </c>
      <c r="AC477" s="215">
        <v>2011</v>
      </c>
      <c r="AD477" s="215" t="s">
        <v>233</v>
      </c>
      <c r="AE477" s="215">
        <v>2.4</v>
      </c>
      <c r="AF477" s="215"/>
    </row>
    <row r="478" spans="1:32" x14ac:dyDescent="0.3">
      <c r="A478" s="215" t="s">
        <v>353</v>
      </c>
      <c r="B478" s="215" t="s">
        <v>279</v>
      </c>
      <c r="C478" s="215" t="s">
        <v>192</v>
      </c>
      <c r="D478" s="215" t="s">
        <v>310</v>
      </c>
      <c r="E478" s="215" t="s">
        <v>799</v>
      </c>
      <c r="F478" s="15">
        <v>46232.494386574072</v>
      </c>
      <c r="G478" s="215" t="s">
        <v>800</v>
      </c>
      <c r="H478" s="215">
        <v>2130</v>
      </c>
      <c r="I478" s="215" t="s">
        <v>801</v>
      </c>
      <c r="J478" s="15">
        <v>46232.61041666667</v>
      </c>
      <c r="K478" s="15">
        <v>46234.683333333334</v>
      </c>
      <c r="L478" s="15"/>
      <c r="M478" s="215">
        <v>2130</v>
      </c>
      <c r="N478" s="215"/>
      <c r="O478" s="215" t="s">
        <v>529</v>
      </c>
      <c r="P478" s="215"/>
      <c r="Q478" s="215"/>
      <c r="R478" s="215"/>
      <c r="S478" s="215" t="s">
        <v>371</v>
      </c>
      <c r="T478" s="215" t="s">
        <v>357</v>
      </c>
      <c r="U478" s="215" t="s">
        <v>262</v>
      </c>
      <c r="V478" s="215" t="s">
        <v>7</v>
      </c>
      <c r="W478" s="215" t="s">
        <v>7</v>
      </c>
      <c r="X478" s="215" t="s">
        <v>7</v>
      </c>
      <c r="Y478" s="215"/>
      <c r="Z478" s="215">
        <v>1</v>
      </c>
      <c r="AA478" s="215" t="s">
        <v>122</v>
      </c>
      <c r="AB478" s="215" t="s">
        <v>406</v>
      </c>
      <c r="AC478" s="215">
        <v>2011</v>
      </c>
      <c r="AD478" s="215" t="s">
        <v>232</v>
      </c>
      <c r="AE478" s="215">
        <v>2130</v>
      </c>
      <c r="AF478" s="215"/>
    </row>
    <row r="479" spans="1:32" x14ac:dyDescent="0.3">
      <c r="A479" s="215" t="s">
        <v>353</v>
      </c>
      <c r="B479" s="215" t="s">
        <v>63</v>
      </c>
      <c r="C479" s="215" t="s">
        <v>95</v>
      </c>
      <c r="D479" s="215" t="s">
        <v>310</v>
      </c>
      <c r="E479" s="215" t="s">
        <v>799</v>
      </c>
      <c r="F479" s="15">
        <v>46232.494386574072</v>
      </c>
      <c r="G479" s="215" t="s">
        <v>800</v>
      </c>
      <c r="H479" s="215">
        <v>36</v>
      </c>
      <c r="I479" s="215" t="s">
        <v>801</v>
      </c>
      <c r="J479" s="15">
        <v>46232.61041666667</v>
      </c>
      <c r="K479" s="15">
        <v>46258.618750000001</v>
      </c>
      <c r="L479" s="15"/>
      <c r="M479" s="215">
        <v>36</v>
      </c>
      <c r="N479" s="215"/>
      <c r="O479" s="215" t="s">
        <v>529</v>
      </c>
      <c r="P479" s="215"/>
      <c r="Q479" s="215"/>
      <c r="R479" s="215"/>
      <c r="S479" s="215" t="s">
        <v>371</v>
      </c>
      <c r="T479" s="215" t="s">
        <v>357</v>
      </c>
      <c r="U479" s="215" t="s">
        <v>262</v>
      </c>
      <c r="V479" s="215" t="s">
        <v>7</v>
      </c>
      <c r="W479" s="215" t="s">
        <v>7</v>
      </c>
      <c r="X479" s="215" t="s">
        <v>7</v>
      </c>
      <c r="Y479" s="215"/>
      <c r="Z479" s="215"/>
      <c r="AA479" s="215" t="s">
        <v>96</v>
      </c>
      <c r="AB479" s="215" t="s">
        <v>406</v>
      </c>
      <c r="AC479" s="215">
        <v>2011</v>
      </c>
      <c r="AD479" s="215" t="s">
        <v>225</v>
      </c>
      <c r="AE479" s="215">
        <v>36</v>
      </c>
      <c r="AF479" s="215"/>
    </row>
    <row r="480" spans="1:32" x14ac:dyDescent="0.3">
      <c r="A480" s="215" t="s">
        <v>353</v>
      </c>
      <c r="B480" s="215" t="s">
        <v>57</v>
      </c>
      <c r="C480" s="215" t="s">
        <v>117</v>
      </c>
      <c r="D480" s="215" t="s">
        <v>310</v>
      </c>
      <c r="E480" s="215" t="s">
        <v>799</v>
      </c>
      <c r="F480" s="15">
        <v>46232.494386574072</v>
      </c>
      <c r="G480" s="215" t="s">
        <v>800</v>
      </c>
      <c r="H480" s="215">
        <v>36</v>
      </c>
      <c r="I480" s="215" t="s">
        <v>801</v>
      </c>
      <c r="J480" s="15">
        <v>46232.61041666667</v>
      </c>
      <c r="K480" s="15">
        <v>46258.618750000001</v>
      </c>
      <c r="L480" s="15"/>
      <c r="M480" s="215">
        <v>36</v>
      </c>
      <c r="N480" s="215"/>
      <c r="O480" s="215" t="s">
        <v>529</v>
      </c>
      <c r="P480" s="215"/>
      <c r="Q480" s="215"/>
      <c r="R480" s="215"/>
      <c r="S480" s="215" t="s">
        <v>371</v>
      </c>
      <c r="T480" s="215" t="s">
        <v>357</v>
      </c>
      <c r="U480" s="215" t="s">
        <v>262</v>
      </c>
      <c r="V480" s="215" t="s">
        <v>7</v>
      </c>
      <c r="W480" s="215" t="s">
        <v>7</v>
      </c>
      <c r="X480" s="215" t="s">
        <v>7</v>
      </c>
      <c r="Y480" s="215"/>
      <c r="Z480" s="215"/>
      <c r="AA480" s="215" t="s">
        <v>127</v>
      </c>
      <c r="AB480" s="215" t="s">
        <v>406</v>
      </c>
      <c r="AC480" s="215">
        <v>2011</v>
      </c>
      <c r="AD480" s="215" t="s">
        <v>233</v>
      </c>
      <c r="AE480" s="215">
        <v>3.6</v>
      </c>
      <c r="AF480" s="215"/>
    </row>
    <row r="481" spans="1:32" x14ac:dyDescent="0.3">
      <c r="A481" s="215" t="s">
        <v>353</v>
      </c>
      <c r="B481" s="215" t="s">
        <v>63</v>
      </c>
      <c r="C481" s="215" t="s">
        <v>95</v>
      </c>
      <c r="D481" s="215" t="s">
        <v>310</v>
      </c>
      <c r="E481" s="215" t="s">
        <v>799</v>
      </c>
      <c r="F481" s="15">
        <v>46232.494386574072</v>
      </c>
      <c r="G481" s="215" t="s">
        <v>800</v>
      </c>
      <c r="H481" s="215">
        <v>33</v>
      </c>
      <c r="I481" s="215" t="s">
        <v>801</v>
      </c>
      <c r="J481" s="15">
        <v>46232.61041666667</v>
      </c>
      <c r="K481" s="15">
        <v>46237.611111111109</v>
      </c>
      <c r="L481" s="15"/>
      <c r="M481" s="215">
        <v>33</v>
      </c>
      <c r="N481" s="215"/>
      <c r="O481" s="215" t="s">
        <v>529</v>
      </c>
      <c r="P481" s="215"/>
      <c r="Q481" s="215"/>
      <c r="R481" s="215"/>
      <c r="S481" s="215" t="s">
        <v>371</v>
      </c>
      <c r="T481" s="215" t="s">
        <v>357</v>
      </c>
      <c r="U481" s="215" t="s">
        <v>262</v>
      </c>
      <c r="V481" s="215" t="s">
        <v>7</v>
      </c>
      <c r="W481" s="215" t="s">
        <v>7</v>
      </c>
      <c r="X481" s="215" t="s">
        <v>7</v>
      </c>
      <c r="Y481" s="215"/>
      <c r="Z481" s="215"/>
      <c r="AA481" s="215" t="s">
        <v>96</v>
      </c>
      <c r="AB481" s="215" t="s">
        <v>406</v>
      </c>
      <c r="AC481" s="215">
        <v>2011</v>
      </c>
      <c r="AD481" s="215" t="s">
        <v>225</v>
      </c>
      <c r="AE481" s="215">
        <v>33</v>
      </c>
      <c r="AF481" s="215"/>
    </row>
    <row r="482" spans="1:32" x14ac:dyDescent="0.3">
      <c r="A482" s="215" t="s">
        <v>353</v>
      </c>
      <c r="B482" s="215" t="s">
        <v>63</v>
      </c>
      <c r="C482" s="215" t="s">
        <v>95</v>
      </c>
      <c r="D482" s="215" t="s">
        <v>310</v>
      </c>
      <c r="E482" s="215" t="s">
        <v>770</v>
      </c>
      <c r="F482" s="15">
        <v>46247.459618055553</v>
      </c>
      <c r="G482" s="215" t="s">
        <v>771</v>
      </c>
      <c r="H482" s="215">
        <v>1</v>
      </c>
      <c r="I482" s="215" t="s">
        <v>772</v>
      </c>
      <c r="J482" s="15">
        <v>46247.561030092591</v>
      </c>
      <c r="K482" s="15">
        <v>46254.421527777777</v>
      </c>
      <c r="L482" s="15"/>
      <c r="M482" s="215">
        <v>1</v>
      </c>
      <c r="N482" s="215"/>
      <c r="O482" s="215" t="s">
        <v>201</v>
      </c>
      <c r="P482" s="215" t="s">
        <v>532</v>
      </c>
      <c r="Q482" s="215"/>
      <c r="R482" s="215"/>
      <c r="S482" s="215" t="s">
        <v>371</v>
      </c>
      <c r="T482" s="215" t="s">
        <v>357</v>
      </c>
      <c r="U482" s="215" t="s">
        <v>262</v>
      </c>
      <c r="V482" s="215" t="s">
        <v>7</v>
      </c>
      <c r="W482" s="215" t="s">
        <v>7</v>
      </c>
      <c r="X482" s="215" t="s">
        <v>7</v>
      </c>
      <c r="Y482" s="215"/>
      <c r="Z482" s="215"/>
      <c r="AA482" s="215" t="s">
        <v>96</v>
      </c>
      <c r="AB482" s="215" t="s">
        <v>406</v>
      </c>
      <c r="AC482" s="215">
        <v>2011</v>
      </c>
      <c r="AD482" s="215" t="s">
        <v>225</v>
      </c>
      <c r="AE482" s="215">
        <v>1</v>
      </c>
      <c r="AF482" s="215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488</v>
      </c>
      <c r="B1" t="s">
        <v>0</v>
      </c>
      <c r="C1" t="s">
        <v>2</v>
      </c>
      <c r="D1" t="s">
        <v>474</v>
      </c>
      <c r="E1" t="s">
        <v>246</v>
      </c>
      <c r="F1" t="s">
        <v>472</v>
      </c>
      <c r="G1" t="s">
        <v>245</v>
      </c>
      <c r="H1" t="s">
        <v>658</v>
      </c>
      <c r="I1" t="s">
        <v>659</v>
      </c>
      <c r="J1" t="s">
        <v>660</v>
      </c>
      <c r="K1" t="s">
        <v>661</v>
      </c>
      <c r="L1" t="s">
        <v>662</v>
      </c>
      <c r="M1" t="s">
        <v>663</v>
      </c>
      <c r="N1" t="s">
        <v>554</v>
      </c>
      <c r="O1" t="s">
        <v>40</v>
      </c>
      <c r="P1" t="s">
        <v>375</v>
      </c>
      <c r="Q1" t="s">
        <v>210</v>
      </c>
      <c r="R1" t="s">
        <v>555</v>
      </c>
    </row>
    <row r="2" spans="1:18" x14ac:dyDescent="0.3">
      <c r="A2" t="s">
        <v>350</v>
      </c>
      <c r="B2" t="s">
        <v>43</v>
      </c>
      <c r="C2" t="s">
        <v>105</v>
      </c>
      <c r="D2" s="15">
        <v>46240.387291666666</v>
      </c>
      <c r="E2" t="s">
        <v>412</v>
      </c>
      <c r="F2">
        <v>2</v>
      </c>
      <c r="G2" s="15">
        <v>46241.395138888889</v>
      </c>
      <c r="H2" t="s">
        <v>366</v>
      </c>
      <c r="I2" t="s">
        <v>380</v>
      </c>
      <c r="J2" t="s">
        <v>240</v>
      </c>
      <c r="K2" t="s">
        <v>350</v>
      </c>
      <c r="L2" t="s">
        <v>356</v>
      </c>
      <c r="M2" t="s">
        <v>240</v>
      </c>
      <c r="N2">
        <v>13</v>
      </c>
      <c r="O2" t="s">
        <v>67</v>
      </c>
      <c r="P2" t="s">
        <v>366</v>
      </c>
      <c r="Q2" t="s">
        <v>217</v>
      </c>
      <c r="R2">
        <v>1</v>
      </c>
    </row>
    <row r="3" spans="1:18" x14ac:dyDescent="0.3">
      <c r="A3" t="s">
        <v>350</v>
      </c>
      <c r="B3" t="s">
        <v>47</v>
      </c>
      <c r="C3" t="s">
        <v>68</v>
      </c>
      <c r="D3" s="15">
        <v>46233.496469907404</v>
      </c>
      <c r="E3" t="s">
        <v>411</v>
      </c>
      <c r="F3">
        <v>2</v>
      </c>
      <c r="G3" s="15">
        <v>46234.427083333336</v>
      </c>
      <c r="H3" t="s">
        <v>366</v>
      </c>
      <c r="I3" t="s">
        <v>380</v>
      </c>
      <c r="J3" t="s">
        <v>240</v>
      </c>
      <c r="K3" t="s">
        <v>350</v>
      </c>
      <c r="L3" t="s">
        <v>356</v>
      </c>
      <c r="M3" t="s">
        <v>240</v>
      </c>
      <c r="N3">
        <v>13</v>
      </c>
      <c r="O3" t="s">
        <v>90</v>
      </c>
      <c r="P3" t="s">
        <v>366</v>
      </c>
      <c r="Q3" t="s">
        <v>218</v>
      </c>
      <c r="R3">
        <v>1</v>
      </c>
    </row>
    <row r="4" spans="1:18" x14ac:dyDescent="0.3">
      <c r="A4" t="s">
        <v>350</v>
      </c>
      <c r="B4" t="s">
        <v>45</v>
      </c>
      <c r="C4" t="s">
        <v>68</v>
      </c>
      <c r="D4" s="15">
        <v>46218.662442129629</v>
      </c>
      <c r="E4" t="s">
        <v>428</v>
      </c>
      <c r="F4">
        <v>50</v>
      </c>
      <c r="G4" s="15">
        <v>46224.486111111109</v>
      </c>
      <c r="H4" t="s">
        <v>366</v>
      </c>
      <c r="I4" t="s">
        <v>380</v>
      </c>
      <c r="J4" t="s">
        <v>240</v>
      </c>
      <c r="K4" t="s">
        <v>350</v>
      </c>
      <c r="L4" t="s">
        <v>356</v>
      </c>
      <c r="M4" t="s">
        <v>240</v>
      </c>
      <c r="N4">
        <v>13</v>
      </c>
      <c r="O4" t="s">
        <v>67</v>
      </c>
      <c r="P4" t="s">
        <v>366</v>
      </c>
      <c r="Q4" t="s">
        <v>217</v>
      </c>
      <c r="R4">
        <v>1</v>
      </c>
    </row>
    <row r="5" spans="1:18" x14ac:dyDescent="0.3">
      <c r="A5" t="s">
        <v>350</v>
      </c>
      <c r="B5" t="s">
        <v>45</v>
      </c>
      <c r="C5" t="s">
        <v>68</v>
      </c>
      <c r="D5" s="15">
        <v>46218.662719907406</v>
      </c>
      <c r="E5" t="s">
        <v>428</v>
      </c>
      <c r="F5">
        <v>50</v>
      </c>
      <c r="G5" s="15">
        <v>46224.486111111109</v>
      </c>
      <c r="H5" t="s">
        <v>366</v>
      </c>
      <c r="I5" t="s">
        <v>380</v>
      </c>
      <c r="J5" t="s">
        <v>240</v>
      </c>
      <c r="K5" t="s">
        <v>350</v>
      </c>
      <c r="L5" t="s">
        <v>356</v>
      </c>
      <c r="M5" t="s">
        <v>240</v>
      </c>
      <c r="O5" t="s">
        <v>67</v>
      </c>
      <c r="P5" t="s">
        <v>366</v>
      </c>
      <c r="Q5" t="s">
        <v>217</v>
      </c>
    </row>
    <row r="6" spans="1:18" x14ac:dyDescent="0.3">
      <c r="A6" t="s">
        <v>350</v>
      </c>
      <c r="B6" t="s">
        <v>48</v>
      </c>
      <c r="C6" t="s">
        <v>68</v>
      </c>
      <c r="D6" s="15">
        <v>46156.383645833332</v>
      </c>
      <c r="E6" t="s">
        <v>412</v>
      </c>
      <c r="F6">
        <v>1</v>
      </c>
      <c r="G6" s="15">
        <v>46230.438194444447</v>
      </c>
      <c r="H6" t="s">
        <v>366</v>
      </c>
      <c r="I6" t="s">
        <v>380</v>
      </c>
      <c r="J6" t="s">
        <v>240</v>
      </c>
      <c r="K6" t="s">
        <v>350</v>
      </c>
      <c r="L6" t="s">
        <v>356</v>
      </c>
      <c r="M6" t="s">
        <v>240</v>
      </c>
      <c r="N6">
        <v>13</v>
      </c>
      <c r="O6" t="s">
        <v>90</v>
      </c>
      <c r="P6" t="s">
        <v>366</v>
      </c>
      <c r="Q6" t="s">
        <v>217</v>
      </c>
      <c r="R6">
        <v>1</v>
      </c>
    </row>
    <row r="7" spans="1:18" x14ac:dyDescent="0.3">
      <c r="A7" t="s">
        <v>351</v>
      </c>
      <c r="B7" t="s">
        <v>43</v>
      </c>
      <c r="C7" t="s">
        <v>105</v>
      </c>
      <c r="D7" s="15">
        <v>46246.307928240742</v>
      </c>
      <c r="E7" t="s">
        <v>411</v>
      </c>
      <c r="F7">
        <v>1</v>
      </c>
      <c r="G7" s="15">
        <v>46247.461805555555</v>
      </c>
      <c r="H7" t="s">
        <v>363</v>
      </c>
      <c r="I7" t="s">
        <v>378</v>
      </c>
      <c r="J7" t="s">
        <v>239</v>
      </c>
      <c r="K7" t="s">
        <v>351</v>
      </c>
      <c r="L7" t="s">
        <v>378</v>
      </c>
      <c r="M7" t="s">
        <v>239</v>
      </c>
      <c r="N7">
        <v>0</v>
      </c>
      <c r="O7" t="s">
        <v>67</v>
      </c>
      <c r="P7" t="s">
        <v>363</v>
      </c>
      <c r="Q7" t="s">
        <v>217</v>
      </c>
      <c r="R7">
        <v>1</v>
      </c>
    </row>
    <row r="8" spans="1:18" x14ac:dyDescent="0.3">
      <c r="A8" t="s">
        <v>351</v>
      </c>
      <c r="B8" t="s">
        <v>43</v>
      </c>
      <c r="C8" t="s">
        <v>105</v>
      </c>
      <c r="D8" s="15">
        <v>46244.651597222219</v>
      </c>
      <c r="E8" t="s">
        <v>411</v>
      </c>
      <c r="F8">
        <v>2</v>
      </c>
      <c r="G8" s="15">
        <v>46246.481944444444</v>
      </c>
      <c r="H8" t="s">
        <v>363</v>
      </c>
      <c r="I8" t="s">
        <v>378</v>
      </c>
      <c r="J8" t="s">
        <v>239</v>
      </c>
      <c r="K8" t="s">
        <v>351</v>
      </c>
      <c r="L8" t="s">
        <v>378</v>
      </c>
      <c r="M8" t="s">
        <v>239</v>
      </c>
      <c r="N8">
        <v>0</v>
      </c>
      <c r="O8" t="s">
        <v>67</v>
      </c>
      <c r="P8" t="s">
        <v>363</v>
      </c>
      <c r="Q8" t="s">
        <v>217</v>
      </c>
      <c r="R8">
        <v>1</v>
      </c>
    </row>
    <row r="9" spans="1:18" x14ac:dyDescent="0.3">
      <c r="A9" t="s">
        <v>351</v>
      </c>
      <c r="B9" t="s">
        <v>43</v>
      </c>
      <c r="C9" t="s">
        <v>105</v>
      </c>
      <c r="D9" s="15">
        <v>46241.373356481483</v>
      </c>
      <c r="E9" t="s">
        <v>411</v>
      </c>
      <c r="F9">
        <v>2</v>
      </c>
      <c r="G9" s="15">
        <v>46244.479166666664</v>
      </c>
      <c r="H9" t="s">
        <v>363</v>
      </c>
      <c r="I9" t="s">
        <v>378</v>
      </c>
      <c r="J9" t="s">
        <v>239</v>
      </c>
      <c r="K9" t="s">
        <v>351</v>
      </c>
      <c r="L9" t="s">
        <v>378</v>
      </c>
      <c r="M9" t="s">
        <v>239</v>
      </c>
      <c r="N9">
        <v>0</v>
      </c>
      <c r="O9" t="s">
        <v>67</v>
      </c>
      <c r="P9" t="s">
        <v>363</v>
      </c>
      <c r="Q9" t="s">
        <v>217</v>
      </c>
      <c r="R9">
        <v>1</v>
      </c>
    </row>
    <row r="10" spans="1:18" x14ac:dyDescent="0.3">
      <c r="A10" t="s">
        <v>351</v>
      </c>
      <c r="B10" t="s">
        <v>43</v>
      </c>
      <c r="C10" t="s">
        <v>105</v>
      </c>
      <c r="D10" s="15">
        <v>46239.511006944442</v>
      </c>
      <c r="E10" t="s">
        <v>411</v>
      </c>
      <c r="F10">
        <v>3</v>
      </c>
      <c r="G10" s="15">
        <v>46240.486805555556</v>
      </c>
      <c r="H10" t="s">
        <v>363</v>
      </c>
      <c r="I10" t="s">
        <v>378</v>
      </c>
      <c r="J10" t="s">
        <v>239</v>
      </c>
      <c r="K10" t="s">
        <v>351</v>
      </c>
      <c r="L10" t="s">
        <v>378</v>
      </c>
      <c r="M10" t="s">
        <v>239</v>
      </c>
      <c r="N10">
        <v>0</v>
      </c>
      <c r="O10" t="s">
        <v>67</v>
      </c>
      <c r="P10" t="s">
        <v>363</v>
      </c>
      <c r="Q10" t="s">
        <v>217</v>
      </c>
      <c r="R10">
        <v>1</v>
      </c>
    </row>
    <row r="11" spans="1:18" x14ac:dyDescent="0.3">
      <c r="A11" t="s">
        <v>351</v>
      </c>
      <c r="B11" t="s">
        <v>45</v>
      </c>
      <c r="C11" t="s">
        <v>68</v>
      </c>
      <c r="D11" s="15">
        <v>46238.581493055557</v>
      </c>
      <c r="E11" t="s">
        <v>411</v>
      </c>
      <c r="F11">
        <v>9</v>
      </c>
      <c r="G11" s="15">
        <v>46240.479166666664</v>
      </c>
      <c r="H11" t="s">
        <v>363</v>
      </c>
      <c r="I11" t="s">
        <v>378</v>
      </c>
      <c r="J11" t="s">
        <v>239</v>
      </c>
      <c r="K11" t="s">
        <v>351</v>
      </c>
      <c r="L11" t="s">
        <v>378</v>
      </c>
      <c r="M11" t="s">
        <v>239</v>
      </c>
      <c r="O11" t="s">
        <v>67</v>
      </c>
      <c r="P11" t="s">
        <v>363</v>
      </c>
      <c r="Q11" t="s">
        <v>217</v>
      </c>
    </row>
    <row r="12" spans="1:18" x14ac:dyDescent="0.3">
      <c r="A12" t="s">
        <v>351</v>
      </c>
      <c r="B12" t="s">
        <v>47</v>
      </c>
      <c r="C12" t="s">
        <v>68</v>
      </c>
      <c r="D12" s="15">
        <v>46239.471967592595</v>
      </c>
      <c r="E12" t="s">
        <v>411</v>
      </c>
      <c r="F12">
        <v>1</v>
      </c>
      <c r="G12" s="15">
        <v>46240.488194444442</v>
      </c>
      <c r="H12" t="s">
        <v>363</v>
      </c>
      <c r="I12" t="s">
        <v>378</v>
      </c>
      <c r="J12" t="s">
        <v>239</v>
      </c>
      <c r="K12" t="s">
        <v>351</v>
      </c>
      <c r="L12" t="s">
        <v>378</v>
      </c>
      <c r="M12" t="s">
        <v>239</v>
      </c>
      <c r="N12">
        <v>0</v>
      </c>
      <c r="O12" t="s">
        <v>90</v>
      </c>
      <c r="P12" t="s">
        <v>363</v>
      </c>
      <c r="Q12" t="s">
        <v>218</v>
      </c>
    </row>
    <row r="13" spans="1:18" x14ac:dyDescent="0.3">
      <c r="A13" t="s">
        <v>351</v>
      </c>
      <c r="B13" t="s">
        <v>47</v>
      </c>
      <c r="C13" t="s">
        <v>68</v>
      </c>
      <c r="D13" s="15">
        <v>46239.466099537036</v>
      </c>
      <c r="E13" t="s">
        <v>411</v>
      </c>
      <c r="F13">
        <v>1</v>
      </c>
      <c r="G13" s="15">
        <v>46240.467361111114</v>
      </c>
      <c r="H13" t="s">
        <v>363</v>
      </c>
      <c r="I13" t="s">
        <v>378</v>
      </c>
      <c r="J13" t="s">
        <v>239</v>
      </c>
      <c r="K13" t="s">
        <v>351</v>
      </c>
      <c r="L13" t="s">
        <v>378</v>
      </c>
      <c r="M13" t="s">
        <v>239</v>
      </c>
      <c r="O13" t="s">
        <v>90</v>
      </c>
      <c r="P13" t="s">
        <v>363</v>
      </c>
      <c r="Q13" t="s">
        <v>218</v>
      </c>
    </row>
    <row r="14" spans="1:18" x14ac:dyDescent="0.3">
      <c r="A14" t="s">
        <v>351</v>
      </c>
      <c r="B14" t="s">
        <v>43</v>
      </c>
      <c r="C14" t="s">
        <v>105</v>
      </c>
      <c r="D14" s="15">
        <v>46232.641296296293</v>
      </c>
      <c r="E14" t="s">
        <v>411</v>
      </c>
      <c r="F14">
        <v>3</v>
      </c>
      <c r="G14" s="15">
        <v>46233.513888888891</v>
      </c>
      <c r="H14" t="s">
        <v>363</v>
      </c>
      <c r="I14" t="s">
        <v>378</v>
      </c>
      <c r="J14" t="s">
        <v>239</v>
      </c>
      <c r="K14" t="s">
        <v>351</v>
      </c>
      <c r="L14" t="s">
        <v>378</v>
      </c>
      <c r="M14" t="s">
        <v>239</v>
      </c>
      <c r="N14">
        <v>0</v>
      </c>
      <c r="O14" t="s">
        <v>67</v>
      </c>
      <c r="P14" t="s">
        <v>363</v>
      </c>
      <c r="Q14" t="s">
        <v>217</v>
      </c>
      <c r="R14">
        <v>1</v>
      </c>
    </row>
    <row r="15" spans="1:18" x14ac:dyDescent="0.3">
      <c r="A15" t="s">
        <v>351</v>
      </c>
      <c r="B15" t="s">
        <v>43</v>
      </c>
      <c r="C15" t="s">
        <v>105</v>
      </c>
      <c r="D15" s="15">
        <v>46220.487835648149</v>
      </c>
      <c r="E15" t="s">
        <v>411</v>
      </c>
      <c r="F15">
        <v>3</v>
      </c>
      <c r="G15" s="15">
        <v>46224.423611111109</v>
      </c>
      <c r="H15" t="s">
        <v>363</v>
      </c>
      <c r="I15" t="s">
        <v>378</v>
      </c>
      <c r="J15" t="s">
        <v>239</v>
      </c>
      <c r="K15" t="s">
        <v>351</v>
      </c>
      <c r="L15" t="s">
        <v>378</v>
      </c>
      <c r="M15" t="s">
        <v>239</v>
      </c>
      <c r="N15">
        <v>0</v>
      </c>
      <c r="O15" t="s">
        <v>67</v>
      </c>
      <c r="P15" t="s">
        <v>363</v>
      </c>
      <c r="Q15" t="s">
        <v>217</v>
      </c>
      <c r="R15">
        <v>1</v>
      </c>
    </row>
    <row r="16" spans="1:18" x14ac:dyDescent="0.3">
      <c r="A16" t="s">
        <v>351</v>
      </c>
      <c r="B16" t="s">
        <v>47</v>
      </c>
      <c r="C16" t="s">
        <v>68</v>
      </c>
      <c r="D16" s="15">
        <v>46233.500243055554</v>
      </c>
      <c r="E16" t="s">
        <v>411</v>
      </c>
      <c r="F16">
        <v>2</v>
      </c>
      <c r="G16" s="15">
        <v>46234.449305555558</v>
      </c>
      <c r="H16" t="s">
        <v>363</v>
      </c>
      <c r="I16" t="s">
        <v>378</v>
      </c>
      <c r="J16" t="s">
        <v>239</v>
      </c>
      <c r="K16" t="s">
        <v>351</v>
      </c>
      <c r="L16" t="s">
        <v>378</v>
      </c>
      <c r="M16" t="s">
        <v>239</v>
      </c>
      <c r="N16">
        <v>0</v>
      </c>
      <c r="O16" t="s">
        <v>90</v>
      </c>
      <c r="P16" t="s">
        <v>363</v>
      </c>
      <c r="Q16" t="s">
        <v>218</v>
      </c>
      <c r="R16">
        <v>1</v>
      </c>
    </row>
    <row r="17" spans="1:18" x14ac:dyDescent="0.3">
      <c r="A17" t="s">
        <v>351</v>
      </c>
      <c r="B17" t="s">
        <v>48</v>
      </c>
      <c r="C17" t="s">
        <v>68</v>
      </c>
      <c r="D17" s="15">
        <v>46224.393900462965</v>
      </c>
      <c r="E17" t="s">
        <v>411</v>
      </c>
      <c r="F17">
        <v>1</v>
      </c>
      <c r="G17" s="15">
        <v>46234.497916666667</v>
      </c>
      <c r="H17" t="s">
        <v>363</v>
      </c>
      <c r="I17" t="s">
        <v>378</v>
      </c>
      <c r="J17" t="s">
        <v>239</v>
      </c>
      <c r="K17" t="s">
        <v>351</v>
      </c>
      <c r="L17" t="s">
        <v>378</v>
      </c>
      <c r="M17" t="s">
        <v>239</v>
      </c>
      <c r="N17">
        <v>0</v>
      </c>
      <c r="O17" t="s">
        <v>90</v>
      </c>
      <c r="P17" t="s">
        <v>363</v>
      </c>
      <c r="Q17" t="s">
        <v>217</v>
      </c>
    </row>
    <row r="18" spans="1:18" x14ac:dyDescent="0.3">
      <c r="A18" t="s">
        <v>351</v>
      </c>
      <c r="B18" t="s">
        <v>47</v>
      </c>
      <c r="C18" t="s">
        <v>68</v>
      </c>
      <c r="D18" s="15">
        <v>46240.53496527778</v>
      </c>
      <c r="E18" t="s">
        <v>411</v>
      </c>
      <c r="F18">
        <v>1</v>
      </c>
      <c r="G18" s="15">
        <v>46241.430555555555</v>
      </c>
      <c r="H18" t="s">
        <v>363</v>
      </c>
      <c r="I18" t="s">
        <v>378</v>
      </c>
      <c r="J18" t="s">
        <v>239</v>
      </c>
      <c r="K18" t="s">
        <v>351</v>
      </c>
      <c r="L18" t="s">
        <v>378</v>
      </c>
      <c r="M18" t="s">
        <v>239</v>
      </c>
      <c r="N18">
        <v>0</v>
      </c>
      <c r="O18" t="s">
        <v>90</v>
      </c>
      <c r="P18" t="s">
        <v>363</v>
      </c>
      <c r="Q18" t="s">
        <v>218</v>
      </c>
      <c r="R18">
        <v>1</v>
      </c>
    </row>
    <row r="19" spans="1:18" x14ac:dyDescent="0.3">
      <c r="A19" t="s">
        <v>351</v>
      </c>
      <c r="B19" t="s">
        <v>48</v>
      </c>
      <c r="C19" t="s">
        <v>68</v>
      </c>
      <c r="D19" s="15">
        <v>46246.518310185187</v>
      </c>
      <c r="E19" t="s">
        <v>411</v>
      </c>
      <c r="F19">
        <v>1</v>
      </c>
      <c r="G19" s="15">
        <v>46254.573611111111</v>
      </c>
      <c r="H19" t="s">
        <v>363</v>
      </c>
      <c r="I19" t="s">
        <v>378</v>
      </c>
      <c r="J19" t="s">
        <v>239</v>
      </c>
      <c r="K19" t="s">
        <v>351</v>
      </c>
      <c r="L19" t="s">
        <v>378</v>
      </c>
      <c r="M19" t="s">
        <v>239</v>
      </c>
      <c r="N19">
        <v>0</v>
      </c>
      <c r="O19" t="s">
        <v>90</v>
      </c>
      <c r="P19" t="s">
        <v>363</v>
      </c>
      <c r="Q19" t="s">
        <v>217</v>
      </c>
      <c r="R19">
        <v>1</v>
      </c>
    </row>
    <row r="20" spans="1:18" x14ac:dyDescent="0.3">
      <c r="A20" t="s">
        <v>351</v>
      </c>
      <c r="B20" t="s">
        <v>48</v>
      </c>
      <c r="C20" t="s">
        <v>68</v>
      </c>
      <c r="D20" s="15">
        <v>46251.526550925926</v>
      </c>
      <c r="E20" t="s">
        <v>411</v>
      </c>
      <c r="F20">
        <v>1</v>
      </c>
      <c r="G20" s="15">
        <v>46254.573611111111</v>
      </c>
      <c r="H20" t="s">
        <v>363</v>
      </c>
      <c r="I20" t="s">
        <v>378</v>
      </c>
      <c r="J20" t="s">
        <v>239</v>
      </c>
      <c r="K20" t="s">
        <v>351</v>
      </c>
      <c r="L20" t="s">
        <v>378</v>
      </c>
      <c r="M20" t="s">
        <v>239</v>
      </c>
      <c r="O20" t="s">
        <v>90</v>
      </c>
      <c r="P20" t="s">
        <v>363</v>
      </c>
      <c r="Q20" t="s">
        <v>217</v>
      </c>
    </row>
    <row r="21" spans="1:18" x14ac:dyDescent="0.3">
      <c r="A21" t="s">
        <v>351</v>
      </c>
      <c r="B21" t="s">
        <v>48</v>
      </c>
      <c r="C21" t="s">
        <v>68</v>
      </c>
      <c r="D21" s="15">
        <v>46251.620995370373</v>
      </c>
      <c r="E21" t="s">
        <v>411</v>
      </c>
      <c r="F21">
        <v>2</v>
      </c>
      <c r="G21" s="15">
        <v>46254.573611111111</v>
      </c>
      <c r="H21" t="s">
        <v>363</v>
      </c>
      <c r="I21" t="s">
        <v>378</v>
      </c>
      <c r="J21" t="s">
        <v>239</v>
      </c>
      <c r="K21" t="s">
        <v>351</v>
      </c>
      <c r="L21" t="s">
        <v>378</v>
      </c>
      <c r="M21" t="s">
        <v>239</v>
      </c>
      <c r="O21" t="s">
        <v>90</v>
      </c>
      <c r="P21" t="s">
        <v>363</v>
      </c>
      <c r="Q21" t="s">
        <v>217</v>
      </c>
    </row>
    <row r="22" spans="1:18" x14ac:dyDescent="0.3">
      <c r="A22" t="s">
        <v>351</v>
      </c>
      <c r="B22" t="s">
        <v>48</v>
      </c>
      <c r="C22" t="s">
        <v>68</v>
      </c>
      <c r="D22" s="15">
        <v>46254.383645833332</v>
      </c>
      <c r="E22" t="s">
        <v>411</v>
      </c>
      <c r="F22">
        <v>1</v>
      </c>
      <c r="G22" s="15">
        <v>46258.484027777777</v>
      </c>
      <c r="H22" t="s">
        <v>363</v>
      </c>
      <c r="I22" t="s">
        <v>378</v>
      </c>
      <c r="J22" t="s">
        <v>239</v>
      </c>
      <c r="K22" t="s">
        <v>351</v>
      </c>
      <c r="L22" t="s">
        <v>378</v>
      </c>
      <c r="M22" t="s">
        <v>239</v>
      </c>
      <c r="N22">
        <v>0</v>
      </c>
      <c r="O22" t="s">
        <v>90</v>
      </c>
      <c r="P22" t="s">
        <v>363</v>
      </c>
      <c r="Q22" t="s">
        <v>217</v>
      </c>
      <c r="R22">
        <v>1</v>
      </c>
    </row>
    <row r="23" spans="1:18" x14ac:dyDescent="0.3">
      <c r="A23" t="s">
        <v>351</v>
      </c>
      <c r="B23" t="s">
        <v>48</v>
      </c>
      <c r="C23" t="s">
        <v>68</v>
      </c>
      <c r="D23" s="15">
        <v>46246.459398148145</v>
      </c>
      <c r="E23" t="s">
        <v>411</v>
      </c>
      <c r="F23">
        <v>1</v>
      </c>
      <c r="G23" s="15">
        <v>46258.484027777777</v>
      </c>
      <c r="H23" t="s">
        <v>363</v>
      </c>
      <c r="I23" t="s">
        <v>378</v>
      </c>
      <c r="J23" t="s">
        <v>239</v>
      </c>
      <c r="K23" t="s">
        <v>351</v>
      </c>
      <c r="L23" t="s">
        <v>378</v>
      </c>
      <c r="M23" t="s">
        <v>239</v>
      </c>
      <c r="O23" t="s">
        <v>90</v>
      </c>
      <c r="P23" t="s">
        <v>363</v>
      </c>
      <c r="Q23" t="s">
        <v>217</v>
      </c>
    </row>
    <row r="24" spans="1:18" x14ac:dyDescent="0.3">
      <c r="A24" t="s">
        <v>351</v>
      </c>
      <c r="B24" t="s">
        <v>48</v>
      </c>
      <c r="C24" t="s">
        <v>68</v>
      </c>
      <c r="D24" s="15">
        <v>46245.580497685187</v>
      </c>
      <c r="E24" t="s">
        <v>411</v>
      </c>
      <c r="F24">
        <v>1</v>
      </c>
      <c r="G24" s="15">
        <v>46258.484027777777</v>
      </c>
      <c r="H24" t="s">
        <v>363</v>
      </c>
      <c r="I24" t="s">
        <v>378</v>
      </c>
      <c r="J24" t="s">
        <v>239</v>
      </c>
      <c r="K24" t="s">
        <v>351</v>
      </c>
      <c r="L24" t="s">
        <v>378</v>
      </c>
      <c r="M24" t="s">
        <v>239</v>
      </c>
      <c r="O24" t="s">
        <v>90</v>
      </c>
      <c r="P24" t="s">
        <v>363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46253.381192129629</v>
      </c>
      <c r="E25" t="s">
        <v>411</v>
      </c>
      <c r="F25">
        <v>1</v>
      </c>
      <c r="G25" s="15">
        <v>46255.386805555558</v>
      </c>
      <c r="H25" t="s">
        <v>363</v>
      </c>
      <c r="I25" t="s">
        <v>378</v>
      </c>
      <c r="J25" t="s">
        <v>239</v>
      </c>
      <c r="K25" t="s">
        <v>351</v>
      </c>
      <c r="L25" t="s">
        <v>378</v>
      </c>
      <c r="M25" t="s">
        <v>239</v>
      </c>
      <c r="N25">
        <v>0</v>
      </c>
      <c r="O25" t="s">
        <v>90</v>
      </c>
      <c r="P25" t="s">
        <v>363</v>
      </c>
      <c r="Q25" t="s">
        <v>217</v>
      </c>
      <c r="R25">
        <v>1</v>
      </c>
    </row>
    <row r="26" spans="1:18" x14ac:dyDescent="0.3">
      <c r="A26" t="s">
        <v>351</v>
      </c>
      <c r="B26" t="s">
        <v>48</v>
      </c>
      <c r="C26" t="s">
        <v>68</v>
      </c>
      <c r="D26" s="15">
        <v>46237.501354166663</v>
      </c>
      <c r="E26" t="s">
        <v>411</v>
      </c>
      <c r="F26">
        <v>1</v>
      </c>
      <c r="G26" s="15">
        <v>46239.477777777778</v>
      </c>
      <c r="H26" t="s">
        <v>363</v>
      </c>
      <c r="I26" t="s">
        <v>378</v>
      </c>
      <c r="J26" t="s">
        <v>239</v>
      </c>
      <c r="K26" t="s">
        <v>351</v>
      </c>
      <c r="L26" t="s">
        <v>378</v>
      </c>
      <c r="M26" t="s">
        <v>239</v>
      </c>
      <c r="N26">
        <v>0</v>
      </c>
      <c r="O26" t="s">
        <v>90</v>
      </c>
      <c r="P26" t="s">
        <v>363</v>
      </c>
      <c r="Q26" t="s">
        <v>217</v>
      </c>
      <c r="R26">
        <v>1</v>
      </c>
    </row>
    <row r="27" spans="1:18" x14ac:dyDescent="0.3">
      <c r="A27" t="s">
        <v>351</v>
      </c>
      <c r="B27" t="s">
        <v>48</v>
      </c>
      <c r="C27" t="s">
        <v>68</v>
      </c>
      <c r="D27" s="15">
        <v>46237.522916666669</v>
      </c>
      <c r="E27" t="s">
        <v>411</v>
      </c>
      <c r="F27">
        <v>2</v>
      </c>
      <c r="G27" s="15">
        <v>46239.477777777778</v>
      </c>
      <c r="H27" t="s">
        <v>363</v>
      </c>
      <c r="I27" t="s">
        <v>378</v>
      </c>
      <c r="J27" t="s">
        <v>239</v>
      </c>
      <c r="K27" t="s">
        <v>351</v>
      </c>
      <c r="L27" t="s">
        <v>378</v>
      </c>
      <c r="M27" t="s">
        <v>239</v>
      </c>
      <c r="O27" t="s">
        <v>90</v>
      </c>
      <c r="P27" t="s">
        <v>363</v>
      </c>
      <c r="Q27" t="s">
        <v>217</v>
      </c>
    </row>
    <row r="28" spans="1:18" x14ac:dyDescent="0.3">
      <c r="A28" t="s">
        <v>351</v>
      </c>
      <c r="B28" t="s">
        <v>48</v>
      </c>
      <c r="C28" t="s">
        <v>68</v>
      </c>
      <c r="D28" s="15">
        <v>46226.405069444445</v>
      </c>
      <c r="E28" t="s">
        <v>411</v>
      </c>
      <c r="F28">
        <v>2</v>
      </c>
      <c r="G28" s="15">
        <v>46230.652777777781</v>
      </c>
      <c r="H28" t="s">
        <v>363</v>
      </c>
      <c r="I28" t="s">
        <v>378</v>
      </c>
      <c r="J28" t="s">
        <v>239</v>
      </c>
      <c r="K28" t="s">
        <v>351</v>
      </c>
      <c r="L28" t="s">
        <v>378</v>
      </c>
      <c r="M28" t="s">
        <v>239</v>
      </c>
      <c r="N28">
        <v>0</v>
      </c>
      <c r="O28" t="s">
        <v>90</v>
      </c>
      <c r="P28" t="s">
        <v>363</v>
      </c>
      <c r="Q28" t="s">
        <v>217</v>
      </c>
      <c r="R28">
        <v>1</v>
      </c>
    </row>
    <row r="29" spans="1:18" x14ac:dyDescent="0.3">
      <c r="A29" t="s">
        <v>351</v>
      </c>
      <c r="B29" t="s">
        <v>43</v>
      </c>
      <c r="C29" t="s">
        <v>105</v>
      </c>
      <c r="D29" s="15">
        <v>46244.369768518518</v>
      </c>
      <c r="E29" t="s">
        <v>412</v>
      </c>
      <c r="F29">
        <v>4</v>
      </c>
      <c r="G29" s="15">
        <v>46246.443055555559</v>
      </c>
      <c r="H29" t="s">
        <v>360</v>
      </c>
      <c r="I29" t="s">
        <v>378</v>
      </c>
      <c r="J29" t="s">
        <v>239</v>
      </c>
      <c r="K29" t="s">
        <v>351</v>
      </c>
      <c r="L29" t="s">
        <v>378</v>
      </c>
      <c r="M29" t="s">
        <v>239</v>
      </c>
      <c r="N29">
        <v>0</v>
      </c>
      <c r="O29" t="s">
        <v>67</v>
      </c>
      <c r="P29" t="s">
        <v>360</v>
      </c>
      <c r="Q29" t="s">
        <v>217</v>
      </c>
      <c r="R29">
        <v>1</v>
      </c>
    </row>
    <row r="30" spans="1:18" x14ac:dyDescent="0.3">
      <c r="A30" t="s">
        <v>351</v>
      </c>
      <c r="B30" t="s">
        <v>48</v>
      </c>
      <c r="C30" t="s">
        <v>68</v>
      </c>
      <c r="D30" s="15">
        <v>46244.381539351853</v>
      </c>
      <c r="E30" t="s">
        <v>412</v>
      </c>
      <c r="F30">
        <v>1</v>
      </c>
      <c r="G30" s="15">
        <v>46246.443055555559</v>
      </c>
      <c r="H30" t="s">
        <v>360</v>
      </c>
      <c r="I30" t="s">
        <v>378</v>
      </c>
      <c r="J30" t="s">
        <v>239</v>
      </c>
      <c r="K30" t="s">
        <v>351</v>
      </c>
      <c r="L30" t="s">
        <v>378</v>
      </c>
      <c r="M30" t="s">
        <v>239</v>
      </c>
      <c r="O30" t="s">
        <v>90</v>
      </c>
      <c r="P30" t="s">
        <v>360</v>
      </c>
      <c r="Q30" t="s">
        <v>217</v>
      </c>
    </row>
    <row r="31" spans="1:18" x14ac:dyDescent="0.3">
      <c r="A31" t="s">
        <v>351</v>
      </c>
      <c r="B31" t="s">
        <v>43</v>
      </c>
      <c r="C31" t="s">
        <v>105</v>
      </c>
      <c r="D31" s="15">
        <v>46227.579050925924</v>
      </c>
      <c r="E31" t="s">
        <v>412</v>
      </c>
      <c r="F31">
        <v>2</v>
      </c>
      <c r="G31" s="15">
        <v>46231.416666666664</v>
      </c>
      <c r="H31" t="s">
        <v>360</v>
      </c>
      <c r="I31" t="s">
        <v>378</v>
      </c>
      <c r="J31" t="s">
        <v>239</v>
      </c>
      <c r="K31" t="s">
        <v>351</v>
      </c>
      <c r="L31" t="s">
        <v>378</v>
      </c>
      <c r="M31" t="s">
        <v>239</v>
      </c>
      <c r="N31">
        <v>0</v>
      </c>
      <c r="O31" t="s">
        <v>67</v>
      </c>
      <c r="P31" t="s">
        <v>360</v>
      </c>
      <c r="Q31" t="s">
        <v>217</v>
      </c>
      <c r="R31">
        <v>1</v>
      </c>
    </row>
    <row r="32" spans="1:18" x14ac:dyDescent="0.3">
      <c r="A32" t="s">
        <v>351</v>
      </c>
      <c r="B32" t="s">
        <v>47</v>
      </c>
      <c r="C32" t="s">
        <v>68</v>
      </c>
      <c r="D32" s="15">
        <v>46240.53496527778</v>
      </c>
      <c r="E32" t="s">
        <v>411</v>
      </c>
      <c r="F32">
        <v>1</v>
      </c>
      <c r="G32" s="15">
        <v>46241.430555555555</v>
      </c>
      <c r="H32" t="s">
        <v>360</v>
      </c>
      <c r="I32" t="s">
        <v>378</v>
      </c>
      <c r="J32" t="s">
        <v>239</v>
      </c>
      <c r="K32" t="s">
        <v>351</v>
      </c>
      <c r="L32" t="s">
        <v>378</v>
      </c>
      <c r="M32" t="s">
        <v>239</v>
      </c>
      <c r="N32">
        <v>0</v>
      </c>
      <c r="O32" t="s">
        <v>90</v>
      </c>
      <c r="P32" t="s">
        <v>360</v>
      </c>
      <c r="Q32" t="s">
        <v>218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46238.415856481479</v>
      </c>
      <c r="E33" t="s">
        <v>419</v>
      </c>
      <c r="F33">
        <v>3</v>
      </c>
      <c r="G33" s="15">
        <v>46240.430555555555</v>
      </c>
      <c r="H33" t="s">
        <v>360</v>
      </c>
      <c r="I33" t="s">
        <v>378</v>
      </c>
      <c r="J33" t="s">
        <v>239</v>
      </c>
      <c r="K33" t="s">
        <v>351</v>
      </c>
      <c r="L33" t="s">
        <v>378</v>
      </c>
      <c r="M33" t="s">
        <v>239</v>
      </c>
      <c r="N33">
        <v>0</v>
      </c>
      <c r="O33" t="s">
        <v>67</v>
      </c>
      <c r="P33" t="s">
        <v>360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46238.416307870371</v>
      </c>
      <c r="E34" t="s">
        <v>419</v>
      </c>
      <c r="F34">
        <v>10</v>
      </c>
      <c r="G34" s="15">
        <v>46240.430555555555</v>
      </c>
      <c r="H34" t="s">
        <v>360</v>
      </c>
      <c r="I34" t="s">
        <v>378</v>
      </c>
      <c r="J34" t="s">
        <v>239</v>
      </c>
      <c r="K34" t="s">
        <v>351</v>
      </c>
      <c r="L34" t="s">
        <v>378</v>
      </c>
      <c r="M34" t="s">
        <v>239</v>
      </c>
      <c r="O34" t="s">
        <v>67</v>
      </c>
      <c r="P34" t="s">
        <v>360</v>
      </c>
      <c r="Q34" t="s">
        <v>217</v>
      </c>
    </row>
    <row r="35" spans="1:18" x14ac:dyDescent="0.3">
      <c r="A35" t="s">
        <v>351</v>
      </c>
      <c r="B35" t="s">
        <v>45</v>
      </c>
      <c r="C35" t="s">
        <v>68</v>
      </c>
      <c r="D35" s="15">
        <v>46238.415497685186</v>
      </c>
      <c r="E35" t="s">
        <v>419</v>
      </c>
      <c r="F35">
        <v>9</v>
      </c>
      <c r="G35" s="15">
        <v>46240.430555555555</v>
      </c>
      <c r="H35" t="s">
        <v>360</v>
      </c>
      <c r="I35" t="s">
        <v>378</v>
      </c>
      <c r="J35" t="s">
        <v>239</v>
      </c>
      <c r="K35" t="s">
        <v>351</v>
      </c>
      <c r="L35" t="s">
        <v>378</v>
      </c>
      <c r="M35" t="s">
        <v>239</v>
      </c>
      <c r="O35" t="s">
        <v>67</v>
      </c>
      <c r="P35" t="s">
        <v>360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46237.469942129632</v>
      </c>
      <c r="E36" t="s">
        <v>412</v>
      </c>
      <c r="F36">
        <v>1</v>
      </c>
      <c r="G36" s="15">
        <v>46240.388888888891</v>
      </c>
      <c r="H36" t="s">
        <v>360</v>
      </c>
      <c r="I36" t="s">
        <v>378</v>
      </c>
      <c r="J36" t="s">
        <v>239</v>
      </c>
      <c r="K36" t="s">
        <v>351</v>
      </c>
      <c r="L36" t="s">
        <v>378</v>
      </c>
      <c r="M36" t="s">
        <v>239</v>
      </c>
      <c r="N36">
        <v>0</v>
      </c>
      <c r="O36" t="s">
        <v>67</v>
      </c>
      <c r="P36" t="s">
        <v>360</v>
      </c>
      <c r="Q36" t="s">
        <v>217</v>
      </c>
    </row>
    <row r="37" spans="1:18" x14ac:dyDescent="0.3">
      <c r="A37" t="s">
        <v>351</v>
      </c>
      <c r="B37" t="s">
        <v>48</v>
      </c>
      <c r="C37" t="s">
        <v>68</v>
      </c>
      <c r="D37" s="15">
        <v>46233.385277777779</v>
      </c>
      <c r="E37" t="s">
        <v>412</v>
      </c>
      <c r="F37">
        <v>1</v>
      </c>
      <c r="G37" s="15">
        <v>46240.420138888891</v>
      </c>
      <c r="H37" t="s">
        <v>360</v>
      </c>
      <c r="I37" t="s">
        <v>378</v>
      </c>
      <c r="J37" t="s">
        <v>239</v>
      </c>
      <c r="K37" t="s">
        <v>351</v>
      </c>
      <c r="L37" t="s">
        <v>378</v>
      </c>
      <c r="M37" t="s">
        <v>239</v>
      </c>
      <c r="N37">
        <v>0</v>
      </c>
      <c r="O37" t="s">
        <v>90</v>
      </c>
      <c r="P37" t="s">
        <v>360</v>
      </c>
      <c r="Q37" t="s">
        <v>217</v>
      </c>
    </row>
    <row r="38" spans="1:18" x14ac:dyDescent="0.3">
      <c r="A38" t="s">
        <v>351</v>
      </c>
      <c r="B38" t="s">
        <v>45</v>
      </c>
      <c r="C38" t="s">
        <v>68</v>
      </c>
      <c r="D38" s="15">
        <v>46225.311331018522</v>
      </c>
      <c r="E38" t="s">
        <v>409</v>
      </c>
      <c r="F38">
        <v>3</v>
      </c>
      <c r="G38" s="15">
        <v>46227.42291666667</v>
      </c>
      <c r="H38" t="s">
        <v>360</v>
      </c>
      <c r="I38" t="s">
        <v>378</v>
      </c>
      <c r="J38" t="s">
        <v>239</v>
      </c>
      <c r="K38" t="s">
        <v>351</v>
      </c>
      <c r="L38" t="s">
        <v>378</v>
      </c>
      <c r="M38" t="s">
        <v>239</v>
      </c>
      <c r="N38">
        <v>0</v>
      </c>
      <c r="O38" t="s">
        <v>67</v>
      </c>
      <c r="P38" t="s">
        <v>360</v>
      </c>
      <c r="Q38" t="s">
        <v>217</v>
      </c>
      <c r="R38">
        <v>1</v>
      </c>
    </row>
    <row r="39" spans="1:18" x14ac:dyDescent="0.3">
      <c r="A39" t="s">
        <v>351</v>
      </c>
      <c r="B39" t="s">
        <v>45</v>
      </c>
      <c r="C39" t="s">
        <v>68</v>
      </c>
      <c r="D39" s="15">
        <v>46225.310555555552</v>
      </c>
      <c r="E39" t="s">
        <v>409</v>
      </c>
      <c r="F39">
        <v>4</v>
      </c>
      <c r="G39" s="15">
        <v>46227.42291666667</v>
      </c>
      <c r="H39" t="s">
        <v>360</v>
      </c>
      <c r="I39" t="s">
        <v>378</v>
      </c>
      <c r="J39" t="s">
        <v>239</v>
      </c>
      <c r="K39" t="s">
        <v>351</v>
      </c>
      <c r="L39" t="s">
        <v>378</v>
      </c>
      <c r="M39" t="s">
        <v>239</v>
      </c>
      <c r="O39" t="s">
        <v>67</v>
      </c>
      <c r="P39" t="s">
        <v>360</v>
      </c>
      <c r="Q39" t="s">
        <v>217</v>
      </c>
    </row>
    <row r="40" spans="1:18" x14ac:dyDescent="0.3">
      <c r="A40" t="s">
        <v>351</v>
      </c>
      <c r="B40" t="s">
        <v>48</v>
      </c>
      <c r="C40" t="s">
        <v>68</v>
      </c>
      <c r="D40" s="15">
        <v>46225.384560185186</v>
      </c>
      <c r="E40" t="s">
        <v>412</v>
      </c>
      <c r="F40">
        <v>1</v>
      </c>
      <c r="G40" s="15">
        <v>46227.40347222222</v>
      </c>
      <c r="H40" t="s">
        <v>360</v>
      </c>
      <c r="I40" t="s">
        <v>378</v>
      </c>
      <c r="J40" t="s">
        <v>239</v>
      </c>
      <c r="K40" t="s">
        <v>351</v>
      </c>
      <c r="L40" t="s">
        <v>378</v>
      </c>
      <c r="M40" t="s">
        <v>239</v>
      </c>
      <c r="O40" t="s">
        <v>90</v>
      </c>
      <c r="P40" t="s">
        <v>360</v>
      </c>
      <c r="Q40" t="s">
        <v>217</v>
      </c>
    </row>
    <row r="41" spans="1:18" x14ac:dyDescent="0.3">
      <c r="A41" t="s">
        <v>351</v>
      </c>
      <c r="B41" t="s">
        <v>48</v>
      </c>
      <c r="C41" t="s">
        <v>68</v>
      </c>
      <c r="D41" s="15">
        <v>46225.554189814815</v>
      </c>
      <c r="E41" t="s">
        <v>412</v>
      </c>
      <c r="F41">
        <v>1</v>
      </c>
      <c r="G41" s="15">
        <v>46227.40347222222</v>
      </c>
      <c r="H41" t="s">
        <v>360</v>
      </c>
      <c r="I41" t="s">
        <v>378</v>
      </c>
      <c r="J41" t="s">
        <v>239</v>
      </c>
      <c r="K41" t="s">
        <v>351</v>
      </c>
      <c r="L41" t="s">
        <v>378</v>
      </c>
      <c r="M41" t="s">
        <v>239</v>
      </c>
      <c r="O41" t="s">
        <v>90</v>
      </c>
      <c r="P41" t="s">
        <v>360</v>
      </c>
      <c r="Q41" t="s">
        <v>217</v>
      </c>
    </row>
    <row r="42" spans="1:18" x14ac:dyDescent="0.3">
      <c r="A42" t="s">
        <v>351</v>
      </c>
      <c r="B42" t="s">
        <v>43</v>
      </c>
      <c r="C42" t="s">
        <v>105</v>
      </c>
      <c r="D42" s="15">
        <v>46226.328611111108</v>
      </c>
      <c r="E42" t="s">
        <v>412</v>
      </c>
      <c r="F42">
        <v>6</v>
      </c>
      <c r="G42" s="15">
        <v>46227.40347222222</v>
      </c>
      <c r="H42" t="s">
        <v>360</v>
      </c>
      <c r="I42" t="s">
        <v>378</v>
      </c>
      <c r="J42" t="s">
        <v>239</v>
      </c>
      <c r="K42" t="s">
        <v>351</v>
      </c>
      <c r="L42" t="s">
        <v>378</v>
      </c>
      <c r="M42" t="s">
        <v>239</v>
      </c>
      <c r="O42" t="s">
        <v>67</v>
      </c>
      <c r="P42" t="s">
        <v>360</v>
      </c>
      <c r="Q42" t="s">
        <v>217</v>
      </c>
    </row>
    <row r="43" spans="1:18" x14ac:dyDescent="0.3">
      <c r="A43" t="s">
        <v>351</v>
      </c>
      <c r="B43" t="s">
        <v>48</v>
      </c>
      <c r="C43" t="s">
        <v>68</v>
      </c>
      <c r="D43" s="15">
        <v>46252.400995370372</v>
      </c>
      <c r="E43" t="s">
        <v>412</v>
      </c>
      <c r="F43">
        <v>1</v>
      </c>
      <c r="G43" s="15">
        <v>46254.420138888891</v>
      </c>
      <c r="H43" t="s">
        <v>360</v>
      </c>
      <c r="I43" t="s">
        <v>378</v>
      </c>
      <c r="J43" t="s">
        <v>239</v>
      </c>
      <c r="K43" t="s">
        <v>351</v>
      </c>
      <c r="L43" t="s">
        <v>378</v>
      </c>
      <c r="M43" t="s">
        <v>239</v>
      </c>
      <c r="N43">
        <v>0</v>
      </c>
      <c r="O43" t="s">
        <v>90</v>
      </c>
      <c r="P43" t="s">
        <v>360</v>
      </c>
      <c r="Q43" t="s">
        <v>217</v>
      </c>
      <c r="R43">
        <v>1</v>
      </c>
    </row>
    <row r="44" spans="1:18" x14ac:dyDescent="0.3">
      <c r="A44" t="s">
        <v>351</v>
      </c>
      <c r="B44" t="s">
        <v>48</v>
      </c>
      <c r="C44" t="s">
        <v>68</v>
      </c>
      <c r="D44" s="15">
        <v>46252.400995370372</v>
      </c>
      <c r="E44" t="s">
        <v>412</v>
      </c>
      <c r="F44">
        <v>1</v>
      </c>
      <c r="G44" s="15">
        <v>46254.420138888891</v>
      </c>
      <c r="H44" t="s">
        <v>360</v>
      </c>
      <c r="I44" t="s">
        <v>378</v>
      </c>
      <c r="J44" t="s">
        <v>239</v>
      </c>
      <c r="K44" t="s">
        <v>351</v>
      </c>
      <c r="L44" t="s">
        <v>378</v>
      </c>
      <c r="M44" t="s">
        <v>239</v>
      </c>
      <c r="O44" t="s">
        <v>90</v>
      </c>
      <c r="P44" t="s">
        <v>360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46251.60728009259</v>
      </c>
      <c r="E45" t="s">
        <v>412</v>
      </c>
      <c r="F45">
        <v>1</v>
      </c>
      <c r="G45" s="15">
        <v>46254.420138888891</v>
      </c>
      <c r="H45" t="s">
        <v>360</v>
      </c>
      <c r="I45" t="s">
        <v>378</v>
      </c>
      <c r="J45" t="s">
        <v>239</v>
      </c>
      <c r="K45" t="s">
        <v>351</v>
      </c>
      <c r="L45" t="s">
        <v>378</v>
      </c>
      <c r="M45" t="s">
        <v>239</v>
      </c>
      <c r="N45">
        <v>0</v>
      </c>
      <c r="O45" t="s">
        <v>90</v>
      </c>
      <c r="P45" t="s">
        <v>360</v>
      </c>
      <c r="Q45" t="s">
        <v>217</v>
      </c>
    </row>
    <row r="46" spans="1:18" x14ac:dyDescent="0.3">
      <c r="A46" t="s">
        <v>351</v>
      </c>
      <c r="B46" t="s">
        <v>48</v>
      </c>
      <c r="C46" t="s">
        <v>68</v>
      </c>
      <c r="D46" s="15">
        <v>46237.403981481482</v>
      </c>
      <c r="E46" t="s">
        <v>412</v>
      </c>
      <c r="F46">
        <v>1</v>
      </c>
      <c r="G46" s="15">
        <v>46239.458333333336</v>
      </c>
      <c r="H46" t="s">
        <v>360</v>
      </c>
      <c r="I46" t="s">
        <v>378</v>
      </c>
      <c r="J46" t="s">
        <v>239</v>
      </c>
      <c r="K46" t="s">
        <v>351</v>
      </c>
      <c r="L46" t="s">
        <v>378</v>
      </c>
      <c r="M46" t="s">
        <v>239</v>
      </c>
      <c r="N46">
        <v>0</v>
      </c>
      <c r="O46" t="s">
        <v>90</v>
      </c>
      <c r="P46" t="s">
        <v>360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46245.504618055558</v>
      </c>
      <c r="E47" t="s">
        <v>412</v>
      </c>
      <c r="F47">
        <v>1</v>
      </c>
      <c r="G47" s="15">
        <v>46252.390972222223</v>
      </c>
      <c r="H47" t="s">
        <v>360</v>
      </c>
      <c r="I47" t="s">
        <v>378</v>
      </c>
      <c r="J47" t="s">
        <v>239</v>
      </c>
      <c r="K47" t="s">
        <v>351</v>
      </c>
      <c r="L47" t="s">
        <v>378</v>
      </c>
      <c r="M47" t="s">
        <v>239</v>
      </c>
      <c r="N47">
        <v>0</v>
      </c>
      <c r="O47" t="s">
        <v>90</v>
      </c>
      <c r="P47" t="s">
        <v>360</v>
      </c>
      <c r="Q47" t="s">
        <v>217</v>
      </c>
      <c r="R47">
        <v>1</v>
      </c>
    </row>
    <row r="48" spans="1:18" x14ac:dyDescent="0.3">
      <c r="A48" t="s">
        <v>351</v>
      </c>
      <c r="B48" t="s">
        <v>48</v>
      </c>
      <c r="C48" t="s">
        <v>68</v>
      </c>
      <c r="D48" s="15">
        <v>46224.674085648148</v>
      </c>
      <c r="E48" t="s">
        <v>412</v>
      </c>
      <c r="F48">
        <v>1</v>
      </c>
      <c r="G48" s="15">
        <v>46230.489583333336</v>
      </c>
      <c r="H48" t="s">
        <v>360</v>
      </c>
      <c r="I48" t="s">
        <v>378</v>
      </c>
      <c r="J48" t="s">
        <v>239</v>
      </c>
      <c r="K48" t="s">
        <v>351</v>
      </c>
      <c r="L48" t="s">
        <v>378</v>
      </c>
      <c r="M48" t="s">
        <v>239</v>
      </c>
      <c r="N48">
        <v>0</v>
      </c>
      <c r="O48" t="s">
        <v>90</v>
      </c>
      <c r="P48" t="s">
        <v>360</v>
      </c>
      <c r="Q48" t="s">
        <v>217</v>
      </c>
      <c r="R48">
        <v>1</v>
      </c>
    </row>
    <row r="49" spans="1:18" x14ac:dyDescent="0.3">
      <c r="A49" t="s">
        <v>351</v>
      </c>
      <c r="B49" t="s">
        <v>48</v>
      </c>
      <c r="C49" t="s">
        <v>68</v>
      </c>
      <c r="D49" s="15">
        <v>46220.546053240738</v>
      </c>
      <c r="E49" t="s">
        <v>412</v>
      </c>
      <c r="F49">
        <v>1</v>
      </c>
      <c r="G49" s="15">
        <v>46226.411805555559</v>
      </c>
      <c r="H49" t="s">
        <v>360</v>
      </c>
      <c r="I49" t="s">
        <v>378</v>
      </c>
      <c r="J49" t="s">
        <v>239</v>
      </c>
      <c r="K49" t="s">
        <v>351</v>
      </c>
      <c r="L49" t="s">
        <v>378</v>
      </c>
      <c r="M49" t="s">
        <v>239</v>
      </c>
      <c r="N49">
        <v>0</v>
      </c>
      <c r="O49" t="s">
        <v>90</v>
      </c>
      <c r="P49" t="s">
        <v>360</v>
      </c>
      <c r="Q49" t="s">
        <v>217</v>
      </c>
      <c r="R49">
        <v>1</v>
      </c>
    </row>
    <row r="50" spans="1:18" x14ac:dyDescent="0.3">
      <c r="A50" t="s">
        <v>351</v>
      </c>
      <c r="B50" t="s">
        <v>45</v>
      </c>
      <c r="C50" t="s">
        <v>68</v>
      </c>
      <c r="D50" s="15">
        <v>46255.309004629627</v>
      </c>
      <c r="E50" t="s">
        <v>412</v>
      </c>
      <c r="F50">
        <v>9</v>
      </c>
      <c r="G50" s="15">
        <v>46258.458333333336</v>
      </c>
      <c r="H50" t="s">
        <v>361</v>
      </c>
      <c r="I50" t="s">
        <v>378</v>
      </c>
      <c r="J50" t="s">
        <v>239</v>
      </c>
      <c r="K50" t="s">
        <v>351</v>
      </c>
      <c r="L50" t="s">
        <v>378</v>
      </c>
      <c r="M50" t="s">
        <v>239</v>
      </c>
      <c r="N50">
        <v>0</v>
      </c>
      <c r="O50" t="s">
        <v>67</v>
      </c>
      <c r="P50" t="s">
        <v>361</v>
      </c>
      <c r="Q50" t="s">
        <v>217</v>
      </c>
      <c r="R50">
        <v>1</v>
      </c>
    </row>
    <row r="51" spans="1:18" x14ac:dyDescent="0.3">
      <c r="A51" t="s">
        <v>351</v>
      </c>
      <c r="B51" t="s">
        <v>45</v>
      </c>
      <c r="C51" t="s">
        <v>68</v>
      </c>
      <c r="D51" s="15">
        <v>46254.394618055558</v>
      </c>
      <c r="E51" t="s">
        <v>412</v>
      </c>
      <c r="F51">
        <v>3</v>
      </c>
      <c r="G51" s="15">
        <v>46255.493055555555</v>
      </c>
      <c r="H51" t="s">
        <v>361</v>
      </c>
      <c r="I51" t="s">
        <v>378</v>
      </c>
      <c r="J51" t="s">
        <v>239</v>
      </c>
      <c r="K51" t="s">
        <v>351</v>
      </c>
      <c r="L51" t="s">
        <v>378</v>
      </c>
      <c r="M51" t="s">
        <v>239</v>
      </c>
      <c r="N51">
        <v>0</v>
      </c>
      <c r="O51" t="s">
        <v>67</v>
      </c>
      <c r="P51" t="s">
        <v>361</v>
      </c>
      <c r="Q51" t="s">
        <v>217</v>
      </c>
      <c r="R51">
        <v>1</v>
      </c>
    </row>
    <row r="52" spans="1:18" x14ac:dyDescent="0.3">
      <c r="A52" t="s">
        <v>351</v>
      </c>
      <c r="B52" t="s">
        <v>45</v>
      </c>
      <c r="C52" t="s">
        <v>68</v>
      </c>
      <c r="D52" s="15">
        <v>46254.395497685182</v>
      </c>
      <c r="E52" t="s">
        <v>412</v>
      </c>
      <c r="F52">
        <v>7</v>
      </c>
      <c r="G52" s="15">
        <v>46255.493055555555</v>
      </c>
      <c r="H52" t="s">
        <v>361</v>
      </c>
      <c r="I52" t="s">
        <v>378</v>
      </c>
      <c r="J52" t="s">
        <v>239</v>
      </c>
      <c r="K52" t="s">
        <v>351</v>
      </c>
      <c r="L52" t="s">
        <v>378</v>
      </c>
      <c r="M52" t="s">
        <v>239</v>
      </c>
      <c r="O52" t="s">
        <v>67</v>
      </c>
      <c r="P52" t="s">
        <v>361</v>
      </c>
      <c r="Q52" t="s">
        <v>217</v>
      </c>
    </row>
    <row r="53" spans="1:18" x14ac:dyDescent="0.3">
      <c r="A53" t="s">
        <v>351</v>
      </c>
      <c r="B53" t="s">
        <v>45</v>
      </c>
      <c r="C53" t="s">
        <v>68</v>
      </c>
      <c r="D53" s="15">
        <v>46254.396273148152</v>
      </c>
      <c r="E53" t="s">
        <v>412</v>
      </c>
      <c r="F53">
        <v>6</v>
      </c>
      <c r="G53" s="15">
        <v>46255.493055555555</v>
      </c>
      <c r="H53" t="s">
        <v>361</v>
      </c>
      <c r="I53" t="s">
        <v>378</v>
      </c>
      <c r="J53" t="s">
        <v>239</v>
      </c>
      <c r="K53" t="s">
        <v>351</v>
      </c>
      <c r="L53" t="s">
        <v>378</v>
      </c>
      <c r="M53" t="s">
        <v>239</v>
      </c>
      <c r="O53" t="s">
        <v>67</v>
      </c>
      <c r="P53" t="s">
        <v>361</v>
      </c>
      <c r="Q53" t="s">
        <v>217</v>
      </c>
    </row>
    <row r="54" spans="1:18" x14ac:dyDescent="0.3">
      <c r="A54" t="s">
        <v>351</v>
      </c>
      <c r="B54" t="s">
        <v>45</v>
      </c>
      <c r="C54" t="s">
        <v>68</v>
      </c>
      <c r="D54" s="15">
        <v>46231.659247685187</v>
      </c>
      <c r="E54" t="s">
        <v>1075</v>
      </c>
      <c r="F54">
        <v>13</v>
      </c>
      <c r="G54" s="15">
        <v>46233.416666666664</v>
      </c>
      <c r="H54" t="s">
        <v>361</v>
      </c>
      <c r="I54" t="s">
        <v>378</v>
      </c>
      <c r="J54" t="s">
        <v>239</v>
      </c>
      <c r="K54" t="s">
        <v>351</v>
      </c>
      <c r="L54" t="s">
        <v>378</v>
      </c>
      <c r="M54" t="s">
        <v>239</v>
      </c>
      <c r="N54">
        <v>0</v>
      </c>
      <c r="O54" t="s">
        <v>67</v>
      </c>
      <c r="P54" t="s">
        <v>361</v>
      </c>
      <c r="Q54" t="s">
        <v>217</v>
      </c>
      <c r="R54">
        <v>1</v>
      </c>
    </row>
    <row r="55" spans="1:18" x14ac:dyDescent="0.3">
      <c r="A55" t="s">
        <v>351</v>
      </c>
      <c r="B55" t="s">
        <v>45</v>
      </c>
      <c r="C55" t="s">
        <v>68</v>
      </c>
      <c r="D55" s="15">
        <v>46231.635254629633</v>
      </c>
      <c r="E55" t="s">
        <v>1075</v>
      </c>
      <c r="F55">
        <v>6</v>
      </c>
      <c r="G55" s="15">
        <v>46233.416666666664</v>
      </c>
      <c r="H55" t="s">
        <v>361</v>
      </c>
      <c r="I55" t="s">
        <v>378</v>
      </c>
      <c r="J55" t="s">
        <v>239</v>
      </c>
      <c r="K55" t="s">
        <v>351</v>
      </c>
      <c r="L55" t="s">
        <v>378</v>
      </c>
      <c r="M55" t="s">
        <v>239</v>
      </c>
      <c r="O55" t="s">
        <v>67</v>
      </c>
      <c r="P55" t="s">
        <v>361</v>
      </c>
      <c r="Q55" t="s">
        <v>217</v>
      </c>
    </row>
    <row r="56" spans="1:18" x14ac:dyDescent="0.3">
      <c r="A56" t="s">
        <v>351</v>
      </c>
      <c r="B56" t="s">
        <v>45</v>
      </c>
      <c r="C56" t="s">
        <v>68</v>
      </c>
      <c r="D56" s="15">
        <v>46231.634583333333</v>
      </c>
      <c r="E56" t="s">
        <v>1075</v>
      </c>
      <c r="F56">
        <v>4</v>
      </c>
      <c r="G56" s="15">
        <v>46233.416666666664</v>
      </c>
      <c r="H56" t="s">
        <v>361</v>
      </c>
      <c r="I56" t="s">
        <v>378</v>
      </c>
      <c r="J56" t="s">
        <v>239</v>
      </c>
      <c r="K56" t="s">
        <v>351</v>
      </c>
      <c r="L56" t="s">
        <v>378</v>
      </c>
      <c r="M56" t="s">
        <v>239</v>
      </c>
      <c r="O56" t="s">
        <v>67</v>
      </c>
      <c r="P56" t="s">
        <v>361</v>
      </c>
      <c r="Q56" t="s">
        <v>217</v>
      </c>
    </row>
    <row r="57" spans="1:18" x14ac:dyDescent="0.3">
      <c r="A57" t="s">
        <v>351</v>
      </c>
      <c r="B57" t="s">
        <v>45</v>
      </c>
      <c r="C57" t="s">
        <v>68</v>
      </c>
      <c r="D57" s="15">
        <v>46231.633784722224</v>
      </c>
      <c r="E57" t="s">
        <v>1075</v>
      </c>
      <c r="F57">
        <v>4</v>
      </c>
      <c r="G57" s="15">
        <v>46233.416666666664</v>
      </c>
      <c r="H57" t="s">
        <v>361</v>
      </c>
      <c r="I57" t="s">
        <v>378</v>
      </c>
      <c r="J57" t="s">
        <v>239</v>
      </c>
      <c r="K57" t="s">
        <v>351</v>
      </c>
      <c r="L57" t="s">
        <v>378</v>
      </c>
      <c r="M57" t="s">
        <v>239</v>
      </c>
      <c r="O57" t="s">
        <v>67</v>
      </c>
      <c r="P57" t="s">
        <v>361</v>
      </c>
      <c r="Q57" t="s">
        <v>217</v>
      </c>
    </row>
    <row r="58" spans="1:18" x14ac:dyDescent="0.3">
      <c r="A58" t="s">
        <v>351</v>
      </c>
      <c r="B58" t="s">
        <v>45</v>
      </c>
      <c r="C58" t="s">
        <v>68</v>
      </c>
      <c r="D58" s="15">
        <v>46231.632465277777</v>
      </c>
      <c r="E58" t="s">
        <v>1075</v>
      </c>
      <c r="F58">
        <v>1</v>
      </c>
      <c r="G58" s="15">
        <v>46233.416666666664</v>
      </c>
      <c r="H58" t="s">
        <v>361</v>
      </c>
      <c r="I58" t="s">
        <v>378</v>
      </c>
      <c r="J58" t="s">
        <v>239</v>
      </c>
      <c r="K58" t="s">
        <v>351</v>
      </c>
      <c r="L58" t="s">
        <v>378</v>
      </c>
      <c r="M58" t="s">
        <v>239</v>
      </c>
      <c r="O58" t="s">
        <v>67</v>
      </c>
      <c r="P58" t="s">
        <v>361</v>
      </c>
      <c r="Q58" t="s">
        <v>217</v>
      </c>
    </row>
    <row r="59" spans="1:18" x14ac:dyDescent="0.3">
      <c r="A59" t="s">
        <v>351</v>
      </c>
      <c r="B59" t="s">
        <v>45</v>
      </c>
      <c r="C59" t="s">
        <v>68</v>
      </c>
      <c r="D59" s="15">
        <v>46231.631620370368</v>
      </c>
      <c r="E59" t="s">
        <v>412</v>
      </c>
      <c r="F59">
        <v>1</v>
      </c>
      <c r="G59" s="15">
        <v>46233.416666666664</v>
      </c>
      <c r="H59" t="s">
        <v>361</v>
      </c>
      <c r="I59" t="s">
        <v>378</v>
      </c>
      <c r="J59" t="s">
        <v>239</v>
      </c>
      <c r="K59" t="s">
        <v>351</v>
      </c>
      <c r="L59" t="s">
        <v>378</v>
      </c>
      <c r="M59" t="s">
        <v>239</v>
      </c>
      <c r="O59" t="s">
        <v>67</v>
      </c>
      <c r="P59" t="s">
        <v>361</v>
      </c>
      <c r="Q59" t="s">
        <v>217</v>
      </c>
    </row>
    <row r="60" spans="1:18" x14ac:dyDescent="0.3">
      <c r="A60" t="s">
        <v>351</v>
      </c>
      <c r="B60" t="s">
        <v>48</v>
      </c>
      <c r="C60" t="s">
        <v>68</v>
      </c>
      <c r="D60" s="15">
        <v>46245.434259259258</v>
      </c>
      <c r="E60" t="s">
        <v>412</v>
      </c>
      <c r="F60">
        <v>3</v>
      </c>
      <c r="G60" s="15">
        <v>46247.425694444442</v>
      </c>
      <c r="H60" t="s">
        <v>361</v>
      </c>
      <c r="I60" t="s">
        <v>378</v>
      </c>
      <c r="J60" t="s">
        <v>239</v>
      </c>
      <c r="K60" t="s">
        <v>351</v>
      </c>
      <c r="L60" t="s">
        <v>378</v>
      </c>
      <c r="M60" t="s">
        <v>239</v>
      </c>
      <c r="N60">
        <v>0</v>
      </c>
      <c r="O60" t="s">
        <v>90</v>
      </c>
      <c r="P60" t="s">
        <v>361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46245.434259259258</v>
      </c>
      <c r="E61" t="s">
        <v>412</v>
      </c>
      <c r="F61">
        <v>1</v>
      </c>
      <c r="G61" s="15">
        <v>46254.503472222219</v>
      </c>
      <c r="H61" t="s">
        <v>361</v>
      </c>
      <c r="I61" t="s">
        <v>378</v>
      </c>
      <c r="J61" t="s">
        <v>239</v>
      </c>
      <c r="K61" t="s">
        <v>351</v>
      </c>
      <c r="L61" t="s">
        <v>378</v>
      </c>
      <c r="M61" t="s">
        <v>239</v>
      </c>
      <c r="N61">
        <v>0</v>
      </c>
      <c r="O61" t="s">
        <v>90</v>
      </c>
      <c r="P61" t="s">
        <v>361</v>
      </c>
      <c r="Q61" t="s">
        <v>217</v>
      </c>
      <c r="R61">
        <v>1</v>
      </c>
    </row>
    <row r="62" spans="1:18" x14ac:dyDescent="0.3">
      <c r="A62" t="s">
        <v>351</v>
      </c>
      <c r="B62" t="s">
        <v>48</v>
      </c>
      <c r="C62" t="s">
        <v>68</v>
      </c>
      <c r="D62" s="15">
        <v>46213.750648148147</v>
      </c>
      <c r="E62" t="s">
        <v>412</v>
      </c>
      <c r="F62">
        <v>5</v>
      </c>
      <c r="G62" s="15">
        <v>46231.397222222222</v>
      </c>
      <c r="H62" t="s">
        <v>361</v>
      </c>
      <c r="I62" t="s">
        <v>378</v>
      </c>
      <c r="J62" t="s">
        <v>239</v>
      </c>
      <c r="K62" t="s">
        <v>351</v>
      </c>
      <c r="L62" t="s">
        <v>378</v>
      </c>
      <c r="M62" t="s">
        <v>239</v>
      </c>
      <c r="N62">
        <v>0</v>
      </c>
      <c r="O62" t="s">
        <v>90</v>
      </c>
      <c r="P62" t="s">
        <v>361</v>
      </c>
      <c r="Q62" t="s">
        <v>217</v>
      </c>
      <c r="R62">
        <v>1</v>
      </c>
    </row>
    <row r="63" spans="1:18" x14ac:dyDescent="0.3">
      <c r="A63" t="s">
        <v>351</v>
      </c>
      <c r="B63" t="s">
        <v>45</v>
      </c>
      <c r="C63" t="s">
        <v>68</v>
      </c>
      <c r="D63" s="15">
        <v>46251.387743055559</v>
      </c>
      <c r="E63" t="s">
        <v>413</v>
      </c>
      <c r="F63">
        <v>15</v>
      </c>
      <c r="G63" s="15">
        <v>46252.638888888891</v>
      </c>
      <c r="H63" t="s">
        <v>362</v>
      </c>
      <c r="I63" t="s">
        <v>378</v>
      </c>
      <c r="J63" t="s">
        <v>239</v>
      </c>
      <c r="K63" t="s">
        <v>351</v>
      </c>
      <c r="L63" t="s">
        <v>378</v>
      </c>
      <c r="M63" t="s">
        <v>239</v>
      </c>
      <c r="N63">
        <v>0</v>
      </c>
      <c r="O63" t="s">
        <v>67</v>
      </c>
      <c r="P63" t="s">
        <v>362</v>
      </c>
      <c r="Q63" t="s">
        <v>217</v>
      </c>
      <c r="R63">
        <v>1</v>
      </c>
    </row>
    <row r="64" spans="1:18" x14ac:dyDescent="0.3">
      <c r="A64" t="s">
        <v>351</v>
      </c>
      <c r="B64" t="s">
        <v>45</v>
      </c>
      <c r="C64" t="s">
        <v>68</v>
      </c>
      <c r="D64" s="15">
        <v>46230.391215277778</v>
      </c>
      <c r="E64" t="s">
        <v>413</v>
      </c>
      <c r="F64">
        <v>15</v>
      </c>
      <c r="G64" s="15">
        <v>46231.458333333336</v>
      </c>
      <c r="H64" t="s">
        <v>362</v>
      </c>
      <c r="I64" t="s">
        <v>378</v>
      </c>
      <c r="J64" t="s">
        <v>239</v>
      </c>
      <c r="K64" t="s">
        <v>351</v>
      </c>
      <c r="L64" t="s">
        <v>378</v>
      </c>
      <c r="M64" t="s">
        <v>239</v>
      </c>
      <c r="N64">
        <v>0</v>
      </c>
      <c r="O64" t="s">
        <v>67</v>
      </c>
      <c r="P64" t="s">
        <v>362</v>
      </c>
      <c r="Q64" t="s">
        <v>217</v>
      </c>
      <c r="R64">
        <v>1</v>
      </c>
    </row>
    <row r="65" spans="1:18" x14ac:dyDescent="0.3">
      <c r="A65" t="s">
        <v>351</v>
      </c>
      <c r="B65" t="s">
        <v>45</v>
      </c>
      <c r="C65" t="s">
        <v>68</v>
      </c>
      <c r="D65" s="15">
        <v>46230.398877314816</v>
      </c>
      <c r="E65" t="s">
        <v>413</v>
      </c>
      <c r="F65">
        <v>10</v>
      </c>
      <c r="G65" s="15">
        <v>46232.696527777778</v>
      </c>
      <c r="H65" t="s">
        <v>362</v>
      </c>
      <c r="I65" t="s">
        <v>378</v>
      </c>
      <c r="J65" t="s">
        <v>239</v>
      </c>
      <c r="K65" t="s">
        <v>351</v>
      </c>
      <c r="L65" t="s">
        <v>378</v>
      </c>
      <c r="M65" t="s">
        <v>239</v>
      </c>
      <c r="O65" t="s">
        <v>67</v>
      </c>
      <c r="P65" t="s">
        <v>362</v>
      </c>
      <c r="Q65" t="s">
        <v>217</v>
      </c>
      <c r="R65">
        <v>1</v>
      </c>
    </row>
    <row r="66" spans="1:18" x14ac:dyDescent="0.3">
      <c r="A66" t="s">
        <v>351</v>
      </c>
      <c r="B66" t="s">
        <v>48</v>
      </c>
      <c r="C66" t="s">
        <v>68</v>
      </c>
      <c r="D66" s="15">
        <v>46252.576365740744</v>
      </c>
      <c r="E66" t="s">
        <v>905</v>
      </c>
      <c r="F66">
        <v>25</v>
      </c>
      <c r="G66" s="15">
        <v>46255.477083333331</v>
      </c>
      <c r="H66" t="s">
        <v>362</v>
      </c>
      <c r="I66" t="s">
        <v>378</v>
      </c>
      <c r="J66" t="s">
        <v>239</v>
      </c>
      <c r="K66" t="s">
        <v>351</v>
      </c>
      <c r="L66" t="s">
        <v>378</v>
      </c>
      <c r="M66" t="s">
        <v>239</v>
      </c>
      <c r="N66">
        <v>0</v>
      </c>
      <c r="O66" t="s">
        <v>90</v>
      </c>
      <c r="P66" t="s">
        <v>362</v>
      </c>
      <c r="Q66" t="s">
        <v>217</v>
      </c>
      <c r="R66">
        <v>1</v>
      </c>
    </row>
    <row r="67" spans="1:18" x14ac:dyDescent="0.3">
      <c r="A67" t="s">
        <v>351</v>
      </c>
      <c r="B67" t="s">
        <v>48</v>
      </c>
      <c r="C67" t="s">
        <v>68</v>
      </c>
      <c r="D67" s="15">
        <v>46252.581203703703</v>
      </c>
      <c r="E67" t="s">
        <v>905</v>
      </c>
      <c r="F67">
        <v>15</v>
      </c>
      <c r="G67" s="15">
        <v>46255.477083333331</v>
      </c>
      <c r="H67" t="s">
        <v>362</v>
      </c>
      <c r="I67" t="s">
        <v>378</v>
      </c>
      <c r="J67" t="s">
        <v>239</v>
      </c>
      <c r="K67" t="s">
        <v>351</v>
      </c>
      <c r="L67" t="s">
        <v>378</v>
      </c>
      <c r="M67" t="s">
        <v>239</v>
      </c>
      <c r="N67">
        <v>0</v>
      </c>
      <c r="O67" t="s">
        <v>90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46231.625231481485</v>
      </c>
      <c r="E68" t="s">
        <v>1035</v>
      </c>
      <c r="F68">
        <v>10</v>
      </c>
      <c r="G68" s="15">
        <v>46238.509722222225</v>
      </c>
      <c r="H68" t="s">
        <v>362</v>
      </c>
      <c r="I68" t="s">
        <v>378</v>
      </c>
      <c r="J68" t="s">
        <v>239</v>
      </c>
      <c r="K68" t="s">
        <v>351</v>
      </c>
      <c r="L68" t="s">
        <v>378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46227.725787037038</v>
      </c>
      <c r="E69" t="s">
        <v>413</v>
      </c>
      <c r="F69">
        <v>16</v>
      </c>
      <c r="G69" s="15">
        <v>46234.413194444445</v>
      </c>
      <c r="H69" t="s">
        <v>362</v>
      </c>
      <c r="I69" t="s">
        <v>378</v>
      </c>
      <c r="J69" t="s">
        <v>239</v>
      </c>
      <c r="K69" t="s">
        <v>351</v>
      </c>
      <c r="L69" t="s">
        <v>378</v>
      </c>
      <c r="M69" t="s">
        <v>239</v>
      </c>
      <c r="N69">
        <v>0</v>
      </c>
      <c r="O69" t="s">
        <v>90</v>
      </c>
      <c r="P69" t="s">
        <v>362</v>
      </c>
      <c r="Q69" t="s">
        <v>217</v>
      </c>
      <c r="R69">
        <v>1</v>
      </c>
    </row>
    <row r="70" spans="1:18" x14ac:dyDescent="0.3">
      <c r="A70" t="s">
        <v>351</v>
      </c>
      <c r="B70" t="s">
        <v>45</v>
      </c>
      <c r="C70" t="s">
        <v>68</v>
      </c>
      <c r="D70" s="15">
        <v>46245.50304398148</v>
      </c>
      <c r="E70" t="s">
        <v>420</v>
      </c>
      <c r="F70">
        <v>5</v>
      </c>
      <c r="G70" s="15">
        <v>46247.46875</v>
      </c>
      <c r="H70" t="s">
        <v>486</v>
      </c>
      <c r="I70" t="s">
        <v>378</v>
      </c>
      <c r="J70" t="s">
        <v>239</v>
      </c>
      <c r="K70" t="s">
        <v>351</v>
      </c>
      <c r="L70" t="s">
        <v>378</v>
      </c>
      <c r="M70" t="s">
        <v>239</v>
      </c>
      <c r="O70" t="s">
        <v>67</v>
      </c>
      <c r="P70" t="s">
        <v>486</v>
      </c>
      <c r="Q70" t="s">
        <v>217</v>
      </c>
      <c r="R70">
        <v>1</v>
      </c>
    </row>
    <row r="71" spans="1:18" x14ac:dyDescent="0.3">
      <c r="A71" t="s">
        <v>351</v>
      </c>
      <c r="B71" t="s">
        <v>45</v>
      </c>
      <c r="C71" t="s">
        <v>68</v>
      </c>
      <c r="D71" s="15">
        <v>46245.502650462964</v>
      </c>
      <c r="E71" t="s">
        <v>420</v>
      </c>
      <c r="F71">
        <v>11</v>
      </c>
      <c r="G71" s="15">
        <v>46247.46875</v>
      </c>
      <c r="H71" t="s">
        <v>486</v>
      </c>
      <c r="I71" t="s">
        <v>378</v>
      </c>
      <c r="J71" t="s">
        <v>239</v>
      </c>
      <c r="K71" t="s">
        <v>351</v>
      </c>
      <c r="L71" t="s">
        <v>378</v>
      </c>
      <c r="M71" t="s">
        <v>239</v>
      </c>
      <c r="O71" t="s">
        <v>67</v>
      </c>
      <c r="P71" t="s">
        <v>486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46252.486481481479</v>
      </c>
      <c r="E72" t="s">
        <v>420</v>
      </c>
      <c r="F72">
        <v>5</v>
      </c>
      <c r="G72" s="15">
        <v>46254.458333333336</v>
      </c>
      <c r="H72" t="s">
        <v>486</v>
      </c>
      <c r="I72" t="s">
        <v>378</v>
      </c>
      <c r="J72" t="s">
        <v>239</v>
      </c>
      <c r="K72" t="s">
        <v>351</v>
      </c>
      <c r="L72" t="s">
        <v>378</v>
      </c>
      <c r="M72" t="s">
        <v>239</v>
      </c>
      <c r="O72" t="s">
        <v>90</v>
      </c>
      <c r="P72" t="s">
        <v>486</v>
      </c>
      <c r="Q72" t="s">
        <v>217</v>
      </c>
      <c r="R72">
        <v>1</v>
      </c>
    </row>
    <row r="73" spans="1:18" x14ac:dyDescent="0.3">
      <c r="A73" t="s">
        <v>351</v>
      </c>
      <c r="B73" t="s">
        <v>48</v>
      </c>
      <c r="C73" t="s">
        <v>68</v>
      </c>
      <c r="D73" s="15">
        <v>46231.743472222224</v>
      </c>
      <c r="E73" t="s">
        <v>412</v>
      </c>
      <c r="F73">
        <v>1</v>
      </c>
      <c r="G73" s="15">
        <v>46240.513194444444</v>
      </c>
      <c r="H73" t="s">
        <v>361</v>
      </c>
      <c r="I73" t="s">
        <v>378</v>
      </c>
      <c r="J73" t="s">
        <v>239</v>
      </c>
      <c r="K73" t="s">
        <v>351</v>
      </c>
      <c r="L73" t="s">
        <v>378</v>
      </c>
      <c r="M73" t="s">
        <v>239</v>
      </c>
      <c r="N73">
        <v>0</v>
      </c>
      <c r="O73" t="s">
        <v>90</v>
      </c>
      <c r="P73" t="s">
        <v>361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46231.307928240742</v>
      </c>
      <c r="E74" t="s">
        <v>411</v>
      </c>
      <c r="F74">
        <v>1</v>
      </c>
      <c r="G74" s="15">
        <v>46232.486111111109</v>
      </c>
      <c r="H74" t="s">
        <v>363</v>
      </c>
      <c r="I74" t="s">
        <v>378</v>
      </c>
      <c r="J74" t="s">
        <v>239</v>
      </c>
      <c r="K74" t="s">
        <v>351</v>
      </c>
      <c r="L74" t="s">
        <v>378</v>
      </c>
      <c r="M74" t="s">
        <v>239</v>
      </c>
      <c r="N74">
        <v>0</v>
      </c>
      <c r="O74" t="s">
        <v>90</v>
      </c>
      <c r="P74" t="s">
        <v>363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46227.576932870368</v>
      </c>
      <c r="E75" t="s">
        <v>412</v>
      </c>
      <c r="F75">
        <v>1</v>
      </c>
      <c r="G75" s="15">
        <v>46234.439583333333</v>
      </c>
      <c r="H75" t="s">
        <v>360</v>
      </c>
      <c r="I75" t="s">
        <v>378</v>
      </c>
      <c r="J75" t="s">
        <v>239</v>
      </c>
      <c r="K75" t="s">
        <v>351</v>
      </c>
      <c r="L75" t="s">
        <v>378</v>
      </c>
      <c r="M75" t="s">
        <v>239</v>
      </c>
      <c r="N75">
        <v>0</v>
      </c>
      <c r="O75" t="s">
        <v>90</v>
      </c>
      <c r="P75" t="s">
        <v>360</v>
      </c>
      <c r="Q75" t="s">
        <v>217</v>
      </c>
      <c r="R75">
        <v>1</v>
      </c>
    </row>
    <row r="76" spans="1:18" x14ac:dyDescent="0.3">
      <c r="A76" t="s">
        <v>351</v>
      </c>
      <c r="B76" t="s">
        <v>47</v>
      </c>
      <c r="C76" t="s">
        <v>68</v>
      </c>
      <c r="D76" s="15">
        <v>46211.698680555557</v>
      </c>
      <c r="E76" t="s">
        <v>413</v>
      </c>
      <c r="F76">
        <v>2</v>
      </c>
      <c r="G76" s="15">
        <v>46220.459722222222</v>
      </c>
      <c r="H76" t="s">
        <v>362</v>
      </c>
      <c r="I76" t="s">
        <v>378</v>
      </c>
      <c r="J76" t="s">
        <v>239</v>
      </c>
      <c r="K76" t="s">
        <v>351</v>
      </c>
      <c r="L76" t="s">
        <v>378</v>
      </c>
      <c r="M76" t="s">
        <v>239</v>
      </c>
      <c r="N76">
        <v>0</v>
      </c>
      <c r="O76" t="s">
        <v>90</v>
      </c>
      <c r="P76" t="s">
        <v>362</v>
      </c>
      <c r="Q76" t="s">
        <v>218</v>
      </c>
      <c r="R76">
        <v>1</v>
      </c>
    </row>
    <row r="77" spans="1:18" x14ac:dyDescent="0.3">
      <c r="A77" t="s">
        <v>351</v>
      </c>
      <c r="B77" t="s">
        <v>45</v>
      </c>
      <c r="C77" t="s">
        <v>68</v>
      </c>
      <c r="D77" s="15">
        <v>46234.569490740738</v>
      </c>
      <c r="E77" t="s">
        <v>408</v>
      </c>
      <c r="F77">
        <v>5</v>
      </c>
      <c r="G77" s="15">
        <v>46239.541666666664</v>
      </c>
      <c r="H77" t="s">
        <v>359</v>
      </c>
      <c r="I77" t="s">
        <v>377</v>
      </c>
      <c r="J77" t="s">
        <v>239</v>
      </c>
      <c r="K77" t="s">
        <v>351</v>
      </c>
      <c r="L77" t="s">
        <v>378</v>
      </c>
      <c r="M77" t="s">
        <v>239</v>
      </c>
      <c r="N77">
        <v>103</v>
      </c>
      <c r="O77" t="s">
        <v>67</v>
      </c>
      <c r="P77" t="s">
        <v>359</v>
      </c>
      <c r="Q77" t="s">
        <v>217</v>
      </c>
      <c r="R77">
        <v>1</v>
      </c>
    </row>
    <row r="78" spans="1:18" x14ac:dyDescent="0.3">
      <c r="A78" t="s">
        <v>351</v>
      </c>
      <c r="B78" t="s">
        <v>45</v>
      </c>
      <c r="C78" t="s">
        <v>68</v>
      </c>
      <c r="D78" s="15">
        <v>46233.473078703704</v>
      </c>
      <c r="E78" t="s">
        <v>408</v>
      </c>
      <c r="F78">
        <v>3</v>
      </c>
      <c r="G78" s="15">
        <v>46237.458333333336</v>
      </c>
      <c r="H78" t="s">
        <v>359</v>
      </c>
      <c r="I78" t="s">
        <v>377</v>
      </c>
      <c r="J78" t="s">
        <v>239</v>
      </c>
      <c r="K78" t="s">
        <v>351</v>
      </c>
      <c r="L78" t="s">
        <v>378</v>
      </c>
      <c r="M78" t="s">
        <v>239</v>
      </c>
      <c r="N78">
        <v>103</v>
      </c>
      <c r="O78" t="s">
        <v>67</v>
      </c>
      <c r="P78" t="s">
        <v>359</v>
      </c>
      <c r="Q78" t="s">
        <v>217</v>
      </c>
      <c r="R78">
        <v>1</v>
      </c>
    </row>
    <row r="79" spans="1:18" x14ac:dyDescent="0.3">
      <c r="A79" t="s">
        <v>351</v>
      </c>
      <c r="B79" t="s">
        <v>45</v>
      </c>
      <c r="C79" t="s">
        <v>68</v>
      </c>
      <c r="D79" s="15">
        <v>46233.472222222219</v>
      </c>
      <c r="E79" t="s">
        <v>408</v>
      </c>
      <c r="F79">
        <v>2</v>
      </c>
      <c r="G79" s="15">
        <v>46237.458333333336</v>
      </c>
      <c r="H79" t="s">
        <v>359</v>
      </c>
      <c r="I79" t="s">
        <v>377</v>
      </c>
      <c r="J79" t="s">
        <v>239</v>
      </c>
      <c r="K79" t="s">
        <v>351</v>
      </c>
      <c r="L79" t="s">
        <v>378</v>
      </c>
      <c r="M79" t="s">
        <v>239</v>
      </c>
      <c r="O79" t="s">
        <v>67</v>
      </c>
      <c r="P79" t="s">
        <v>359</v>
      </c>
      <c r="Q79" t="s">
        <v>217</v>
      </c>
    </row>
    <row r="80" spans="1:18" x14ac:dyDescent="0.3">
      <c r="A80" t="s">
        <v>351</v>
      </c>
      <c r="B80" t="s">
        <v>45</v>
      </c>
      <c r="C80" t="s">
        <v>68</v>
      </c>
      <c r="D80" s="15">
        <v>46233.471770833334</v>
      </c>
      <c r="E80" t="s">
        <v>408</v>
      </c>
      <c r="F80">
        <v>3</v>
      </c>
      <c r="G80" s="15">
        <v>46237.458333333336</v>
      </c>
      <c r="H80" t="s">
        <v>359</v>
      </c>
      <c r="I80" t="s">
        <v>377</v>
      </c>
      <c r="J80" t="s">
        <v>239</v>
      </c>
      <c r="K80" t="s">
        <v>351</v>
      </c>
      <c r="L80" t="s">
        <v>378</v>
      </c>
      <c r="M80" t="s">
        <v>239</v>
      </c>
      <c r="O80" t="s">
        <v>67</v>
      </c>
      <c r="P80" t="s">
        <v>359</v>
      </c>
      <c r="Q80" t="s">
        <v>217</v>
      </c>
    </row>
    <row r="81" spans="1:18" x14ac:dyDescent="0.3">
      <c r="A81" t="s">
        <v>351</v>
      </c>
      <c r="B81" t="s">
        <v>45</v>
      </c>
      <c r="C81" t="s">
        <v>68</v>
      </c>
      <c r="D81" s="15">
        <v>46244.473298611112</v>
      </c>
      <c r="E81" t="s">
        <v>408</v>
      </c>
      <c r="F81">
        <v>2</v>
      </c>
      <c r="G81" s="15">
        <v>46246.458333333336</v>
      </c>
      <c r="H81" t="s">
        <v>359</v>
      </c>
      <c r="I81" t="s">
        <v>377</v>
      </c>
      <c r="J81" t="s">
        <v>239</v>
      </c>
      <c r="K81" t="s">
        <v>351</v>
      </c>
      <c r="L81" t="s">
        <v>378</v>
      </c>
      <c r="M81" t="s">
        <v>239</v>
      </c>
      <c r="N81">
        <v>103</v>
      </c>
      <c r="O81" t="s">
        <v>67</v>
      </c>
      <c r="P81" t="s">
        <v>359</v>
      </c>
      <c r="Q81" t="s">
        <v>217</v>
      </c>
      <c r="R81">
        <v>1</v>
      </c>
    </row>
    <row r="82" spans="1:18" x14ac:dyDescent="0.3">
      <c r="A82" t="s">
        <v>351</v>
      </c>
      <c r="B82" t="s">
        <v>45</v>
      </c>
      <c r="C82" t="s">
        <v>68</v>
      </c>
      <c r="D82" s="15">
        <v>46246.66033564815</v>
      </c>
      <c r="E82" t="s">
        <v>408</v>
      </c>
      <c r="F82">
        <v>3</v>
      </c>
      <c r="G82" s="15">
        <v>46252.458333333336</v>
      </c>
      <c r="H82" t="s">
        <v>359</v>
      </c>
      <c r="I82" t="s">
        <v>377</v>
      </c>
      <c r="J82" t="s">
        <v>239</v>
      </c>
      <c r="K82" t="s">
        <v>351</v>
      </c>
      <c r="L82" t="s">
        <v>378</v>
      </c>
      <c r="M82" t="s">
        <v>239</v>
      </c>
      <c r="N82">
        <v>103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45</v>
      </c>
      <c r="C83" t="s">
        <v>68</v>
      </c>
      <c r="D83" s="15">
        <v>46246.659872685188</v>
      </c>
      <c r="E83" t="s">
        <v>887</v>
      </c>
      <c r="F83">
        <v>3</v>
      </c>
      <c r="G83" s="15">
        <v>46252.458333333336</v>
      </c>
      <c r="H83" t="s">
        <v>359</v>
      </c>
      <c r="I83" t="s">
        <v>377</v>
      </c>
      <c r="J83" t="s">
        <v>239</v>
      </c>
      <c r="K83" t="s">
        <v>351</v>
      </c>
      <c r="L83" t="s">
        <v>378</v>
      </c>
      <c r="M83" t="s">
        <v>239</v>
      </c>
      <c r="O83" t="s">
        <v>67</v>
      </c>
      <c r="P83" t="s">
        <v>359</v>
      </c>
      <c r="Q83" t="s">
        <v>217</v>
      </c>
    </row>
    <row r="84" spans="1:18" x14ac:dyDescent="0.3">
      <c r="A84" t="s">
        <v>351</v>
      </c>
      <c r="B84" t="s">
        <v>45</v>
      </c>
      <c r="C84" t="s">
        <v>68</v>
      </c>
      <c r="D84" s="15">
        <v>46245.574305555558</v>
      </c>
      <c r="E84" t="s">
        <v>408</v>
      </c>
      <c r="F84">
        <v>3</v>
      </c>
      <c r="G84" s="15">
        <v>46246.458333333336</v>
      </c>
      <c r="H84" t="s">
        <v>359</v>
      </c>
      <c r="I84" t="s">
        <v>377</v>
      </c>
      <c r="J84" t="s">
        <v>239</v>
      </c>
      <c r="K84" t="s">
        <v>351</v>
      </c>
      <c r="L84" t="s">
        <v>378</v>
      </c>
      <c r="M84" t="s">
        <v>239</v>
      </c>
      <c r="O84" t="s">
        <v>67</v>
      </c>
      <c r="P84" t="s">
        <v>359</v>
      </c>
      <c r="Q84" t="s">
        <v>217</v>
      </c>
    </row>
    <row r="85" spans="1:18" x14ac:dyDescent="0.3">
      <c r="A85" t="s">
        <v>351</v>
      </c>
      <c r="B85" t="s">
        <v>45</v>
      </c>
      <c r="C85" t="s">
        <v>68</v>
      </c>
      <c r="D85" s="15">
        <v>46244.657546296294</v>
      </c>
      <c r="E85" t="s">
        <v>408</v>
      </c>
      <c r="F85">
        <v>5</v>
      </c>
      <c r="G85" s="15">
        <v>46246.458333333336</v>
      </c>
      <c r="H85" t="s">
        <v>359</v>
      </c>
      <c r="I85" t="s">
        <v>377</v>
      </c>
      <c r="J85" t="s">
        <v>239</v>
      </c>
      <c r="K85" t="s">
        <v>351</v>
      </c>
      <c r="L85" t="s">
        <v>378</v>
      </c>
      <c r="M85" t="s">
        <v>239</v>
      </c>
      <c r="O85" t="s">
        <v>67</v>
      </c>
      <c r="P85" t="s">
        <v>359</v>
      </c>
      <c r="Q85" t="s">
        <v>217</v>
      </c>
    </row>
    <row r="86" spans="1:18" x14ac:dyDescent="0.3">
      <c r="A86" t="s">
        <v>351</v>
      </c>
      <c r="B86" t="s">
        <v>45</v>
      </c>
      <c r="C86" t="s">
        <v>68</v>
      </c>
      <c r="D86" s="15">
        <v>46244.47451388889</v>
      </c>
      <c r="E86" t="s">
        <v>408</v>
      </c>
      <c r="F86">
        <v>3</v>
      </c>
      <c r="G86" s="15">
        <v>46246.458333333336</v>
      </c>
      <c r="H86" t="s">
        <v>359</v>
      </c>
      <c r="I86" t="s">
        <v>377</v>
      </c>
      <c r="J86" t="s">
        <v>239</v>
      </c>
      <c r="K86" t="s">
        <v>351</v>
      </c>
      <c r="L86" t="s">
        <v>378</v>
      </c>
      <c r="M86" t="s">
        <v>239</v>
      </c>
      <c r="N86">
        <v>103</v>
      </c>
      <c r="O86" t="s">
        <v>67</v>
      </c>
      <c r="P86" t="s">
        <v>359</v>
      </c>
      <c r="Q86" t="s">
        <v>217</v>
      </c>
    </row>
    <row r="87" spans="1:18" x14ac:dyDescent="0.3">
      <c r="A87" t="s">
        <v>351</v>
      </c>
      <c r="B87" t="s">
        <v>45</v>
      </c>
      <c r="C87" t="s">
        <v>68</v>
      </c>
      <c r="D87" s="15">
        <v>46246.658784722225</v>
      </c>
      <c r="E87" t="s">
        <v>408</v>
      </c>
      <c r="F87">
        <v>1</v>
      </c>
      <c r="G87" s="15">
        <v>46252.458333333336</v>
      </c>
      <c r="H87" t="s">
        <v>359</v>
      </c>
      <c r="I87" t="s">
        <v>377</v>
      </c>
      <c r="J87" t="s">
        <v>239</v>
      </c>
      <c r="K87" t="s">
        <v>351</v>
      </c>
      <c r="L87" t="s">
        <v>378</v>
      </c>
      <c r="M87" t="s">
        <v>239</v>
      </c>
      <c r="O87" t="s">
        <v>67</v>
      </c>
      <c r="P87" t="s">
        <v>359</v>
      </c>
      <c r="Q87" t="s">
        <v>217</v>
      </c>
    </row>
    <row r="88" spans="1:18" x14ac:dyDescent="0.3">
      <c r="A88" t="s">
        <v>351</v>
      </c>
      <c r="B88" t="s">
        <v>45</v>
      </c>
      <c r="C88" t="s">
        <v>68</v>
      </c>
      <c r="D88" s="15">
        <v>46244.477743055555</v>
      </c>
      <c r="E88" t="s">
        <v>408</v>
      </c>
      <c r="F88">
        <v>1</v>
      </c>
      <c r="G88" s="15">
        <v>46246.458333333336</v>
      </c>
      <c r="H88" t="s">
        <v>359</v>
      </c>
      <c r="I88" t="s">
        <v>377</v>
      </c>
      <c r="J88" t="s">
        <v>239</v>
      </c>
      <c r="K88" t="s">
        <v>351</v>
      </c>
      <c r="L88" t="s">
        <v>378</v>
      </c>
      <c r="M88" t="s">
        <v>239</v>
      </c>
      <c r="O88" t="s">
        <v>67</v>
      </c>
      <c r="P88" t="s">
        <v>359</v>
      </c>
      <c r="Q88" t="s">
        <v>217</v>
      </c>
    </row>
    <row r="89" spans="1:18" x14ac:dyDescent="0.3">
      <c r="A89" t="s">
        <v>351</v>
      </c>
      <c r="B89" t="s">
        <v>45</v>
      </c>
      <c r="C89" t="s">
        <v>68</v>
      </c>
      <c r="D89" s="15">
        <v>46244.473958333336</v>
      </c>
      <c r="E89" t="s">
        <v>408</v>
      </c>
      <c r="F89">
        <v>1</v>
      </c>
      <c r="G89" s="15">
        <v>46246.458333333336</v>
      </c>
      <c r="H89" t="s">
        <v>359</v>
      </c>
      <c r="I89" t="s">
        <v>377</v>
      </c>
      <c r="J89" t="s">
        <v>239</v>
      </c>
      <c r="K89" t="s">
        <v>351</v>
      </c>
      <c r="L89" t="s">
        <v>378</v>
      </c>
      <c r="M89" t="s">
        <v>239</v>
      </c>
      <c r="O89" t="s">
        <v>67</v>
      </c>
      <c r="P89" t="s">
        <v>359</v>
      </c>
      <c r="Q89" t="s">
        <v>217</v>
      </c>
    </row>
    <row r="90" spans="1:18" x14ac:dyDescent="0.3">
      <c r="A90" t="s">
        <v>351</v>
      </c>
      <c r="B90" t="s">
        <v>45</v>
      </c>
      <c r="C90" t="s">
        <v>68</v>
      </c>
      <c r="D90" s="15">
        <v>46244.476030092592</v>
      </c>
      <c r="E90" t="s">
        <v>408</v>
      </c>
      <c r="F90">
        <v>3</v>
      </c>
      <c r="G90" s="15">
        <v>46246.458333333336</v>
      </c>
      <c r="H90" t="s">
        <v>359</v>
      </c>
      <c r="I90" t="s">
        <v>377</v>
      </c>
      <c r="J90" t="s">
        <v>239</v>
      </c>
      <c r="K90" t="s">
        <v>351</v>
      </c>
      <c r="L90" t="s">
        <v>378</v>
      </c>
      <c r="M90" t="s">
        <v>239</v>
      </c>
      <c r="O90" t="s">
        <v>67</v>
      </c>
      <c r="P90" t="s">
        <v>359</v>
      </c>
      <c r="Q90" t="s">
        <v>217</v>
      </c>
    </row>
    <row r="91" spans="1:18" x14ac:dyDescent="0.3">
      <c r="A91" t="s">
        <v>351</v>
      </c>
      <c r="B91" t="s">
        <v>45</v>
      </c>
      <c r="C91" t="s">
        <v>68</v>
      </c>
      <c r="D91" s="15">
        <v>46237.458333333336</v>
      </c>
      <c r="E91" t="s">
        <v>408</v>
      </c>
      <c r="F91">
        <v>5</v>
      </c>
      <c r="G91" s="15">
        <v>46239.5</v>
      </c>
      <c r="H91" t="s">
        <v>359</v>
      </c>
      <c r="I91" t="s">
        <v>377</v>
      </c>
      <c r="J91" t="s">
        <v>239</v>
      </c>
      <c r="K91" t="s">
        <v>351</v>
      </c>
      <c r="L91" t="s">
        <v>378</v>
      </c>
      <c r="M91" t="s">
        <v>239</v>
      </c>
      <c r="N91">
        <v>103</v>
      </c>
      <c r="O91" t="s">
        <v>67</v>
      </c>
      <c r="P91" t="s">
        <v>359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46244.476921296293</v>
      </c>
      <c r="E92" t="s">
        <v>408</v>
      </c>
      <c r="F92">
        <v>3</v>
      </c>
      <c r="G92" s="15">
        <v>46246.458333333336</v>
      </c>
      <c r="H92" t="s">
        <v>359</v>
      </c>
      <c r="I92" t="s">
        <v>377</v>
      </c>
      <c r="J92" t="s">
        <v>239</v>
      </c>
      <c r="K92" t="s">
        <v>351</v>
      </c>
      <c r="L92" t="s">
        <v>378</v>
      </c>
      <c r="M92" t="s">
        <v>239</v>
      </c>
      <c r="O92" t="s">
        <v>67</v>
      </c>
      <c r="P92" t="s">
        <v>359</v>
      </c>
      <c r="Q92" t="s">
        <v>217</v>
      </c>
    </row>
    <row r="93" spans="1:18" x14ac:dyDescent="0.3">
      <c r="A93" t="s">
        <v>351</v>
      </c>
      <c r="B93" t="s">
        <v>45</v>
      </c>
      <c r="C93" t="s">
        <v>68</v>
      </c>
      <c r="D93" s="15">
        <v>46246.659317129626</v>
      </c>
      <c r="E93" t="s">
        <v>408</v>
      </c>
      <c r="F93">
        <v>3</v>
      </c>
      <c r="G93" s="15">
        <v>46252.458333333336</v>
      </c>
      <c r="H93" t="s">
        <v>359</v>
      </c>
      <c r="I93" t="s">
        <v>377</v>
      </c>
      <c r="J93" t="s">
        <v>239</v>
      </c>
      <c r="K93" t="s">
        <v>351</v>
      </c>
      <c r="L93" t="s">
        <v>378</v>
      </c>
      <c r="M93" t="s">
        <v>239</v>
      </c>
      <c r="O93" t="s">
        <v>67</v>
      </c>
      <c r="P93" t="s">
        <v>359</v>
      </c>
      <c r="Q93" t="s">
        <v>217</v>
      </c>
    </row>
    <row r="94" spans="1:18" x14ac:dyDescent="0.3">
      <c r="A94" t="s">
        <v>351</v>
      </c>
      <c r="B94" t="s">
        <v>45</v>
      </c>
      <c r="C94" t="s">
        <v>68</v>
      </c>
      <c r="D94" s="15">
        <v>46251.598506944443</v>
      </c>
      <c r="E94" t="s">
        <v>408</v>
      </c>
      <c r="F94">
        <v>3</v>
      </c>
      <c r="G94" s="15">
        <v>46255.493055555555</v>
      </c>
      <c r="H94" t="s">
        <v>359</v>
      </c>
      <c r="I94" t="s">
        <v>377</v>
      </c>
      <c r="J94" t="s">
        <v>239</v>
      </c>
      <c r="K94" t="s">
        <v>351</v>
      </c>
      <c r="L94" t="s">
        <v>378</v>
      </c>
      <c r="M94" t="s">
        <v>239</v>
      </c>
      <c r="N94">
        <v>103</v>
      </c>
      <c r="O94" t="s">
        <v>67</v>
      </c>
      <c r="P94" t="s">
        <v>359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46254.355046296296</v>
      </c>
      <c r="E95" t="s">
        <v>427</v>
      </c>
      <c r="F95">
        <v>35</v>
      </c>
      <c r="G95" s="15">
        <v>46258.410416666666</v>
      </c>
      <c r="H95" t="s">
        <v>365</v>
      </c>
      <c r="I95" t="s">
        <v>377</v>
      </c>
      <c r="J95" t="s">
        <v>239</v>
      </c>
      <c r="K95" t="s">
        <v>351</v>
      </c>
      <c r="L95" t="s">
        <v>378</v>
      </c>
      <c r="M95" t="s">
        <v>239</v>
      </c>
      <c r="N95">
        <v>93</v>
      </c>
      <c r="O95" t="s">
        <v>67</v>
      </c>
      <c r="P95" t="s">
        <v>487</v>
      </c>
      <c r="Q95" t="s">
        <v>217</v>
      </c>
      <c r="R95">
        <v>1</v>
      </c>
    </row>
    <row r="96" spans="1:18" x14ac:dyDescent="0.3">
      <c r="A96" t="s">
        <v>351</v>
      </c>
      <c r="B96" t="s">
        <v>45</v>
      </c>
      <c r="C96" t="s">
        <v>68</v>
      </c>
      <c r="D96" s="15">
        <v>46253.542812500003</v>
      </c>
      <c r="E96" t="s">
        <v>408</v>
      </c>
      <c r="F96">
        <v>3</v>
      </c>
      <c r="G96" s="15">
        <v>46255.493055555555</v>
      </c>
      <c r="H96" t="s">
        <v>359</v>
      </c>
      <c r="I96" t="s">
        <v>377</v>
      </c>
      <c r="J96" t="s">
        <v>239</v>
      </c>
      <c r="K96" t="s">
        <v>351</v>
      </c>
      <c r="L96" t="s">
        <v>378</v>
      </c>
      <c r="M96" t="s">
        <v>239</v>
      </c>
      <c r="N96">
        <v>103</v>
      </c>
      <c r="O96" t="s">
        <v>67</v>
      </c>
      <c r="P96" t="s">
        <v>359</v>
      </c>
      <c r="Q96" t="s">
        <v>217</v>
      </c>
    </row>
    <row r="97" spans="1:18" x14ac:dyDescent="0.3">
      <c r="A97" t="s">
        <v>351</v>
      </c>
      <c r="B97" t="s">
        <v>45</v>
      </c>
      <c r="C97" t="s">
        <v>68</v>
      </c>
      <c r="D97" s="15">
        <v>46253.545694444445</v>
      </c>
      <c r="E97" t="s">
        <v>408</v>
      </c>
      <c r="F97">
        <v>3</v>
      </c>
      <c r="G97" s="15">
        <v>46255.493055555555</v>
      </c>
      <c r="H97" t="s">
        <v>359</v>
      </c>
      <c r="I97" t="s">
        <v>377</v>
      </c>
      <c r="J97" t="s">
        <v>239</v>
      </c>
      <c r="K97" t="s">
        <v>351</v>
      </c>
      <c r="L97" t="s">
        <v>378</v>
      </c>
      <c r="M97" t="s">
        <v>239</v>
      </c>
      <c r="O97" t="s">
        <v>67</v>
      </c>
      <c r="P97" t="s">
        <v>359</v>
      </c>
      <c r="Q97" t="s">
        <v>217</v>
      </c>
    </row>
    <row r="98" spans="1:18" x14ac:dyDescent="0.3">
      <c r="A98" t="s">
        <v>351</v>
      </c>
      <c r="B98" t="s">
        <v>45</v>
      </c>
      <c r="C98" t="s">
        <v>68</v>
      </c>
      <c r="D98" s="15">
        <v>46253.545173611114</v>
      </c>
      <c r="E98" t="s">
        <v>408</v>
      </c>
      <c r="F98">
        <v>3</v>
      </c>
      <c r="G98" s="15">
        <v>46255.493055555555</v>
      </c>
      <c r="H98" t="s">
        <v>359</v>
      </c>
      <c r="I98" t="s">
        <v>377</v>
      </c>
      <c r="J98" t="s">
        <v>239</v>
      </c>
      <c r="K98" t="s">
        <v>351</v>
      </c>
      <c r="L98" t="s">
        <v>378</v>
      </c>
      <c r="M98" t="s">
        <v>239</v>
      </c>
      <c r="O98" t="s">
        <v>67</v>
      </c>
      <c r="P98" t="s">
        <v>359</v>
      </c>
      <c r="Q98" t="s">
        <v>217</v>
      </c>
    </row>
    <row r="99" spans="1:18" x14ac:dyDescent="0.3">
      <c r="A99" t="s">
        <v>351</v>
      </c>
      <c r="B99" t="s">
        <v>45</v>
      </c>
      <c r="C99" t="s">
        <v>68</v>
      </c>
      <c r="D99" s="15">
        <v>46233.471192129633</v>
      </c>
      <c r="E99" t="s">
        <v>408</v>
      </c>
      <c r="F99">
        <v>3</v>
      </c>
      <c r="G99" s="15">
        <v>46237.458333333336</v>
      </c>
      <c r="H99" t="s">
        <v>359</v>
      </c>
      <c r="I99" t="s">
        <v>377</v>
      </c>
      <c r="J99" t="s">
        <v>239</v>
      </c>
      <c r="K99" t="s">
        <v>351</v>
      </c>
      <c r="L99" t="s">
        <v>378</v>
      </c>
      <c r="M99" t="s">
        <v>239</v>
      </c>
      <c r="O99" t="s">
        <v>67</v>
      </c>
      <c r="P99" t="s">
        <v>359</v>
      </c>
      <c r="Q99" t="s">
        <v>217</v>
      </c>
    </row>
    <row r="100" spans="1:18" x14ac:dyDescent="0.3">
      <c r="A100" t="s">
        <v>351</v>
      </c>
      <c r="B100" t="s">
        <v>45</v>
      </c>
      <c r="C100" t="s">
        <v>68</v>
      </c>
      <c r="D100" s="15">
        <v>46233.470659722225</v>
      </c>
      <c r="E100" t="s">
        <v>408</v>
      </c>
      <c r="F100">
        <v>3</v>
      </c>
      <c r="G100" s="15">
        <v>46237.458333333336</v>
      </c>
      <c r="H100" t="s">
        <v>359</v>
      </c>
      <c r="I100" t="s">
        <v>377</v>
      </c>
      <c r="J100" t="s">
        <v>239</v>
      </c>
      <c r="K100" t="s">
        <v>351</v>
      </c>
      <c r="L100" t="s">
        <v>378</v>
      </c>
      <c r="M100" t="s">
        <v>239</v>
      </c>
      <c r="O100" t="s">
        <v>67</v>
      </c>
      <c r="P100" t="s">
        <v>359</v>
      </c>
      <c r="Q100" t="s">
        <v>217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46233.468287037038</v>
      </c>
      <c r="E101" t="s">
        <v>408</v>
      </c>
      <c r="F101">
        <v>3</v>
      </c>
      <c r="G101" s="15">
        <v>46237.458333333336</v>
      </c>
      <c r="H101" t="s">
        <v>359</v>
      </c>
      <c r="I101" t="s">
        <v>377</v>
      </c>
      <c r="J101" t="s">
        <v>239</v>
      </c>
      <c r="K101" t="s">
        <v>351</v>
      </c>
      <c r="L101" t="s">
        <v>378</v>
      </c>
      <c r="M101" t="s">
        <v>239</v>
      </c>
      <c r="O101" t="s">
        <v>67</v>
      </c>
      <c r="P101" t="s">
        <v>359</v>
      </c>
      <c r="Q101" t="s">
        <v>217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46225.582372685189</v>
      </c>
      <c r="E102" t="s">
        <v>408</v>
      </c>
      <c r="F102">
        <v>3</v>
      </c>
      <c r="G102" s="15">
        <v>46231.455555555556</v>
      </c>
      <c r="H102" t="s">
        <v>359</v>
      </c>
      <c r="I102" t="s">
        <v>377</v>
      </c>
      <c r="J102" t="s">
        <v>239</v>
      </c>
      <c r="K102" t="s">
        <v>351</v>
      </c>
      <c r="L102" t="s">
        <v>378</v>
      </c>
      <c r="M102" t="s">
        <v>239</v>
      </c>
      <c r="N102">
        <v>103</v>
      </c>
      <c r="O102" t="s">
        <v>67</v>
      </c>
      <c r="P102" t="s">
        <v>359</v>
      </c>
      <c r="Q102" t="s">
        <v>217</v>
      </c>
      <c r="R102">
        <v>1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46225.581944444442</v>
      </c>
      <c r="E103" t="s">
        <v>408</v>
      </c>
      <c r="F103">
        <v>1</v>
      </c>
      <c r="G103" s="15">
        <v>46231.455555555556</v>
      </c>
      <c r="H103" t="s">
        <v>359</v>
      </c>
      <c r="I103" t="s">
        <v>377</v>
      </c>
      <c r="J103" t="s">
        <v>239</v>
      </c>
      <c r="K103" t="s">
        <v>351</v>
      </c>
      <c r="L103" t="s">
        <v>378</v>
      </c>
      <c r="M103" t="s">
        <v>239</v>
      </c>
      <c r="O103" t="s">
        <v>67</v>
      </c>
      <c r="P103" t="s">
        <v>359</v>
      </c>
      <c r="Q103" t="s">
        <v>217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46225.581226851849</v>
      </c>
      <c r="E104" t="s">
        <v>408</v>
      </c>
      <c r="F104">
        <v>3</v>
      </c>
      <c r="G104" s="15">
        <v>46231.455555555556</v>
      </c>
      <c r="H104" t="s">
        <v>359</v>
      </c>
      <c r="I104" t="s">
        <v>377</v>
      </c>
      <c r="J104" t="s">
        <v>239</v>
      </c>
      <c r="K104" t="s">
        <v>351</v>
      </c>
      <c r="L104" t="s">
        <v>378</v>
      </c>
      <c r="M104" t="s">
        <v>239</v>
      </c>
      <c r="O104" t="s">
        <v>67</v>
      </c>
      <c r="P104" t="s">
        <v>359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46225.358090277776</v>
      </c>
      <c r="E105" t="s">
        <v>412</v>
      </c>
      <c r="F105">
        <v>26</v>
      </c>
      <c r="G105" s="15">
        <v>46227.5</v>
      </c>
      <c r="H105" t="s">
        <v>359</v>
      </c>
      <c r="I105" t="s">
        <v>377</v>
      </c>
      <c r="J105" t="s">
        <v>239</v>
      </c>
      <c r="K105" t="s">
        <v>351</v>
      </c>
      <c r="L105" t="s">
        <v>378</v>
      </c>
      <c r="M105" t="s">
        <v>239</v>
      </c>
      <c r="O105" t="s">
        <v>67</v>
      </c>
      <c r="P105" t="s">
        <v>359</v>
      </c>
      <c r="Q105" t="s">
        <v>217</v>
      </c>
      <c r="R105">
        <v>1.23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46225.333067129628</v>
      </c>
      <c r="E106" t="s">
        <v>429</v>
      </c>
      <c r="F106">
        <v>8</v>
      </c>
      <c r="G106" s="15">
        <v>46227.5</v>
      </c>
      <c r="H106" t="s">
        <v>359</v>
      </c>
      <c r="I106" t="s">
        <v>377</v>
      </c>
      <c r="J106" t="s">
        <v>239</v>
      </c>
      <c r="K106" t="s">
        <v>351</v>
      </c>
      <c r="L106" t="s">
        <v>378</v>
      </c>
      <c r="M106" t="s">
        <v>239</v>
      </c>
      <c r="N106">
        <v>103</v>
      </c>
      <c r="O106" t="s">
        <v>67</v>
      </c>
      <c r="P106" t="s">
        <v>359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46223.488009259258</v>
      </c>
      <c r="E107" t="s">
        <v>408</v>
      </c>
      <c r="F107">
        <v>2</v>
      </c>
      <c r="G107" s="15">
        <v>46231.451388888891</v>
      </c>
      <c r="H107" t="s">
        <v>359</v>
      </c>
      <c r="I107" t="s">
        <v>377</v>
      </c>
      <c r="J107" t="s">
        <v>239</v>
      </c>
      <c r="K107" t="s">
        <v>351</v>
      </c>
      <c r="L107" t="s">
        <v>378</v>
      </c>
      <c r="M107" t="s">
        <v>239</v>
      </c>
      <c r="N107">
        <v>103</v>
      </c>
      <c r="O107" t="s">
        <v>67</v>
      </c>
      <c r="P107" t="s">
        <v>359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46223.487222222226</v>
      </c>
      <c r="E108" t="s">
        <v>408</v>
      </c>
      <c r="F108">
        <v>1</v>
      </c>
      <c r="G108" s="15">
        <v>46231.451388888891</v>
      </c>
      <c r="H108" t="s">
        <v>359</v>
      </c>
      <c r="I108" t="s">
        <v>377</v>
      </c>
      <c r="J108" t="s">
        <v>239</v>
      </c>
      <c r="K108" t="s">
        <v>351</v>
      </c>
      <c r="L108" t="s">
        <v>378</v>
      </c>
      <c r="M108" t="s">
        <v>239</v>
      </c>
      <c r="O108" t="s">
        <v>67</v>
      </c>
      <c r="P108" t="s">
        <v>359</v>
      </c>
      <c r="Q108" t="s">
        <v>217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46225.339780092596</v>
      </c>
      <c r="E109" t="s">
        <v>412</v>
      </c>
      <c r="F109">
        <v>4</v>
      </c>
      <c r="G109" s="15">
        <v>46227.5</v>
      </c>
      <c r="H109" t="s">
        <v>359</v>
      </c>
      <c r="I109" t="s">
        <v>377</v>
      </c>
      <c r="J109" t="s">
        <v>239</v>
      </c>
      <c r="K109" t="s">
        <v>351</v>
      </c>
      <c r="L109" t="s">
        <v>378</v>
      </c>
      <c r="M109" t="s">
        <v>239</v>
      </c>
      <c r="O109" t="s">
        <v>67</v>
      </c>
      <c r="P109" t="s">
        <v>359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46225.337905092594</v>
      </c>
      <c r="E110" t="s">
        <v>412</v>
      </c>
      <c r="F110">
        <v>2</v>
      </c>
      <c r="G110" s="15">
        <v>46227.5</v>
      </c>
      <c r="H110" t="s">
        <v>359</v>
      </c>
      <c r="I110" t="s">
        <v>377</v>
      </c>
      <c r="J110" t="s">
        <v>239</v>
      </c>
      <c r="K110" t="s">
        <v>351</v>
      </c>
      <c r="L110" t="s">
        <v>378</v>
      </c>
      <c r="M110" t="s">
        <v>239</v>
      </c>
      <c r="O110" t="s">
        <v>67</v>
      </c>
      <c r="P110" t="s">
        <v>359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46225.337650462963</v>
      </c>
      <c r="E111" t="s">
        <v>412</v>
      </c>
      <c r="F111">
        <v>1</v>
      </c>
      <c r="G111" s="15">
        <v>46227.5</v>
      </c>
      <c r="H111" t="s">
        <v>359</v>
      </c>
      <c r="I111" t="s">
        <v>377</v>
      </c>
      <c r="J111" t="s">
        <v>239</v>
      </c>
      <c r="K111" t="s">
        <v>351</v>
      </c>
      <c r="L111" t="s">
        <v>378</v>
      </c>
      <c r="M111" t="s">
        <v>239</v>
      </c>
      <c r="O111" t="s">
        <v>67</v>
      </c>
      <c r="P111" t="s">
        <v>359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46224.651469907411</v>
      </c>
      <c r="E112" t="s">
        <v>412</v>
      </c>
      <c r="F112">
        <v>16</v>
      </c>
      <c r="G112" s="15">
        <v>46227.5</v>
      </c>
      <c r="H112" t="s">
        <v>359</v>
      </c>
      <c r="I112" t="s">
        <v>377</v>
      </c>
      <c r="J112" t="s">
        <v>239</v>
      </c>
      <c r="K112" t="s">
        <v>351</v>
      </c>
      <c r="L112" t="s">
        <v>378</v>
      </c>
      <c r="M112" t="s">
        <v>239</v>
      </c>
      <c r="O112" t="s">
        <v>67</v>
      </c>
      <c r="P112" t="s">
        <v>359</v>
      </c>
      <c r="Q112" t="s">
        <v>217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46224.65053240741</v>
      </c>
      <c r="E113" t="s">
        <v>412</v>
      </c>
      <c r="F113">
        <v>6</v>
      </c>
      <c r="G113" s="15">
        <v>46227.5</v>
      </c>
      <c r="H113" t="s">
        <v>359</v>
      </c>
      <c r="I113" t="s">
        <v>377</v>
      </c>
      <c r="J113" t="s">
        <v>239</v>
      </c>
      <c r="K113" t="s">
        <v>351</v>
      </c>
      <c r="L113" t="s">
        <v>378</v>
      </c>
      <c r="M113" t="s">
        <v>239</v>
      </c>
      <c r="O113" t="s">
        <v>67</v>
      </c>
      <c r="P113" t="s">
        <v>359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46225.340196759258</v>
      </c>
      <c r="E114" t="s">
        <v>412</v>
      </c>
      <c r="F114">
        <v>3</v>
      </c>
      <c r="G114" s="15">
        <v>46227.5</v>
      </c>
      <c r="H114" t="s">
        <v>359</v>
      </c>
      <c r="I114" t="s">
        <v>377</v>
      </c>
      <c r="J114" t="s">
        <v>239</v>
      </c>
      <c r="K114" t="s">
        <v>351</v>
      </c>
      <c r="L114" t="s">
        <v>378</v>
      </c>
      <c r="M114" t="s">
        <v>239</v>
      </c>
      <c r="O114" t="s">
        <v>67</v>
      </c>
      <c r="P114" t="s">
        <v>359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46225.340752314813</v>
      </c>
      <c r="E115" t="s">
        <v>412</v>
      </c>
      <c r="F115">
        <v>3</v>
      </c>
      <c r="G115" s="15">
        <v>46227.5</v>
      </c>
      <c r="H115" t="s">
        <v>359</v>
      </c>
      <c r="I115" t="s">
        <v>377</v>
      </c>
      <c r="J115" t="s">
        <v>239</v>
      </c>
      <c r="K115" t="s">
        <v>351</v>
      </c>
      <c r="L115" t="s">
        <v>378</v>
      </c>
      <c r="M115" t="s">
        <v>239</v>
      </c>
      <c r="O115" t="s">
        <v>67</v>
      </c>
      <c r="P115" t="s">
        <v>359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46230.441238425927</v>
      </c>
      <c r="E116" t="s">
        <v>408</v>
      </c>
      <c r="F116">
        <v>3</v>
      </c>
      <c r="G116" s="15">
        <v>46231.431944444441</v>
      </c>
      <c r="H116" t="s">
        <v>359</v>
      </c>
      <c r="I116" t="s">
        <v>377</v>
      </c>
      <c r="J116" t="s">
        <v>239</v>
      </c>
      <c r="K116" t="s">
        <v>351</v>
      </c>
      <c r="L116" t="s">
        <v>378</v>
      </c>
      <c r="M116" t="s">
        <v>239</v>
      </c>
      <c r="N116">
        <v>103</v>
      </c>
      <c r="O116" t="s">
        <v>67</v>
      </c>
      <c r="P116" t="s">
        <v>359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46230.439814814818</v>
      </c>
      <c r="E117" t="s">
        <v>408</v>
      </c>
      <c r="F117">
        <v>4</v>
      </c>
      <c r="G117" s="15">
        <v>46231.431944444441</v>
      </c>
      <c r="H117" t="s">
        <v>359</v>
      </c>
      <c r="I117" t="s">
        <v>377</v>
      </c>
      <c r="J117" t="s">
        <v>239</v>
      </c>
      <c r="K117" t="s">
        <v>351</v>
      </c>
      <c r="L117" t="s">
        <v>378</v>
      </c>
      <c r="M117" t="s">
        <v>239</v>
      </c>
      <c r="O117" t="s">
        <v>67</v>
      </c>
      <c r="P117" t="s">
        <v>359</v>
      </c>
      <c r="Q117" t="s">
        <v>217</v>
      </c>
    </row>
    <row r="118" spans="1:18" x14ac:dyDescent="0.3">
      <c r="A118" t="s">
        <v>351</v>
      </c>
      <c r="B118" t="s">
        <v>43</v>
      </c>
      <c r="C118" t="s">
        <v>105</v>
      </c>
      <c r="D118" s="15">
        <v>46226.43414351852</v>
      </c>
      <c r="E118" t="s">
        <v>426</v>
      </c>
      <c r="F118">
        <v>1</v>
      </c>
      <c r="G118" s="15">
        <v>46231.455555555556</v>
      </c>
      <c r="H118" t="s">
        <v>359</v>
      </c>
      <c r="I118" t="s">
        <v>377</v>
      </c>
      <c r="J118" t="s">
        <v>239</v>
      </c>
      <c r="K118" t="s">
        <v>351</v>
      </c>
      <c r="L118" t="s">
        <v>378</v>
      </c>
      <c r="M118" t="s">
        <v>239</v>
      </c>
      <c r="O118" t="s">
        <v>67</v>
      </c>
      <c r="P118" t="s">
        <v>359</v>
      </c>
      <c r="Q118" t="s">
        <v>217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46225.341481481482</v>
      </c>
      <c r="E119" t="s">
        <v>412</v>
      </c>
      <c r="F119">
        <v>11</v>
      </c>
      <c r="G119" s="15">
        <v>46227.5</v>
      </c>
      <c r="H119" t="s">
        <v>359</v>
      </c>
      <c r="I119" t="s">
        <v>377</v>
      </c>
      <c r="J119" t="s">
        <v>239</v>
      </c>
      <c r="K119" t="s">
        <v>351</v>
      </c>
      <c r="L119" t="s">
        <v>378</v>
      </c>
      <c r="M119" t="s">
        <v>239</v>
      </c>
      <c r="O119" t="s">
        <v>67</v>
      </c>
      <c r="P119" t="s">
        <v>359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46244.522743055553</v>
      </c>
      <c r="E120" t="s">
        <v>421</v>
      </c>
      <c r="F120">
        <v>6</v>
      </c>
      <c r="G120" s="15">
        <v>46247.409722222219</v>
      </c>
      <c r="H120" t="s">
        <v>364</v>
      </c>
      <c r="I120" t="s">
        <v>379</v>
      </c>
      <c r="J120" t="s">
        <v>239</v>
      </c>
      <c r="K120" t="s">
        <v>351</v>
      </c>
      <c r="L120" t="s">
        <v>378</v>
      </c>
      <c r="M120" t="s">
        <v>239</v>
      </c>
      <c r="N120">
        <v>0</v>
      </c>
      <c r="O120" t="s">
        <v>67</v>
      </c>
      <c r="P120" t="s">
        <v>364</v>
      </c>
      <c r="Q120" t="s">
        <v>217</v>
      </c>
      <c r="R120">
        <v>1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46252.385625000003</v>
      </c>
      <c r="E121" t="s">
        <v>415</v>
      </c>
      <c r="F121">
        <v>45</v>
      </c>
      <c r="G121" s="15">
        <v>46254.560416666667</v>
      </c>
      <c r="H121" t="s">
        <v>364</v>
      </c>
      <c r="I121" t="s">
        <v>379</v>
      </c>
      <c r="J121" t="s">
        <v>239</v>
      </c>
      <c r="K121" t="s">
        <v>351</v>
      </c>
      <c r="L121" t="s">
        <v>378</v>
      </c>
      <c r="M121" t="s">
        <v>239</v>
      </c>
      <c r="N121">
        <v>0</v>
      </c>
      <c r="O121" t="s">
        <v>67</v>
      </c>
      <c r="P121" t="s">
        <v>364</v>
      </c>
      <c r="Q121" t="s">
        <v>217</v>
      </c>
      <c r="R121">
        <v>1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46251.574641203704</v>
      </c>
      <c r="E122" t="s">
        <v>421</v>
      </c>
      <c r="F122">
        <v>15</v>
      </c>
      <c r="G122" s="15">
        <v>46253.486111111109</v>
      </c>
      <c r="H122" t="s">
        <v>364</v>
      </c>
      <c r="I122" t="s">
        <v>379</v>
      </c>
      <c r="J122" t="s">
        <v>239</v>
      </c>
      <c r="K122" t="s">
        <v>351</v>
      </c>
      <c r="L122" t="s">
        <v>378</v>
      </c>
      <c r="M122" t="s">
        <v>239</v>
      </c>
      <c r="O122" t="s">
        <v>67</v>
      </c>
      <c r="P122" t="s">
        <v>364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46224.403738425928</v>
      </c>
      <c r="E123" t="s">
        <v>415</v>
      </c>
      <c r="F123">
        <v>50</v>
      </c>
      <c r="G123" s="15">
        <v>46227.503472222219</v>
      </c>
      <c r="H123" t="s">
        <v>364</v>
      </c>
      <c r="I123" t="s">
        <v>379</v>
      </c>
      <c r="J123" t="s">
        <v>239</v>
      </c>
      <c r="K123" t="s">
        <v>351</v>
      </c>
      <c r="L123" t="s">
        <v>378</v>
      </c>
      <c r="M123" t="s">
        <v>239</v>
      </c>
      <c r="N123">
        <v>0</v>
      </c>
      <c r="O123" t="s">
        <v>67</v>
      </c>
      <c r="P123" t="s">
        <v>364</v>
      </c>
      <c r="Q123" t="s">
        <v>217</v>
      </c>
      <c r="R123">
        <v>1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46230.325821759259</v>
      </c>
      <c r="E124" t="s">
        <v>421</v>
      </c>
      <c r="F124">
        <v>22</v>
      </c>
      <c r="G124" s="15">
        <v>46232.520833333336</v>
      </c>
      <c r="H124" t="s">
        <v>364</v>
      </c>
      <c r="I124" t="s">
        <v>379</v>
      </c>
      <c r="J124" t="s">
        <v>239</v>
      </c>
      <c r="K124" t="s">
        <v>351</v>
      </c>
      <c r="L124" t="s">
        <v>378</v>
      </c>
      <c r="M124" t="s">
        <v>239</v>
      </c>
      <c r="N124">
        <v>0</v>
      </c>
      <c r="O124" t="s">
        <v>67</v>
      </c>
      <c r="P124" t="s">
        <v>364</v>
      </c>
      <c r="Q124" t="s">
        <v>217</v>
      </c>
      <c r="R124">
        <v>1</v>
      </c>
    </row>
    <row r="125" spans="1:18" x14ac:dyDescent="0.3">
      <c r="A125" t="s">
        <v>351</v>
      </c>
      <c r="B125" t="s">
        <v>48</v>
      </c>
      <c r="C125" t="s">
        <v>68</v>
      </c>
      <c r="D125" s="15">
        <v>46226.544976851852</v>
      </c>
      <c r="E125" t="s">
        <v>415</v>
      </c>
      <c r="F125">
        <v>1</v>
      </c>
      <c r="G125" s="15">
        <v>46230.449305555558</v>
      </c>
      <c r="H125" t="s">
        <v>364</v>
      </c>
      <c r="I125" t="s">
        <v>379</v>
      </c>
      <c r="J125" t="s">
        <v>239</v>
      </c>
      <c r="K125" t="s">
        <v>351</v>
      </c>
      <c r="L125" t="s">
        <v>378</v>
      </c>
      <c r="M125" t="s">
        <v>239</v>
      </c>
      <c r="N125">
        <v>0</v>
      </c>
      <c r="O125" t="s">
        <v>90</v>
      </c>
      <c r="P125" t="s">
        <v>364</v>
      </c>
      <c r="Q125" t="s">
        <v>217</v>
      </c>
      <c r="R125">
        <v>1</v>
      </c>
    </row>
    <row r="126" spans="1:18" x14ac:dyDescent="0.3">
      <c r="A126" t="s">
        <v>352</v>
      </c>
      <c r="B126" t="s">
        <v>43</v>
      </c>
      <c r="C126" t="s">
        <v>105</v>
      </c>
      <c r="D126" s="15">
        <v>46251.397696759261</v>
      </c>
      <c r="E126" t="s">
        <v>412</v>
      </c>
      <c r="F126">
        <v>1</v>
      </c>
      <c r="G126" s="15">
        <v>46255.615277777775</v>
      </c>
      <c r="H126" t="s">
        <v>1106</v>
      </c>
      <c r="I126" t="s">
        <v>1107</v>
      </c>
      <c r="J126" t="s">
        <v>261</v>
      </c>
      <c r="K126" t="s">
        <v>352</v>
      </c>
      <c r="L126" t="s">
        <v>403</v>
      </c>
      <c r="M126" t="s">
        <v>261</v>
      </c>
      <c r="N126">
        <v>0</v>
      </c>
      <c r="O126" t="s">
        <v>67</v>
      </c>
      <c r="P126" t="s">
        <v>1106</v>
      </c>
      <c r="Q126" t="s">
        <v>217</v>
      </c>
      <c r="R126">
        <v>1</v>
      </c>
    </row>
    <row r="127" spans="1:18" x14ac:dyDescent="0.3">
      <c r="A127" t="s">
        <v>352</v>
      </c>
      <c r="B127" t="s">
        <v>45</v>
      </c>
      <c r="C127" t="s">
        <v>68</v>
      </c>
      <c r="D127" s="15">
        <v>46251.388148148151</v>
      </c>
      <c r="E127" t="s">
        <v>1110</v>
      </c>
      <c r="F127">
        <v>10</v>
      </c>
      <c r="G127" s="15">
        <v>46255.618055555555</v>
      </c>
      <c r="H127" t="s">
        <v>1106</v>
      </c>
      <c r="I127" t="s">
        <v>1107</v>
      </c>
      <c r="J127" t="s">
        <v>261</v>
      </c>
      <c r="K127" t="s">
        <v>352</v>
      </c>
      <c r="L127" t="s">
        <v>403</v>
      </c>
      <c r="M127" t="s">
        <v>261</v>
      </c>
      <c r="N127">
        <v>0</v>
      </c>
      <c r="O127" t="s">
        <v>67</v>
      </c>
      <c r="P127" t="s">
        <v>1106</v>
      </c>
      <c r="Q127" t="s">
        <v>217</v>
      </c>
    </row>
    <row r="128" spans="1:18" x14ac:dyDescent="0.3">
      <c r="A128" t="s">
        <v>352</v>
      </c>
      <c r="B128" t="s">
        <v>45</v>
      </c>
      <c r="C128" t="s">
        <v>68</v>
      </c>
      <c r="D128" s="15">
        <v>46251.394097222219</v>
      </c>
      <c r="E128" t="s">
        <v>1110</v>
      </c>
      <c r="F128">
        <v>5</v>
      </c>
      <c r="G128" s="15">
        <v>46255.615277777775</v>
      </c>
      <c r="H128" t="s">
        <v>1106</v>
      </c>
      <c r="I128" t="s">
        <v>1107</v>
      </c>
      <c r="J128" t="s">
        <v>261</v>
      </c>
      <c r="K128" t="s">
        <v>352</v>
      </c>
      <c r="L128" t="s">
        <v>403</v>
      </c>
      <c r="M128" t="s">
        <v>261</v>
      </c>
      <c r="O128" t="s">
        <v>67</v>
      </c>
      <c r="P128" t="s">
        <v>1106</v>
      </c>
      <c r="Q128" t="s">
        <v>217</v>
      </c>
    </row>
    <row r="129" spans="1:18" x14ac:dyDescent="0.3">
      <c r="A129" t="s">
        <v>352</v>
      </c>
      <c r="B129" t="s">
        <v>48</v>
      </c>
      <c r="C129" t="s">
        <v>68</v>
      </c>
      <c r="D129" s="15">
        <v>46226.72587962963</v>
      </c>
      <c r="E129" t="s">
        <v>412</v>
      </c>
      <c r="F129">
        <v>1</v>
      </c>
      <c r="G129" s="15">
        <v>46232.441666666666</v>
      </c>
      <c r="H129" t="s">
        <v>1106</v>
      </c>
      <c r="I129" t="s">
        <v>1107</v>
      </c>
      <c r="J129" t="s">
        <v>261</v>
      </c>
      <c r="K129" t="s">
        <v>352</v>
      </c>
      <c r="L129" t="s">
        <v>403</v>
      </c>
      <c r="M129" t="s">
        <v>261</v>
      </c>
      <c r="N129">
        <v>0</v>
      </c>
      <c r="O129" t="s">
        <v>90</v>
      </c>
      <c r="P129" t="s">
        <v>1106</v>
      </c>
      <c r="Q129" t="s">
        <v>217</v>
      </c>
      <c r="R129">
        <v>1</v>
      </c>
    </row>
    <row r="130" spans="1:18" x14ac:dyDescent="0.3">
      <c r="A130" t="s">
        <v>352</v>
      </c>
      <c r="B130" t="s">
        <v>45</v>
      </c>
      <c r="C130" t="s">
        <v>68</v>
      </c>
      <c r="D130" s="15">
        <v>46219.31449074074</v>
      </c>
      <c r="E130" t="s">
        <v>1110</v>
      </c>
      <c r="F130">
        <v>9</v>
      </c>
      <c r="G130" s="15">
        <v>46232.447916666664</v>
      </c>
      <c r="H130" t="s">
        <v>1106</v>
      </c>
      <c r="I130" t="s">
        <v>1107</v>
      </c>
      <c r="J130" t="s">
        <v>261</v>
      </c>
      <c r="K130" t="s">
        <v>352</v>
      </c>
      <c r="L130" t="s">
        <v>403</v>
      </c>
      <c r="M130" t="s">
        <v>261</v>
      </c>
      <c r="N130">
        <v>0</v>
      </c>
      <c r="O130" t="s">
        <v>67</v>
      </c>
      <c r="P130" t="s">
        <v>1106</v>
      </c>
      <c r="Q130" t="s">
        <v>217</v>
      </c>
    </row>
    <row r="131" spans="1:18" x14ac:dyDescent="0.3">
      <c r="A131" t="s">
        <v>350</v>
      </c>
      <c r="B131" t="s">
        <v>45</v>
      </c>
      <c r="C131" t="s">
        <v>68</v>
      </c>
      <c r="D131" s="15">
        <v>46244.678773148145</v>
      </c>
      <c r="E131" t="s">
        <v>414</v>
      </c>
      <c r="F131">
        <v>25</v>
      </c>
      <c r="G131" s="15">
        <v>46246.395833333336</v>
      </c>
      <c r="H131" t="s">
        <v>370</v>
      </c>
      <c r="I131" t="s">
        <v>383</v>
      </c>
      <c r="J131" t="s">
        <v>240</v>
      </c>
      <c r="K131" t="s">
        <v>350</v>
      </c>
      <c r="L131" t="s">
        <v>356</v>
      </c>
      <c r="M131" t="s">
        <v>240</v>
      </c>
      <c r="N131">
        <v>3</v>
      </c>
      <c r="O131" t="s">
        <v>67</v>
      </c>
      <c r="P131" t="s">
        <v>370</v>
      </c>
      <c r="Q131" t="s">
        <v>217</v>
      </c>
      <c r="R131">
        <v>1</v>
      </c>
    </row>
    <row r="132" spans="1:18" x14ac:dyDescent="0.3">
      <c r="A132" t="s">
        <v>350</v>
      </c>
      <c r="B132" t="s">
        <v>45</v>
      </c>
      <c r="C132" t="s">
        <v>68</v>
      </c>
      <c r="D132" s="15">
        <v>46252.494293981479</v>
      </c>
      <c r="E132" t="s">
        <v>414</v>
      </c>
      <c r="F132">
        <v>25</v>
      </c>
      <c r="G132" s="15">
        <v>46253.423611111109</v>
      </c>
      <c r="H132" t="s">
        <v>370</v>
      </c>
      <c r="I132" t="s">
        <v>383</v>
      </c>
      <c r="J132" t="s">
        <v>240</v>
      </c>
      <c r="K132" t="s">
        <v>350</v>
      </c>
      <c r="L132" t="s">
        <v>356</v>
      </c>
      <c r="M132" t="s">
        <v>240</v>
      </c>
      <c r="N132">
        <v>3</v>
      </c>
      <c r="O132" t="s">
        <v>67</v>
      </c>
      <c r="P132" t="s">
        <v>370</v>
      </c>
      <c r="Q132" t="s">
        <v>217</v>
      </c>
      <c r="R132">
        <v>1</v>
      </c>
    </row>
    <row r="133" spans="1:18" x14ac:dyDescent="0.3">
      <c r="A133" t="s">
        <v>350</v>
      </c>
      <c r="B133" t="s">
        <v>45</v>
      </c>
      <c r="C133" t="s">
        <v>68</v>
      </c>
      <c r="D133" s="15">
        <v>46237.299120370371</v>
      </c>
      <c r="E133" t="s">
        <v>414</v>
      </c>
      <c r="F133">
        <v>20</v>
      </c>
      <c r="G133" s="15">
        <v>46239.371527777781</v>
      </c>
      <c r="H133" t="s">
        <v>370</v>
      </c>
      <c r="I133" t="s">
        <v>383</v>
      </c>
      <c r="J133" t="s">
        <v>240</v>
      </c>
      <c r="K133" t="s">
        <v>350</v>
      </c>
      <c r="L133" t="s">
        <v>356</v>
      </c>
      <c r="M133" t="s">
        <v>240</v>
      </c>
      <c r="N133">
        <v>3</v>
      </c>
      <c r="O133" t="s">
        <v>67</v>
      </c>
      <c r="P133" t="s">
        <v>370</v>
      </c>
      <c r="Q133" t="s">
        <v>217</v>
      </c>
      <c r="R133">
        <v>1</v>
      </c>
    </row>
    <row r="134" spans="1:18" x14ac:dyDescent="0.3">
      <c r="A134" t="s">
        <v>350</v>
      </c>
      <c r="B134" t="s">
        <v>43</v>
      </c>
      <c r="C134" t="s">
        <v>105</v>
      </c>
      <c r="D134" s="15">
        <v>46244.665532407409</v>
      </c>
      <c r="E134" t="s">
        <v>410</v>
      </c>
      <c r="F134">
        <v>3</v>
      </c>
      <c r="G134" s="15">
        <v>46247.479166666664</v>
      </c>
      <c r="H134" t="s">
        <v>369</v>
      </c>
      <c r="I134" t="s">
        <v>382</v>
      </c>
      <c r="J134" t="s">
        <v>240</v>
      </c>
      <c r="K134" t="s">
        <v>350</v>
      </c>
      <c r="L134" t="s">
        <v>356</v>
      </c>
      <c r="M134" t="s">
        <v>240</v>
      </c>
      <c r="N134">
        <v>48</v>
      </c>
      <c r="O134" t="s">
        <v>67</v>
      </c>
      <c r="P134" t="s">
        <v>369</v>
      </c>
      <c r="Q134" t="s">
        <v>217</v>
      </c>
      <c r="R134">
        <v>1</v>
      </c>
    </row>
    <row r="135" spans="1:18" x14ac:dyDescent="0.3">
      <c r="A135" t="s">
        <v>350</v>
      </c>
      <c r="B135" t="s">
        <v>45</v>
      </c>
      <c r="C135" t="s">
        <v>68</v>
      </c>
      <c r="D135" s="15">
        <v>46244.660208333335</v>
      </c>
      <c r="E135" t="s">
        <v>410</v>
      </c>
      <c r="F135">
        <v>25</v>
      </c>
      <c r="G135" s="15">
        <v>46246.611111111109</v>
      </c>
      <c r="H135" t="s">
        <v>369</v>
      </c>
      <c r="I135" t="s">
        <v>382</v>
      </c>
      <c r="J135" t="s">
        <v>240</v>
      </c>
      <c r="K135" t="s">
        <v>350</v>
      </c>
      <c r="L135" t="s">
        <v>356</v>
      </c>
      <c r="M135" t="s">
        <v>240</v>
      </c>
      <c r="N135">
        <v>48</v>
      </c>
      <c r="O135" t="s">
        <v>67</v>
      </c>
      <c r="P135" t="s">
        <v>369</v>
      </c>
      <c r="Q135" t="s">
        <v>217</v>
      </c>
      <c r="R135">
        <v>1</v>
      </c>
    </row>
    <row r="136" spans="1:18" x14ac:dyDescent="0.3">
      <c r="A136" t="s">
        <v>350</v>
      </c>
      <c r="B136" t="s">
        <v>45</v>
      </c>
      <c r="C136" t="s">
        <v>68</v>
      </c>
      <c r="D136" s="15">
        <v>46253.320972222224</v>
      </c>
      <c r="E136" t="s">
        <v>410</v>
      </c>
      <c r="F136">
        <v>25</v>
      </c>
      <c r="G136" s="15">
        <v>46255.638888888891</v>
      </c>
      <c r="H136" t="s">
        <v>369</v>
      </c>
      <c r="I136" t="s">
        <v>382</v>
      </c>
      <c r="J136" t="s">
        <v>240</v>
      </c>
      <c r="K136" t="s">
        <v>350</v>
      </c>
      <c r="L136" t="s">
        <v>356</v>
      </c>
      <c r="M136" t="s">
        <v>240</v>
      </c>
      <c r="N136">
        <v>48</v>
      </c>
      <c r="O136" t="s">
        <v>67</v>
      </c>
      <c r="P136" t="s">
        <v>369</v>
      </c>
      <c r="Q136" t="s">
        <v>217</v>
      </c>
      <c r="R136">
        <v>1</v>
      </c>
    </row>
    <row r="137" spans="1:18" x14ac:dyDescent="0.3">
      <c r="A137" t="s">
        <v>350</v>
      </c>
      <c r="B137" t="s">
        <v>45</v>
      </c>
      <c r="C137" t="s">
        <v>68</v>
      </c>
      <c r="D137" s="15">
        <v>46233.603067129632</v>
      </c>
      <c r="E137" t="s">
        <v>418</v>
      </c>
      <c r="F137">
        <v>50</v>
      </c>
      <c r="G137" s="15">
        <v>46237.586805555555</v>
      </c>
      <c r="H137" t="s">
        <v>369</v>
      </c>
      <c r="I137" t="s">
        <v>382</v>
      </c>
      <c r="J137" t="s">
        <v>240</v>
      </c>
      <c r="K137" t="s">
        <v>350</v>
      </c>
      <c r="L137" t="s">
        <v>356</v>
      </c>
      <c r="M137" t="s">
        <v>240</v>
      </c>
      <c r="N137">
        <v>48</v>
      </c>
      <c r="O137" t="s">
        <v>67</v>
      </c>
      <c r="P137" t="s">
        <v>369</v>
      </c>
      <c r="Q137" t="s">
        <v>217</v>
      </c>
      <c r="R137">
        <v>1</v>
      </c>
    </row>
    <row r="138" spans="1:18" x14ac:dyDescent="0.3">
      <c r="A138" t="s">
        <v>350</v>
      </c>
      <c r="B138" t="s">
        <v>48</v>
      </c>
      <c r="C138" t="s">
        <v>68</v>
      </c>
      <c r="D138" s="15">
        <v>46238.544641203705</v>
      </c>
      <c r="E138" t="s">
        <v>410</v>
      </c>
      <c r="F138">
        <v>3</v>
      </c>
      <c r="G138" s="15">
        <v>46240.518055555556</v>
      </c>
      <c r="H138" t="s">
        <v>369</v>
      </c>
      <c r="I138" t="s">
        <v>382</v>
      </c>
      <c r="J138" t="s">
        <v>240</v>
      </c>
      <c r="K138" t="s">
        <v>350</v>
      </c>
      <c r="L138" t="s">
        <v>356</v>
      </c>
      <c r="M138" t="s">
        <v>240</v>
      </c>
      <c r="N138">
        <v>48</v>
      </c>
      <c r="O138" t="s">
        <v>90</v>
      </c>
      <c r="P138" t="s">
        <v>369</v>
      </c>
      <c r="Q138" t="s">
        <v>217</v>
      </c>
      <c r="R138">
        <v>1</v>
      </c>
    </row>
    <row r="139" spans="1:18" x14ac:dyDescent="0.3">
      <c r="A139" t="s">
        <v>351</v>
      </c>
      <c r="B139" t="s">
        <v>45</v>
      </c>
      <c r="C139" t="s">
        <v>68</v>
      </c>
      <c r="D139" s="15">
        <v>46224.647638888891</v>
      </c>
      <c r="E139" t="s">
        <v>416</v>
      </c>
      <c r="F139">
        <v>1</v>
      </c>
      <c r="G139" s="15">
        <v>46226.447916666664</v>
      </c>
      <c r="H139" t="s">
        <v>358</v>
      </c>
      <c r="I139" t="s">
        <v>376</v>
      </c>
      <c r="J139" t="s">
        <v>287</v>
      </c>
      <c r="K139" t="s">
        <v>351</v>
      </c>
      <c r="L139" t="s">
        <v>378</v>
      </c>
      <c r="M139" t="s">
        <v>239</v>
      </c>
      <c r="N139">
        <v>76</v>
      </c>
      <c r="O139" t="s">
        <v>67</v>
      </c>
      <c r="P139" t="s">
        <v>358</v>
      </c>
      <c r="Q139" t="s">
        <v>217</v>
      </c>
      <c r="R139">
        <v>1</v>
      </c>
    </row>
    <row r="140" spans="1:18" x14ac:dyDescent="0.3">
      <c r="A140" t="s">
        <v>351</v>
      </c>
      <c r="B140" t="s">
        <v>48</v>
      </c>
      <c r="C140" t="s">
        <v>68</v>
      </c>
      <c r="D140" s="15">
        <v>46216.601365740738</v>
      </c>
      <c r="E140" t="s">
        <v>412</v>
      </c>
      <c r="F140">
        <v>1</v>
      </c>
      <c r="G140" s="15">
        <v>46223.497916666667</v>
      </c>
      <c r="H140" t="s">
        <v>360</v>
      </c>
      <c r="I140" t="s">
        <v>378</v>
      </c>
      <c r="J140" t="s">
        <v>239</v>
      </c>
      <c r="K140" t="s">
        <v>351</v>
      </c>
      <c r="L140" t="s">
        <v>378</v>
      </c>
      <c r="M140" t="s">
        <v>239</v>
      </c>
      <c r="N140">
        <v>0</v>
      </c>
      <c r="O140" t="s">
        <v>90</v>
      </c>
      <c r="P140" t="s">
        <v>360</v>
      </c>
      <c r="Q140" t="s">
        <v>217</v>
      </c>
      <c r="R140">
        <v>1</v>
      </c>
    </row>
    <row r="141" spans="1:18" x14ac:dyDescent="0.3">
      <c r="A141" t="s">
        <v>351</v>
      </c>
      <c r="B141" t="s">
        <v>48</v>
      </c>
      <c r="C141" t="s">
        <v>68</v>
      </c>
      <c r="D141" s="15">
        <v>46241.31753472222</v>
      </c>
      <c r="E141" t="s">
        <v>411</v>
      </c>
      <c r="F141">
        <v>2</v>
      </c>
      <c r="G141" s="15">
        <v>46244.479166666664</v>
      </c>
      <c r="H141" t="s">
        <v>363</v>
      </c>
      <c r="I141" t="s">
        <v>378</v>
      </c>
      <c r="J141" t="s">
        <v>239</v>
      </c>
      <c r="K141" t="s">
        <v>351</v>
      </c>
      <c r="L141" t="s">
        <v>378</v>
      </c>
      <c r="M141" t="s">
        <v>239</v>
      </c>
      <c r="O141" t="s">
        <v>90</v>
      </c>
      <c r="P141" t="s">
        <v>363</v>
      </c>
      <c r="Q141" t="s">
        <v>217</v>
      </c>
    </row>
    <row r="142" spans="1:18" x14ac:dyDescent="0.3">
      <c r="A142" t="s">
        <v>353</v>
      </c>
      <c r="B142" t="s">
        <v>45</v>
      </c>
      <c r="C142" t="s">
        <v>68</v>
      </c>
      <c r="D142" s="15">
        <v>46223.312245370369</v>
      </c>
      <c r="E142" t="s">
        <v>440</v>
      </c>
      <c r="F142">
        <v>9</v>
      </c>
      <c r="G142" s="15">
        <v>46226.486805555556</v>
      </c>
      <c r="H142" t="s">
        <v>405</v>
      </c>
      <c r="I142" t="s">
        <v>386</v>
      </c>
      <c r="J142" t="s">
        <v>295</v>
      </c>
      <c r="K142" t="s">
        <v>353</v>
      </c>
      <c r="L142" t="s">
        <v>384</v>
      </c>
      <c r="M142" t="s">
        <v>262</v>
      </c>
      <c r="O142" t="s">
        <v>67</v>
      </c>
      <c r="P142" t="s">
        <v>405</v>
      </c>
      <c r="Q142" t="s">
        <v>217</v>
      </c>
      <c r="R142">
        <v>1</v>
      </c>
    </row>
    <row r="143" spans="1:18" x14ac:dyDescent="0.3">
      <c r="A143" t="s">
        <v>353</v>
      </c>
      <c r="B143" t="s">
        <v>45</v>
      </c>
      <c r="C143" t="s">
        <v>68</v>
      </c>
      <c r="D143" s="15">
        <v>46217.387696759259</v>
      </c>
      <c r="E143" t="s">
        <v>435</v>
      </c>
      <c r="F143">
        <v>2</v>
      </c>
      <c r="G143" s="15">
        <v>46230.486111111109</v>
      </c>
      <c r="H143" t="s">
        <v>372</v>
      </c>
      <c r="I143" t="s">
        <v>385</v>
      </c>
      <c r="J143" t="s">
        <v>265</v>
      </c>
      <c r="K143" t="s">
        <v>353</v>
      </c>
      <c r="L143" t="s">
        <v>384</v>
      </c>
      <c r="M143" t="s">
        <v>262</v>
      </c>
      <c r="N143">
        <v>678</v>
      </c>
      <c r="O143" t="s">
        <v>67</v>
      </c>
      <c r="P143" t="s">
        <v>372</v>
      </c>
      <c r="Q143" t="s">
        <v>217</v>
      </c>
      <c r="R14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77" t="s">
        <v>1200</v>
      </c>
      <c r="B3" s="177" t="s">
        <v>1199</v>
      </c>
      <c r="J3" s="177" t="s">
        <v>1201</v>
      </c>
      <c r="K3" s="177" t="s">
        <v>1199</v>
      </c>
    </row>
    <row r="4" spans="1:16" x14ac:dyDescent="0.3">
      <c r="A4" s="177" t="s">
        <v>1196</v>
      </c>
      <c r="B4" t="s">
        <v>352</v>
      </c>
      <c r="C4" t="s">
        <v>351</v>
      </c>
      <c r="D4" t="s">
        <v>350</v>
      </c>
      <c r="E4" t="s">
        <v>353</v>
      </c>
      <c r="F4" t="s">
        <v>1197</v>
      </c>
      <c r="G4" t="s">
        <v>1198</v>
      </c>
      <c r="J4" s="177" t="s">
        <v>1196</v>
      </c>
      <c r="K4" t="s">
        <v>352</v>
      </c>
      <c r="L4" t="s">
        <v>351</v>
      </c>
      <c r="M4" t="s">
        <v>350</v>
      </c>
      <c r="N4" t="s">
        <v>353</v>
      </c>
      <c r="O4" t="s">
        <v>1197</v>
      </c>
      <c r="P4" t="s">
        <v>1198</v>
      </c>
    </row>
    <row r="5" spans="1:16" x14ac:dyDescent="0.3">
      <c r="A5" s="2" t="s">
        <v>225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225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236</v>
      </c>
      <c r="C6">
        <v>796</v>
      </c>
      <c r="G6">
        <v>796</v>
      </c>
      <c r="J6" s="2" t="s">
        <v>236</v>
      </c>
      <c r="L6">
        <v>796</v>
      </c>
      <c r="P6">
        <v>796</v>
      </c>
    </row>
    <row r="7" spans="1:16" x14ac:dyDescent="0.3">
      <c r="A7" s="2" t="s">
        <v>232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232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231</v>
      </c>
      <c r="C8">
        <v>28</v>
      </c>
      <c r="G8">
        <v>28</v>
      </c>
      <c r="J8" s="2" t="s">
        <v>231</v>
      </c>
      <c r="L8">
        <v>28</v>
      </c>
      <c r="P8">
        <v>28</v>
      </c>
    </row>
    <row r="9" spans="1:16" x14ac:dyDescent="0.3">
      <c r="A9" s="2" t="s">
        <v>218</v>
      </c>
      <c r="C9">
        <v>6</v>
      </c>
      <c r="D9">
        <v>1</v>
      </c>
      <c r="G9">
        <v>7</v>
      </c>
      <c r="J9" s="2" t="s">
        <v>218</v>
      </c>
      <c r="L9">
        <v>9</v>
      </c>
      <c r="M9">
        <v>2</v>
      </c>
      <c r="P9">
        <v>11</v>
      </c>
    </row>
    <row r="10" spans="1:16" x14ac:dyDescent="0.3">
      <c r="A10" s="2" t="s">
        <v>217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217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233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233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1197</v>
      </c>
      <c r="J13" s="2" t="s">
        <v>1197</v>
      </c>
    </row>
    <row r="14" spans="1:16" x14ac:dyDescent="0.3">
      <c r="A14" s="2" t="s">
        <v>1198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1198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528</v>
      </c>
      <c r="I2" s="14"/>
      <c r="J2" s="14"/>
      <c r="K2" s="33"/>
      <c r="L2" s="14"/>
      <c r="M2" s="14"/>
      <c r="N2" s="33"/>
      <c r="O2" s="14"/>
      <c r="Q2" s="1"/>
      <c r="R2" s="34" t="s">
        <v>522</v>
      </c>
      <c r="S2" s="14"/>
      <c r="T2" s="33"/>
      <c r="U2" s="14"/>
      <c r="V2" s="14"/>
      <c r="Y2" s="34" t="s">
        <v>523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524</v>
      </c>
      <c r="AK2" s="14"/>
      <c r="AL2" s="33"/>
      <c r="AM2" s="14"/>
      <c r="AN2" s="14"/>
      <c r="AO2" s="33"/>
      <c r="AR2" s="35" t="s">
        <v>525</v>
      </c>
      <c r="AS2" s="14"/>
      <c r="AT2" s="14"/>
      <c r="AU2" s="33"/>
      <c r="AV2" s="14"/>
      <c r="AW2" s="14"/>
      <c r="AX2" s="1"/>
      <c r="AZ2" s="34" t="s">
        <v>526</v>
      </c>
      <c r="BA2" s="33"/>
      <c r="BB2" s="14"/>
      <c r="BC2" s="14"/>
      <c r="BD2" s="33"/>
      <c r="BE2" s="14"/>
      <c r="BG2" s="1"/>
      <c r="BH2" s="34" t="s">
        <v>527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388</v>
      </c>
      <c r="BT3" t="s">
        <v>482</v>
      </c>
      <c r="BU3" t="s">
        <v>286</v>
      </c>
      <c r="BW3" t="s">
        <v>489</v>
      </c>
      <c r="BX3" t="s">
        <v>490</v>
      </c>
      <c r="BY3" t="s">
        <v>491</v>
      </c>
      <c r="BZ3" t="s">
        <v>492</v>
      </c>
      <c r="CA3" t="s">
        <v>493</v>
      </c>
      <c r="CB3" t="s">
        <v>494</v>
      </c>
      <c r="CD3" s="2" t="s">
        <v>286</v>
      </c>
      <c r="CE3" s="2" t="s">
        <v>282</v>
      </c>
      <c r="CG3" t="s">
        <v>501</v>
      </c>
      <c r="CI3" s="1" t="s">
        <v>502</v>
      </c>
      <c r="CK3" s="37" t="s">
        <v>136</v>
      </c>
      <c r="CL3" s="37" t="s">
        <v>655</v>
      </c>
      <c r="CM3" s="37" t="s">
        <v>2</v>
      </c>
      <c r="CN3" s="37" t="s">
        <v>160</v>
      </c>
      <c r="CO3" s="38" t="s">
        <v>556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477</v>
      </c>
      <c r="BS4" s="9" t="s">
        <v>444</v>
      </c>
      <c r="BT4" s="2" t="s">
        <v>384</v>
      </c>
      <c r="BU4" t="s">
        <v>262</v>
      </c>
      <c r="BW4" t="s">
        <v>495</v>
      </c>
      <c r="BX4" t="s">
        <v>393</v>
      </c>
      <c r="BY4" t="s">
        <v>397</v>
      </c>
      <c r="BZ4" t="s">
        <v>402</v>
      </c>
      <c r="CA4" t="s">
        <v>404</v>
      </c>
      <c r="CB4" t="s">
        <v>263</v>
      </c>
      <c r="CD4" s="1" t="s">
        <v>263</v>
      </c>
      <c r="CE4" s="1" t="s">
        <v>495</v>
      </c>
      <c r="CG4" t="s">
        <v>503</v>
      </c>
      <c r="CI4" s="1">
        <v>2025</v>
      </c>
      <c r="CK4" s="38" t="s">
        <v>351</v>
      </c>
      <c r="CL4" s="38" t="s">
        <v>561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478</v>
      </c>
      <c r="BS5" s="9" t="s">
        <v>483</v>
      </c>
      <c r="BT5" s="9" t="s">
        <v>484</v>
      </c>
      <c r="BU5" t="s">
        <v>263</v>
      </c>
      <c r="BW5" t="s">
        <v>352</v>
      </c>
      <c r="BX5" t="s">
        <v>389</v>
      </c>
      <c r="BY5" t="s">
        <v>394</v>
      </c>
      <c r="BZ5" t="s">
        <v>398</v>
      </c>
      <c r="CA5" t="s">
        <v>403</v>
      </c>
      <c r="CB5" t="s">
        <v>261</v>
      </c>
      <c r="CD5" s="1" t="s">
        <v>260</v>
      </c>
      <c r="CE5" s="1" t="s">
        <v>495</v>
      </c>
      <c r="CG5" t="s">
        <v>504</v>
      </c>
      <c r="CI5" s="1">
        <v>2026</v>
      </c>
      <c r="CK5" s="38" t="s">
        <v>351</v>
      </c>
      <c r="CL5" s="38" t="s">
        <v>562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479</v>
      </c>
      <c r="BS6" s="9" t="s">
        <v>485</v>
      </c>
      <c r="BT6" s="2" t="s">
        <v>403</v>
      </c>
      <c r="BU6" t="s">
        <v>261</v>
      </c>
      <c r="BW6" t="s">
        <v>351</v>
      </c>
      <c r="BX6" t="s">
        <v>390</v>
      </c>
      <c r="BY6" t="s">
        <v>374</v>
      </c>
      <c r="BZ6" t="s">
        <v>399</v>
      </c>
      <c r="CA6" t="s">
        <v>378</v>
      </c>
      <c r="CB6" t="s">
        <v>239</v>
      </c>
      <c r="CD6" s="1" t="s">
        <v>288</v>
      </c>
      <c r="CE6" s="1" t="s">
        <v>495</v>
      </c>
      <c r="CG6" t="s">
        <v>505</v>
      </c>
      <c r="CI6" s="1">
        <v>2027</v>
      </c>
      <c r="CK6" s="38" t="s">
        <v>351</v>
      </c>
      <c r="CL6" s="38" t="s">
        <v>563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480</v>
      </c>
      <c r="BS7" s="9" t="s">
        <v>422</v>
      </c>
      <c r="BT7" s="9" t="s">
        <v>378</v>
      </c>
      <c r="BU7" t="s">
        <v>239</v>
      </c>
      <c r="BW7" t="s">
        <v>350</v>
      </c>
      <c r="BX7" t="s">
        <v>391</v>
      </c>
      <c r="BY7" t="s">
        <v>395</v>
      </c>
      <c r="BZ7" t="s">
        <v>400</v>
      </c>
      <c r="CA7" t="s">
        <v>356</v>
      </c>
      <c r="CB7" t="s">
        <v>240</v>
      </c>
      <c r="CD7" s="1" t="s">
        <v>289</v>
      </c>
      <c r="CE7" s="1" t="s">
        <v>495</v>
      </c>
      <c r="CG7" t="s">
        <v>506</v>
      </c>
      <c r="CI7" s="1">
        <v>2028</v>
      </c>
      <c r="CK7" s="38" t="s">
        <v>351</v>
      </c>
      <c r="CL7" s="38" t="s">
        <v>564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431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481</v>
      </c>
      <c r="BS8" s="9" t="s">
        <v>423</v>
      </c>
      <c r="BT8" s="2" t="s">
        <v>356</v>
      </c>
      <c r="BU8" t="s">
        <v>240</v>
      </c>
      <c r="BW8" t="s">
        <v>353</v>
      </c>
      <c r="BX8" t="s">
        <v>392</v>
      </c>
      <c r="BY8" t="s">
        <v>396</v>
      </c>
      <c r="BZ8" t="s">
        <v>401</v>
      </c>
      <c r="CA8" t="s">
        <v>384</v>
      </c>
      <c r="CB8" t="s">
        <v>262</v>
      </c>
      <c r="CD8" s="1" t="s">
        <v>290</v>
      </c>
      <c r="CE8" s="1" t="s">
        <v>350</v>
      </c>
      <c r="CG8" t="s">
        <v>507</v>
      </c>
      <c r="CI8" s="1">
        <v>2029</v>
      </c>
      <c r="CK8" s="38" t="s">
        <v>351</v>
      </c>
      <c r="CL8" s="38" t="s">
        <v>565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508</v>
      </c>
      <c r="CI9" s="1">
        <v>2030</v>
      </c>
      <c r="CK9" s="38" t="s">
        <v>351</v>
      </c>
      <c r="CL9" s="38" t="s">
        <v>566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509</v>
      </c>
      <c r="CI10" s="1">
        <v>2031</v>
      </c>
      <c r="CK10" s="38" t="s">
        <v>351</v>
      </c>
      <c r="CL10" s="38" t="s">
        <v>567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510</v>
      </c>
      <c r="CI11" s="1">
        <v>2032</v>
      </c>
      <c r="CK11" s="38" t="s">
        <v>352</v>
      </c>
      <c r="CL11" s="38" t="s">
        <v>447</v>
      </c>
      <c r="CM11" s="38" t="s">
        <v>431</v>
      </c>
      <c r="CN11" s="39" t="s">
        <v>558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511</v>
      </c>
      <c r="CI12" s="1">
        <v>2033</v>
      </c>
      <c r="CK12" s="38" t="s">
        <v>351</v>
      </c>
      <c r="CL12" s="40" t="s">
        <v>447</v>
      </c>
      <c r="CM12" s="41" t="s">
        <v>431</v>
      </c>
      <c r="CN12" s="39" t="s">
        <v>558</v>
      </c>
      <c r="CO12" s="38" t="str">
        <f t="shared" si="0"/>
        <v>A 30,0 X L 19,0 X P 39,0 &amp; Caixa 10 Kg - Jumbo</v>
      </c>
    </row>
    <row r="13" spans="1:93" x14ac:dyDescent="0.3">
      <c r="B13" s="1" t="s">
        <v>476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512</v>
      </c>
      <c r="CI13" s="1">
        <v>2034</v>
      </c>
      <c r="CK13" s="38" t="s">
        <v>350</v>
      </c>
      <c r="CL13" s="41" t="s">
        <v>447</v>
      </c>
      <c r="CM13" s="38" t="s">
        <v>431</v>
      </c>
      <c r="CN13" s="39" t="s">
        <v>558</v>
      </c>
      <c r="CO13" s="38" t="str">
        <f t="shared" si="0"/>
        <v>A 30,0 X L 19,0 X P 39,0 &amp; Caixa 10 Kg - Jumbo</v>
      </c>
    </row>
    <row r="14" spans="1:93" x14ac:dyDescent="0.3">
      <c r="B14" s="2" t="s">
        <v>475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513</v>
      </c>
      <c r="CI14" s="1">
        <v>2035</v>
      </c>
      <c r="CK14" s="38" t="s">
        <v>353</v>
      </c>
      <c r="CL14" s="38" t="s">
        <v>447</v>
      </c>
      <c r="CM14" s="38" t="s">
        <v>431</v>
      </c>
      <c r="CN14" s="39" t="s">
        <v>558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514</v>
      </c>
      <c r="CI15" s="1">
        <v>2036</v>
      </c>
      <c r="CK15" s="38" t="s">
        <v>352</v>
      </c>
      <c r="CL15" s="38" t="s">
        <v>458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200">
        <v>4600686987</v>
      </c>
      <c r="CD16" s="1" t="s">
        <v>292</v>
      </c>
      <c r="CE16" s="1" t="s">
        <v>353</v>
      </c>
      <c r="CK16" s="38" t="s">
        <v>352</v>
      </c>
      <c r="CL16" s="38" t="s">
        <v>559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557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456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463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568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569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570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571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572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573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457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574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575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431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576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458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459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577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578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579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580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460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581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582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583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559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557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462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431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584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536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585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463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586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587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621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572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458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622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579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623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557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585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624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454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457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458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459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460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461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462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463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560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560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560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455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560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454</v>
      </c>
      <c r="CM71" s="38" t="s">
        <v>538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454</v>
      </c>
      <c r="CM72" s="38" t="s">
        <v>538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454</v>
      </c>
      <c r="CM73" s="38" t="s">
        <v>538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454</v>
      </c>
      <c r="CM74" s="38" t="s">
        <v>538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625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626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627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431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628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453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588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589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537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629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590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431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591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592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593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465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594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595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458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589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630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593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622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445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465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464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431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446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596</v>
      </c>
      <c r="CM100" s="38" t="s">
        <v>597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598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449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449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449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449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599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631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632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539</v>
      </c>
      <c r="CM109" s="38" t="s">
        <v>633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451</v>
      </c>
      <c r="CM110" s="38" t="s">
        <v>633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539</v>
      </c>
      <c r="CM111" s="38" t="s">
        <v>633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450</v>
      </c>
      <c r="CM112" s="38" t="s">
        <v>634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539</v>
      </c>
      <c r="CM113" s="38" t="s">
        <v>634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450</v>
      </c>
      <c r="CM114" s="38" t="s">
        <v>634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600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601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602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600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635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450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603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604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605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606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636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637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638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535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639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451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451</v>
      </c>
      <c r="CM131" s="38" t="s">
        <v>432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607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608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609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610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611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612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613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614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615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616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617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618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619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620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640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641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642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643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644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645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646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647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648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649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650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651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607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652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653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654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448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467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468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469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470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466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452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431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431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433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432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430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693</v>
      </c>
      <c r="C1" t="s">
        <v>694</v>
      </c>
      <c r="D1" t="s">
        <v>695</v>
      </c>
      <c r="E1" t="s">
        <v>696</v>
      </c>
      <c r="F1" t="s">
        <v>697</v>
      </c>
      <c r="G1" t="s">
        <v>698</v>
      </c>
      <c r="H1" t="s">
        <v>699</v>
      </c>
      <c r="I1" t="s">
        <v>700</v>
      </c>
      <c r="J1" t="s">
        <v>701</v>
      </c>
      <c r="K1" t="s">
        <v>702</v>
      </c>
      <c r="L1" t="s">
        <v>703</v>
      </c>
    </row>
    <row r="2" spans="1:12" x14ac:dyDescent="0.3">
      <c r="A2" t="s">
        <v>348</v>
      </c>
      <c r="B2">
        <v>165</v>
      </c>
      <c r="C2">
        <v>85</v>
      </c>
      <c r="D2" s="160">
        <v>51.515151515151516</v>
      </c>
      <c r="E2">
        <v>0.97</v>
      </c>
      <c r="F2">
        <v>0.95</v>
      </c>
      <c r="G2">
        <v>126</v>
      </c>
      <c r="H2">
        <v>99</v>
      </c>
      <c r="I2" s="160">
        <v>78.571428571428569</v>
      </c>
      <c r="J2">
        <v>0.97</v>
      </c>
      <c r="K2">
        <v>0.96</v>
      </c>
      <c r="L2" t="b">
        <v>1</v>
      </c>
    </row>
    <row r="3" spans="1:12" x14ac:dyDescent="0.3">
      <c r="A3" t="s">
        <v>349</v>
      </c>
      <c r="B3">
        <v>5</v>
      </c>
      <c r="C3">
        <v>1</v>
      </c>
      <c r="D3" s="160">
        <v>20</v>
      </c>
      <c r="E3">
        <v>0.97</v>
      </c>
      <c r="F3">
        <v>0.95</v>
      </c>
      <c r="G3">
        <v>56</v>
      </c>
      <c r="H3">
        <v>53</v>
      </c>
      <c r="I3" s="160">
        <v>94.642857142857139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78</vt:i4>
      </vt:variant>
    </vt:vector>
  </HeadingPairs>
  <TitlesOfParts>
    <vt:vector size="109" baseType="lpstr"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Planilha1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2026-09-29T03:03:12Z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
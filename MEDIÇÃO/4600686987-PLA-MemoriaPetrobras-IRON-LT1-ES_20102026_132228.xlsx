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D8F84D62-8EB4-44E0-B880-12EC8F25A24A}" xr6:coauthVersionLast="47" xr6:coauthVersionMax="47" xr10:uidLastSave="{00000000-0000-0000-0000-000000000000}"/>
  <bookViews>
    <workbookView xWindow="-108" yWindow="-108" windowWidth="30936" windowHeight="16776" activeTab="3" xr2:uid="{337CD763-4A7B-4A9F-AA83-B355380F63D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M44" i="1" s="1"/>
  <c r="J43" i="1"/>
  <c r="J42" i="1"/>
  <c r="J41" i="1"/>
  <c r="M41" i="1" s="1"/>
  <c r="J40" i="1"/>
  <c r="K40" i="1" s="1"/>
  <c r="J39" i="1"/>
  <c r="K39" i="1" s="1"/>
  <c r="J38" i="1"/>
  <c r="M38" i="1" s="1"/>
  <c r="J36" i="1"/>
  <c r="K36" i="1" s="1"/>
  <c r="J35" i="1"/>
  <c r="M35" i="1" s="1"/>
  <c r="J34" i="1"/>
  <c r="J33" i="1"/>
  <c r="J32" i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G23" i="1"/>
  <c r="F23" i="1"/>
  <c r="E23" i="1"/>
  <c r="D23" i="1"/>
  <c r="H23" i="1" s="1"/>
  <c r="J22" i="1"/>
  <c r="K22" i="1" s="1"/>
  <c r="G20" i="1"/>
  <c r="F20" i="1"/>
  <c r="E20" i="1"/>
  <c r="D20" i="1"/>
  <c r="H20" i="1" s="1"/>
  <c r="J19" i="1"/>
  <c r="G17" i="1"/>
  <c r="F17" i="1"/>
  <c r="E17" i="1"/>
  <c r="D17" i="1"/>
  <c r="J16" i="1"/>
  <c r="K16" i="1" s="1"/>
  <c r="M16" i="1" s="1"/>
  <c r="G14" i="1"/>
  <c r="F14" i="1"/>
  <c r="E14" i="1"/>
  <c r="D14" i="1"/>
  <c r="H14" i="1" s="1"/>
  <c r="J13" i="1"/>
  <c r="K13" i="1" s="1"/>
  <c r="M13" i="1" s="1"/>
  <c r="M47" i="1"/>
  <c r="K47" i="1"/>
  <c r="M46" i="1"/>
  <c r="K46" i="1"/>
  <c r="M45" i="1"/>
  <c r="K45" i="1"/>
  <c r="M43" i="1"/>
  <c r="K43" i="1"/>
  <c r="M42" i="1"/>
  <c r="K42" i="1"/>
  <c r="M34" i="1"/>
  <c r="K34" i="1"/>
  <c r="M33" i="1"/>
  <c r="K33" i="1"/>
  <c r="M32" i="1"/>
  <c r="K32" i="1"/>
  <c r="M31" i="1"/>
  <c r="K31" i="1"/>
  <c r="M30" i="1"/>
  <c r="K30" i="1"/>
  <c r="H29" i="1"/>
  <c r="M28" i="1"/>
  <c r="M25" i="1"/>
  <c r="K25" i="1"/>
  <c r="M19" i="1"/>
  <c r="K19" i="1"/>
  <c r="H17" i="1"/>
  <c r="K35" i="1" l="1"/>
  <c r="M36" i="1"/>
  <c r="M22" i="1"/>
  <c r="M48" i="1" s="1"/>
  <c r="K44" i="1"/>
  <c r="M39" i="1"/>
  <c r="M40" i="1"/>
  <c r="K41" i="1"/>
  <c r="K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29518951-3423-45AD-9864-59FA29DEAB5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8F63EE42-F713-43BA-AD4B-70D9BF42C919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B583C22E-D03A-40D7-BA04-4966522BC7F5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3A78DE34-A729-4524-AE4C-E1D45CF71592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63CA2C67-AD5A-4161-AB7A-ECAFA48E6C74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F45762A-1134-4A17-89A1-776C13A70853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AF038777-0484-4CDD-ADBE-EE09148660D8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40749DB8-CD3F-4D8F-9FA9-BA342012C765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48ABD124-874D-4ED6-9423-63BC408FEE1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<sst xmlns="http://schemas.openxmlformats.org/spreadsheetml/2006/main" count="471" uniqueCount="192">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</sst>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F3F4A-AAB8-46E3-AA5B-089FB3382940}" name="ARM_IRON_LT1_ES" displayName="ARM_IRON_LT1_ES" ref="A1:K2" totalsRowShown="0" headerRowDxfId="40" dataDxfId="41" headerRowBorderDxfId="54" tableBorderDxfId="55" totalsRowBorderDxfId="53">
  <autoFilter ref="A1:K2" xr:uid="{F7AF3F4A-AAB8-46E3-AA5B-089FB3382940}"/>
  <tableColumns count="11">
    <tableColumn id="1" xr3:uid="{55B626BA-98DD-4751-9CF7-DA58EF686597}" name="Contrato-Reg." dataDxfId="52"/>
    <tableColumn id="2" xr3:uid="{A8819BC0-FC01-4116-A7DF-9AE6BD447FD4}" name="MEDIDAS CONTRATO" dataDxfId="51"/>
    <tableColumn id="3" xr3:uid="{B0EE9086-D4E8-4DCE-AD24-038CE9064FD9}" name="Item" dataDxfId="50"/>
    <tableColumn id="4" xr3:uid="{B07AE8B5-5A54-44C5-8558-0E830404A412}" name="QUAm-1" dataDxfId="49"/>
    <tableColumn id="5" xr3:uid="{298695A9-1D5D-4054-B18D-7E40876A5B39}" name="QBm" dataDxfId="48"/>
    <tableColumn id="6" xr3:uid="{B426C2D9-0294-49E3-A56D-C702F5F31421}" name="QDm" dataDxfId="47"/>
    <tableColumn id="7" xr3:uid="{21D5807C-5981-4D15-A4CC-E88C232D3A4C}" name="QNm" dataDxfId="46"/>
    <tableColumn id="8" xr3:uid="{0CC55700-0747-46A2-B8F5-76C433717AF1}" name="QUAm" dataDxfId="45"/>
    <tableColumn id="9" xr3:uid="{204BDC91-9B35-4988-860D-E84AD7544449}" name="FC" dataDxfId="44"/>
    <tableColumn id="10" xr3:uid="{A3C34D1F-633C-4DDE-A3D0-CABA8D70D789}" name="QUA" dataDxfId="43"/>
    <tableColumn id="11" xr3:uid="{E54445D5-758A-40CA-9B5E-AB032487F2C2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EA65E-0B86-44B7-A6A0-6B151D9474AD}" name="DADOS_IRON_LT1_ES" displayName="DADOS_IRON_LT1_ES" ref="A1:AF13" totalsRowShown="0" headerRowDxfId="4" headerRowBorderDxfId="38" tableBorderDxfId="39" totalsRowBorderDxfId="37">
  <autoFilter ref="A1:AF13" xr:uid="{5F3EA65E-0B86-44B7-A6A0-6B151D9474AD}"/>
  <tableColumns count="32">
    <tableColumn id="1" xr3:uid="{D40A9E70-3BC0-44B9-A315-9DEBACB8D267}" name="Contrato.1" dataDxfId="36"/>
    <tableColumn id="2" xr3:uid="{6377EC6F-62B9-4F26-AB38-B77EA573E039}" name="Descrição da atividade" dataDxfId="35"/>
    <tableColumn id="3" xr3:uid="{2A7ECB61-B22A-487B-B76D-9025BC9A55DD}" name="Item" dataDxfId="34"/>
    <tableColumn id="4" xr3:uid="{FD133626-97D5-4A9E-A704-6FD480ACC500}" name="Aplicação" dataDxfId="33"/>
    <tableColumn id="5" xr3:uid="{9E70B071-CE6D-4129-9BDC-90D29FBA6848}" name="Código da_x000a_solicitação" dataDxfId="32"/>
    <tableColumn id="6" xr3:uid="{A3408309-BF75-4046-AE63-787A356E3494}" name="Data solicitação" dataDxfId="31"/>
    <tableColumn id="7" xr3:uid="{8CA10751-DB1C-4590-9BE6-F99C23161053}" name="Gerência solicitante" dataDxfId="30"/>
    <tableColumn id="8" xr3:uid="{765BDFA8-2ADE-4E49-8818-92E6E08C9883}" name="Qtd._x000a_Solicitada" dataDxfId="29"/>
    <tableColumn id="9" xr3:uid="{473EA092-9EFC-407B-8880-D122248E0608}" name="Código OS" dataDxfId="28"/>
    <tableColumn id="10" xr3:uid="{C47F7BC3-0ECE-448B-81C6-EF0297914C30}" name="D. abertura" dataDxfId="27"/>
    <tableColumn id="11" xr3:uid="{2B6D7175-AC0F-41F7-A33C-5560F78C3A4A}" name="D. fechamento" dataDxfId="26"/>
    <tableColumn id="12" xr3:uid="{135DF59E-0410-4E57-A17B-FB2ADFDE538F}" name="Prazo combinado" dataDxfId="25"/>
    <tableColumn id="13" xr3:uid="{2687F8A0-A18A-4603-AB81-AE7EA6DA3F50}" name="Qtd._x000a_Atendida" dataDxfId="24"/>
    <tableColumn id="14" xr3:uid="{987B2DBB-9E04-4644-8F73-ED7BB65A9E05}" name="Agrupamento" dataDxfId="23"/>
    <tableColumn id="15" xr3:uid="{811E63BE-F594-4AFA-9F20-74429F41DB56}" name="Classificação" dataDxfId="22"/>
    <tableColumn id="16" xr3:uid="{80D5E746-D3F7-4768-9BB2-A7A3FD5C6589}" name="FDM" dataDxfId="21"/>
    <tableColumn id="17" xr3:uid="{7FEF5055-72FB-41E5-B7AE-AB5AAC5D3FA4}" name="Obs. Isenção" dataDxfId="20"/>
    <tableColumn id="18" xr3:uid="{4CA03F20-DDB7-4DD2-ABAD-787482753535}" name="FA" dataDxfId="19"/>
    <tableColumn id="19" xr3:uid="{6F794218-6C99-435A-BC21-58C92A3093AC}" name="Localidade - Origem" dataDxfId="18"/>
    <tableColumn id="20" xr3:uid="{2E28E84F-CCE6-4D04-B671-6D5DA5E2537C}" name="Município - Origem" dataDxfId="17"/>
    <tableColumn id="21" xr3:uid="{62413835-4E88-4EBD-85A8-7E932F509980}" name="UF - Origem" dataDxfId="16"/>
    <tableColumn id="22" xr3:uid="{A444D498-990D-40D6-A0C8-8FED24177931}" name="Localidade - Destino" dataDxfId="15"/>
    <tableColumn id="23" xr3:uid="{58379D07-C621-407B-842D-747F9EF99DBC}" name="Município - Destino" dataDxfId="14"/>
    <tableColumn id="24" xr3:uid="{7B265CDF-FE32-4450-9BC7-F2A87B7D8FF2}" name="UF - Destino" dataDxfId="13"/>
    <tableColumn id="25" xr3:uid="{75DE0772-15BE-4753-A958-E60A4BE78099}" name="KM Adicional" dataDxfId="12"/>
    <tableColumn id="26" xr3:uid="{1E1ADF9E-96CC-4A5B-8A38-8F57106729C6}" name="FC" dataDxfId="11"/>
    <tableColumn id="27" xr3:uid="{4278112D-552C-4446-A985-5ACDF40A0F92}" name="Unidade" dataDxfId="10"/>
    <tableColumn id="28" xr3:uid="{584AEE37-C1C3-4FEC-9B91-AED1861E9F44}" name="Centro" dataDxfId="9"/>
    <tableColumn id="29" xr3:uid="{F11D0EA1-B755-462F-9E90-381F3D05ED23}" name="Código Centro" dataDxfId="8"/>
    <tableColumn id="30" xr3:uid="{478CC500-A71E-4EA7-94F2-BE957507D50E}" name="Linha de serviço PPU" dataDxfId="7"/>
    <tableColumn id="31" xr3:uid="{F1A2A624-FEEF-4D63-83EA-07AFC3CFC51E}" name="QExec" dataDxfId="6"/>
    <tableColumn id="32" xr3:uid="{96F78592-BB9B-43DA-8B8A-B669AA52D231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A978B3-AA4F-45AE-9F87-ADDE0E2AC5BF}" name="FRETE_IRON_LT1_ES" displayName="FRETE_IRON_LT1_ES" ref="A1:R3" totalsRowShown="0" headerRowDxfId="0" headerRowBorderDxfId="2" tableBorderDxfId="3" totalsRowBorderDxfId="1">
  <autoFilter ref="A1:R3" xr:uid="{1CA978B3-AA4F-45AE-9F87-ADDE0E2AC5BF}"/>
  <tableColumns count="18">
    <tableColumn id="1" xr3:uid="{356054BE-18F5-4D4C-B0C2-9A71F523CAF4}" name="Contrato.1"/>
    <tableColumn id="2" xr3:uid="{801FAA6E-1EAD-4B31-A3F4-3DFD7F0F1BA9}" name="Descrição da atividade"/>
    <tableColumn id="3" xr3:uid="{7E4E746D-3B06-43B1-B681-B56C3D3808BE}" name="Item"/>
    <tableColumn id="4" xr3:uid="{78A00A44-10F0-4CC3-94A5-8D64CE214BA9}" name="Data solicitação"/>
    <tableColumn id="5" xr3:uid="{DA9BBFFC-B702-4849-813D-19928BA66D67}" name="Gerência solicitante"/>
    <tableColumn id="6" xr3:uid="{C6A23721-DC52-4C21-A8E4-2CDA54510586}" name="Qtd._x000a_Solicitada"/>
    <tableColumn id="7" xr3:uid="{0383202F-2DAB-420A-B620-4065062C901C}" name="D. fechamento"/>
    <tableColumn id="8" xr3:uid="{C72066A2-8A51-4CDE-9AA6-9A2DAE97F17B}" name="Localidade - Origem"/>
    <tableColumn id="9" xr3:uid="{2A6372AA-1C2C-4F83-9F44-F287C9FC7B64}" name="Município - Origem"/>
    <tableColumn id="10" xr3:uid="{07400687-36C3-4863-A6BD-3B6B014B9125}" name="UF - Origem"/>
    <tableColumn id="11" xr3:uid="{4EEA2EE9-5C5F-47A0-8632-CB1A4B472F75}" name="Localidade - Destino"/>
    <tableColumn id="12" xr3:uid="{12F548CE-A448-4C2B-947F-8055CC2FD522}" name="Município - Destino"/>
    <tableColumn id="13" xr3:uid="{7D31F00F-B25A-4854-880B-DA4422DB7A04}" name="UF - Destino"/>
    <tableColumn id="14" xr3:uid="{B3B72CC0-EF4C-4059-AED6-C6DE4FE12CBE}" name="KM Adicional"/>
    <tableColumn id="15" xr3:uid="{98BC2F49-FA45-4DA9-824A-A14B17B9EE23}" name="Unidade"/>
    <tableColumn id="16" xr3:uid="{4C016EFD-E40C-4A24-904B-303A843F14AC}" name="Centro"/>
    <tableColumn id="17" xr3:uid="{86E02615-EE89-41DC-9AAD-7D189AC4E7C6}" name="Linha de serviço PPU"/>
    <tableColumn id="18" xr3:uid="{1164F67D-7B38-4B04-8EC7-7F0E57EDF2CA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8C8C-DBDC-445F-BBFF-A3D476A0C99F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0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0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0</v>
      </c>
      <c r="L13" s="74">
        <v>0.6</v>
      </c>
      <c r="M13" s="75">
        <f>K13*L13</f>
        <v>0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K16*L16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0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0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0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245.36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91AC-48B1-4C03-B2CE-3EF00DA29F6E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4315-4BE6-4DF5-9FA3-483F2BCF8239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FBC5-DF49-4B81-8A35-226566E66183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2026-10-20T16:22:27Z</dcterms:created>
  <dcterms:modified xsi:type="dcterms:W3CDTF">2026-10-20T16:22:28Z</dcterms:modified>
</cp:coreProperties>
</file>
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2C1776E4-C1F2-46E2-902D-1F4F05301ECC}" xr6:coauthVersionLast="47" xr6:coauthVersionMax="47" xr10:uidLastSave="{00000000-0000-0000-0000-000000000000}"/>
  <bookViews>
    <workbookView xWindow="-108" yWindow="-108" windowWidth="30936" windowHeight="16776" activeTab="3" xr2:uid="{48FDDA44-3BD7-4206-86E5-F48A70F6419E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J38" i="1"/>
  <c r="K38" i="1" s="1"/>
  <c r="M38" i="1" s="1"/>
  <c r="J36" i="1"/>
  <c r="J35" i="1"/>
  <c r="J34" i="1"/>
  <c r="J33" i="1"/>
  <c r="J32" i="1"/>
  <c r="J31" i="1"/>
  <c r="J30" i="1"/>
  <c r="G29" i="1"/>
  <c r="F29" i="1"/>
  <c r="E29" i="1"/>
  <c r="D29" i="1"/>
  <c r="J28" i="1"/>
  <c r="K28" i="1" s="1"/>
  <c r="M28" i="1" s="1"/>
  <c r="G26" i="1"/>
  <c r="F26" i="1"/>
  <c r="E26" i="1"/>
  <c r="D26" i="1"/>
  <c r="J25" i="1"/>
  <c r="G23" i="1"/>
  <c r="F23" i="1"/>
  <c r="E23" i="1"/>
  <c r="D23" i="1"/>
  <c r="J22" i="1"/>
  <c r="G20" i="1"/>
  <c r="F20" i="1"/>
  <c r="H20" i="1" s="1"/>
  <c r="E20" i="1"/>
  <c r="D20" i="1"/>
  <c r="J19" i="1"/>
  <c r="G17" i="1"/>
  <c r="F17" i="1"/>
  <c r="E17" i="1"/>
  <c r="D17" i="1"/>
  <c r="J16" i="1"/>
  <c r="G14" i="1"/>
  <c r="F14" i="1"/>
  <c r="E14" i="1"/>
  <c r="D14" i="1"/>
  <c r="H14" i="1" s="1"/>
  <c r="J13" i="1"/>
  <c r="K46" i="1"/>
  <c r="M46" i="1" s="1"/>
  <c r="K45" i="1"/>
  <c r="M45" i="1" s="1"/>
  <c r="M44" i="1"/>
  <c r="K44" i="1"/>
  <c r="K43" i="1"/>
  <c r="M43" i="1" s="1"/>
  <c r="K42" i="1"/>
  <c r="M42" i="1" s="1"/>
  <c r="K41" i="1"/>
  <c r="M41" i="1" s="1"/>
  <c r="K40" i="1"/>
  <c r="M40" i="1" s="1"/>
  <c r="K39" i="1"/>
  <c r="M39" i="1" s="1"/>
  <c r="K36" i="1"/>
  <c r="M36" i="1" s="1"/>
  <c r="K35" i="1"/>
  <c r="M34" i="1"/>
  <c r="K34" i="1"/>
  <c r="K33" i="1"/>
  <c r="M33" i="1" s="1"/>
  <c r="M32" i="1"/>
  <c r="K32" i="1"/>
  <c r="K31" i="1"/>
  <c r="M31" i="1" s="1"/>
  <c r="K30" i="1"/>
  <c r="M30" i="1" s="1"/>
  <c r="H29" i="1"/>
  <c r="H26" i="1"/>
  <c r="K25" i="1"/>
  <c r="M25" i="1" s="1"/>
  <c r="H23" i="1"/>
  <c r="K22" i="1"/>
  <c r="M22" i="1" s="1"/>
  <c r="K19" i="1"/>
  <c r="M19" i="1" s="1"/>
  <c r="H17" i="1"/>
  <c r="K16" i="1"/>
  <c r="M16" i="1" s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5086DA74-EB91-4A06-9CDA-3321E44403C8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0F3013EF-BC69-4A48-A782-F51A660761D7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FBE295F4-B246-4CEC-9654-6A0615A0F84D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E1F1280B-7C8A-4428-A488-E4703C9E105C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E2735B2E-D71B-43C1-9674-392409CCFF7E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<sst xmlns="http://schemas.openxmlformats.org/spreadsheetml/2006/main" count="3879" uniqueCount="373">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</sst>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04440F-DD83-49A7-A3DE-9DE2C26758C0}" name="ARM_PA_LT2" displayName="ARM_PA_LT2" ref="A1:J15" totalsRowShown="0" headerRowDxfId="29" headerRowBorderDxfId="31" tableBorderDxfId="32">
  <autoFilter ref="A1:J15" xr:uid="{8704440F-DD83-49A7-A3DE-9DE2C26758C0}"/>
  <tableColumns count="10">
    <tableColumn id="1" xr3:uid="{2E5F69BC-C2AE-4136-9739-F122D3FC9CE1}" name="MEDIDAS CONTRATO"/>
    <tableColumn id="2" xr3:uid="{3375B4FC-3BDB-4008-B8E6-10D6EAE2D04A}" name="Item"/>
    <tableColumn id="3" xr3:uid="{2D1836AB-85F3-4C58-8F7C-A7FA73453E9E}" name="QUAm-1"/>
    <tableColumn id="4" xr3:uid="{5956B151-FB7E-4B8B-91D4-9CE398565973}" name="QBm"/>
    <tableColumn id="5" xr3:uid="{3A06EA31-36A8-4556-97CB-8DD58766E77F}" name="QDm"/>
    <tableColumn id="6" xr3:uid="{D39938BC-53BF-4119-BD70-A6404FE58C7B}" name="QNm"/>
    <tableColumn id="7" xr3:uid="{1FC29277-E77C-42E8-8F81-2EF597AE2B9E}" name="QUAm"/>
    <tableColumn id="8" xr3:uid="{E21D25C5-E8FC-43C6-B2DF-E45DB8275555}" name="FC" dataDxfId="30"/>
    <tableColumn id="9" xr3:uid="{7D3E44F2-13C9-4EE2-8037-A2B1F368175D}" name="QUA"/>
    <tableColumn id="10" xr3:uid="{7447331E-70F2-45B0-A001-4D165B6C6AAE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AB591B-7BFF-40DD-BAFC-3C841E3DC57B}" name="DADOS_PA_LT2" displayName="DADOS_PA_LT2" ref="A1:AF163" totalsRowShown="0" headerRowDxfId="22" headerRowBorderDxfId="27" tableBorderDxfId="28">
  <autoFilter ref="A1:AF163" xr:uid="{5EAB591B-7BFF-40DD-BAFC-3C841E3DC57B}"/>
  <tableColumns count="32">
    <tableColumn id="1" xr3:uid="{88F41403-9546-48B3-85DB-40D181A9339A}" name="Contrato.1"/>
    <tableColumn id="2" xr3:uid="{ADFE2AC4-2CE4-4490-AB61-6A0C3236FB02}" name="Descrição da atividade"/>
    <tableColumn id="3" xr3:uid="{370BAF17-3982-4613-B2AA-61700490AC86}" name="Item"/>
    <tableColumn id="4" xr3:uid="{6E99884D-B4F2-4CCB-81E3-2A1C73655A1F}" name="Aplicação"/>
    <tableColumn id="5" xr3:uid="{05F8FE8D-2C11-427C-AD56-ABD83B5F84C6}" name="Código da_x000a_solicitação"/>
    <tableColumn id="6" xr3:uid="{8261D6EA-AD0C-4A34-AE25-70856959523C}" name="Data solicitação" dataDxfId="26"/>
    <tableColumn id="7" xr3:uid="{D8878BB3-7715-43B5-99CC-517DE4A68BD3}" name="Gerência solicitante"/>
    <tableColumn id="8" xr3:uid="{28034762-825D-4643-9797-2838463E7BE8}" name="Qtd._x000a_Solicitada"/>
    <tableColumn id="9" xr3:uid="{F0F3EF2C-7FCC-4FA9-94EE-1A3B893AF9A6}" name="Código OS"/>
    <tableColumn id="10" xr3:uid="{2773640F-AF85-4BDF-95CB-045D92AE854E}" name="D. abertura" dataDxfId="25"/>
    <tableColumn id="11" xr3:uid="{070449E0-CE2C-4CF1-B837-BC5DEBA6AEB4}" name="D. fechamento" dataDxfId="24"/>
    <tableColumn id="12" xr3:uid="{50D5C29D-82D1-4114-9E8C-FEB8A4228D42}" name="Prazo combinado" dataDxfId="23"/>
    <tableColumn id="13" xr3:uid="{29A62C48-02D7-46BB-8067-0F3BA1128090}" name="Qtd._x000a_Atendida"/>
    <tableColumn id="14" xr3:uid="{D171FD51-B6AF-4CEE-9A57-BD5A44C4F1F7}" name="Agrupamento"/>
    <tableColumn id="15" xr3:uid="{4B45D482-48EA-48F3-AD93-D00F7B20B129}" name="Classificação"/>
    <tableColumn id="16" xr3:uid="{5B584A8C-529F-4CE3-B104-321F0C7A9996}" name="FDM"/>
    <tableColumn id="17" xr3:uid="{F1D6E191-4E63-49D2-8A0F-89DB589D9312}" name="Obs. Isenção"/>
    <tableColumn id="18" xr3:uid="{00CE2D9E-4F15-4827-8828-66341363247C}" name="FA"/>
    <tableColumn id="19" xr3:uid="{D42054F7-695B-4805-935E-04EFD27714E8}" name="Localidade - Origem"/>
    <tableColumn id="20" xr3:uid="{551097AF-0BD5-49C6-824B-7F76531FE94F}" name="Município - Origem"/>
    <tableColumn id="21" xr3:uid="{6C1102D0-D651-4246-8B8C-48DDD5A2C0F9}" name="UF - Origem"/>
    <tableColumn id="22" xr3:uid="{2E5BB5E0-ABE6-4633-91EC-F3975F36CA2F}" name="Localidade - Destino"/>
    <tableColumn id="23" xr3:uid="{E901700B-A132-4597-9687-32128AF65AE7}" name="Município - Destino"/>
    <tableColumn id="24" xr3:uid="{478C7C80-D274-4BD1-8461-B02B558A9FA2}" name="UF - Destino"/>
    <tableColumn id="25" xr3:uid="{8FDBCFD5-75C6-45FA-ABD9-B4C7A7735B32}" name="KM Adicional"/>
    <tableColumn id="26" xr3:uid="{0BDD0DFF-CAE6-4A8E-88CE-BF1BF835A849}" name="FC"/>
    <tableColumn id="27" xr3:uid="{74A7AC43-D754-4C19-BEF5-70E8C49034A1}" name="Unidade"/>
    <tableColumn id="28" xr3:uid="{DD904D08-7BC3-4AF4-9B6F-02C56D9A48BA}" name="Centro"/>
    <tableColumn id="29" xr3:uid="{195BB87B-B412-469C-9546-BE658B425FDB}" name="Código Centro"/>
    <tableColumn id="30" xr3:uid="{C74E04D9-43CC-4675-A98D-583ECECEA453}" name="Linha de serviço PPU"/>
    <tableColumn id="31" xr3:uid="{45D40AD1-A131-4E7F-AC5F-A483E8E57169}" name="QExec"/>
    <tableColumn id="32" xr3:uid="{0FA36F97-0AD9-4363-8CD3-4031C46F3F10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22E215-8195-4DA0-B06D-1AC2FFE980AC}" name="FRETE_PA_LT2" displayName="FRETE_PA_LT2" ref="A1:R58" totalsRowShown="0" headerRowDxfId="0" dataDxfId="1" headerRowBorderDxfId="20" tableBorderDxfId="21">
  <autoFilter ref="A1:R58" xr:uid="{9522E215-8195-4DA0-B06D-1AC2FFE980AC}"/>
  <tableColumns count="18">
    <tableColumn id="1" xr3:uid="{CD64EA6E-0B80-4171-9DDD-01BA4892E9A0}" name="Contrato.1" dataDxfId="19"/>
    <tableColumn id="2" xr3:uid="{026AC596-AFD4-480E-9D4B-771E1B746B74}" name="Descrição da atividade" dataDxfId="18"/>
    <tableColumn id="3" xr3:uid="{DD6D818C-AB82-4580-B4BF-E026EB1ADFCA}" name="Item" dataDxfId="17"/>
    <tableColumn id="4" xr3:uid="{0AD0EFA9-D577-4D19-A139-8517BD2D91F6}" name="Data solicitação" dataDxfId="16"/>
    <tableColumn id="5" xr3:uid="{F912186C-B22B-43AC-9392-F677269BAE1C}" name="Gerência solicitante" dataDxfId="15"/>
    <tableColumn id="6" xr3:uid="{35575371-8CB5-4A7E-BD3D-947E60448BE0}" name="Qtd._x000a_Solicitada" dataDxfId="14"/>
    <tableColumn id="7" xr3:uid="{ED303D29-83AE-4F90-BB85-B96A26351794}" name="D. fechamento" dataDxfId="13"/>
    <tableColumn id="8" xr3:uid="{036F9EDF-76CD-43B6-A4B3-E6E3B2DEE721}" name="Localidade - Origem" dataDxfId="12"/>
    <tableColumn id="9" xr3:uid="{CB1FAAB2-B78D-454B-A026-3795A527ED02}" name="Município - Origem" dataDxfId="11"/>
    <tableColumn id="10" xr3:uid="{F373210D-C8CE-49F2-9276-CD949C48389E}" name="UF - Origem" dataDxfId="10"/>
    <tableColumn id="11" xr3:uid="{9283F091-FBEB-4478-96C5-EE030C5195B0}" name="Localidade - Destino" dataDxfId="9"/>
    <tableColumn id="12" xr3:uid="{4101461A-87C1-42F7-A620-C7D87D181CAB}" name="Município - Destino" dataDxfId="8"/>
    <tableColumn id="13" xr3:uid="{88A9DBC8-B781-4B62-99B5-8912284C09B2}" name="UF - Destino" dataDxfId="7"/>
    <tableColumn id="14" xr3:uid="{54C07F56-2F39-4A42-8732-17F5FDE44B25}" name="KM Adicional" dataDxfId="6"/>
    <tableColumn id="15" xr3:uid="{F52FB07A-38F2-43CB-B80C-F0204021F0EF}" name="Unidade" dataDxfId="5"/>
    <tableColumn id="16" xr3:uid="{52B151FD-9FFF-4872-A083-DF2FFC0976A5}" name="Centro" dataDxfId="4"/>
    <tableColumn id="17" xr3:uid="{15A2E39A-F802-4693-9CFC-4DDEA2AB235B}" name="Linha de serviço PPU" dataDxfId="3"/>
    <tableColumn id="18" xr3:uid="{7087DD60-B692-4065-AAD9-B6CDA43BFA98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EBC72-DE43-457A-BE12-52337BFF3726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59.036144578313255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0.95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86.274509803921575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98311.7</v>
      </c>
      <c r="L13" s="68">
        <v>0.9</v>
      </c>
      <c r="M13" s="69">
        <f>K13*L13</f>
        <v>88480.53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598.5</v>
      </c>
      <c r="L16" s="68">
        <v>0.9</v>
      </c>
      <c r="M16" s="69">
        <f>K16*L16</f>
        <v>538.65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2024.4499999999998</v>
      </c>
      <c r="L19" s="68">
        <v>0.9</v>
      </c>
      <c r="M19" s="69">
        <f>K19*L19</f>
        <v>1822.0049999999999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10.734999999999999</v>
      </c>
      <c r="L30" s="94">
        <v>50</v>
      </c>
      <c r="M30" s="81">
        <f t="shared" ref="M30:M36" si="0">K30*L30</f>
        <v>536.75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644.1</v>
      </c>
      <c r="L32" s="94">
        <v>1</v>
      </c>
      <c r="M32" s="98">
        <f t="shared" si="0"/>
        <v>644.1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111.05500000000001</v>
      </c>
      <c r="L33" s="94">
        <v>3</v>
      </c>
      <c r="M33" s="98">
        <f t="shared" si="0"/>
        <v>333.16500000000002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92355.199999999997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E5C1-2317-4AE4-AF03-BAD16C23A2BA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24E5-6A15-4E1B-BC7C-6199A30AEC6F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5A2F-00BE-492F-BA2C-C376B6AD894B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2026-10-06T17:25:42Z</dcterms:created>
  <dcterms:modified xsi:type="dcterms:W3CDTF">2026-10-06T17:25:43Z</dcterms:modified>
</cp:coreProperties>
</file>
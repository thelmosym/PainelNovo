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555C2734-29F8-4E9F-8186-9D315603BC2F}" xr6:coauthVersionLast="47" xr6:coauthVersionMax="47" xr10:uidLastSave="{00000000-0000-0000-0000-000000000000}"/>
  <bookViews>
    <workbookView xWindow="-108" yWindow="-108" windowWidth="30936" windowHeight="16776" activeTab="3" xr2:uid="{28954E2B-B997-4F05-A3AB-A49116793450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K38" i="1" s="1"/>
  <c r="M38" i="1" s="1"/>
  <c r="J36" i="1"/>
  <c r="J35" i="1"/>
  <c r="K35" i="1" s="1"/>
  <c r="J34" i="1"/>
  <c r="K34" i="1" s="1"/>
  <c r="M34" i="1" s="1"/>
  <c r="J33" i="1"/>
  <c r="J32" i="1"/>
  <c r="J31" i="1"/>
  <c r="J30" i="1"/>
  <c r="G29" i="1"/>
  <c r="F29" i="1"/>
  <c r="E29" i="1"/>
  <c r="D29" i="1"/>
  <c r="J28" i="1"/>
  <c r="G26" i="1"/>
  <c r="F26" i="1"/>
  <c r="E26" i="1"/>
  <c r="H26" i="1" s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H17" i="1" s="1"/>
  <c r="J16" i="1"/>
  <c r="G14" i="1"/>
  <c r="F14" i="1"/>
  <c r="E14" i="1"/>
  <c r="D14" i="1"/>
  <c r="J13" i="1"/>
  <c r="M46" i="1"/>
  <c r="K46" i="1"/>
  <c r="M45" i="1"/>
  <c r="K45" i="1"/>
  <c r="M44" i="1"/>
  <c r="K44" i="1"/>
  <c r="K43" i="1"/>
  <c r="M43" i="1" s="1"/>
  <c r="K42" i="1"/>
  <c r="M42" i="1" s="1"/>
  <c r="K41" i="1"/>
  <c r="M41" i="1" s="1"/>
  <c r="M40" i="1"/>
  <c r="K40" i="1"/>
  <c r="M39" i="1"/>
  <c r="K39" i="1"/>
  <c r="M36" i="1"/>
  <c r="K36" i="1"/>
  <c r="K33" i="1"/>
  <c r="M33" i="1" s="1"/>
  <c r="K32" i="1"/>
  <c r="M32" i="1" s="1"/>
  <c r="K31" i="1"/>
  <c r="M31" i="1" s="1"/>
  <c r="K30" i="1"/>
  <c r="M30" i="1" s="1"/>
  <c r="H29" i="1"/>
  <c r="K28" i="1"/>
  <c r="M28" i="1" s="1"/>
  <c r="K25" i="1"/>
  <c r="M25" i="1" s="1"/>
  <c r="H23" i="1"/>
  <c r="K22" i="1"/>
  <c r="M22" i="1" s="1"/>
  <c r="K16" i="1"/>
  <c r="M16" i="1" s="1"/>
  <c r="H14" i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678423EA-3A9E-4EFE-8489-8D72F774AB27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E7CC1A87-B561-4FB3-9435-C5C00D2515BA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8DCA35F1-5193-4505-B944-2D1AE1DD53F5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BD8D5E00-77FD-4DDB-8EB3-F8B0A0A6C88B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004C4B76-3C02-4C9F-86B4-DF5BAE166552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<sst xmlns="http://schemas.openxmlformats.org/spreadsheetml/2006/main" count="3879" uniqueCount="373">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</sst>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67318-CD4B-48E3-8D71-4626BF5E3C06}" name="ARM_PA_LT2" displayName="ARM_PA_LT2" ref="A1:J15" totalsRowShown="0" headerRowDxfId="29" headerRowBorderDxfId="31" tableBorderDxfId="32">
  <autoFilter ref="A1:J15" xr:uid="{98267318-CD4B-48E3-8D71-4626BF5E3C06}"/>
  <tableColumns count="10">
    <tableColumn id="1" xr3:uid="{D719581F-FB8E-4938-B0FF-9608CBA1432E}" name="MEDIDAS CONTRATO"/>
    <tableColumn id="2" xr3:uid="{D068A927-B3D3-4A82-B959-A26699E2599C}" name="Item"/>
    <tableColumn id="3" xr3:uid="{0A83C51E-B8F8-4988-9F5A-AF927F67D6E1}" name="QUAm-1"/>
    <tableColumn id="4" xr3:uid="{FA99E5FA-8AEB-4E94-BA1E-42BAE5197807}" name="QBm"/>
    <tableColumn id="5" xr3:uid="{C6874858-817E-46C1-89CB-4B217DAC33F0}" name="QDm"/>
    <tableColumn id="6" xr3:uid="{64DF6D9A-6ACA-482C-B05C-A1DF3BCCF204}" name="QNm"/>
    <tableColumn id="7" xr3:uid="{BD4D5FED-7C25-4695-853C-B211B4CAA10C}" name="QUAm"/>
    <tableColumn id="8" xr3:uid="{F561E9CB-EC03-4A1B-B88A-718FF07E1AC3}" name="FC" dataDxfId="30"/>
    <tableColumn id="9" xr3:uid="{105969CE-C9CF-4298-B993-6902F4EB73B8}" name="QUA"/>
    <tableColumn id="10" xr3:uid="{C5D8288C-57C1-441E-9059-9CCF585C8B62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E9EF7A-7122-4545-A766-B4A2F59C348E}" name="DADOS_PA_LT2" displayName="DADOS_PA_LT2" ref="A1:AF163" totalsRowShown="0" headerRowDxfId="22" headerRowBorderDxfId="27" tableBorderDxfId="28">
  <autoFilter ref="A1:AF163" xr:uid="{D9E9EF7A-7122-4545-A766-B4A2F59C348E}"/>
  <tableColumns count="32">
    <tableColumn id="1" xr3:uid="{1C7971E7-2DD0-4323-B076-F907E2467D8C}" name="Contrato.1"/>
    <tableColumn id="2" xr3:uid="{B10376AD-A081-4CCC-8CFF-DF5A1ACF720C}" name="Descrição da atividade"/>
    <tableColumn id="3" xr3:uid="{FAB01961-5A46-47E5-BFAC-751B3C1D029C}" name="Item"/>
    <tableColumn id="4" xr3:uid="{C4E7D465-CBF0-4519-B63C-DA9CEE044B19}" name="Aplicação"/>
    <tableColumn id="5" xr3:uid="{400DD2AB-F145-4865-B6B0-26C357679B46}" name="Código da_x000a_solicitação"/>
    <tableColumn id="6" xr3:uid="{52986793-05DE-49C7-9412-15358C136FB8}" name="Data solicitação" dataDxfId="26"/>
    <tableColumn id="7" xr3:uid="{AF1E9AD6-908B-4687-A698-2B0F8BB43660}" name="Gerência solicitante"/>
    <tableColumn id="8" xr3:uid="{718C7E7D-FF26-4B72-9B59-A8E0320E9BB9}" name="Qtd._x000a_Solicitada"/>
    <tableColumn id="9" xr3:uid="{C7F358FE-A59A-4CAC-A5BC-C07CC8960B45}" name="Código OS"/>
    <tableColumn id="10" xr3:uid="{2590F204-732B-4998-A252-5B12FF165C3F}" name="D. abertura" dataDxfId="25"/>
    <tableColumn id="11" xr3:uid="{981B2CEB-B433-44FC-9E80-636A35F4E5B6}" name="D. fechamento" dataDxfId="24"/>
    <tableColumn id="12" xr3:uid="{F7D582BF-B854-40F0-8D9A-D64B2756EADF}" name="Prazo combinado" dataDxfId="23"/>
    <tableColumn id="13" xr3:uid="{95E82183-0991-4965-9814-B41290F6F9AA}" name="Qtd._x000a_Atendida"/>
    <tableColumn id="14" xr3:uid="{2630290B-7DA2-4114-9EAB-656BB453BF63}" name="Agrupamento"/>
    <tableColumn id="15" xr3:uid="{6F59B683-45B1-4C0A-8A81-B98812613D59}" name="Classificação"/>
    <tableColumn id="16" xr3:uid="{9A59F01E-2C83-4876-AEF6-261E3DF6F096}" name="FDM"/>
    <tableColumn id="17" xr3:uid="{9699859B-33E4-44A3-9106-7588F7744059}" name="Obs. Isenção"/>
    <tableColumn id="18" xr3:uid="{6FC29D90-1969-481C-AD9E-9BC239988466}" name="FA"/>
    <tableColumn id="19" xr3:uid="{AB8CFB07-4E57-485E-A7EB-22F6A8F7C59F}" name="Localidade - Origem"/>
    <tableColumn id="20" xr3:uid="{7B2489D7-B91D-4316-9C9E-AB1DCE251182}" name="Município - Origem"/>
    <tableColumn id="21" xr3:uid="{8E85493A-144D-4E2F-973D-3DF33B6C9563}" name="UF - Origem"/>
    <tableColumn id="22" xr3:uid="{6C031217-D984-478B-8BC4-771BF61FB5AB}" name="Localidade - Destino"/>
    <tableColumn id="23" xr3:uid="{A95F5B96-9F04-4E18-9C79-D3B8705AE2C4}" name="Município - Destino"/>
    <tableColumn id="24" xr3:uid="{B9571A96-83A7-4890-A2CD-03CD9604D2F7}" name="UF - Destino"/>
    <tableColumn id="25" xr3:uid="{621E11F1-8F54-45E4-B1AF-BEB0ADC8AB76}" name="KM Adicional"/>
    <tableColumn id="26" xr3:uid="{74E101D6-A022-4C67-8D0A-204CC1FB0C77}" name="FC"/>
    <tableColumn id="27" xr3:uid="{18C85F94-EE53-4C82-AA6C-7053B97B3E9C}" name="Unidade"/>
    <tableColumn id="28" xr3:uid="{A84AFADC-C0AC-4D95-9156-066ACE052E74}" name="Centro"/>
    <tableColumn id="29" xr3:uid="{9C549916-3FB6-428D-BFA8-A67F7FC0E8A3}" name="Código Centro"/>
    <tableColumn id="30" xr3:uid="{ACE126AB-0BDB-410A-ABEF-9E8EF24EC313}" name="Linha de serviço PPU"/>
    <tableColumn id="31" xr3:uid="{0260B719-4EF5-4707-9226-DF585E4C7F97}" name="QExec"/>
    <tableColumn id="32" xr3:uid="{44F04AC1-E0C9-4BDD-9486-86B7068C68ED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9036D3-D871-47FC-BC14-646B1FEA8E9B}" name="FRETE_PA_LT2" displayName="FRETE_PA_LT2" ref="A1:R58" totalsRowShown="0" headerRowDxfId="0" dataDxfId="1" headerRowBorderDxfId="20" tableBorderDxfId="21">
  <autoFilter ref="A1:R58" xr:uid="{4C9036D3-D871-47FC-BC14-646B1FEA8E9B}"/>
  <tableColumns count="18">
    <tableColumn id="1" xr3:uid="{5A5941E7-68BD-4A9A-9BAE-1BC74DEC8AC0}" name="Contrato.1" dataDxfId="19"/>
    <tableColumn id="2" xr3:uid="{5CCE0C3F-570C-4535-B29B-2BF0B227F0A0}" name="Descrição da atividade" dataDxfId="18"/>
    <tableColumn id="3" xr3:uid="{F06AB28F-8740-4F9C-8ED9-34906B4F5C6E}" name="Item" dataDxfId="17"/>
    <tableColumn id="4" xr3:uid="{99EEB45D-4516-43D7-B721-316835D0784B}" name="Data solicitação" dataDxfId="16"/>
    <tableColumn id="5" xr3:uid="{75C9A52B-4DC2-430E-808F-B9DEC3AA4656}" name="Gerência solicitante" dataDxfId="15"/>
    <tableColumn id="6" xr3:uid="{6E087624-0074-4CC0-AA83-68970A65696D}" name="Qtd._x000a_Solicitada" dataDxfId="14"/>
    <tableColumn id="7" xr3:uid="{EE8D107A-7DDA-4F48-8096-9B57D7529B0E}" name="D. fechamento" dataDxfId="13"/>
    <tableColumn id="8" xr3:uid="{26CB2405-19FF-40DB-9F8D-FE4C37A214C2}" name="Localidade - Origem" dataDxfId="12"/>
    <tableColumn id="9" xr3:uid="{8423BB2A-B2E3-46CE-8E47-ED1642CD0A57}" name="Município - Origem" dataDxfId="11"/>
    <tableColumn id="10" xr3:uid="{726429AF-2841-407C-8D24-54C67B0CBA30}" name="UF - Origem" dataDxfId="10"/>
    <tableColumn id="11" xr3:uid="{914BE715-B93E-44FE-AC9F-7C08D7BF9CED}" name="Localidade - Destino" dataDxfId="9"/>
    <tableColumn id="12" xr3:uid="{454EEA0A-4844-4EC7-AB9B-123662F3F445}" name="Município - Destino" dataDxfId="8"/>
    <tableColumn id="13" xr3:uid="{A37A6A64-E5E7-490A-ACC1-631EF3B48FB3}" name="UF - Destino" dataDxfId="7"/>
    <tableColumn id="14" xr3:uid="{9928A501-23A9-4F06-AF48-6410CCBFF68C}" name="KM Adicional" dataDxfId="6"/>
    <tableColumn id="15" xr3:uid="{AEE5E707-CF3E-41DD-8E1D-15DD2EB6D804}" name="Unidade" dataDxfId="5"/>
    <tableColumn id="16" xr3:uid="{BD6E2FE9-FC51-4AF9-98BB-1A91AA3468F7}" name="Centro" dataDxfId="4"/>
    <tableColumn id="17" xr3:uid="{47ED34C0-414F-4E34-9A0D-0D173FAF6D02}" name="Linha de serviço PPU" dataDxfId="3"/>
    <tableColumn id="18" xr3:uid="{375112A0-09F1-4E82-A57F-1DE036E7A51D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2E984-BD9C-4770-9E95-2A9FA7333635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98311.7</v>
      </c>
      <c r="L13" s="68">
        <v>0.9</v>
      </c>
      <c r="M13" s="69">
        <f>K13*L13</f>
        <v>88480.53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2024.4499999999998</v>
      </c>
      <c r="L19" s="68">
        <v>0.9</v>
      </c>
      <c r="M19" s="69">
        <f>K19*L19</f>
        <v>1822.0049999999999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10.734999999999999</v>
      </c>
      <c r="L30" s="94">
        <v>50</v>
      </c>
      <c r="M30" s="81">
        <f t="shared" ref="M30:M36" si="0">K30*L30</f>
        <v>536.75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644.1</v>
      </c>
      <c r="L32" s="94">
        <v>1</v>
      </c>
      <c r="M32" s="98">
        <f t="shared" si="0"/>
        <v>644.1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111.05500000000001</v>
      </c>
      <c r="L33" s="94">
        <v>3</v>
      </c>
      <c r="M33" s="98">
        <f t="shared" si="0"/>
        <v>333.16500000000002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92355.199999999997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751FC-BB51-4F6C-AE48-3282D9C4760F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E4F32-DDB9-4788-9B1E-A4817BBDF9F2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48BD-28DE-4728-8758-62C1F755F607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2026-10-06T18:32:18Z</dcterms:created>
  <dcterms:modified xsi:type="dcterms:W3CDTF">2026-10-06T18:32:19Z</dcterms:modified>
</cp:coreProperties>
</file>
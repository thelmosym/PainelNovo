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1C9BB2FD-DA5D-4420-912D-01D7BE2A7E36}" xr6:coauthVersionLast="47" xr6:coauthVersionMax="47" xr10:uidLastSave="{00000000-0000-0000-0000-000000000000}"/>
  <bookViews>
    <workbookView xWindow="-108" yWindow="-108" windowWidth="30936" windowHeight="16776" activeTab="3" xr2:uid="{F88C7936-0E8B-48D0-9CCF-0CB17065CB2B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7" i="1" l="1"/>
  <c r="J46" i="1"/>
  <c r="J45" i="1"/>
  <c r="M45" i="1" s="1"/>
  <c r="J44" i="1"/>
  <c r="J43" i="1"/>
  <c r="J42" i="1"/>
  <c r="J41" i="1"/>
  <c r="J40" i="1"/>
  <c r="K40" i="1" s="1"/>
  <c r="J39" i="1"/>
  <c r="M39" i="1" s="1"/>
  <c r="J38" i="1"/>
  <c r="K38" i="1" s="1"/>
  <c r="J36" i="1"/>
  <c r="M36" i="1" s="1"/>
  <c r="J35" i="1"/>
  <c r="M35" i="1" s="1"/>
  <c r="J34" i="1"/>
  <c r="J33" i="1"/>
  <c r="J32" i="1"/>
  <c r="M32" i="1" s="1"/>
  <c r="J31" i="1"/>
  <c r="J30" i="1"/>
  <c r="G29" i="1"/>
  <c r="F29" i="1"/>
  <c r="E29" i="1"/>
  <c r="D29" i="1"/>
  <c r="J28" i="1"/>
  <c r="K28" i="1" s="1"/>
  <c r="G26" i="1"/>
  <c r="F26" i="1"/>
  <c r="H26" i="1" s="1"/>
  <c r="E26" i="1"/>
  <c r="D26" i="1"/>
  <c r="J25" i="1"/>
  <c r="K25" i="1" s="1"/>
  <c r="G23" i="1"/>
  <c r="F23" i="1"/>
  <c r="E23" i="1"/>
  <c r="D23" i="1"/>
  <c r="J22" i="1"/>
  <c r="M22" i="1" s="1"/>
  <c r="G20" i="1"/>
  <c r="F20" i="1"/>
  <c r="E20" i="1"/>
  <c r="D20" i="1"/>
  <c r="H20" i="1" s="1"/>
  <c r="J19" i="1"/>
  <c r="G17" i="1"/>
  <c r="F17" i="1"/>
  <c r="E17" i="1"/>
  <c r="D17" i="1"/>
  <c r="J16" i="1"/>
  <c r="G14" i="1"/>
  <c r="F14" i="1"/>
  <c r="E14" i="1"/>
  <c r="D14" i="1"/>
  <c r="H14" i="1" s="1"/>
  <c r="J13" i="1"/>
  <c r="M13" i="1" s="1"/>
  <c r="M47" i="1"/>
  <c r="K47" i="1"/>
  <c r="M46" i="1"/>
  <c r="K46" i="1"/>
  <c r="M44" i="1"/>
  <c r="K44" i="1"/>
  <c r="M43" i="1"/>
  <c r="K43" i="1"/>
  <c r="M42" i="1"/>
  <c r="K42" i="1"/>
  <c r="M41" i="1"/>
  <c r="K41" i="1"/>
  <c r="M40" i="1"/>
  <c r="M34" i="1"/>
  <c r="K34" i="1"/>
  <c r="M33" i="1"/>
  <c r="K33" i="1"/>
  <c r="M31" i="1"/>
  <c r="K31" i="1"/>
  <c r="M30" i="1"/>
  <c r="K30" i="1"/>
  <c r="H29" i="1"/>
  <c r="M28" i="1"/>
  <c r="M25" i="1"/>
  <c r="H23" i="1"/>
  <c r="M19" i="1"/>
  <c r="K19" i="1"/>
  <c r="H17" i="1"/>
  <c r="M16" i="1"/>
  <c r="K16" i="1"/>
  <c r="K36" i="1" l="1"/>
  <c r="K22" i="1"/>
  <c r="M38" i="1"/>
  <c r="M48" i="1" s="1"/>
  <c r="K32" i="1"/>
  <c r="K39" i="1"/>
  <c r="K45" i="1"/>
  <c r="K35" i="1"/>
  <c r="K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1DB53F03-187D-41C3-8C9A-A637F853EC76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77E93763-14DD-410A-9259-B23CC54292A5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38F1F9A3-7139-4658-A3A1-2A7729D38133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EE95A5B3-11D6-458A-95AE-F91D93E02817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5EC68492-9E00-4D56-B774-FA6AD6C97BA9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96B74FEE-D549-4EFF-B8CD-DB5627D438D0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405CAE8F-E4DF-478C-85E1-23DB9953458F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34047597-7C78-4721-B579-96ED6C91DA48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C6E47E3A-7BA0-40D6-B7F9-5246BECE22B5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<sst xmlns="http://schemas.openxmlformats.org/spreadsheetml/2006/main" count="471" uniqueCount="192">
  <si>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</si>
  <si>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</si>
  <si>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</si>
  <si>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</si>
  <si>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</si>
  <si>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</si>
  <si>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</si>
  <si>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</si>
  <si>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</si>
  <si>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</si>
  <si>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1-ES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</si>
  <si>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</si>
  <si>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</si>
  <si>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</si>
  <si>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</si>
  <si>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</si>
  <si>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</si>
  <si>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</si>
  <si>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</si>
  <si>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</si>
  <si>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</si>
  <si>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</si>
  <si>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</si>
  <si>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</si>
  <si>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</si>
  <si>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</si>
  <si>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</si>
  <si>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</si>
  <si>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</si>
  <si>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</si>
  <si>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</si>
  <si>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</si>
  <si>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</si>
  <si>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</si>
  <si>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</si>
  <si>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</si>
  <si>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</si>
  <si>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</si>
  <si>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</si>
  <si>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</si>
  <si>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</si>
  <si>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</si>
  <si>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</si>
  <si>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</si>
  <si>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</si>
  <si>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</si>
  <si>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</si>
  <si>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</si>
  <si>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</si>
  <si>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</si>
  <si>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</si>
  <si>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</si>
  <si>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</si>
  <si>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</si>
  <si>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</si>
  <si>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</si>
  <si>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</si>
  <si>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</si>
  <si>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</si>
  <si>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</si>
  <si>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</si>
  <si>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</si>
  <si>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</si>
  <si>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</si>
  <si>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</si>
  <si>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</si>
  <si>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</si>
  <si>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</si>
  <si>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</si>
  <si>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</si>
  <si>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</si>
  <si>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</si>
  <si>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</si>
  <si>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</si>
  <si>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</si>
  <si>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</si>
  <si>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</si>
  <si>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</si>
  <si>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</si>
  <si>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</si>
  <si>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</si>
  <si>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</si>
  <si>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</si>
  <si>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</si>
  <si>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</si>
  <si>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</si>
  <si>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</si>
  <si>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</si>
  <si>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</si>
  <si>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</si>
  <si>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</si>
  <si>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</si>
  <si>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</si>
  <si>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</si>
  <si>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</si>
  <si>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</si>
  <si>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</si>
  <si>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</si>
  <si>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</si>
  <si>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</si>
  <si>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</si>
  <si>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</si>
  <si>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</si>
  <si>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</si>
  <si>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</si>
  <si>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</si>
  <si>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</si>
  <si>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</si>
  <si>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</si>
  <si>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2.10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</si>
  <si>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</si>
  <si>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</si>
  <si>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</si>
  <si>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</si>
  <si>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</si>
  <si>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</si>
  <si>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</si>
  <si>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</si>
  <si>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</si>
  <si>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</si>
  <si>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</si>
  <si>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</si>
  <si>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</si>
  <si>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Contrato-Reg.</t>
  </si>
  <si>
    <t>MEDIDAS CONTRATO</t>
  </si>
  <si>
    <t>FC</t>
  </si>
  <si>
    <t>QUA</t>
  </si>
  <si>
    <t>Linha de serviço PPU</t>
  </si>
  <si>
    <t>IRON-LT1-ES</t>
  </si>
  <si>
    <t>A 29,0 X L 41,0 X P 37,0</t>
  </si>
  <si>
    <t>Caixa 20 kg - Tipo 1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</si>
  <si>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</si>
  <si>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</si>
  <si>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</si>
  <si>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</si>
  <si>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</si>
  <si>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</si>
  <si>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</si>
  <si>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</si>
  <si>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</si>
  <si>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</si>
  <si>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</si>
  <si>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</si>
  <si>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</si>
  <si>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</si>
  <si>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</si>
  <si>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</si>
  <si>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</si>
  <si>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</si>
  <si>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</si>
  <si>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</si>
  <si>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</si>
  <si>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</si>
  <si>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</si>
  <si>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</si>
  <si>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</si>
  <si>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</si>
  <si>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MATERIAL PARA ARQUIVAMENTO</t>
  </si>
  <si>
    <t>Kit de material</t>
  </si>
  <si>
    <t>ServiceNow</t>
  </si>
  <si>
    <t>CSC0868350</t>
  </si>
  <si>
    <t>ES/SMS/SEG</t>
  </si>
  <si>
    <t>306603818</t>
  </si>
  <si>
    <t>Normal</t>
  </si>
  <si>
    <t>FP</t>
  </si>
  <si>
    <t>EDIVIT</t>
  </si>
  <si>
    <t>Vitória</t>
  </si>
  <si>
    <t>ES</t>
  </si>
  <si>
    <t>N/A</t>
  </si>
  <si>
    <t>kit de material</t>
  </si>
  <si>
    <t>COLETA DE EMBALAGEM</t>
  </si>
  <si>
    <t>CSC0891454</t>
  </si>
  <si>
    <t>307139969</t>
  </si>
  <si>
    <t>Viana</t>
  </si>
  <si>
    <t>CSC0891120</t>
  </si>
  <si>
    <t>307139928</t>
  </si>
  <si>
    <t>INDEXACAO DE DOCUMENTO</t>
  </si>
  <si>
    <t>Documentação administrativa</t>
  </si>
  <si>
    <t>CSC0894185</t>
  </si>
  <si>
    <t>SMS/SA/SAO/STO</t>
  </si>
  <si>
    <t>307255856</t>
  </si>
  <si>
    <t>NP</t>
  </si>
  <si>
    <t>Indexação</t>
  </si>
  <si>
    <t>DIGITALIZACAO DE DOCUMENTO ADMINISTRATIVO</t>
  </si>
  <si>
    <t>Documento - Formato A4</t>
  </si>
  <si>
    <t>PESQUISA DE ITEM AVULSO NORMAL</t>
  </si>
  <si>
    <t>Item documental em caixa</t>
  </si>
  <si>
    <t>Item avulso</t>
  </si>
  <si>
    <t>CSC0877582</t>
  </si>
  <si>
    <t>306766515</t>
  </si>
  <si>
    <t>CSC0872087</t>
  </si>
  <si>
    <t>306647391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</si>
</sst>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2" fontId="7" fillId="0" borderId="5" xfId="0" applyNumberFormat="1" applyFont="1" applyBorder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2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2" fontId="7" fillId="0" borderId="10" xfId="0" applyNumberFormat="1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2" fontId="6" fillId="0" borderId="16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2" fontId="6" fillId="2" borderId="14" xfId="0" applyNumberFormat="1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2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2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2" fontId="12" fillId="0" borderId="25" xfId="0" applyNumberFormat="1" applyFont="1" applyBorder="1" applyAlignment="1">
      <alignment horizontal="center" vertical="center"/>
    </xf>
    <xf numFmtId="2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2" fontId="12" fillId="0" borderId="20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2" fontId="13" fillId="2" borderId="14" xfId="0" applyNumberFormat="1" applyFont="1" applyFill="1" applyBorder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2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2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0" fillId="4" borderId="30" xfId="0" applyFill="1" applyBorder="1"/>
    <xf numFmtId="0" fontId="1" fillId="3" borderId="31" xfId="0" applyFont="1" applyFill="1" applyBorder="1"/>
    <xf numFmtId="0" fontId="0" fillId="4" borderId="32" xfId="0" applyFill="1" applyBorder="1"/>
    <xf numFmtId="22" fontId="0" fillId="4" borderId="30" xfId="0" applyNumberFormat="1" applyFill="1" applyBorder="1"/>
    <xf numFmtId="0" fontId="0" fillId="0" borderId="30" xfId="0" applyBorder="1"/>
    <xf numFmtId="22" fontId="0" fillId="0" borderId="30" xfId="0" applyNumberFormat="1" applyBorder="1"/>
    <xf numFmtId="0" fontId="0" fillId="0" borderId="32" xfId="0" applyBorder="1"/>
    <xf numFmtId="22" fontId="0" fillId="0" borderId="32" xfId="0" applyNumberFormat="1" applyBorder="1"/>
  </cellXfs>
  <cellStyles count="1">
    <cellStyle name="Normal" xfId="0" builtinId="0"/>
  </cellStyles>
  <dxfs count="5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E0B90C-539C-477B-9FDE-0BDF137F88AB}" name="ARM_IRON_LT1_ES" displayName="ARM_IRON_LT1_ES" ref="A1:K2" totalsRowShown="0" headerRowDxfId="40" dataDxfId="41" headerRowBorderDxfId="54" tableBorderDxfId="55" totalsRowBorderDxfId="53">
  <autoFilter ref="A1:K2" xr:uid="{5FE0B90C-539C-477B-9FDE-0BDF137F88AB}"/>
  <tableColumns count="11">
    <tableColumn id="1" xr3:uid="{EFA1FA09-DC93-4934-A49D-E26F74F7373E}" name="Contrato-Reg." dataDxfId="52"/>
    <tableColumn id="2" xr3:uid="{CC3EC10C-AA92-4531-BE26-7E4F92A9A4DC}" name="MEDIDAS CONTRATO" dataDxfId="51"/>
    <tableColumn id="3" xr3:uid="{B5AA8EA6-811C-4DC4-850F-AF3B6391C060}" name="Item" dataDxfId="50"/>
    <tableColumn id="4" xr3:uid="{6A02449F-2CB1-4095-95DA-D9AE71096526}" name="QUAm-1" dataDxfId="49"/>
    <tableColumn id="5" xr3:uid="{37570A30-A347-440A-9DF9-92E70A9A7D9C}" name="QBm" dataDxfId="48"/>
    <tableColumn id="6" xr3:uid="{45CB5C2E-D3C3-444E-B4F4-48F360EFD3BE}" name="QDm" dataDxfId="47"/>
    <tableColumn id="7" xr3:uid="{1C2DDA0F-881E-4962-B4C9-4B32F8122DD0}" name="QNm" dataDxfId="46"/>
    <tableColumn id="8" xr3:uid="{414E5DD5-176F-4728-ABB1-90C6977AAF8D}" name="QUAm" dataDxfId="45"/>
    <tableColumn id="9" xr3:uid="{F24B423C-713B-4128-A218-085C943B4BD1}" name="FC" dataDxfId="44"/>
    <tableColumn id="10" xr3:uid="{009E2B08-DDC3-4E31-BD25-41845C5DF671}" name="QUA" dataDxfId="43"/>
    <tableColumn id="11" xr3:uid="{C3B39DCA-1A41-4D0B-88B1-EA8AB78ADD2D}" name="Linha de serviço PPU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5AAD52-5CFF-42BF-913D-9270D0EC6D6E}" name="DADOS_IRON_LT1_ES" displayName="DADOS_IRON_LT1_ES" ref="A1:AF13" totalsRowShown="0" headerRowDxfId="4" headerRowBorderDxfId="38" tableBorderDxfId="39" totalsRowBorderDxfId="37">
  <autoFilter ref="A1:AF13" xr:uid="{515AAD52-5CFF-42BF-913D-9270D0EC6D6E}"/>
  <tableColumns count="32">
    <tableColumn id="1" xr3:uid="{EBCF7C2B-FC8E-45F5-A01E-EF430C6FB447}" name="Contrato.1" dataDxfId="36"/>
    <tableColumn id="2" xr3:uid="{258A6643-1250-4461-8665-8114862772C2}" name="Descrição da atividade" dataDxfId="35"/>
    <tableColumn id="3" xr3:uid="{3D4F7ED3-ED66-4F7D-8769-31AB944D6CF5}" name="Item" dataDxfId="34"/>
    <tableColumn id="4" xr3:uid="{8B06D06C-BAE4-43F8-8340-9EDBCE5DB1F6}" name="Aplicação" dataDxfId="33"/>
    <tableColumn id="5" xr3:uid="{2482EEAE-5687-4740-9A22-A4E5AB888637}" name="Código da_x000a_solicitação" dataDxfId="32"/>
    <tableColumn id="6" xr3:uid="{BD75755B-9CF2-430F-A047-00DC93B0908E}" name="Data solicitação" dataDxfId="31"/>
    <tableColumn id="7" xr3:uid="{E657C652-8D46-4F30-AD3E-D2BC3023586F}" name="Gerência solicitante" dataDxfId="30"/>
    <tableColumn id="8" xr3:uid="{11D671D0-2F84-4112-82B4-4F87A18D647F}" name="Qtd._x000a_Solicitada" dataDxfId="29"/>
    <tableColumn id="9" xr3:uid="{14AFBF06-B4B5-407B-84F4-B8B92B1637FD}" name="Código OS" dataDxfId="28"/>
    <tableColumn id="10" xr3:uid="{F31EBFC5-7C0F-4486-914B-EBD269484333}" name="D. abertura" dataDxfId="27"/>
    <tableColumn id="11" xr3:uid="{493855DD-34CF-4564-A4CD-C519447C3101}" name="D. fechamento" dataDxfId="26"/>
    <tableColumn id="12" xr3:uid="{718CA06F-B858-4A1C-B128-ED656F7CCF54}" name="Prazo combinado" dataDxfId="25"/>
    <tableColumn id="13" xr3:uid="{D3337FFA-5496-42E0-BFC4-5951A63ECEB9}" name="Qtd._x000a_Atendida" dataDxfId="24"/>
    <tableColumn id="14" xr3:uid="{17EC562F-7176-4DE4-8353-D88D5877B6E7}" name="Agrupamento" dataDxfId="23"/>
    <tableColumn id="15" xr3:uid="{B1A69C6E-AA76-47AE-9B2A-A15544B74525}" name="Classificação" dataDxfId="22"/>
    <tableColumn id="16" xr3:uid="{1E2AF714-8184-44CB-AF43-59C87CA7E716}" name="FDM" dataDxfId="21"/>
    <tableColumn id="17" xr3:uid="{4D9C5FA8-9AB5-4609-B84D-465ED9B9DDA5}" name="Obs. Isenção" dataDxfId="20"/>
    <tableColumn id="18" xr3:uid="{7FA2D9E4-9985-4206-8D62-7423A50549B4}" name="FA" dataDxfId="19"/>
    <tableColumn id="19" xr3:uid="{864A34CF-4787-4C73-8602-548DAA2F4283}" name="Localidade - Origem" dataDxfId="18"/>
    <tableColumn id="20" xr3:uid="{F9D22398-5A47-4C39-8CED-4D7BA63CEED3}" name="Município - Origem" dataDxfId="17"/>
    <tableColumn id="21" xr3:uid="{6C0920DC-7E8C-4AD1-B79C-B8B69115012C}" name="UF - Origem" dataDxfId="16"/>
    <tableColumn id="22" xr3:uid="{3C1EA9FF-42BA-4A03-B3F8-F97EBAC3BD59}" name="Localidade - Destino" dataDxfId="15"/>
    <tableColumn id="23" xr3:uid="{942CE5DA-FDCA-4DBC-B5BC-F432D3389CD0}" name="Município - Destino" dataDxfId="14"/>
    <tableColumn id="24" xr3:uid="{B960A2C7-8651-4F02-B228-C3A2C6A885AB}" name="UF - Destino" dataDxfId="13"/>
    <tableColumn id="25" xr3:uid="{5F8CF57D-9E3F-43E7-AF5E-3B03E914DF60}" name="KM Adicional" dataDxfId="12"/>
    <tableColumn id="26" xr3:uid="{FC4D88C0-DF65-4111-8A25-F7D8FF3CCC0A}" name="FC" dataDxfId="11"/>
    <tableColumn id="27" xr3:uid="{19E6DC72-E963-451C-AC49-D3D55FA41BC4}" name="Unidade" dataDxfId="10"/>
    <tableColumn id="28" xr3:uid="{B05264A2-F0B0-4E6F-A0E2-C9205570D826}" name="Centro" dataDxfId="9"/>
    <tableColumn id="29" xr3:uid="{A214746B-EBC6-4F1A-A938-BE5016643ED7}" name="Código Centro" dataDxfId="8"/>
    <tableColumn id="30" xr3:uid="{C25A68C2-7B78-46DC-85D4-82D4F7BA2C5A}" name="Linha de serviço PPU" dataDxfId="7"/>
    <tableColumn id="31" xr3:uid="{F91430A6-63BB-4181-9C5E-84E750C99943}" name="QExec" dataDxfId="6"/>
    <tableColumn id="32" xr3:uid="{2D891FC3-C926-4A50-9D11-CA76767A3AAC}" name="QExecAgrupado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3516D0-7557-49AB-AEEA-5A6348E9F24D}" name="FRETE_IRON_LT1_ES" displayName="FRETE_IRON_LT1_ES" ref="A1:R3" totalsRowShown="0" headerRowDxfId="0" headerRowBorderDxfId="2" tableBorderDxfId="3" totalsRowBorderDxfId="1">
  <autoFilter ref="A1:R3" xr:uid="{323516D0-7557-49AB-AEEA-5A6348E9F24D}"/>
  <tableColumns count="18">
    <tableColumn id="1" xr3:uid="{59236814-0541-47F4-8CBA-23FCD017C9B6}" name="Contrato.1"/>
    <tableColumn id="2" xr3:uid="{D30AAAA4-0888-47A6-AAA3-861D40D21C2B}" name="Descrição da atividade"/>
    <tableColumn id="3" xr3:uid="{5EDB2ACA-EBF7-415C-AE24-7D51C75D5DD1}" name="Item"/>
    <tableColumn id="4" xr3:uid="{F847AB1C-75B3-4727-B7BA-797287D2EA98}" name="Data solicitação"/>
    <tableColumn id="5" xr3:uid="{2CA72C3E-39C2-4FE1-8964-7299310AD7A0}" name="Gerência solicitante"/>
    <tableColumn id="6" xr3:uid="{5DADEB11-834E-47E6-A74C-1AA4BB76CC89}" name="Qtd._x000a_Solicitada"/>
    <tableColumn id="7" xr3:uid="{9729356B-827F-4D99-A8D9-996AC036C88B}" name="D. fechamento"/>
    <tableColumn id="8" xr3:uid="{E6C7377A-56BB-49E4-8EAB-7AE62CAF3F7B}" name="Localidade - Origem"/>
    <tableColumn id="9" xr3:uid="{014DC434-2DAF-405F-AEA1-6AB0B3E9913C}" name="Município - Origem"/>
    <tableColumn id="10" xr3:uid="{53C2DA6D-F819-4FEC-BD7F-7E383A64A013}" name="UF - Origem"/>
    <tableColumn id="11" xr3:uid="{5DFFDF02-8C1F-4410-843B-C4124719F02A}" name="Localidade - Destino"/>
    <tableColumn id="12" xr3:uid="{510F1F9C-533F-4B2C-9304-351FF42B4803}" name="Município - Destino"/>
    <tableColumn id="13" xr3:uid="{12156524-AAF0-4432-8E88-F87E650FBF26}" name="UF - Destino"/>
    <tableColumn id="14" xr3:uid="{C732A113-7BB3-45BC-A8AE-85EE2D1AE563}" name="KM Adicional"/>
    <tableColumn id="15" xr3:uid="{A8A9BAA8-90F2-48C7-AFC0-AF42F3E5C0A6}" name="Unidade"/>
    <tableColumn id="16" xr3:uid="{DA61F952-9351-48EF-AD6E-24F3E5D425F9}" name="Centro"/>
    <tableColumn id="17" xr3:uid="{661C21CF-1588-4B21-9CB7-8DD4D83193C8}" name="Linha de serviço PPU"/>
    <tableColumn id="18" xr3:uid="{5DA2C60A-2909-4E6D-81D9-AA08C06082C5}" name="QExecAgrup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76447-1E34-4709-A6B6-B5FC4CDDA05D}">
  <dimension ref="A1:Z1000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3"/>
      <c r="K1" s="3"/>
      <c r="L1" s="2"/>
      <c r="M1" s="2"/>
      <c r="N1" s="4"/>
      <c r="Q1" s="5"/>
    </row>
    <row r="2" spans="1:26" ht="24" customHeight="1" thickTop="1" thickBot="1" x14ac:dyDescent="0.35">
      <c r="A2" s="1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  <c r="Q2" s="5"/>
    </row>
    <row r="3" spans="1:26" ht="14.25" customHeight="1" thickTop="1" thickBot="1" x14ac:dyDescent="0.35">
      <c r="B3" s="9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Q3" s="10"/>
      <c r="R3" s="5"/>
    </row>
    <row r="4" spans="1:26" ht="14.25" customHeight="1" thickTop="1" x14ac:dyDescent="0.3">
      <c r="B4" s="11" t="s">
        <v>2</v>
      </c>
      <c r="C4" s="12"/>
      <c r="D4" s="13" t="s">
        <v>3</v>
      </c>
      <c r="E4" s="13"/>
      <c r="F4" s="4"/>
      <c r="G4" s="4"/>
      <c r="H4" s="2"/>
      <c r="I4" s="4" t="s">
        <v>4</v>
      </c>
      <c r="J4" s="14" t="s">
        <v>5</v>
      </c>
      <c r="K4" s="15"/>
      <c r="L4" s="16" t="s">
        <v>6</v>
      </c>
      <c r="M4" s="17" t="s">
        <v>7</v>
      </c>
      <c r="N4" s="18">
        <v>32.467532467532465</v>
      </c>
      <c r="O4" s="19"/>
      <c r="Q4" s="10"/>
      <c r="R4" s="5"/>
    </row>
    <row r="5" spans="1:26" ht="14.25" customHeight="1" x14ac:dyDescent="0.3">
      <c r="B5" s="20" t="s">
        <v>8</v>
      </c>
      <c r="C5" s="21"/>
      <c r="D5" s="22">
        <v>4600686987</v>
      </c>
      <c r="E5" s="22"/>
      <c r="F5" s="4"/>
      <c r="G5" s="4"/>
      <c r="H5" s="2"/>
      <c r="I5" s="23" t="s">
        <v>9</v>
      </c>
      <c r="J5" s="24" t="s">
        <v>10</v>
      </c>
      <c r="K5" s="25"/>
      <c r="L5" s="21"/>
      <c r="M5" s="26" t="s">
        <v>11</v>
      </c>
      <c r="N5" s="22">
        <v>0.95</v>
      </c>
      <c r="O5" s="27"/>
      <c r="Q5" s="10"/>
      <c r="R5" s="5"/>
    </row>
    <row r="6" spans="1:26" ht="14.25" customHeight="1" x14ac:dyDescent="0.3">
      <c r="B6" s="20" t="s">
        <v>12</v>
      </c>
      <c r="C6" s="21"/>
      <c r="D6" s="28" t="s">
        <v>13</v>
      </c>
      <c r="E6" s="21"/>
      <c r="F6" s="21"/>
      <c r="G6" s="21"/>
      <c r="H6" s="21"/>
      <c r="I6" s="23" t="s">
        <v>14</v>
      </c>
      <c r="J6" s="24" t="s">
        <v>15</v>
      </c>
      <c r="K6" s="24"/>
      <c r="L6" s="29" t="s">
        <v>16</v>
      </c>
      <c r="M6" s="26" t="s">
        <v>7</v>
      </c>
      <c r="N6" s="30">
        <v>73.958333333333343</v>
      </c>
      <c r="O6" s="31"/>
      <c r="Q6" s="10"/>
      <c r="R6" s="5"/>
    </row>
    <row r="7" spans="1:26" ht="14.25" customHeight="1" thickBot="1" x14ac:dyDescent="0.35">
      <c r="B7" s="32"/>
      <c r="C7" s="33"/>
      <c r="D7" s="33"/>
      <c r="E7" s="33"/>
      <c r="F7" s="33"/>
      <c r="G7" s="33"/>
      <c r="H7" s="33"/>
      <c r="I7" s="34" t="s">
        <v>17</v>
      </c>
      <c r="J7" s="35" t="s">
        <v>18</v>
      </c>
      <c r="K7" s="35"/>
      <c r="L7" s="33"/>
      <c r="M7" s="36" t="s">
        <v>11</v>
      </c>
      <c r="N7" s="37">
        <v>0.95</v>
      </c>
      <c r="O7" s="38"/>
      <c r="Q7" s="5"/>
      <c r="R7" s="5"/>
    </row>
    <row r="8" spans="1:26" ht="14.25" customHeight="1" thickTop="1" x14ac:dyDescent="0.3">
      <c r="D8" s="4"/>
      <c r="E8" s="4"/>
      <c r="F8" s="4"/>
      <c r="G8" s="4"/>
      <c r="H8" s="2"/>
      <c r="I8" s="2"/>
      <c r="J8" s="15"/>
      <c r="K8" s="15"/>
      <c r="L8" s="4"/>
      <c r="M8" s="23"/>
      <c r="N8" s="39"/>
      <c r="Q8" s="5"/>
      <c r="R8" s="5"/>
    </row>
    <row r="9" spans="1:26" ht="8.25" customHeight="1" x14ac:dyDescent="0.3">
      <c r="H9" s="40"/>
      <c r="I9" s="5"/>
      <c r="J9" s="15"/>
      <c r="K9" s="15"/>
      <c r="L9" s="13"/>
      <c r="M9" s="13"/>
      <c r="Q9" s="5"/>
      <c r="R9" s="5"/>
    </row>
    <row r="10" spans="1:26" ht="14.25" customHeight="1" x14ac:dyDescent="0.3">
      <c r="A10" s="1"/>
      <c r="B10" s="1"/>
      <c r="C10" s="41" t="s">
        <v>19</v>
      </c>
      <c r="D10" s="42" t="s">
        <v>20</v>
      </c>
      <c r="E10" s="43"/>
      <c r="F10" s="43"/>
      <c r="G10" s="43"/>
      <c r="H10" s="44"/>
      <c r="I10" s="45" t="s">
        <v>21</v>
      </c>
      <c r="J10" s="46" t="s">
        <v>22</v>
      </c>
      <c r="K10" s="46" t="s">
        <v>23</v>
      </c>
      <c r="L10" s="47" t="s">
        <v>24</v>
      </c>
      <c r="M10" s="48" t="s">
        <v>25</v>
      </c>
      <c r="N10" s="49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50">
        <v>1</v>
      </c>
      <c r="D11" s="51" t="s">
        <v>27</v>
      </c>
      <c r="E11" s="52"/>
      <c r="F11" s="52"/>
      <c r="G11" s="52"/>
      <c r="H11" s="53"/>
      <c r="I11" s="54"/>
      <c r="J11" s="55"/>
      <c r="K11" s="55"/>
      <c r="L11" s="54"/>
      <c r="M11" s="56"/>
      <c r="N11" s="57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8"/>
      <c r="D12" s="59" t="s">
        <v>28</v>
      </c>
      <c r="E12" s="60" t="s">
        <v>29</v>
      </c>
      <c r="F12" s="61"/>
      <c r="G12" s="61"/>
      <c r="H12" s="61"/>
      <c r="I12" s="62"/>
      <c r="J12" s="63"/>
      <c r="K12" s="64"/>
      <c r="L12" s="65"/>
      <c r="M12" s="66"/>
      <c r="N12" s="67"/>
      <c r="Q12" s="5"/>
    </row>
    <row r="13" spans="1:26" ht="14.25" customHeight="1" x14ac:dyDescent="0.3">
      <c r="A13" s="1"/>
      <c r="B13" s="1"/>
      <c r="C13" s="68" t="s">
        <v>30</v>
      </c>
      <c r="D13" s="69" t="s">
        <v>31</v>
      </c>
      <c r="E13" s="69" t="s">
        <v>32</v>
      </c>
      <c r="F13" s="69" t="s">
        <v>33</v>
      </c>
      <c r="G13" s="69" t="s">
        <v>34</v>
      </c>
      <c r="H13" s="70" t="s">
        <v>35</v>
      </c>
      <c r="I13" s="71" t="s">
        <v>36</v>
      </c>
      <c r="J13" s="72">
        <f>SUMIF(ARM_IRON_LT1_ES[Linha de serviço PPU], D12, ARM_IRON_LT1_ES[QUA])</f>
        <v>15177</v>
      </c>
      <c r="K13" s="73">
        <f>J13*$N$5</f>
        <v>14418.15</v>
      </c>
      <c r="L13" s="74">
        <v>0.6</v>
      </c>
      <c r="M13" s="75">
        <f>J13*L13</f>
        <v>9106.1999999999989</v>
      </c>
      <c r="N13" s="76"/>
      <c r="P13" s="77"/>
      <c r="Q13" s="5"/>
    </row>
    <row r="14" spans="1:26" ht="14.25" customHeight="1" x14ac:dyDescent="0.3">
      <c r="A14" s="1"/>
      <c r="B14" s="1"/>
      <c r="C14" s="69"/>
      <c r="D14" s="78">
        <f>SUMIF(  ARM_IRON_LT1_ES[Linha de serviço PPU], D12, ARM_IRON_LT1_ES[QUAm-1])</f>
        <v>15167</v>
      </c>
      <c r="E14" s="79">
        <f>SUMIF(  ARM_IRON_LT1_ES[Linha de serviço PPU], D12, ARM_IRON_LT1_ES[QBm])</f>
        <v>0</v>
      </c>
      <c r="F14" s="79">
        <f>SUMIF(  ARM_IRON_LT1_ES[Linha de serviço PPU], D12, ARM_IRON_LT1_ES[QDm])</f>
        <v>0</v>
      </c>
      <c r="G14" s="80">
        <f>SUMIF(  ARM_IRON_LT1_ES[Linha de serviço PPU], D12, ARM_IRON_LT1_ES[QNm])</f>
        <v>10</v>
      </c>
      <c r="H14" s="81">
        <f>(D14-E14-F14)+G14</f>
        <v>15177</v>
      </c>
      <c r="I14" s="82"/>
      <c r="J14" s="83"/>
      <c r="K14" s="84"/>
      <c r="L14" s="85"/>
      <c r="M14" s="86"/>
      <c r="N14" s="87"/>
      <c r="Q14" s="5"/>
    </row>
    <row r="15" spans="1:26" ht="15" customHeight="1" x14ac:dyDescent="0.3">
      <c r="A15" s="1"/>
      <c r="B15" s="1"/>
      <c r="C15" s="58"/>
      <c r="D15" s="59" t="s">
        <v>37</v>
      </c>
      <c r="E15" s="60" t="s">
        <v>38</v>
      </c>
      <c r="F15" s="61"/>
      <c r="G15" s="61"/>
      <c r="H15" s="61"/>
      <c r="I15" s="88"/>
      <c r="J15" s="63"/>
      <c r="K15" s="64"/>
      <c r="L15" s="89"/>
      <c r="M15" s="90"/>
      <c r="N15" s="67"/>
      <c r="Q15" s="5"/>
    </row>
    <row r="16" spans="1:26" ht="14.25" customHeight="1" x14ac:dyDescent="0.3">
      <c r="A16" s="1"/>
      <c r="B16" s="1"/>
      <c r="C16" s="68" t="s">
        <v>39</v>
      </c>
      <c r="D16" s="69" t="s">
        <v>31</v>
      </c>
      <c r="E16" s="69" t="s">
        <v>32</v>
      </c>
      <c r="F16" s="69" t="s">
        <v>33</v>
      </c>
      <c r="G16" s="69" t="s">
        <v>34</v>
      </c>
      <c r="H16" s="70" t="s">
        <v>35</v>
      </c>
      <c r="I16" s="71" t="s">
        <v>36</v>
      </c>
      <c r="J16" s="72">
        <f>SUMIF(ARM_IRON_LT1_ES[Linha de serviço PPU], D15, ARM_IRON_LT1_ES[QUA])</f>
        <v>0</v>
      </c>
      <c r="K16" s="73">
        <f>J16*N5</f>
        <v>0</v>
      </c>
      <c r="L16" s="74">
        <v>3.55</v>
      </c>
      <c r="M16" s="75">
        <f>J16*L16</f>
        <v>0</v>
      </c>
      <c r="N16" s="76"/>
      <c r="Q16" s="5"/>
    </row>
    <row r="17" spans="1:17" ht="14.25" customHeight="1" x14ac:dyDescent="0.3">
      <c r="A17" s="1"/>
      <c r="B17" s="1"/>
      <c r="C17" s="69"/>
      <c r="D17" s="78">
        <f>SUMIF(  ARM_IRON_LT1_ES[Linha de serviço PPU], D15, ARM_IRON_LT1_ES[QUAm-1])</f>
        <v>0</v>
      </c>
      <c r="E17" s="79">
        <f>SUMIF(  ARM_IRON_LT1_ES[Linha de serviço PPU], D15, ARM_IRON_LT1_ES[QBm])</f>
        <v>0</v>
      </c>
      <c r="F17" s="79">
        <f>SUMIF(  ARM_IRON_LT1_ES[Linha de serviço PPU], D15, ARM_IRON_LT1_ES[QDm])</f>
        <v>0</v>
      </c>
      <c r="G17" s="80">
        <f>SUMIF(  ARM_IRON_LT1_ES[Linha de serviço PPU], D15, ARM_IRON_LT1_ES[QNm])</f>
        <v>0</v>
      </c>
      <c r="H17" s="81">
        <f>(D17-E17-F17)+G17</f>
        <v>0</v>
      </c>
      <c r="I17" s="82"/>
      <c r="J17" s="83"/>
      <c r="K17" s="84"/>
      <c r="L17" s="85"/>
      <c r="M17" s="86"/>
      <c r="N17" s="87"/>
      <c r="Q17" s="5"/>
    </row>
    <row r="18" spans="1:17" ht="15" customHeight="1" x14ac:dyDescent="0.3">
      <c r="A18" s="1"/>
      <c r="B18" s="1"/>
      <c r="C18" s="58"/>
      <c r="D18" s="59" t="s">
        <v>40</v>
      </c>
      <c r="E18" s="60" t="s">
        <v>41</v>
      </c>
      <c r="F18" s="61"/>
      <c r="G18" s="61"/>
      <c r="H18" s="61"/>
      <c r="I18" s="88"/>
      <c r="J18" s="63"/>
      <c r="K18" s="64"/>
      <c r="M18" s="90"/>
      <c r="N18" s="67"/>
      <c r="Q18" s="5"/>
    </row>
    <row r="19" spans="1:17" ht="14.25" customHeight="1" x14ac:dyDescent="0.3">
      <c r="A19" s="1"/>
      <c r="B19" s="1"/>
      <c r="C19" s="68" t="s">
        <v>42</v>
      </c>
      <c r="D19" s="69" t="s">
        <v>31</v>
      </c>
      <c r="E19" s="69" t="s">
        <v>32</v>
      </c>
      <c r="F19" s="69" t="s">
        <v>33</v>
      </c>
      <c r="G19" s="69" t="s">
        <v>34</v>
      </c>
      <c r="H19" s="70" t="s">
        <v>35</v>
      </c>
      <c r="I19" s="71" t="s">
        <v>36</v>
      </c>
      <c r="J19" s="72">
        <f>SUMIF(ARM_IRON_LT1_ES[Linha de serviço PPU], D18, ARM_IRON_LT1_ES[QUA])</f>
        <v>0</v>
      </c>
      <c r="K19" s="73">
        <f>J19*N5</f>
        <v>0</v>
      </c>
      <c r="L19" s="74">
        <v>0.74</v>
      </c>
      <c r="M19" s="75">
        <f>J19*L19</f>
        <v>0</v>
      </c>
      <c r="N19" s="76"/>
      <c r="Q19" s="5"/>
    </row>
    <row r="20" spans="1:17" ht="14.25" customHeight="1" x14ac:dyDescent="0.3">
      <c r="A20" s="1"/>
      <c r="B20" s="1"/>
      <c r="C20" s="69"/>
      <c r="D20" s="78">
        <f>SUMIF(  ARM_IRON_LT1_ES[Linha de serviço PPU], D18, ARM_IRON_LT1_ES[QUAm-1])</f>
        <v>0</v>
      </c>
      <c r="E20" s="79">
        <f>SUMIF(  ARM_IRON_LT1_ES[Linha de serviço PPU], D18, ARM_IRON_LT1_ES[QBm])</f>
        <v>0</v>
      </c>
      <c r="F20" s="79">
        <f>SUMIF(  ARM_IRON_LT1_ES[Linha de serviço PPU], D18, ARM_IRON_LT1_ES[QDm])</f>
        <v>0</v>
      </c>
      <c r="G20" s="80">
        <f>SUMIF(  ARM_IRON_LT1_ES[Linha de serviço PPU], D18, ARM_IRON_LT1_ES[QNm])</f>
        <v>0</v>
      </c>
      <c r="H20" s="81">
        <f>(D20-E20-F20)+G20</f>
        <v>0</v>
      </c>
      <c r="I20" s="82"/>
      <c r="J20" s="83"/>
      <c r="K20" s="84"/>
      <c r="L20" s="85"/>
      <c r="M20" s="86"/>
      <c r="N20" s="87"/>
      <c r="Q20" s="5"/>
    </row>
    <row r="21" spans="1:17" ht="15" customHeight="1" x14ac:dyDescent="0.3">
      <c r="A21" s="1"/>
      <c r="B21" s="1"/>
      <c r="C21" s="58"/>
      <c r="D21" s="59" t="s">
        <v>43</v>
      </c>
      <c r="E21" s="60" t="s">
        <v>44</v>
      </c>
      <c r="F21" s="61"/>
      <c r="G21" s="61"/>
      <c r="H21" s="61"/>
      <c r="I21" s="88"/>
      <c r="J21" s="63"/>
      <c r="K21" s="64"/>
      <c r="L21" s="89"/>
      <c r="M21" s="90"/>
      <c r="N21" s="67"/>
      <c r="Q21" s="5"/>
    </row>
    <row r="22" spans="1:17" ht="14.25" customHeight="1" x14ac:dyDescent="0.3">
      <c r="A22" s="1"/>
      <c r="B22" s="1"/>
      <c r="C22" s="68" t="s">
        <v>45</v>
      </c>
      <c r="D22" s="69" t="s">
        <v>31</v>
      </c>
      <c r="E22" s="69" t="s">
        <v>32</v>
      </c>
      <c r="F22" s="69" t="s">
        <v>33</v>
      </c>
      <c r="G22" s="69" t="s">
        <v>34</v>
      </c>
      <c r="H22" s="70" t="s">
        <v>35</v>
      </c>
      <c r="I22" s="71" t="s">
        <v>36</v>
      </c>
      <c r="J22" s="72">
        <f>SUMIF(ARM_IRON_LT1_ES[Linha de serviço PPU], D21, ARM_IRON_LT1_ES[QUA])</f>
        <v>0</v>
      </c>
      <c r="K22" s="73">
        <f>J22*N5</f>
        <v>0</v>
      </c>
      <c r="L22" s="74">
        <v>56.11</v>
      </c>
      <c r="M22" s="75">
        <f>J22*L22</f>
        <v>0</v>
      </c>
      <c r="N22" s="76"/>
      <c r="Q22" s="5"/>
    </row>
    <row r="23" spans="1:17" ht="14.25" customHeight="1" x14ac:dyDescent="0.3">
      <c r="A23" s="1"/>
      <c r="B23" s="1"/>
      <c r="C23" s="69"/>
      <c r="D23" s="78">
        <f>SUMIF(  ARM_IRON_LT1_ES[Linha de serviço PPU], D21, ARM_IRON_LT1_ES[QUAm-1])</f>
        <v>0</v>
      </c>
      <c r="E23" s="79">
        <f>SUMIF(  ARM_IRON_LT1_ES[Linha de serviço PPU], D21, ARM_IRON_LT1_ES[QBm])</f>
        <v>0</v>
      </c>
      <c r="F23" s="79">
        <f>SUMIF(  ARM_IRON_LT1_ES[Linha de serviço PPU], D21, ARM_IRON_LT1_ES[QDm])</f>
        <v>0</v>
      </c>
      <c r="G23" s="80">
        <f>SUMIF(  ARM_IRON_LT1_ES[Linha de serviço PPU], D21, ARM_IRON_LT1_ES[QNm])</f>
        <v>0</v>
      </c>
      <c r="H23" s="81">
        <f>(D23-E23-F23)+G23</f>
        <v>0</v>
      </c>
      <c r="I23" s="82"/>
      <c r="J23" s="83"/>
      <c r="K23" s="84"/>
      <c r="L23" s="85"/>
      <c r="M23" s="86"/>
      <c r="N23" s="87"/>
      <c r="Q23" s="5"/>
    </row>
    <row r="24" spans="1:17" ht="15" customHeight="1" x14ac:dyDescent="0.3">
      <c r="A24" s="1"/>
      <c r="B24" s="1"/>
      <c r="C24" s="58"/>
      <c r="D24" s="59" t="s">
        <v>46</v>
      </c>
      <c r="E24" s="60" t="s">
        <v>47</v>
      </c>
      <c r="F24" s="61"/>
      <c r="G24" s="61"/>
      <c r="H24" s="61"/>
      <c r="I24" s="88"/>
      <c r="J24" s="63"/>
      <c r="K24" s="64"/>
      <c r="L24" s="89"/>
      <c r="M24" s="90"/>
      <c r="N24" s="67"/>
      <c r="Q24" s="5"/>
    </row>
    <row r="25" spans="1:17" ht="14.25" customHeight="1" x14ac:dyDescent="0.3">
      <c r="A25" s="1"/>
      <c r="B25" s="1"/>
      <c r="C25" s="68" t="s">
        <v>48</v>
      </c>
      <c r="D25" s="69" t="s">
        <v>31</v>
      </c>
      <c r="E25" s="69" t="s">
        <v>32</v>
      </c>
      <c r="F25" s="69" t="s">
        <v>33</v>
      </c>
      <c r="G25" s="69" t="s">
        <v>34</v>
      </c>
      <c r="H25" s="70" t="s">
        <v>35</v>
      </c>
      <c r="I25" s="71" t="s">
        <v>36</v>
      </c>
      <c r="J25" s="72">
        <f>SUMIF(ARM_IRON_LT1_ES[Linha de serviço PPU], D24, ARM_IRON_LT1_ES[QUA])</f>
        <v>0</v>
      </c>
      <c r="K25" s="73">
        <f>J25*N5</f>
        <v>0</v>
      </c>
      <c r="L25" s="74">
        <v>0.08</v>
      </c>
      <c r="M25" s="75">
        <f>J25*L25</f>
        <v>0</v>
      </c>
      <c r="N25" s="76"/>
      <c r="Q25" s="5"/>
    </row>
    <row r="26" spans="1:17" ht="14.25" customHeight="1" x14ac:dyDescent="0.3">
      <c r="A26" s="1"/>
      <c r="B26" s="1"/>
      <c r="C26" s="69"/>
      <c r="D26" s="78">
        <f>SUMIF(  ARM_IRON_LT1_ES[Linha de serviço PPU], D24, ARM_IRON_LT1_ES[QUAm-1])</f>
        <v>0</v>
      </c>
      <c r="E26" s="79">
        <f>SUMIF(  ARM_IRON_LT1_ES[Linha de serviço PPU], D24, ARM_IRON_LT1_ES[QBm])</f>
        <v>0</v>
      </c>
      <c r="F26" s="79">
        <f>SUMIF(  ARM_IRON_LT1_ES[Linha de serviço PPU], D24, ARM_IRON_LT1_ES[QDm])</f>
        <v>0</v>
      </c>
      <c r="G26" s="80">
        <f>SUMIF(  ARM_IRON_LT1_ES[Linha de serviço PPU], D24, ARM_IRON_LT1_ES[QNm])</f>
        <v>0</v>
      </c>
      <c r="H26" s="81">
        <f>(D26-E26-F26)+G26</f>
        <v>0</v>
      </c>
      <c r="I26" s="82"/>
      <c r="J26" s="83"/>
      <c r="K26" s="84"/>
      <c r="L26" s="85"/>
      <c r="M26" s="86"/>
      <c r="N26" s="87"/>
      <c r="Q26" s="5"/>
    </row>
    <row r="27" spans="1:17" ht="15" customHeight="1" x14ac:dyDescent="0.3">
      <c r="A27" s="1"/>
      <c r="B27" s="1"/>
      <c r="C27" s="58"/>
      <c r="D27" s="59" t="s">
        <v>49</v>
      </c>
      <c r="E27" s="60" t="s">
        <v>50</v>
      </c>
      <c r="F27" s="61"/>
      <c r="G27" s="61"/>
      <c r="H27" s="61"/>
      <c r="I27" s="91"/>
      <c r="J27" s="72"/>
      <c r="K27" s="73"/>
      <c r="L27" s="74"/>
      <c r="M27" s="75"/>
      <c r="N27" s="67"/>
      <c r="Q27" s="5"/>
    </row>
    <row r="28" spans="1:17" ht="14.25" customHeight="1" x14ac:dyDescent="0.3">
      <c r="A28" s="1"/>
      <c r="B28" s="1"/>
      <c r="C28" s="68" t="s">
        <v>51</v>
      </c>
      <c r="D28" s="69" t="s">
        <v>31</v>
      </c>
      <c r="E28" s="69" t="s">
        <v>32</v>
      </c>
      <c r="F28" s="69" t="s">
        <v>33</v>
      </c>
      <c r="G28" s="69" t="s">
        <v>34</v>
      </c>
      <c r="H28" s="70" t="s">
        <v>35</v>
      </c>
      <c r="I28" s="71" t="s">
        <v>36</v>
      </c>
      <c r="J28" s="72">
        <f>SUMIF(ARM_IRON_LT1_ES[Linha de serviço PPU], D27, ARM_IRON_LT1_ES[QUA])</f>
        <v>0</v>
      </c>
      <c r="K28" s="73">
        <f>J28*N5</f>
        <v>0</v>
      </c>
      <c r="L28" s="74">
        <v>0.08</v>
      </c>
      <c r="M28" s="75">
        <f>J28*L28</f>
        <v>0</v>
      </c>
      <c r="N28" s="76"/>
      <c r="Q28" s="5"/>
    </row>
    <row r="29" spans="1:17" ht="14.25" customHeight="1" x14ac:dyDescent="0.3">
      <c r="A29" s="1"/>
      <c r="B29" s="1"/>
      <c r="C29" s="69"/>
      <c r="D29" s="78">
        <f>SUMIF(  ARM_IRON_LT1_ES[Linha de serviço PPU], D27, ARM_IRON_LT1_ES[QUAm-1])</f>
        <v>0</v>
      </c>
      <c r="E29" s="79">
        <f>SUMIF(  ARM_IRON_LT1_ES[Linha de serviço PPU], D27, ARM_IRON_LT1_ES[QBm])</f>
        <v>0</v>
      </c>
      <c r="F29" s="79">
        <f>SUMIF(  ARM_IRON_LT1_ES[Linha de serviço PPU], D27, ARM_IRON_LT1_ES[QDm])</f>
        <v>0</v>
      </c>
      <c r="G29" s="80">
        <f>SUMIF(  ARM_IRON_LT1_ES[Linha de serviço PPU], D27, ARM_IRON_LT1_ES[QNm])</f>
        <v>0</v>
      </c>
      <c r="H29" s="81">
        <f>(D29-E29-F29)+G29</f>
        <v>0</v>
      </c>
      <c r="I29" s="82"/>
      <c r="J29" s="72"/>
      <c r="K29" s="84"/>
      <c r="L29" s="74"/>
      <c r="M29" s="86"/>
      <c r="N29" s="87"/>
      <c r="Q29" s="5"/>
    </row>
    <row r="30" spans="1:17" ht="15" customHeight="1" x14ac:dyDescent="0.3">
      <c r="A30" s="1"/>
      <c r="B30" s="1"/>
      <c r="C30" s="92" t="s">
        <v>52</v>
      </c>
      <c r="D30" s="93" t="s">
        <v>53</v>
      </c>
      <c r="E30" s="94" t="s">
        <v>54</v>
      </c>
      <c r="F30" s="94"/>
      <c r="G30" s="94"/>
      <c r="H30" s="95"/>
      <c r="I30" s="96" t="s">
        <v>55</v>
      </c>
      <c r="J30" s="97">
        <f>SUMIF( DADOS_IRON_LT1_ES[Linha de serviço PPU], D30, DADOS_IRON_LT1_ES[QExecAgrupado])</f>
        <v>1</v>
      </c>
      <c r="K30" s="83">
        <f>J30*N5</f>
        <v>0.95</v>
      </c>
      <c r="L30" s="98">
        <v>125.89</v>
      </c>
      <c r="M30" s="99">
        <f t="shared" ref="M30:M36" si="0">L30*J30</f>
        <v>125.89</v>
      </c>
      <c r="N30" s="100"/>
      <c r="Q30" s="5"/>
    </row>
    <row r="31" spans="1:17" ht="15" customHeight="1" x14ac:dyDescent="0.3">
      <c r="A31" s="1"/>
      <c r="B31" s="1"/>
      <c r="C31" s="101" t="s">
        <v>56</v>
      </c>
      <c r="D31" s="59" t="s">
        <v>57</v>
      </c>
      <c r="E31" s="61" t="s">
        <v>58</v>
      </c>
      <c r="F31" s="61"/>
      <c r="G31" s="61"/>
      <c r="H31" s="61"/>
      <c r="I31" s="102" t="s">
        <v>55</v>
      </c>
      <c r="J31" s="97">
        <f>SUMIF( DADOS_IRON_LT1_ES[Linha de serviço PPU], D31, DADOS_IRON_LT1_ES[QExecAgrupado])</f>
        <v>0</v>
      </c>
      <c r="K31" s="83">
        <f>J31*N5</f>
        <v>0</v>
      </c>
      <c r="L31" s="98">
        <v>200</v>
      </c>
      <c r="M31" s="99">
        <f t="shared" si="0"/>
        <v>0</v>
      </c>
      <c r="N31" s="100"/>
      <c r="Q31" s="5"/>
    </row>
    <row r="32" spans="1:17" ht="15" customHeight="1" x14ac:dyDescent="0.3">
      <c r="A32" s="1"/>
      <c r="B32" s="1"/>
      <c r="C32" s="101" t="s">
        <v>59</v>
      </c>
      <c r="D32" s="59" t="s">
        <v>60</v>
      </c>
      <c r="E32" s="61" t="s">
        <v>61</v>
      </c>
      <c r="F32" s="61"/>
      <c r="G32" s="61"/>
      <c r="H32" s="61"/>
      <c r="I32" s="102" t="s">
        <v>62</v>
      </c>
      <c r="J32" s="97">
        <f>SUM(DADOS_IRON_LT1_ES[KM Adicional])</f>
        <v>0</v>
      </c>
      <c r="K32" s="83">
        <f>J32*N5</f>
        <v>0</v>
      </c>
      <c r="L32" s="98">
        <v>0.5</v>
      </c>
      <c r="M32" s="99">
        <f t="shared" si="0"/>
        <v>0</v>
      </c>
      <c r="N32" s="100"/>
      <c r="Q32" s="5"/>
    </row>
    <row r="33" spans="1:17" ht="15" customHeight="1" x14ac:dyDescent="0.3">
      <c r="A33" s="1"/>
      <c r="B33" s="1"/>
      <c r="C33" s="101" t="s">
        <v>63</v>
      </c>
      <c r="D33" s="59" t="s">
        <v>64</v>
      </c>
      <c r="E33" s="103" t="s">
        <v>65</v>
      </c>
      <c r="F33" s="104"/>
      <c r="G33" s="104"/>
      <c r="H33" s="105"/>
      <c r="I33" s="102" t="s">
        <v>66</v>
      </c>
      <c r="J33" s="97">
        <f>SUMIF( DADOS_IRON_LT1_ES[Linha de serviço PPU], D33, DADOS_IRON_LT1_ES[QExecAgrupado])</f>
        <v>3</v>
      </c>
      <c r="K33" s="83">
        <f>J33*N5</f>
        <v>2.8499999999999996</v>
      </c>
      <c r="L33" s="98">
        <v>1.96</v>
      </c>
      <c r="M33" s="99">
        <f t="shared" si="0"/>
        <v>5.88</v>
      </c>
      <c r="N33" s="100"/>
      <c r="Q33" s="5"/>
    </row>
    <row r="34" spans="1:17" ht="15" customHeight="1" x14ac:dyDescent="0.3">
      <c r="A34" s="1"/>
      <c r="B34" s="1"/>
      <c r="C34" s="101" t="s">
        <v>67</v>
      </c>
      <c r="D34" s="59" t="s">
        <v>68</v>
      </c>
      <c r="E34" s="103" t="s">
        <v>69</v>
      </c>
      <c r="F34" s="104"/>
      <c r="G34" s="104"/>
      <c r="H34" s="105"/>
      <c r="I34" s="102" t="s">
        <v>66</v>
      </c>
      <c r="J34" s="97">
        <f>SUMIF( DADOS_IRON_LT1_ES[Linha de serviço PPU], D34, DADOS_IRON_LT1_ES[QExecAgrupado])</f>
        <v>0</v>
      </c>
      <c r="K34" s="83">
        <f>J34*N5</f>
        <v>0</v>
      </c>
      <c r="L34" s="98">
        <v>1.35</v>
      </c>
      <c r="M34" s="99">
        <f t="shared" si="0"/>
        <v>0</v>
      </c>
      <c r="N34" s="100"/>
      <c r="Q34" s="5"/>
    </row>
    <row r="35" spans="1:17" ht="15" customHeight="1" x14ac:dyDescent="0.3">
      <c r="A35" s="1"/>
      <c r="B35" s="1"/>
      <c r="C35" s="101" t="s">
        <v>70</v>
      </c>
      <c r="D35" s="59" t="s">
        <v>71</v>
      </c>
      <c r="E35" s="103" t="s">
        <v>72</v>
      </c>
      <c r="F35" s="104"/>
      <c r="G35" s="104"/>
      <c r="H35" s="105"/>
      <c r="I35" s="102" t="s">
        <v>73</v>
      </c>
      <c r="J35" s="97">
        <f>SUMIF( DADOS_IRON_LT1_ES[Linha de serviço PPU], D35, DADOS_IRON_LT1_ES[QExecAgrupado])</f>
        <v>0</v>
      </c>
      <c r="K35" s="83">
        <f>J35*N5</f>
        <v>0</v>
      </c>
      <c r="L35" s="98">
        <v>594488.34</v>
      </c>
      <c r="M35" s="99">
        <f t="shared" si="0"/>
        <v>0</v>
      </c>
      <c r="N35" s="106"/>
      <c r="Q35" s="5"/>
    </row>
    <row r="36" spans="1:17" ht="15" customHeight="1" x14ac:dyDescent="0.3">
      <c r="A36" s="1"/>
      <c r="B36" s="1"/>
      <c r="C36" s="101" t="s">
        <v>74</v>
      </c>
      <c r="D36" s="59" t="s">
        <v>75</v>
      </c>
      <c r="E36" s="103" t="s">
        <v>76</v>
      </c>
      <c r="F36" s="104"/>
      <c r="G36" s="104"/>
      <c r="H36" s="105"/>
      <c r="I36" s="102" t="s">
        <v>36</v>
      </c>
      <c r="J36" s="97">
        <f>SUMIF( DADOS_IRON_LT1_ES[Linha de serviço PPU], D36, DADOS_IRON_LT1_ES[QExecAgrupado])</f>
        <v>0</v>
      </c>
      <c r="K36" s="83">
        <f>J36*N5</f>
        <v>0</v>
      </c>
      <c r="L36" s="98">
        <v>1.01</v>
      </c>
      <c r="M36" s="99">
        <f t="shared" si="0"/>
        <v>0</v>
      </c>
      <c r="N36" s="100"/>
      <c r="Q36" s="5"/>
    </row>
    <row r="37" spans="1:17" ht="15" customHeight="1" x14ac:dyDescent="0.3">
      <c r="A37" s="1"/>
      <c r="B37" s="1"/>
      <c r="C37" s="50">
        <v>2</v>
      </c>
      <c r="D37" s="107" t="s">
        <v>77</v>
      </c>
      <c r="E37" s="108"/>
      <c r="F37" s="108"/>
      <c r="G37" s="108"/>
      <c r="H37" s="108"/>
      <c r="I37" s="109"/>
      <c r="J37" s="110"/>
      <c r="K37" s="110"/>
      <c r="L37" s="111"/>
      <c r="M37" s="112"/>
      <c r="N37" s="56"/>
      <c r="Q37" s="5"/>
    </row>
    <row r="38" spans="1:17" ht="15" customHeight="1" x14ac:dyDescent="0.3">
      <c r="A38" s="1"/>
      <c r="B38" s="1"/>
      <c r="C38" s="101" t="s">
        <v>78</v>
      </c>
      <c r="D38" s="113" t="s">
        <v>79</v>
      </c>
      <c r="E38" s="61" t="s">
        <v>80</v>
      </c>
      <c r="F38" s="61"/>
      <c r="G38" s="61"/>
      <c r="H38" s="61"/>
      <c r="I38" s="102" t="s">
        <v>81</v>
      </c>
      <c r="J38" s="97">
        <f>SUMIF( DADOS_IRON_LT1_ES[Linha de serviço PPU], D38, DADOS_IRON_LT1_ES[QExec])</f>
        <v>0</v>
      </c>
      <c r="K38" s="114">
        <f>J38*N7</f>
        <v>0</v>
      </c>
      <c r="L38" s="98">
        <v>0.44</v>
      </c>
      <c r="M38" s="115">
        <f t="shared" ref="M38:M47" si="1">J38*L38</f>
        <v>0</v>
      </c>
      <c r="N38" s="100"/>
      <c r="Q38" s="5"/>
    </row>
    <row r="39" spans="1:17" ht="15" customHeight="1" x14ac:dyDescent="0.3">
      <c r="A39" s="1"/>
      <c r="B39" s="1"/>
      <c r="C39" s="101" t="s">
        <v>82</v>
      </c>
      <c r="D39" s="116" t="s">
        <v>83</v>
      </c>
      <c r="E39" s="117" t="s">
        <v>84</v>
      </c>
      <c r="F39" s="117"/>
      <c r="G39" s="117"/>
      <c r="H39" s="117"/>
      <c r="I39" s="102" t="s">
        <v>36</v>
      </c>
      <c r="J39" s="97">
        <f>SUMIF( DADOS_IRON_LT1_ES[Linha de serviço PPU], D39, DADOS_IRON_LT1_ES[QExec])</f>
        <v>0</v>
      </c>
      <c r="K39" s="114">
        <f>J39*N7</f>
        <v>0</v>
      </c>
      <c r="L39" s="98">
        <v>1.44</v>
      </c>
      <c r="M39" s="115">
        <f t="shared" si="1"/>
        <v>0</v>
      </c>
      <c r="N39" s="100"/>
      <c r="Q39" s="5"/>
    </row>
    <row r="40" spans="1:17" ht="15" customHeight="1" x14ac:dyDescent="0.3">
      <c r="A40" s="1"/>
      <c r="B40" s="1"/>
      <c r="C40" s="101" t="s">
        <v>85</v>
      </c>
      <c r="D40" s="113" t="s">
        <v>86</v>
      </c>
      <c r="E40" s="61" t="s">
        <v>87</v>
      </c>
      <c r="F40" s="61"/>
      <c r="G40" s="61"/>
      <c r="H40" s="61"/>
      <c r="I40" s="102" t="s">
        <v>88</v>
      </c>
      <c r="J40" s="97">
        <f>SUMIF( DADOS_IRON_LT1_ES[Linha de serviço PPU], D40, DADOS_IRON_LT1_ES[QExec])</f>
        <v>0</v>
      </c>
      <c r="K40" s="114">
        <f>J40*N7</f>
        <v>0</v>
      </c>
      <c r="L40" s="98">
        <v>0.05</v>
      </c>
      <c r="M40" s="115">
        <f t="shared" si="1"/>
        <v>0</v>
      </c>
      <c r="N40" s="100"/>
      <c r="Q40" s="5"/>
    </row>
    <row r="41" spans="1:17" ht="15" customHeight="1" x14ac:dyDescent="0.3">
      <c r="A41" s="1"/>
      <c r="B41" s="1"/>
      <c r="C41" s="101" t="s">
        <v>89</v>
      </c>
      <c r="D41" s="113" t="s">
        <v>90</v>
      </c>
      <c r="E41" s="61" t="s">
        <v>91</v>
      </c>
      <c r="F41" s="61"/>
      <c r="G41" s="61"/>
      <c r="H41" s="61"/>
      <c r="I41" s="102" t="s">
        <v>88</v>
      </c>
      <c r="J41" s="97">
        <f>SUMIF( DADOS_IRON_LT1_ES[Linha de serviço PPU], D41, DADOS_IRON_LT1_ES[QExec])</f>
        <v>0</v>
      </c>
      <c r="K41" s="114">
        <f>J41*N7</f>
        <v>0</v>
      </c>
      <c r="L41" s="98">
        <v>0.06</v>
      </c>
      <c r="M41" s="115">
        <f t="shared" si="1"/>
        <v>0</v>
      </c>
      <c r="N41" s="100"/>
      <c r="Q41" s="5"/>
    </row>
    <row r="42" spans="1:17" ht="15" customHeight="1" x14ac:dyDescent="0.3">
      <c r="A42" s="1"/>
      <c r="B42" s="1"/>
      <c r="C42" s="101" t="s">
        <v>92</v>
      </c>
      <c r="D42" s="113" t="s">
        <v>93</v>
      </c>
      <c r="E42" s="61" t="s">
        <v>94</v>
      </c>
      <c r="F42" s="61"/>
      <c r="G42" s="61"/>
      <c r="H42" s="61"/>
      <c r="I42" s="102" t="s">
        <v>88</v>
      </c>
      <c r="J42" s="97">
        <f>SUMIF( DADOS_IRON_LT1_ES[Linha de serviço PPU], D42, DADOS_IRON_LT1_ES[QExec])</f>
        <v>1129</v>
      </c>
      <c r="K42" s="114">
        <f>J42*N7</f>
        <v>1072.55</v>
      </c>
      <c r="L42" s="98">
        <v>0.1</v>
      </c>
      <c r="M42" s="115">
        <f t="shared" si="1"/>
        <v>112.9</v>
      </c>
      <c r="N42" s="100"/>
      <c r="Q42" s="5"/>
    </row>
    <row r="43" spans="1:17" ht="15" customHeight="1" x14ac:dyDescent="0.3">
      <c r="A43" s="1"/>
      <c r="B43" s="1"/>
      <c r="C43" s="101" t="s">
        <v>95</v>
      </c>
      <c r="D43" s="113" t="s">
        <v>96</v>
      </c>
      <c r="E43" s="61" t="s">
        <v>97</v>
      </c>
      <c r="F43" s="61"/>
      <c r="G43" s="61"/>
      <c r="H43" s="61"/>
      <c r="I43" s="102" t="s">
        <v>98</v>
      </c>
      <c r="J43" s="97">
        <f>SUMIF( DADOS_IRON_LT1_ES[Linha de serviço PPU], D43, DADOS_IRON_LT1_ES[QExec])</f>
        <v>3</v>
      </c>
      <c r="K43" s="114">
        <f>J43*N7</f>
        <v>2.8499999999999996</v>
      </c>
      <c r="L43" s="98">
        <v>0.23</v>
      </c>
      <c r="M43" s="115">
        <f t="shared" si="1"/>
        <v>0.69000000000000006</v>
      </c>
      <c r="N43" s="100"/>
      <c r="Q43" s="5"/>
    </row>
    <row r="44" spans="1:17" ht="15" customHeight="1" x14ac:dyDescent="0.3">
      <c r="A44" s="1"/>
      <c r="B44" s="1"/>
      <c r="C44" s="101" t="s">
        <v>99</v>
      </c>
      <c r="D44" s="113" t="s">
        <v>100</v>
      </c>
      <c r="E44" s="61" t="s">
        <v>101</v>
      </c>
      <c r="F44" s="61"/>
      <c r="G44" s="61"/>
      <c r="H44" s="61"/>
      <c r="I44" s="102" t="s">
        <v>102</v>
      </c>
      <c r="J44" s="97">
        <f>SUMIF( DADOS_IRON_LT1_ES[Linha de serviço PPU], D44, DADOS_IRON_LT1_ES[QExec])</f>
        <v>0</v>
      </c>
      <c r="K44" s="114">
        <f>J44*N7</f>
        <v>0</v>
      </c>
      <c r="L44" s="98">
        <v>68.27</v>
      </c>
      <c r="M44" s="115">
        <f t="shared" si="1"/>
        <v>0</v>
      </c>
      <c r="N44" s="100"/>
      <c r="Q44" s="5"/>
    </row>
    <row r="45" spans="1:17" ht="15" customHeight="1" x14ac:dyDescent="0.3">
      <c r="A45" s="1"/>
      <c r="B45" s="1"/>
      <c r="C45" s="101" t="s">
        <v>103</v>
      </c>
      <c r="D45" s="113" t="s">
        <v>104</v>
      </c>
      <c r="E45" s="61" t="s">
        <v>105</v>
      </c>
      <c r="F45" s="61"/>
      <c r="G45" s="61"/>
      <c r="H45" s="61"/>
      <c r="I45" s="102" t="s">
        <v>102</v>
      </c>
      <c r="J45" s="97">
        <f>SUMIF( DADOS_IRON_LT1_ES[Linha de serviço PPU], D45, DADOS_IRON_LT1_ES[QExec])</f>
        <v>0</v>
      </c>
      <c r="K45" s="114">
        <f>J45*N7</f>
        <v>0</v>
      </c>
      <c r="L45" s="98">
        <v>39</v>
      </c>
      <c r="M45" s="115">
        <f t="shared" si="1"/>
        <v>0</v>
      </c>
      <c r="N45" s="100"/>
      <c r="Q45" s="5"/>
    </row>
    <row r="46" spans="1:17" ht="15" customHeight="1" x14ac:dyDescent="0.3">
      <c r="A46" s="1"/>
      <c r="B46" s="1"/>
      <c r="C46" s="101" t="s">
        <v>106</v>
      </c>
      <c r="D46" s="113" t="s">
        <v>107</v>
      </c>
      <c r="E46" s="61" t="s">
        <v>108</v>
      </c>
      <c r="F46" s="61"/>
      <c r="G46" s="61"/>
      <c r="H46" s="61"/>
      <c r="I46" s="102" t="s">
        <v>102</v>
      </c>
      <c r="J46" s="97">
        <f>SUMIF( DADOS_IRON_LT1_ES[Linha de serviço PPU], D46, DADOS_IRON_LT1_ES[QExec])</f>
        <v>0</v>
      </c>
      <c r="K46" s="114">
        <f>J46*N7</f>
        <v>0</v>
      </c>
      <c r="L46" s="98">
        <v>11.72</v>
      </c>
      <c r="M46" s="115">
        <f t="shared" si="1"/>
        <v>0</v>
      </c>
      <c r="N46" s="100"/>
      <c r="Q46" s="5"/>
    </row>
    <row r="47" spans="1:17" ht="15" customHeight="1" x14ac:dyDescent="0.3">
      <c r="A47" s="1"/>
      <c r="B47" s="1"/>
      <c r="C47" s="101" t="s">
        <v>109</v>
      </c>
      <c r="D47" s="113" t="s">
        <v>110</v>
      </c>
      <c r="E47" s="61" t="s">
        <v>111</v>
      </c>
      <c r="F47" s="61"/>
      <c r="G47" s="61"/>
      <c r="H47" s="61"/>
      <c r="I47" s="102" t="s">
        <v>102</v>
      </c>
      <c r="J47" s="97">
        <f>SUMIF( DADOS_IRON_LT1_ES[Linha de serviço PPU], D47, DADOS_IRON_LT1_ES[QExec])</f>
        <v>0</v>
      </c>
      <c r="K47" s="114">
        <f>J47*N7</f>
        <v>0</v>
      </c>
      <c r="L47" s="98">
        <v>2.44</v>
      </c>
      <c r="M47" s="115">
        <f t="shared" si="1"/>
        <v>0</v>
      </c>
      <c r="N47" s="100"/>
      <c r="Q47" s="5"/>
    </row>
    <row r="48" spans="1:17" ht="30" customHeight="1" x14ac:dyDescent="0.3">
      <c r="A48" s="1"/>
      <c r="B48" s="1"/>
      <c r="C48" s="118" t="s">
        <v>112</v>
      </c>
      <c r="D48" s="119"/>
      <c r="E48" s="119"/>
      <c r="F48" s="119"/>
      <c r="G48" s="119"/>
      <c r="H48" s="119"/>
      <c r="I48" s="44"/>
      <c r="J48" s="120"/>
      <c r="K48" s="120"/>
      <c r="L48" s="121"/>
      <c r="M48" s="122">
        <f>SUM(M12:M47)</f>
        <v>9351.5599999999977</v>
      </c>
      <c r="N48" s="100"/>
      <c r="Q48" s="5"/>
    </row>
    <row r="49" spans="1:17" ht="14.25" customHeight="1" x14ac:dyDescent="0.3">
      <c r="A49" s="1"/>
      <c r="B49" s="1"/>
      <c r="C49" s="123" t="s">
        <v>113</v>
      </c>
      <c r="D49" s="43"/>
      <c r="E49" s="43"/>
      <c r="F49" s="43"/>
      <c r="G49" s="43"/>
      <c r="H49" s="43"/>
      <c r="I49" s="44"/>
      <c r="J49" s="124" t="s">
        <v>114</v>
      </c>
      <c r="K49" s="43"/>
      <c r="L49" s="43"/>
      <c r="M49" s="43"/>
      <c r="N49" s="44"/>
      <c r="Q49" s="5"/>
    </row>
    <row r="50" spans="1:17" ht="45" customHeight="1" x14ac:dyDescent="0.3">
      <c r="A50" s="1"/>
      <c r="B50" s="1"/>
      <c r="C50" s="125"/>
      <c r="D50" s="126"/>
      <c r="E50" s="126"/>
      <c r="F50" s="126"/>
      <c r="G50" s="126"/>
      <c r="H50" s="127"/>
      <c r="I50" s="128"/>
      <c r="J50" s="124" t="s">
        <v>115</v>
      </c>
      <c r="K50" s="43"/>
      <c r="L50" s="43"/>
      <c r="M50" s="43"/>
      <c r="N50" s="44"/>
      <c r="Q50" s="5"/>
    </row>
    <row r="51" spans="1:17" ht="16.5" customHeight="1" x14ac:dyDescent="0.3">
      <c r="A51" s="1"/>
      <c r="B51" s="1"/>
      <c r="C51" s="129" t="s">
        <v>116</v>
      </c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4"/>
      <c r="Q51" s="5"/>
    </row>
    <row r="52" spans="1:17" ht="60" customHeight="1" x14ac:dyDescent="0.3">
      <c r="A52" s="1"/>
      <c r="B52" s="1"/>
      <c r="C52" s="130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4"/>
      <c r="Q52" s="5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3"/>
      <c r="K53" s="3"/>
      <c r="L53" s="2"/>
      <c r="M53" s="131"/>
      <c r="N53" s="4"/>
      <c r="Q53" s="5"/>
    </row>
    <row r="54" spans="1:17" ht="14.25" customHeight="1" x14ac:dyDescent="0.3">
      <c r="A54" s="1"/>
      <c r="B54" s="1"/>
      <c r="C54" s="2"/>
      <c r="D54" s="41" t="s">
        <v>117</v>
      </c>
      <c r="E54" s="41" t="s">
        <v>118</v>
      </c>
      <c r="F54" s="41" t="s">
        <v>119</v>
      </c>
      <c r="G54" s="41" t="s">
        <v>120</v>
      </c>
      <c r="H54" s="41"/>
      <c r="I54" s="41" t="s">
        <v>121</v>
      </c>
      <c r="J54" s="42" t="s">
        <v>122</v>
      </c>
      <c r="K54" s="44"/>
      <c r="L54" s="132"/>
      <c r="M54" s="132"/>
      <c r="N54" s="132"/>
      <c r="Q54" s="5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3"/>
      <c r="K55" s="3"/>
      <c r="L55" s="2"/>
      <c r="M55" s="131"/>
      <c r="N55" s="4"/>
      <c r="Q55" s="5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3"/>
      <c r="K56" s="3"/>
      <c r="L56" s="2"/>
      <c r="M56" s="131"/>
      <c r="N56" s="4"/>
      <c r="Q56" s="5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3"/>
      <c r="K57" s="3"/>
      <c r="L57" s="2"/>
      <c r="M57" s="131"/>
      <c r="N57" s="4"/>
      <c r="Q57" s="5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3"/>
      <c r="K58" s="3"/>
      <c r="L58" s="2"/>
      <c r="M58" s="131"/>
      <c r="N58" s="4"/>
      <c r="Q58" s="5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3"/>
      <c r="K59" s="3"/>
      <c r="L59" s="2"/>
      <c r="M59" s="131"/>
      <c r="N59" s="4"/>
      <c r="Q59" s="5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3"/>
      <c r="K60" s="3"/>
      <c r="L60" s="2"/>
      <c r="M60" s="131"/>
      <c r="N60" s="4"/>
      <c r="Q60" s="5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3"/>
      <c r="K61" s="3"/>
      <c r="L61" s="2"/>
      <c r="M61" s="131"/>
      <c r="N61" s="4"/>
      <c r="Q61" s="5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3"/>
      <c r="K62" s="3"/>
      <c r="L62" s="2"/>
      <c r="M62" s="131"/>
      <c r="N62" s="4"/>
      <c r="Q62" s="5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3"/>
      <c r="K63" s="3"/>
      <c r="L63" s="2"/>
      <c r="M63" s="131"/>
      <c r="N63" s="4"/>
      <c r="Q63" s="5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3"/>
      <c r="K64" s="3"/>
      <c r="L64" s="2"/>
      <c r="M64" s="131"/>
      <c r="N64" s="4"/>
      <c r="Q64" s="5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3"/>
      <c r="K65" s="3"/>
      <c r="L65" s="2"/>
      <c r="M65" s="131"/>
      <c r="N65" s="4"/>
      <c r="Q65" s="5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3"/>
      <c r="K66" s="3"/>
      <c r="L66" s="2"/>
      <c r="M66" s="131"/>
      <c r="N66" s="4"/>
      <c r="Q66" s="5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3"/>
      <c r="K67" s="3"/>
      <c r="L67" s="2"/>
      <c r="M67" s="131"/>
      <c r="N67" s="4"/>
      <c r="Q67" s="5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3"/>
      <c r="K68" s="3"/>
      <c r="L68" s="2"/>
      <c r="M68" s="131"/>
      <c r="N68" s="4"/>
      <c r="Q68" s="5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3"/>
      <c r="K69" s="3"/>
      <c r="L69" s="2"/>
      <c r="M69" s="131"/>
      <c r="N69" s="4"/>
      <c r="Q69" s="5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3"/>
      <c r="K70" s="3"/>
      <c r="L70" s="2"/>
      <c r="M70" s="131"/>
      <c r="N70" s="4"/>
      <c r="Q70" s="5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3"/>
      <c r="K71" s="3"/>
      <c r="L71" s="2"/>
      <c r="M71" s="131"/>
      <c r="N71" s="4"/>
      <c r="Q71" s="5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3"/>
      <c r="K72" s="3"/>
      <c r="L72" s="2"/>
      <c r="M72" s="131"/>
      <c r="N72" s="4"/>
      <c r="Q72" s="5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3"/>
      <c r="K73" s="3"/>
      <c r="L73" s="2"/>
      <c r="M73" s="131"/>
      <c r="N73" s="4"/>
      <c r="Q73" s="5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3"/>
      <c r="K74" s="3"/>
      <c r="L74" s="2"/>
      <c r="M74" s="131"/>
      <c r="N74" s="4"/>
      <c r="Q74" s="5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3"/>
      <c r="K75" s="3"/>
      <c r="L75" s="2"/>
      <c r="M75" s="131"/>
      <c r="N75" s="4"/>
      <c r="Q75" s="5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3"/>
      <c r="K76" s="3"/>
      <c r="L76" s="2"/>
      <c r="M76" s="131"/>
      <c r="N76" s="4"/>
      <c r="Q76" s="5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3"/>
      <c r="K77" s="3"/>
      <c r="L77" s="2"/>
      <c r="M77" s="131"/>
      <c r="N77" s="4"/>
      <c r="Q77" s="5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3"/>
      <c r="K78" s="3"/>
      <c r="L78" s="2"/>
      <c r="M78" s="131"/>
      <c r="N78" s="4"/>
      <c r="Q78" s="5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3"/>
      <c r="K79" s="3"/>
      <c r="L79" s="2"/>
      <c r="M79" s="131"/>
      <c r="N79" s="4"/>
      <c r="Q79" s="5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3"/>
      <c r="K80" s="3"/>
      <c r="L80" s="2"/>
      <c r="M80" s="131"/>
      <c r="N80" s="4"/>
      <c r="Q80" s="5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3"/>
      <c r="K81" s="3"/>
      <c r="L81" s="2"/>
      <c r="M81" s="131"/>
      <c r="N81" s="4"/>
      <c r="Q81" s="5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3"/>
      <c r="K82" s="3"/>
      <c r="L82" s="2"/>
      <c r="M82" s="131"/>
      <c r="N82" s="4"/>
      <c r="Q82" s="5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3"/>
      <c r="K83" s="3"/>
      <c r="L83" s="2"/>
      <c r="M83" s="131"/>
      <c r="N83" s="4"/>
      <c r="Q83" s="5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3"/>
      <c r="K84" s="3"/>
      <c r="L84" s="2"/>
      <c r="M84" s="131"/>
      <c r="N84" s="4"/>
      <c r="Q84" s="5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3"/>
      <c r="K85" s="3"/>
      <c r="L85" s="2"/>
      <c r="M85" s="131"/>
      <c r="N85" s="4"/>
      <c r="Q85" s="5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3"/>
      <c r="K86" s="3"/>
      <c r="L86" s="2"/>
      <c r="M86" s="131"/>
      <c r="N86" s="4"/>
      <c r="Q86" s="5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3"/>
      <c r="K87" s="3"/>
      <c r="L87" s="2"/>
      <c r="M87" s="131"/>
      <c r="N87" s="4"/>
      <c r="Q87" s="5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3"/>
      <c r="K88" s="3"/>
      <c r="L88" s="2"/>
      <c r="M88" s="131"/>
      <c r="N88" s="4"/>
      <c r="Q88" s="5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3"/>
      <c r="K89" s="3"/>
      <c r="L89" s="2"/>
      <c r="M89" s="131"/>
      <c r="N89" s="4"/>
      <c r="Q89" s="5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3"/>
      <c r="K90" s="3"/>
      <c r="L90" s="2"/>
      <c r="M90" s="131"/>
      <c r="N90" s="4"/>
      <c r="Q90" s="5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3"/>
      <c r="K91" s="3"/>
      <c r="L91" s="2"/>
      <c r="M91" s="131"/>
      <c r="N91" s="4"/>
      <c r="Q91" s="5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3"/>
      <c r="K92" s="3"/>
      <c r="L92" s="2"/>
      <c r="M92" s="131"/>
      <c r="N92" s="4"/>
      <c r="Q92" s="5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3"/>
      <c r="K93" s="3"/>
      <c r="L93" s="2"/>
      <c r="M93" s="131"/>
      <c r="N93" s="4"/>
      <c r="Q93" s="5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3"/>
      <c r="K94" s="3"/>
      <c r="L94" s="2"/>
      <c r="M94" s="131"/>
      <c r="N94" s="4"/>
      <c r="Q94" s="5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3"/>
      <c r="K95" s="3"/>
      <c r="L95" s="2"/>
      <c r="M95" s="131"/>
      <c r="N95" s="4"/>
      <c r="Q95" s="5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3"/>
      <c r="K96" s="3"/>
      <c r="L96" s="2"/>
      <c r="M96" s="131"/>
      <c r="N96" s="4"/>
      <c r="Q96" s="5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3"/>
      <c r="K97" s="3"/>
      <c r="L97" s="2"/>
      <c r="M97" s="131"/>
      <c r="N97" s="4"/>
      <c r="Q97" s="5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3"/>
      <c r="K98" s="3"/>
      <c r="L98" s="2"/>
      <c r="M98" s="131"/>
      <c r="N98" s="4"/>
      <c r="Q98" s="5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3"/>
      <c r="K99" s="3"/>
      <c r="L99" s="2"/>
      <c r="M99" s="131"/>
      <c r="N99" s="4"/>
      <c r="Q99" s="5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3"/>
      <c r="K100" s="3"/>
      <c r="L100" s="2"/>
      <c r="M100" s="131"/>
      <c r="N100" s="4"/>
      <c r="Q100" s="5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3"/>
      <c r="K101" s="3"/>
      <c r="L101" s="2"/>
      <c r="M101" s="2"/>
      <c r="N101" s="4"/>
      <c r="Q101" s="5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3"/>
      <c r="K102" s="3"/>
      <c r="L102" s="2"/>
      <c r="M102" s="2"/>
      <c r="N102" s="4"/>
      <c r="Q102" s="5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3"/>
      <c r="K103" s="3"/>
      <c r="L103" s="2"/>
      <c r="M103" s="2"/>
      <c r="N103" s="4"/>
      <c r="Q103" s="5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3"/>
      <c r="K104" s="3"/>
      <c r="L104" s="2"/>
      <c r="M104" s="2"/>
      <c r="N104" s="4"/>
      <c r="Q104" s="5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3"/>
      <c r="K105" s="3"/>
      <c r="L105" s="2"/>
      <c r="M105" s="2"/>
      <c r="N105" s="4"/>
      <c r="Q105" s="5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3"/>
      <c r="K106" s="3"/>
      <c r="L106" s="2"/>
      <c r="M106" s="2"/>
      <c r="N106" s="4"/>
      <c r="Q106" s="5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3"/>
      <c r="K107" s="3"/>
      <c r="L107" s="2"/>
      <c r="M107" s="2"/>
      <c r="N107" s="4"/>
      <c r="Q107" s="5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3"/>
      <c r="K108" s="3"/>
      <c r="L108" s="2"/>
      <c r="M108" s="2"/>
      <c r="N108" s="4"/>
      <c r="Q108" s="5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3"/>
      <c r="K109" s="3"/>
      <c r="L109" s="2"/>
      <c r="M109" s="2"/>
      <c r="N109" s="4"/>
      <c r="Q109" s="5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3"/>
      <c r="K110" s="3"/>
      <c r="L110" s="2"/>
      <c r="M110" s="2"/>
      <c r="N110" s="4"/>
      <c r="Q110" s="5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3"/>
      <c r="K111" s="3"/>
      <c r="L111" s="2"/>
      <c r="M111" s="2"/>
      <c r="N111" s="4"/>
      <c r="Q111" s="5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3"/>
      <c r="K112" s="3"/>
      <c r="L112" s="2"/>
      <c r="M112" s="2"/>
      <c r="N112" s="4"/>
      <c r="Q112" s="5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3"/>
      <c r="K113" s="3"/>
      <c r="L113" s="2"/>
      <c r="M113" s="2"/>
      <c r="N113" s="4"/>
      <c r="Q113" s="5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3"/>
      <c r="K114" s="3"/>
      <c r="L114" s="2"/>
      <c r="M114" s="2"/>
      <c r="N114" s="4"/>
      <c r="Q114" s="5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3"/>
      <c r="K115" s="3"/>
      <c r="L115" s="2"/>
      <c r="M115" s="2"/>
      <c r="N115" s="4"/>
      <c r="Q115" s="5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3"/>
      <c r="K116" s="3"/>
      <c r="L116" s="2"/>
      <c r="M116" s="2"/>
      <c r="N116" s="4"/>
      <c r="Q116" s="5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3"/>
      <c r="K117" s="3"/>
      <c r="L117" s="2"/>
      <c r="M117" s="2"/>
      <c r="N117" s="4"/>
      <c r="Q117" s="5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3"/>
      <c r="K118" s="3"/>
      <c r="L118" s="2"/>
      <c r="M118" s="2"/>
      <c r="N118" s="4"/>
      <c r="Q118" s="5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3"/>
      <c r="K119" s="3"/>
      <c r="L119" s="2"/>
      <c r="M119" s="2"/>
      <c r="N119" s="4"/>
      <c r="Q119" s="5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3"/>
      <c r="K120" s="3"/>
      <c r="L120" s="2"/>
      <c r="M120" s="2"/>
      <c r="N120" s="4"/>
      <c r="Q120" s="5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3"/>
      <c r="K121" s="3"/>
      <c r="L121" s="2"/>
      <c r="M121" s="2"/>
      <c r="N121" s="4"/>
      <c r="Q121" s="5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3"/>
      <c r="K122" s="3"/>
      <c r="L122" s="2"/>
      <c r="M122" s="2"/>
      <c r="N122" s="4"/>
      <c r="Q122" s="5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3"/>
      <c r="K123" s="3"/>
      <c r="L123" s="2"/>
      <c r="M123" s="2"/>
      <c r="N123" s="4"/>
      <c r="Q123" s="5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3"/>
      <c r="K124" s="3"/>
      <c r="L124" s="2"/>
      <c r="M124" s="2"/>
      <c r="N124" s="4"/>
      <c r="Q124" s="5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3"/>
      <c r="K125" s="3"/>
      <c r="L125" s="2"/>
      <c r="M125" s="2"/>
      <c r="N125" s="4"/>
      <c r="Q125" s="5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3"/>
      <c r="K126" s="3"/>
      <c r="L126" s="2"/>
      <c r="M126" s="2"/>
      <c r="N126" s="4"/>
      <c r="Q126" s="5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3"/>
      <c r="K127" s="3"/>
      <c r="L127" s="2"/>
      <c r="M127" s="2"/>
      <c r="N127" s="4"/>
      <c r="Q127" s="5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3"/>
      <c r="K128" s="3"/>
      <c r="L128" s="2"/>
      <c r="M128" s="2"/>
      <c r="N128" s="4"/>
      <c r="Q128" s="5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3"/>
      <c r="K129" s="3"/>
      <c r="L129" s="2"/>
      <c r="M129" s="2"/>
      <c r="N129" s="4"/>
      <c r="Q129" s="5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3"/>
      <c r="K130" s="3"/>
      <c r="L130" s="2"/>
      <c r="M130" s="2"/>
      <c r="N130" s="4"/>
      <c r="Q130" s="5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3"/>
      <c r="K131" s="3"/>
      <c r="L131" s="2"/>
      <c r="M131" s="2"/>
      <c r="N131" s="4"/>
      <c r="Q131" s="5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3"/>
      <c r="K132" s="3"/>
      <c r="L132" s="2"/>
      <c r="M132" s="2"/>
      <c r="N132" s="4"/>
      <c r="Q132" s="5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3"/>
      <c r="K133" s="3"/>
      <c r="L133" s="2"/>
      <c r="M133" s="2"/>
      <c r="N133" s="4"/>
      <c r="Q133" s="5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3"/>
      <c r="K134" s="3"/>
      <c r="L134" s="2"/>
      <c r="M134" s="2"/>
      <c r="N134" s="4"/>
      <c r="Q134" s="5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3"/>
      <c r="K135" s="3"/>
      <c r="L135" s="2"/>
      <c r="M135" s="2"/>
      <c r="N135" s="4"/>
      <c r="Q135" s="5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3"/>
      <c r="K136" s="3"/>
      <c r="L136" s="2"/>
      <c r="M136" s="2"/>
      <c r="N136" s="4"/>
      <c r="Q136" s="5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3"/>
      <c r="K137" s="3"/>
      <c r="L137" s="2"/>
      <c r="M137" s="2"/>
      <c r="N137" s="4"/>
      <c r="Q137" s="5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3"/>
      <c r="K138" s="3"/>
      <c r="L138" s="2"/>
      <c r="M138" s="2"/>
      <c r="N138" s="4"/>
      <c r="Q138" s="5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3"/>
      <c r="K139" s="3"/>
      <c r="L139" s="2"/>
      <c r="M139" s="2"/>
      <c r="N139" s="4"/>
      <c r="Q139" s="5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3"/>
      <c r="K140" s="3"/>
      <c r="L140" s="2"/>
      <c r="M140" s="2"/>
      <c r="N140" s="4"/>
      <c r="Q140" s="5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3"/>
      <c r="K141" s="3"/>
      <c r="L141" s="2"/>
      <c r="M141" s="2"/>
      <c r="N141" s="4"/>
      <c r="Q141" s="5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3"/>
      <c r="K142" s="3"/>
      <c r="L142" s="2"/>
      <c r="M142" s="2"/>
      <c r="N142" s="4"/>
      <c r="Q142" s="5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3"/>
      <c r="K143" s="3"/>
      <c r="L143" s="2"/>
      <c r="M143" s="2"/>
      <c r="N143" s="4"/>
      <c r="Q143" s="5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3"/>
      <c r="K144" s="3"/>
      <c r="L144" s="2"/>
      <c r="M144" s="2"/>
      <c r="N144" s="4"/>
      <c r="Q144" s="5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3"/>
      <c r="K145" s="3"/>
      <c r="L145" s="2"/>
      <c r="M145" s="2"/>
      <c r="N145" s="4"/>
      <c r="Q145" s="5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3"/>
      <c r="K146" s="3"/>
      <c r="L146" s="2"/>
      <c r="M146" s="2"/>
      <c r="N146" s="4"/>
      <c r="Q146" s="5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3"/>
      <c r="K147" s="3"/>
      <c r="L147" s="2"/>
      <c r="M147" s="2"/>
      <c r="N147" s="4"/>
      <c r="Q147" s="5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3"/>
      <c r="K148" s="3"/>
      <c r="L148" s="2"/>
      <c r="M148" s="2"/>
      <c r="N148" s="4"/>
      <c r="Q148" s="5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3"/>
      <c r="K149" s="3"/>
      <c r="L149" s="2"/>
      <c r="M149" s="2"/>
      <c r="N149" s="4"/>
      <c r="Q149" s="5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3"/>
      <c r="K150" s="3"/>
      <c r="L150" s="2"/>
      <c r="M150" s="2"/>
      <c r="N150" s="4"/>
      <c r="Q150" s="5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3"/>
      <c r="K151" s="3"/>
      <c r="L151" s="2"/>
      <c r="M151" s="2"/>
      <c r="N151" s="4"/>
      <c r="Q151" s="5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3"/>
      <c r="K152" s="3"/>
      <c r="L152" s="2"/>
      <c r="M152" s="2"/>
      <c r="N152" s="4"/>
      <c r="Q152" s="5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3"/>
      <c r="K153" s="3"/>
      <c r="L153" s="2"/>
      <c r="M153" s="2"/>
      <c r="N153" s="4"/>
      <c r="Q153" s="5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3"/>
      <c r="K154" s="3"/>
      <c r="L154" s="2"/>
      <c r="M154" s="2"/>
      <c r="N154" s="4"/>
      <c r="Q154" s="5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3"/>
      <c r="K155" s="3"/>
      <c r="L155" s="2"/>
      <c r="M155" s="2"/>
      <c r="N155" s="4"/>
      <c r="Q155" s="5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3"/>
      <c r="K156" s="3"/>
      <c r="L156" s="2"/>
      <c r="M156" s="2"/>
      <c r="N156" s="4"/>
      <c r="Q156" s="5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3"/>
      <c r="K157" s="3"/>
      <c r="L157" s="2"/>
      <c r="M157" s="2"/>
      <c r="N157" s="4"/>
      <c r="Q157" s="5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3"/>
      <c r="K158" s="3"/>
      <c r="L158" s="2"/>
      <c r="M158" s="2"/>
      <c r="N158" s="4"/>
      <c r="Q158" s="5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3"/>
      <c r="K159" s="3"/>
      <c r="L159" s="2"/>
      <c r="M159" s="2"/>
      <c r="N159" s="4"/>
      <c r="Q159" s="5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3"/>
      <c r="K160" s="3"/>
      <c r="L160" s="2"/>
      <c r="M160" s="2"/>
      <c r="N160" s="4"/>
      <c r="Q160" s="5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3"/>
      <c r="K161" s="3"/>
      <c r="L161" s="2"/>
      <c r="M161" s="2"/>
      <c r="N161" s="4"/>
      <c r="Q161" s="5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3"/>
      <c r="K162" s="3"/>
      <c r="L162" s="2"/>
      <c r="M162" s="2"/>
      <c r="N162" s="4"/>
      <c r="Q162" s="5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3"/>
      <c r="K163" s="3"/>
      <c r="L163" s="2"/>
      <c r="M163" s="2"/>
      <c r="N163" s="4"/>
      <c r="Q163" s="5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3"/>
      <c r="K164" s="3"/>
      <c r="L164" s="2"/>
      <c r="M164" s="2"/>
      <c r="N164" s="4"/>
      <c r="Q164" s="5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3"/>
      <c r="K165" s="3"/>
      <c r="L165" s="2"/>
      <c r="M165" s="2"/>
      <c r="N165" s="4"/>
      <c r="Q165" s="5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3"/>
      <c r="K166" s="3"/>
      <c r="L166" s="2"/>
      <c r="M166" s="2"/>
      <c r="N166" s="4"/>
      <c r="Q166" s="5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3"/>
      <c r="K167" s="3"/>
      <c r="L167" s="2"/>
      <c r="M167" s="2"/>
      <c r="N167" s="4"/>
      <c r="Q167" s="5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3"/>
      <c r="K168" s="3"/>
      <c r="L168" s="2"/>
      <c r="M168" s="2"/>
      <c r="N168" s="4"/>
      <c r="Q168" s="5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3"/>
      <c r="K169" s="3"/>
      <c r="L169" s="2"/>
      <c r="M169" s="2"/>
      <c r="N169" s="4"/>
      <c r="Q169" s="5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3"/>
      <c r="K170" s="3"/>
      <c r="L170" s="2"/>
      <c r="M170" s="2"/>
      <c r="N170" s="4"/>
      <c r="Q170" s="5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3"/>
      <c r="K171" s="3"/>
      <c r="L171" s="2"/>
      <c r="M171" s="2"/>
      <c r="N171" s="4"/>
      <c r="Q171" s="5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3"/>
      <c r="K172" s="3"/>
      <c r="L172" s="2"/>
      <c r="M172" s="2"/>
      <c r="N172" s="4"/>
      <c r="Q172" s="5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3"/>
      <c r="K173" s="3"/>
      <c r="L173" s="2"/>
      <c r="M173" s="2"/>
      <c r="N173" s="4"/>
      <c r="Q173" s="5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3"/>
      <c r="K174" s="3"/>
      <c r="L174" s="2"/>
      <c r="M174" s="2"/>
      <c r="N174" s="4"/>
      <c r="Q174" s="5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3"/>
      <c r="K175" s="3"/>
      <c r="L175" s="2"/>
      <c r="M175" s="2"/>
      <c r="N175" s="4"/>
      <c r="Q175" s="5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3"/>
      <c r="K176" s="3"/>
      <c r="L176" s="2"/>
      <c r="M176" s="2"/>
      <c r="N176" s="4"/>
      <c r="Q176" s="5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3"/>
      <c r="K177" s="3"/>
      <c r="L177" s="2"/>
      <c r="M177" s="2"/>
      <c r="N177" s="4"/>
      <c r="Q177" s="5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3"/>
      <c r="K178" s="3"/>
      <c r="L178" s="2"/>
      <c r="M178" s="2"/>
      <c r="N178" s="4"/>
      <c r="Q178" s="5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3"/>
      <c r="K179" s="3"/>
      <c r="L179" s="2"/>
      <c r="M179" s="2"/>
      <c r="N179" s="4"/>
      <c r="Q179" s="5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3"/>
      <c r="K180" s="3"/>
      <c r="L180" s="2"/>
      <c r="M180" s="2"/>
      <c r="N180" s="4"/>
      <c r="Q180" s="5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3"/>
      <c r="K181" s="3"/>
      <c r="L181" s="2"/>
      <c r="M181" s="2"/>
      <c r="N181" s="4"/>
      <c r="Q181" s="5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3"/>
      <c r="K182" s="3"/>
      <c r="L182" s="2"/>
      <c r="M182" s="2"/>
      <c r="N182" s="4"/>
      <c r="Q182" s="5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3"/>
      <c r="K183" s="3"/>
      <c r="L183" s="2"/>
      <c r="M183" s="2"/>
      <c r="N183" s="4"/>
      <c r="Q183" s="5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3"/>
      <c r="K184" s="3"/>
      <c r="L184" s="2"/>
      <c r="M184" s="2"/>
      <c r="N184" s="4"/>
      <c r="Q184" s="5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3"/>
      <c r="K185" s="3"/>
      <c r="L185" s="2"/>
      <c r="M185" s="2"/>
      <c r="N185" s="4"/>
      <c r="Q185" s="5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3"/>
      <c r="K186" s="3"/>
      <c r="L186" s="2"/>
      <c r="M186" s="2"/>
      <c r="N186" s="4"/>
      <c r="Q186" s="5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3"/>
      <c r="K187" s="3"/>
      <c r="L187" s="2"/>
      <c r="M187" s="2"/>
      <c r="N187" s="4"/>
      <c r="Q187" s="5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3"/>
      <c r="K188" s="3"/>
      <c r="L188" s="2"/>
      <c r="M188" s="2"/>
      <c r="N188" s="4"/>
      <c r="Q188" s="5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3"/>
      <c r="K189" s="3"/>
      <c r="L189" s="2"/>
      <c r="M189" s="2"/>
      <c r="N189" s="4"/>
      <c r="Q189" s="5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3"/>
      <c r="K190" s="3"/>
      <c r="L190" s="2"/>
      <c r="M190" s="2"/>
      <c r="N190" s="4"/>
      <c r="Q190" s="5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3"/>
      <c r="K191" s="3"/>
      <c r="L191" s="2"/>
      <c r="M191" s="2"/>
      <c r="N191" s="4"/>
      <c r="Q191" s="5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3"/>
      <c r="K192" s="3"/>
      <c r="L192" s="2"/>
      <c r="M192" s="2"/>
      <c r="N192" s="4"/>
      <c r="Q192" s="5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3"/>
      <c r="K193" s="3"/>
      <c r="L193" s="2"/>
      <c r="M193" s="2"/>
      <c r="N193" s="4"/>
      <c r="Q193" s="5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3"/>
      <c r="K194" s="3"/>
      <c r="L194" s="2"/>
      <c r="M194" s="2"/>
      <c r="N194" s="4"/>
      <c r="Q194" s="5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3"/>
      <c r="K195" s="3"/>
      <c r="L195" s="2"/>
      <c r="M195" s="2"/>
      <c r="N195" s="4"/>
      <c r="Q195" s="5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3"/>
      <c r="K196" s="3"/>
      <c r="L196" s="2"/>
      <c r="M196" s="2"/>
      <c r="N196" s="4"/>
      <c r="Q196" s="5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3"/>
      <c r="K197" s="3"/>
      <c r="L197" s="2"/>
      <c r="M197" s="2"/>
      <c r="N197" s="4"/>
      <c r="Q197" s="5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3"/>
      <c r="K198" s="3"/>
      <c r="L198" s="2"/>
      <c r="M198" s="2"/>
      <c r="N198" s="4"/>
      <c r="Q198" s="5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3"/>
      <c r="K199" s="3"/>
      <c r="L199" s="2"/>
      <c r="M199" s="2"/>
      <c r="N199" s="4"/>
      <c r="Q199" s="5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3"/>
      <c r="K200" s="3"/>
      <c r="L200" s="2"/>
      <c r="M200" s="2"/>
      <c r="N200" s="4"/>
      <c r="Q200" s="5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3"/>
      <c r="K201" s="3"/>
      <c r="L201" s="2"/>
      <c r="M201" s="2"/>
      <c r="N201" s="4"/>
      <c r="Q201" s="5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3"/>
      <c r="K202" s="3"/>
      <c r="L202" s="2"/>
      <c r="M202" s="2"/>
      <c r="N202" s="4"/>
      <c r="Q202" s="5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3"/>
      <c r="K203" s="3"/>
      <c r="L203" s="2"/>
      <c r="M203" s="2"/>
      <c r="N203" s="4"/>
      <c r="Q203" s="5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3"/>
      <c r="K204" s="3"/>
      <c r="L204" s="2"/>
      <c r="M204" s="2"/>
      <c r="N204" s="4"/>
      <c r="Q204" s="5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3"/>
      <c r="K205" s="3"/>
      <c r="L205" s="2"/>
      <c r="M205" s="2"/>
      <c r="N205" s="4"/>
      <c r="Q205" s="5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3"/>
      <c r="K206" s="3"/>
      <c r="L206" s="2"/>
      <c r="M206" s="2"/>
      <c r="N206" s="4"/>
      <c r="Q206" s="5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3"/>
      <c r="K207" s="3"/>
      <c r="L207" s="2"/>
      <c r="M207" s="2"/>
      <c r="N207" s="4"/>
      <c r="Q207" s="5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3"/>
      <c r="K208" s="3"/>
      <c r="L208" s="2"/>
      <c r="M208" s="2"/>
      <c r="N208" s="4"/>
      <c r="Q208" s="5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3"/>
      <c r="K209" s="3"/>
      <c r="L209" s="2"/>
      <c r="M209" s="2"/>
      <c r="N209" s="4"/>
      <c r="Q209" s="5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3"/>
      <c r="K210" s="3"/>
      <c r="L210" s="2"/>
      <c r="M210" s="2"/>
      <c r="N210" s="4"/>
      <c r="Q210" s="5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3"/>
      <c r="K211" s="3"/>
      <c r="L211" s="2"/>
      <c r="M211" s="2"/>
      <c r="N211" s="4"/>
      <c r="Q211" s="5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3"/>
      <c r="K212" s="3"/>
      <c r="L212" s="2"/>
      <c r="M212" s="2"/>
      <c r="N212" s="4"/>
      <c r="Q212" s="5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3"/>
      <c r="K213" s="3"/>
      <c r="L213" s="2"/>
      <c r="M213" s="2"/>
      <c r="N213" s="4"/>
      <c r="Q213" s="5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3"/>
      <c r="K214" s="3"/>
      <c r="L214" s="2"/>
      <c r="M214" s="2"/>
      <c r="N214" s="4"/>
      <c r="Q214" s="5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3"/>
      <c r="K215" s="3"/>
      <c r="L215" s="2"/>
      <c r="M215" s="2"/>
      <c r="N215" s="4"/>
      <c r="Q215" s="5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3"/>
      <c r="K216" s="3"/>
      <c r="L216" s="2"/>
      <c r="M216" s="2"/>
      <c r="N216" s="4"/>
      <c r="Q216" s="5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3"/>
      <c r="K217" s="3"/>
      <c r="L217" s="2"/>
      <c r="M217" s="2"/>
      <c r="N217" s="4"/>
      <c r="Q217" s="5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3"/>
      <c r="K218" s="3"/>
      <c r="L218" s="2"/>
      <c r="M218" s="2"/>
      <c r="N218" s="4"/>
      <c r="Q218" s="5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3"/>
      <c r="K219" s="3"/>
      <c r="L219" s="2"/>
      <c r="M219" s="2"/>
      <c r="N219" s="4"/>
      <c r="Q219" s="5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3"/>
      <c r="K220" s="3"/>
      <c r="L220" s="2"/>
      <c r="M220" s="2"/>
      <c r="N220" s="4"/>
      <c r="Q220" s="5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3"/>
      <c r="K221" s="3"/>
      <c r="L221" s="2"/>
      <c r="M221" s="2"/>
      <c r="N221" s="4"/>
      <c r="Q221" s="5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3"/>
      <c r="K222" s="3"/>
      <c r="L222" s="2"/>
      <c r="M222" s="2"/>
      <c r="N222" s="4"/>
      <c r="Q222" s="5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3"/>
      <c r="K223" s="3"/>
      <c r="L223" s="2"/>
      <c r="M223" s="2"/>
      <c r="N223" s="4"/>
      <c r="Q223" s="5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3"/>
      <c r="K224" s="3"/>
      <c r="L224" s="2"/>
      <c r="M224" s="2"/>
      <c r="N224" s="4"/>
      <c r="Q224" s="5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3"/>
      <c r="K225" s="3"/>
      <c r="L225" s="2"/>
      <c r="M225" s="2"/>
      <c r="N225" s="4"/>
      <c r="Q225" s="5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3"/>
      <c r="K226" s="3"/>
      <c r="L226" s="2"/>
      <c r="M226" s="2"/>
      <c r="N226" s="4"/>
      <c r="Q226" s="5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3"/>
      <c r="K227" s="3"/>
      <c r="L227" s="2"/>
      <c r="M227" s="2"/>
      <c r="N227" s="4"/>
      <c r="Q227" s="5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3"/>
      <c r="K228" s="3"/>
      <c r="L228" s="2"/>
      <c r="M228" s="2"/>
      <c r="N228" s="4"/>
      <c r="Q228" s="5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3"/>
      <c r="K229" s="3"/>
      <c r="L229" s="2"/>
      <c r="M229" s="2"/>
      <c r="N229" s="4"/>
      <c r="Q229" s="5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3"/>
      <c r="K230" s="3"/>
      <c r="L230" s="2"/>
      <c r="M230" s="2"/>
      <c r="N230" s="4"/>
      <c r="Q230" s="5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3"/>
      <c r="K231" s="3"/>
      <c r="L231" s="2"/>
      <c r="M231" s="2"/>
      <c r="N231" s="4"/>
      <c r="Q231" s="5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3"/>
      <c r="K232" s="3"/>
      <c r="L232" s="2"/>
      <c r="M232" s="2"/>
      <c r="N232" s="4"/>
      <c r="Q232" s="5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3"/>
      <c r="K233" s="3"/>
      <c r="L233" s="2"/>
      <c r="M233" s="2"/>
      <c r="N233" s="4"/>
      <c r="Q233" s="5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3"/>
      <c r="K234" s="3"/>
      <c r="L234" s="2"/>
      <c r="M234" s="2"/>
      <c r="N234" s="4"/>
      <c r="Q234" s="5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3"/>
      <c r="K235" s="3"/>
      <c r="L235" s="2"/>
      <c r="M235" s="2"/>
      <c r="N235" s="4"/>
      <c r="Q235" s="5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3"/>
      <c r="K236" s="3"/>
      <c r="L236" s="2"/>
      <c r="M236" s="2"/>
      <c r="N236" s="4"/>
      <c r="Q236" s="5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3"/>
      <c r="K237" s="3"/>
      <c r="L237" s="2"/>
      <c r="M237" s="2"/>
      <c r="N237" s="4"/>
      <c r="Q237" s="5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3"/>
      <c r="K238" s="3"/>
      <c r="L238" s="2"/>
      <c r="M238" s="2"/>
      <c r="N238" s="4"/>
      <c r="Q238" s="5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3"/>
      <c r="K239" s="3"/>
      <c r="L239" s="2"/>
      <c r="M239" s="2"/>
      <c r="N239" s="4"/>
      <c r="Q239" s="5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3"/>
      <c r="K240" s="3"/>
      <c r="L240" s="2"/>
      <c r="M240" s="2"/>
      <c r="N240" s="4"/>
      <c r="Q240" s="5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3"/>
      <c r="K241" s="3"/>
      <c r="L241" s="2"/>
      <c r="M241" s="2"/>
      <c r="N241" s="4"/>
      <c r="Q241" s="5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3"/>
      <c r="K242" s="3"/>
      <c r="L242" s="2"/>
      <c r="M242" s="2"/>
      <c r="N242" s="4"/>
      <c r="Q242" s="5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3"/>
      <c r="K243" s="3"/>
      <c r="L243" s="2"/>
      <c r="M243" s="2"/>
      <c r="N243" s="4"/>
      <c r="Q243" s="5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3"/>
      <c r="K244" s="3"/>
      <c r="L244" s="2"/>
      <c r="M244" s="2"/>
      <c r="N244" s="4"/>
      <c r="Q244" s="5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3"/>
      <c r="K245" s="3"/>
      <c r="L245" s="2"/>
      <c r="M245" s="2"/>
      <c r="N245" s="4"/>
      <c r="Q245" s="5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3"/>
      <c r="K246" s="3"/>
      <c r="L246" s="2"/>
      <c r="M246" s="2"/>
      <c r="N246" s="4"/>
      <c r="Q246" s="5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3"/>
      <c r="K247" s="3"/>
      <c r="L247" s="2"/>
      <c r="M247" s="2"/>
      <c r="N247" s="4"/>
      <c r="Q247" s="5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3"/>
      <c r="K248" s="3"/>
      <c r="L248" s="2"/>
      <c r="M248" s="2"/>
      <c r="N248" s="4"/>
      <c r="Q248" s="5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3"/>
      <c r="K249" s="3"/>
      <c r="L249" s="2"/>
      <c r="M249" s="2"/>
      <c r="N249" s="4"/>
      <c r="Q249" s="5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3"/>
      <c r="K250" s="3"/>
      <c r="L250" s="2"/>
      <c r="M250" s="2"/>
      <c r="N250" s="4"/>
      <c r="Q250" s="5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3"/>
      <c r="K251" s="3"/>
      <c r="L251" s="2"/>
      <c r="M251" s="2"/>
      <c r="N251" s="4"/>
      <c r="Q251" s="5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3"/>
      <c r="K252" s="3"/>
      <c r="L252" s="2"/>
      <c r="M252" s="2"/>
      <c r="N252" s="4"/>
      <c r="Q252" s="5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3"/>
      <c r="K253" s="3"/>
      <c r="L253" s="2"/>
      <c r="M253" s="2"/>
      <c r="N253" s="4"/>
      <c r="Q253" s="5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3"/>
      <c r="K254" s="3"/>
      <c r="L254" s="2"/>
      <c r="M254" s="2"/>
      <c r="N254" s="4"/>
      <c r="Q254" s="5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3"/>
      <c r="K255" s="3"/>
      <c r="L255" s="2"/>
      <c r="M255" s="2"/>
      <c r="N255" s="4"/>
      <c r="Q255" s="5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3"/>
      <c r="K256" s="3"/>
      <c r="L256" s="2"/>
      <c r="M256" s="2"/>
      <c r="N256" s="4"/>
      <c r="Q256" s="5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3"/>
      <c r="K257" s="3"/>
      <c r="L257" s="2"/>
      <c r="M257" s="2"/>
      <c r="N257" s="4"/>
      <c r="Q257" s="5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3"/>
      <c r="K258" s="3"/>
      <c r="L258" s="2"/>
      <c r="M258" s="2"/>
      <c r="N258" s="4"/>
      <c r="Q258" s="5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3"/>
      <c r="K259" s="3"/>
      <c r="L259" s="2"/>
      <c r="M259" s="2"/>
      <c r="N259" s="4"/>
      <c r="Q259" s="5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3"/>
      <c r="K260" s="3"/>
      <c r="L260" s="2"/>
      <c r="M260" s="2"/>
      <c r="N260" s="4"/>
      <c r="Q260" s="5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3"/>
      <c r="K261" s="3"/>
      <c r="L261" s="2"/>
      <c r="M261" s="2"/>
      <c r="N261" s="4"/>
      <c r="Q261" s="5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3"/>
      <c r="K262" s="3"/>
      <c r="L262" s="2"/>
      <c r="M262" s="2"/>
      <c r="N262" s="4"/>
      <c r="Q262" s="5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3"/>
      <c r="K263" s="3"/>
      <c r="L263" s="2"/>
      <c r="M263" s="2"/>
      <c r="N263" s="4"/>
      <c r="Q263" s="5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3"/>
      <c r="K264" s="3"/>
      <c r="L264" s="2"/>
      <c r="M264" s="2"/>
      <c r="N264" s="4"/>
      <c r="Q264" s="5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3"/>
      <c r="K265" s="3"/>
      <c r="L265" s="2"/>
      <c r="M265" s="2"/>
      <c r="N265" s="4"/>
      <c r="Q265" s="5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3"/>
      <c r="K266" s="3"/>
      <c r="L266" s="2"/>
      <c r="M266" s="2"/>
      <c r="N266" s="4"/>
      <c r="Q266" s="5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3"/>
      <c r="K267" s="3"/>
      <c r="L267" s="2"/>
      <c r="M267" s="2"/>
      <c r="N267" s="4"/>
      <c r="Q267" s="5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3"/>
      <c r="K268" s="3"/>
      <c r="L268" s="2"/>
      <c r="M268" s="2"/>
      <c r="N268" s="4"/>
      <c r="Q268" s="5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3"/>
      <c r="K269" s="3"/>
      <c r="L269" s="2"/>
      <c r="M269" s="2"/>
      <c r="N269" s="4"/>
      <c r="Q269" s="5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3"/>
      <c r="K270" s="3"/>
      <c r="L270" s="2"/>
      <c r="M270" s="2"/>
      <c r="N270" s="4"/>
      <c r="Q270" s="5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3"/>
      <c r="K271" s="3"/>
      <c r="L271" s="2"/>
      <c r="M271" s="2"/>
      <c r="N271" s="4"/>
      <c r="Q271" s="5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3"/>
      <c r="K272" s="3"/>
      <c r="L272" s="2"/>
      <c r="M272" s="2"/>
      <c r="N272" s="4"/>
      <c r="Q272" s="5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3"/>
      <c r="K273" s="3"/>
      <c r="L273" s="2"/>
      <c r="M273" s="2"/>
      <c r="N273" s="4"/>
      <c r="Q273" s="5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3"/>
      <c r="K274" s="3"/>
      <c r="L274" s="2"/>
      <c r="M274" s="2"/>
      <c r="N274" s="4"/>
      <c r="Q274" s="5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3"/>
      <c r="K275" s="3"/>
      <c r="L275" s="2"/>
      <c r="M275" s="2"/>
      <c r="N275" s="4"/>
      <c r="Q275" s="5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3"/>
      <c r="K276" s="3"/>
      <c r="L276" s="2"/>
      <c r="M276" s="2"/>
      <c r="N276" s="4"/>
      <c r="Q276" s="5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3"/>
      <c r="K277" s="3"/>
      <c r="L277" s="2"/>
      <c r="M277" s="2"/>
      <c r="N277" s="4"/>
      <c r="Q277" s="5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3"/>
      <c r="K278" s="3"/>
      <c r="L278" s="2"/>
      <c r="M278" s="2"/>
      <c r="N278" s="4"/>
      <c r="Q278" s="5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3"/>
      <c r="K279" s="3"/>
      <c r="L279" s="2"/>
      <c r="M279" s="2"/>
      <c r="N279" s="4"/>
      <c r="Q279" s="5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3"/>
      <c r="K280" s="3"/>
      <c r="L280" s="2"/>
      <c r="M280" s="2"/>
      <c r="N280" s="4"/>
      <c r="Q280" s="5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3"/>
      <c r="K281" s="3"/>
      <c r="L281" s="2"/>
      <c r="M281" s="2"/>
      <c r="N281" s="4"/>
      <c r="Q281" s="5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3"/>
      <c r="K282" s="3"/>
      <c r="L282" s="2"/>
      <c r="M282" s="2"/>
      <c r="N282" s="4"/>
      <c r="Q282" s="5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3"/>
      <c r="K283" s="3"/>
      <c r="L283" s="2"/>
      <c r="M283" s="2"/>
      <c r="N283" s="4"/>
      <c r="Q283" s="5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3"/>
      <c r="K284" s="3"/>
      <c r="L284" s="2"/>
      <c r="M284" s="2"/>
      <c r="N284" s="4"/>
      <c r="Q284" s="5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3"/>
      <c r="K285" s="3"/>
      <c r="L285" s="2"/>
      <c r="M285" s="2"/>
      <c r="N285" s="4"/>
      <c r="Q285" s="5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3"/>
      <c r="K286" s="3"/>
      <c r="L286" s="2"/>
      <c r="M286" s="2"/>
      <c r="N286" s="4"/>
      <c r="Q286" s="5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3"/>
      <c r="K287" s="3"/>
      <c r="L287" s="2"/>
      <c r="M287" s="2"/>
      <c r="N287" s="4"/>
      <c r="Q287" s="5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3"/>
      <c r="K288" s="3"/>
      <c r="L288" s="2"/>
      <c r="M288" s="2"/>
      <c r="N288" s="4"/>
      <c r="Q288" s="5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3"/>
      <c r="K289" s="3"/>
      <c r="L289" s="2"/>
      <c r="M289" s="2"/>
      <c r="N289" s="4"/>
      <c r="Q289" s="5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3"/>
      <c r="K290" s="3"/>
      <c r="L290" s="2"/>
      <c r="M290" s="2"/>
      <c r="N290" s="4"/>
      <c r="Q290" s="5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3"/>
      <c r="K291" s="3"/>
      <c r="L291" s="2"/>
      <c r="M291" s="2"/>
      <c r="N291" s="4"/>
      <c r="Q291" s="5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3"/>
      <c r="K292" s="3"/>
      <c r="L292" s="2"/>
      <c r="M292" s="2"/>
      <c r="N292" s="4"/>
      <c r="Q292" s="5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3"/>
      <c r="K293" s="3"/>
      <c r="L293" s="2"/>
      <c r="M293" s="2"/>
      <c r="N293" s="4"/>
      <c r="Q293" s="5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3"/>
      <c r="K294" s="3"/>
      <c r="L294" s="2"/>
      <c r="M294" s="2"/>
      <c r="N294" s="4"/>
      <c r="Q294" s="5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3"/>
      <c r="K295" s="3"/>
      <c r="L295" s="2"/>
      <c r="M295" s="2"/>
      <c r="N295" s="4"/>
      <c r="Q295" s="5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3"/>
      <c r="K296" s="3"/>
      <c r="L296" s="2"/>
      <c r="M296" s="2"/>
      <c r="N296" s="4"/>
      <c r="Q296" s="5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3"/>
      <c r="K297" s="3"/>
      <c r="L297" s="2"/>
      <c r="M297" s="2"/>
      <c r="N297" s="4"/>
      <c r="Q297" s="5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3"/>
      <c r="K298" s="3"/>
      <c r="L298" s="2"/>
      <c r="M298" s="2"/>
      <c r="N298" s="4"/>
      <c r="Q298" s="5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3"/>
      <c r="K299" s="3"/>
      <c r="L299" s="2"/>
      <c r="M299" s="2"/>
      <c r="N299" s="4"/>
      <c r="Q299" s="5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3"/>
      <c r="K300" s="3"/>
      <c r="L300" s="2"/>
      <c r="M300" s="2"/>
      <c r="N300" s="4"/>
      <c r="Q300" s="5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3"/>
      <c r="K301" s="3"/>
      <c r="L301" s="2"/>
      <c r="M301" s="2"/>
      <c r="N301" s="4"/>
      <c r="Q301" s="5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3"/>
      <c r="K302" s="3"/>
      <c r="L302" s="2"/>
      <c r="M302" s="2"/>
      <c r="N302" s="4"/>
      <c r="Q302" s="5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3"/>
      <c r="K303" s="3"/>
      <c r="L303" s="2"/>
      <c r="M303" s="2"/>
      <c r="N303" s="4"/>
      <c r="Q303" s="5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3"/>
      <c r="K304" s="3"/>
      <c r="L304" s="2"/>
      <c r="M304" s="2"/>
      <c r="N304" s="4"/>
      <c r="Q304" s="5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3"/>
      <c r="K305" s="3"/>
      <c r="L305" s="2"/>
      <c r="M305" s="2"/>
      <c r="N305" s="4"/>
      <c r="Q305" s="5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3"/>
      <c r="K306" s="3"/>
      <c r="L306" s="2"/>
      <c r="M306" s="2"/>
      <c r="N306" s="4"/>
      <c r="Q306" s="5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3"/>
      <c r="K307" s="3"/>
      <c r="L307" s="2"/>
      <c r="M307" s="2"/>
      <c r="N307" s="4"/>
      <c r="Q307" s="5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3"/>
      <c r="K308" s="3"/>
      <c r="L308" s="2"/>
      <c r="M308" s="2"/>
      <c r="N308" s="4"/>
      <c r="Q308" s="5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3"/>
      <c r="K309" s="3"/>
      <c r="L309" s="2"/>
      <c r="M309" s="2"/>
      <c r="N309" s="4"/>
      <c r="Q309" s="5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3"/>
      <c r="K310" s="3"/>
      <c r="L310" s="2"/>
      <c r="M310" s="2"/>
      <c r="N310" s="4"/>
      <c r="Q310" s="5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3"/>
      <c r="K311" s="3"/>
      <c r="L311" s="2"/>
      <c r="M311" s="2"/>
      <c r="N311" s="4"/>
      <c r="Q311" s="5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3"/>
      <c r="K312" s="3"/>
      <c r="L312" s="2"/>
      <c r="M312" s="2"/>
      <c r="N312" s="4"/>
      <c r="Q312" s="5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3"/>
      <c r="K313" s="3"/>
      <c r="L313" s="2"/>
      <c r="M313" s="2"/>
      <c r="N313" s="4"/>
      <c r="Q313" s="5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3"/>
      <c r="K314" s="3"/>
      <c r="L314" s="2"/>
      <c r="M314" s="2"/>
      <c r="N314" s="4"/>
      <c r="Q314" s="5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3"/>
      <c r="K315" s="3"/>
      <c r="L315" s="2"/>
      <c r="M315" s="2"/>
      <c r="N315" s="4"/>
      <c r="Q315" s="5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3"/>
      <c r="K316" s="3"/>
      <c r="L316" s="2"/>
      <c r="M316" s="2"/>
      <c r="N316" s="4"/>
      <c r="Q316" s="5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3"/>
      <c r="K317" s="3"/>
      <c r="L317" s="2"/>
      <c r="M317" s="2"/>
      <c r="N317" s="4"/>
      <c r="Q317" s="5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3"/>
      <c r="K318" s="3"/>
      <c r="L318" s="2"/>
      <c r="M318" s="2"/>
      <c r="N318" s="4"/>
      <c r="Q318" s="5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3"/>
      <c r="K319" s="3"/>
      <c r="L319" s="2"/>
      <c r="M319" s="2"/>
      <c r="N319" s="4"/>
      <c r="Q319" s="5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3"/>
      <c r="K320" s="3"/>
      <c r="L320" s="2"/>
      <c r="M320" s="2"/>
      <c r="N320" s="4"/>
      <c r="Q320" s="5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3"/>
      <c r="K321" s="3"/>
      <c r="L321" s="2"/>
      <c r="M321" s="2"/>
      <c r="N321" s="4"/>
      <c r="Q321" s="5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3"/>
      <c r="K322" s="3"/>
      <c r="L322" s="2"/>
      <c r="M322" s="2"/>
      <c r="N322" s="4"/>
      <c r="Q322" s="5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3"/>
      <c r="K323" s="3"/>
      <c r="L323" s="2"/>
      <c r="M323" s="2"/>
      <c r="N323" s="4"/>
      <c r="Q323" s="5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3"/>
      <c r="K324" s="3"/>
      <c r="L324" s="2"/>
      <c r="M324" s="2"/>
      <c r="N324" s="4"/>
      <c r="Q324" s="5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3"/>
      <c r="K325" s="3"/>
      <c r="L325" s="2"/>
      <c r="M325" s="2"/>
      <c r="N325" s="4"/>
      <c r="Q325" s="5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3"/>
      <c r="K326" s="3"/>
      <c r="L326" s="2"/>
      <c r="M326" s="2"/>
      <c r="N326" s="4"/>
      <c r="Q326" s="5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3"/>
      <c r="K327" s="3"/>
      <c r="L327" s="2"/>
      <c r="M327" s="2"/>
      <c r="N327" s="4"/>
      <c r="Q327" s="5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3"/>
      <c r="K328" s="3"/>
      <c r="L328" s="2"/>
      <c r="M328" s="2"/>
      <c r="N328" s="4"/>
      <c r="Q328" s="5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3"/>
      <c r="K329" s="3"/>
      <c r="L329" s="2"/>
      <c r="M329" s="2"/>
      <c r="N329" s="4"/>
      <c r="Q329" s="5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3"/>
      <c r="K330" s="3"/>
      <c r="L330" s="2"/>
      <c r="M330" s="2"/>
      <c r="N330" s="4"/>
      <c r="Q330" s="5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3"/>
      <c r="K331" s="3"/>
      <c r="L331" s="2"/>
      <c r="M331" s="2"/>
      <c r="N331" s="4"/>
      <c r="Q331" s="5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3"/>
      <c r="K332" s="3"/>
      <c r="L332" s="2"/>
      <c r="M332" s="2"/>
      <c r="N332" s="4"/>
      <c r="Q332" s="5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3"/>
      <c r="K333" s="3"/>
      <c r="L333" s="2"/>
      <c r="M333" s="2"/>
      <c r="N333" s="4"/>
      <c r="Q333" s="5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3"/>
      <c r="K334" s="3"/>
      <c r="L334" s="2"/>
      <c r="M334" s="2"/>
      <c r="N334" s="4"/>
      <c r="Q334" s="5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3"/>
      <c r="K335" s="3"/>
      <c r="L335" s="2"/>
      <c r="M335" s="2"/>
      <c r="N335" s="4"/>
      <c r="Q335" s="5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3"/>
      <c r="K336" s="3"/>
      <c r="L336" s="2"/>
      <c r="M336" s="2"/>
      <c r="N336" s="4"/>
      <c r="Q336" s="5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3"/>
      <c r="K337" s="3"/>
      <c r="L337" s="2"/>
      <c r="M337" s="2"/>
      <c r="N337" s="4"/>
      <c r="Q337" s="5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3"/>
      <c r="K338" s="3"/>
      <c r="L338" s="2"/>
      <c r="M338" s="2"/>
      <c r="N338" s="4"/>
      <c r="Q338" s="5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3"/>
      <c r="K339" s="3"/>
      <c r="L339" s="2"/>
      <c r="M339" s="2"/>
      <c r="N339" s="4"/>
      <c r="Q339" s="5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3"/>
      <c r="K340" s="3"/>
      <c r="L340" s="2"/>
      <c r="M340" s="2"/>
      <c r="N340" s="4"/>
      <c r="Q340" s="5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3"/>
      <c r="K341" s="3"/>
      <c r="L341" s="2"/>
      <c r="M341" s="2"/>
      <c r="N341" s="4"/>
      <c r="Q341" s="5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3"/>
      <c r="K342" s="3"/>
      <c r="L342" s="2"/>
      <c r="M342" s="2"/>
      <c r="N342" s="4"/>
      <c r="Q342" s="5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3"/>
      <c r="K343" s="3"/>
      <c r="L343" s="2"/>
      <c r="M343" s="2"/>
      <c r="N343" s="4"/>
      <c r="Q343" s="5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3"/>
      <c r="K344" s="3"/>
      <c r="L344" s="2"/>
      <c r="M344" s="2"/>
      <c r="N344" s="4"/>
      <c r="Q344" s="5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3"/>
      <c r="K345" s="3"/>
      <c r="L345" s="2"/>
      <c r="M345" s="2"/>
      <c r="N345" s="4"/>
      <c r="Q345" s="5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3"/>
      <c r="K346" s="3"/>
      <c r="L346" s="2"/>
      <c r="M346" s="2"/>
      <c r="N346" s="4"/>
      <c r="Q346" s="5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3"/>
      <c r="K347" s="3"/>
      <c r="L347" s="2"/>
      <c r="M347" s="2"/>
      <c r="N347" s="4"/>
      <c r="Q347" s="5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3"/>
      <c r="K348" s="3"/>
      <c r="L348" s="2"/>
      <c r="M348" s="2"/>
      <c r="N348" s="4"/>
      <c r="Q348" s="5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3"/>
      <c r="K349" s="3"/>
      <c r="L349" s="2"/>
      <c r="M349" s="2"/>
      <c r="N349" s="4"/>
      <c r="Q349" s="5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3"/>
      <c r="K350" s="3"/>
      <c r="L350" s="2"/>
      <c r="M350" s="2"/>
      <c r="N350" s="4"/>
      <c r="Q350" s="5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3"/>
      <c r="K351" s="3"/>
      <c r="L351" s="2"/>
      <c r="M351" s="2"/>
      <c r="N351" s="4"/>
      <c r="Q351" s="5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3"/>
      <c r="K352" s="3"/>
      <c r="L352" s="2"/>
      <c r="M352" s="2"/>
      <c r="N352" s="4"/>
      <c r="Q352" s="5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3"/>
      <c r="K353" s="3"/>
      <c r="L353" s="2"/>
      <c r="M353" s="2"/>
      <c r="N353" s="4"/>
      <c r="Q353" s="5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3"/>
      <c r="K354" s="3"/>
      <c r="L354" s="2"/>
      <c r="M354" s="2"/>
      <c r="N354" s="4"/>
      <c r="Q354" s="5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3"/>
      <c r="K355" s="3"/>
      <c r="L355" s="2"/>
      <c r="M355" s="2"/>
      <c r="N355" s="4"/>
      <c r="Q355" s="5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3"/>
      <c r="K356" s="3"/>
      <c r="L356" s="2"/>
      <c r="M356" s="2"/>
      <c r="N356" s="4"/>
      <c r="Q356" s="5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3"/>
      <c r="K357" s="3"/>
      <c r="L357" s="2"/>
      <c r="M357" s="2"/>
      <c r="N357" s="4"/>
      <c r="Q357" s="5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3"/>
      <c r="K358" s="3"/>
      <c r="L358" s="2"/>
      <c r="M358" s="2"/>
      <c r="N358" s="4"/>
      <c r="Q358" s="5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3"/>
      <c r="K359" s="3"/>
      <c r="L359" s="2"/>
      <c r="M359" s="2"/>
      <c r="N359" s="4"/>
      <c r="Q359" s="5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3"/>
      <c r="K360" s="3"/>
      <c r="L360" s="2"/>
      <c r="M360" s="2"/>
      <c r="N360" s="4"/>
      <c r="Q360" s="5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3"/>
      <c r="K361" s="3"/>
      <c r="L361" s="2"/>
      <c r="M361" s="2"/>
      <c r="N361" s="4"/>
      <c r="Q361" s="5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3"/>
      <c r="K362" s="3"/>
      <c r="L362" s="2"/>
      <c r="M362" s="2"/>
      <c r="N362" s="4"/>
      <c r="Q362" s="5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3"/>
      <c r="K363" s="3"/>
      <c r="L363" s="2"/>
      <c r="M363" s="2"/>
      <c r="N363" s="4"/>
      <c r="Q363" s="5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3"/>
      <c r="K364" s="3"/>
      <c r="L364" s="2"/>
      <c r="M364" s="2"/>
      <c r="N364" s="4"/>
      <c r="Q364" s="5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3"/>
      <c r="K365" s="3"/>
      <c r="L365" s="2"/>
      <c r="M365" s="2"/>
      <c r="N365" s="4"/>
      <c r="Q365" s="5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3"/>
      <c r="K366" s="3"/>
      <c r="L366" s="2"/>
      <c r="M366" s="2"/>
      <c r="N366" s="4"/>
      <c r="Q366" s="5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3"/>
      <c r="K367" s="3"/>
      <c r="L367" s="2"/>
      <c r="M367" s="2"/>
      <c r="N367" s="4"/>
      <c r="Q367" s="5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3"/>
      <c r="K368" s="3"/>
      <c r="L368" s="2"/>
      <c r="M368" s="2"/>
      <c r="N368" s="4"/>
      <c r="Q368" s="5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3"/>
      <c r="K369" s="3"/>
      <c r="L369" s="2"/>
      <c r="M369" s="2"/>
      <c r="N369" s="4"/>
      <c r="Q369" s="5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3"/>
      <c r="K370" s="3"/>
      <c r="L370" s="2"/>
      <c r="M370" s="2"/>
      <c r="N370" s="4"/>
      <c r="Q370" s="5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3"/>
      <c r="K371" s="3"/>
      <c r="L371" s="2"/>
      <c r="M371" s="2"/>
      <c r="N371" s="4"/>
      <c r="Q371" s="5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3"/>
      <c r="K372" s="3"/>
      <c r="L372" s="2"/>
      <c r="M372" s="2"/>
      <c r="N372" s="4"/>
      <c r="Q372" s="5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3"/>
      <c r="K373" s="3"/>
      <c r="L373" s="2"/>
      <c r="M373" s="2"/>
      <c r="N373" s="4"/>
      <c r="Q373" s="5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3"/>
      <c r="K374" s="3"/>
      <c r="L374" s="2"/>
      <c r="M374" s="2"/>
      <c r="N374" s="4"/>
      <c r="Q374" s="5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3"/>
      <c r="K375" s="3"/>
      <c r="L375" s="2"/>
      <c r="M375" s="2"/>
      <c r="N375" s="4"/>
      <c r="Q375" s="5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3"/>
      <c r="K376" s="3"/>
      <c r="L376" s="2"/>
      <c r="M376" s="2"/>
      <c r="N376" s="4"/>
      <c r="Q376" s="5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3"/>
      <c r="K377" s="3"/>
      <c r="L377" s="2"/>
      <c r="M377" s="2"/>
      <c r="N377" s="4"/>
      <c r="Q377" s="5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3"/>
      <c r="K378" s="3"/>
      <c r="L378" s="2"/>
      <c r="M378" s="2"/>
      <c r="N378" s="4"/>
      <c r="Q378" s="5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3"/>
      <c r="K379" s="3"/>
      <c r="L379" s="2"/>
      <c r="M379" s="2"/>
      <c r="N379" s="4"/>
      <c r="Q379" s="5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3"/>
      <c r="K380" s="3"/>
      <c r="L380" s="2"/>
      <c r="M380" s="2"/>
      <c r="N380" s="4"/>
      <c r="Q380" s="5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3"/>
      <c r="K381" s="3"/>
      <c r="L381" s="2"/>
      <c r="M381" s="2"/>
      <c r="N381" s="4"/>
      <c r="Q381" s="5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3"/>
      <c r="K382" s="3"/>
      <c r="L382" s="2"/>
      <c r="M382" s="2"/>
      <c r="N382" s="4"/>
      <c r="Q382" s="5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3"/>
      <c r="K383" s="3"/>
      <c r="L383" s="2"/>
      <c r="M383" s="2"/>
      <c r="N383" s="4"/>
      <c r="Q383" s="5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3"/>
      <c r="K384" s="3"/>
      <c r="L384" s="2"/>
      <c r="M384" s="2"/>
      <c r="N384" s="4"/>
      <c r="Q384" s="5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3"/>
      <c r="K385" s="3"/>
      <c r="L385" s="2"/>
      <c r="M385" s="2"/>
      <c r="N385" s="4"/>
      <c r="Q385" s="5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3"/>
      <c r="K386" s="3"/>
      <c r="L386" s="2"/>
      <c r="M386" s="2"/>
      <c r="N386" s="4"/>
      <c r="Q386" s="5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3"/>
      <c r="K387" s="3"/>
      <c r="L387" s="2"/>
      <c r="M387" s="2"/>
      <c r="N387" s="4"/>
      <c r="Q387" s="5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3"/>
      <c r="K388" s="3"/>
      <c r="L388" s="2"/>
      <c r="M388" s="2"/>
      <c r="N388" s="4"/>
      <c r="Q388" s="5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3"/>
      <c r="K389" s="3"/>
      <c r="L389" s="2"/>
      <c r="M389" s="2"/>
      <c r="N389" s="4"/>
      <c r="Q389" s="5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3"/>
      <c r="K390" s="3"/>
      <c r="L390" s="2"/>
      <c r="M390" s="2"/>
      <c r="N390" s="4"/>
      <c r="Q390" s="5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3"/>
      <c r="K391" s="3"/>
      <c r="L391" s="2"/>
      <c r="M391" s="2"/>
      <c r="N391" s="4"/>
      <c r="Q391" s="5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3"/>
      <c r="K392" s="3"/>
      <c r="L392" s="2"/>
      <c r="M392" s="2"/>
      <c r="N392" s="4"/>
      <c r="Q392" s="5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3"/>
      <c r="K393" s="3"/>
      <c r="L393" s="2"/>
      <c r="M393" s="2"/>
      <c r="N393" s="4"/>
      <c r="Q393" s="5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3"/>
      <c r="K394" s="3"/>
      <c r="L394" s="2"/>
      <c r="M394" s="2"/>
      <c r="N394" s="4"/>
      <c r="Q394" s="5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3"/>
      <c r="K395" s="3"/>
      <c r="L395" s="2"/>
      <c r="M395" s="2"/>
      <c r="N395" s="4"/>
      <c r="Q395" s="5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3"/>
      <c r="K396" s="3"/>
      <c r="L396" s="2"/>
      <c r="M396" s="2"/>
      <c r="N396" s="4"/>
      <c r="Q396" s="5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3"/>
      <c r="K397" s="3"/>
      <c r="L397" s="2"/>
      <c r="M397" s="2"/>
      <c r="N397" s="4"/>
      <c r="Q397" s="5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3"/>
      <c r="K398" s="3"/>
      <c r="L398" s="2"/>
      <c r="M398" s="2"/>
      <c r="N398" s="4"/>
      <c r="Q398" s="5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3"/>
      <c r="K399" s="3"/>
      <c r="L399" s="2"/>
      <c r="M399" s="2"/>
      <c r="N399" s="4"/>
      <c r="Q399" s="5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3"/>
      <c r="K400" s="3"/>
      <c r="L400" s="2"/>
      <c r="M400" s="2"/>
      <c r="N400" s="4"/>
      <c r="Q400" s="5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3"/>
      <c r="K401" s="3"/>
      <c r="L401" s="2"/>
      <c r="M401" s="2"/>
      <c r="N401" s="4"/>
      <c r="Q401" s="5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3"/>
      <c r="K402" s="3"/>
      <c r="L402" s="2"/>
      <c r="M402" s="2"/>
      <c r="N402" s="4"/>
      <c r="Q402" s="5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3"/>
      <c r="K403" s="3"/>
      <c r="L403" s="2"/>
      <c r="M403" s="2"/>
      <c r="N403" s="4"/>
      <c r="Q403" s="5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3"/>
      <c r="K404" s="3"/>
      <c r="L404" s="2"/>
      <c r="M404" s="2"/>
      <c r="N404" s="4"/>
      <c r="Q404" s="5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3"/>
      <c r="K405" s="3"/>
      <c r="L405" s="2"/>
      <c r="M405" s="2"/>
      <c r="N405" s="4"/>
      <c r="Q405" s="5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3"/>
      <c r="K406" s="3"/>
      <c r="L406" s="2"/>
      <c r="M406" s="2"/>
      <c r="N406" s="4"/>
      <c r="Q406" s="5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3"/>
      <c r="K407" s="3"/>
      <c r="L407" s="2"/>
      <c r="M407" s="2"/>
      <c r="N407" s="4"/>
      <c r="Q407" s="5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3"/>
      <c r="K408" s="3"/>
      <c r="L408" s="2"/>
      <c r="M408" s="2"/>
      <c r="N408" s="4"/>
      <c r="Q408" s="5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3"/>
      <c r="K409" s="3"/>
      <c r="L409" s="2"/>
      <c r="M409" s="2"/>
      <c r="N409" s="4"/>
      <c r="Q409" s="5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3"/>
      <c r="K410" s="3"/>
      <c r="L410" s="2"/>
      <c r="M410" s="2"/>
      <c r="N410" s="4"/>
      <c r="Q410" s="5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3"/>
      <c r="K411" s="3"/>
      <c r="L411" s="2"/>
      <c r="M411" s="2"/>
      <c r="N411" s="4"/>
      <c r="Q411" s="5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3"/>
      <c r="K412" s="3"/>
      <c r="L412" s="2"/>
      <c r="M412" s="2"/>
      <c r="N412" s="4"/>
      <c r="Q412" s="5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3"/>
      <c r="K413" s="3"/>
      <c r="L413" s="2"/>
      <c r="M413" s="2"/>
      <c r="N413" s="4"/>
      <c r="Q413" s="5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3"/>
      <c r="K414" s="3"/>
      <c r="L414" s="2"/>
      <c r="M414" s="2"/>
      <c r="N414" s="4"/>
      <c r="Q414" s="5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3"/>
      <c r="K415" s="3"/>
      <c r="L415" s="2"/>
      <c r="M415" s="2"/>
      <c r="N415" s="4"/>
      <c r="Q415" s="5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3"/>
      <c r="K416" s="3"/>
      <c r="L416" s="2"/>
      <c r="M416" s="2"/>
      <c r="N416" s="4"/>
      <c r="Q416" s="5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3"/>
      <c r="K417" s="3"/>
      <c r="L417" s="2"/>
      <c r="M417" s="2"/>
      <c r="N417" s="4"/>
      <c r="Q417" s="5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3"/>
      <c r="K418" s="3"/>
      <c r="L418" s="2"/>
      <c r="M418" s="2"/>
      <c r="N418" s="4"/>
      <c r="Q418" s="5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3"/>
      <c r="K419" s="3"/>
      <c r="L419" s="2"/>
      <c r="M419" s="2"/>
      <c r="N419" s="4"/>
      <c r="Q419" s="5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3"/>
      <c r="K420" s="3"/>
      <c r="L420" s="2"/>
      <c r="M420" s="2"/>
      <c r="N420" s="4"/>
      <c r="Q420" s="5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3"/>
      <c r="K421" s="3"/>
      <c r="L421" s="2"/>
      <c r="M421" s="2"/>
      <c r="N421" s="4"/>
      <c r="Q421" s="5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3"/>
      <c r="K422" s="3"/>
      <c r="L422" s="2"/>
      <c r="M422" s="2"/>
      <c r="N422" s="4"/>
      <c r="Q422" s="5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3"/>
      <c r="K423" s="3"/>
      <c r="L423" s="2"/>
      <c r="M423" s="2"/>
      <c r="N423" s="4"/>
      <c r="Q423" s="5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3"/>
      <c r="K424" s="3"/>
      <c r="L424" s="2"/>
      <c r="M424" s="2"/>
      <c r="N424" s="4"/>
      <c r="Q424" s="5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3"/>
      <c r="K425" s="3"/>
      <c r="L425" s="2"/>
      <c r="M425" s="2"/>
      <c r="N425" s="4"/>
      <c r="Q425" s="5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3"/>
      <c r="K426" s="3"/>
      <c r="L426" s="2"/>
      <c r="M426" s="2"/>
      <c r="N426" s="4"/>
      <c r="Q426" s="5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3"/>
      <c r="K427" s="3"/>
      <c r="L427" s="2"/>
      <c r="M427" s="2"/>
      <c r="N427" s="4"/>
      <c r="Q427" s="5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3"/>
      <c r="K428" s="3"/>
      <c r="L428" s="2"/>
      <c r="M428" s="2"/>
      <c r="N428" s="4"/>
      <c r="Q428" s="5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3"/>
      <c r="K429" s="3"/>
      <c r="L429" s="2"/>
      <c r="M429" s="2"/>
      <c r="N429" s="4"/>
      <c r="Q429" s="5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3"/>
      <c r="K430" s="3"/>
      <c r="L430" s="2"/>
      <c r="M430" s="2"/>
      <c r="N430" s="4"/>
      <c r="Q430" s="5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3"/>
      <c r="K431" s="3"/>
      <c r="L431" s="2"/>
      <c r="M431" s="2"/>
      <c r="N431" s="4"/>
      <c r="Q431" s="5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3"/>
      <c r="K432" s="3"/>
      <c r="L432" s="2"/>
      <c r="M432" s="2"/>
      <c r="N432" s="4"/>
      <c r="Q432" s="5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3"/>
      <c r="K433" s="3"/>
      <c r="L433" s="2"/>
      <c r="M433" s="2"/>
      <c r="N433" s="4"/>
      <c r="Q433" s="5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3"/>
      <c r="K434" s="3"/>
      <c r="L434" s="2"/>
      <c r="M434" s="2"/>
      <c r="N434" s="4"/>
      <c r="Q434" s="5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3"/>
      <c r="K435" s="3"/>
      <c r="L435" s="2"/>
      <c r="M435" s="2"/>
      <c r="N435" s="4"/>
      <c r="Q435" s="5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3"/>
      <c r="K436" s="3"/>
      <c r="L436" s="2"/>
      <c r="M436" s="2"/>
      <c r="N436" s="4"/>
      <c r="Q436" s="5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3"/>
      <c r="K437" s="3"/>
      <c r="L437" s="2"/>
      <c r="M437" s="2"/>
      <c r="N437" s="4"/>
      <c r="Q437" s="5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3"/>
      <c r="K438" s="3"/>
      <c r="L438" s="2"/>
      <c r="M438" s="2"/>
      <c r="N438" s="4"/>
      <c r="Q438" s="5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3"/>
      <c r="K439" s="3"/>
      <c r="L439" s="2"/>
      <c r="M439" s="2"/>
      <c r="N439" s="4"/>
      <c r="Q439" s="5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3"/>
      <c r="K440" s="3"/>
      <c r="L440" s="2"/>
      <c r="M440" s="2"/>
      <c r="N440" s="4"/>
      <c r="Q440" s="5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3"/>
      <c r="K441" s="3"/>
      <c r="L441" s="2"/>
      <c r="M441" s="2"/>
      <c r="N441" s="4"/>
      <c r="Q441" s="5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3"/>
      <c r="K442" s="3"/>
      <c r="L442" s="2"/>
      <c r="M442" s="2"/>
      <c r="N442" s="4"/>
      <c r="Q442" s="5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3"/>
      <c r="K443" s="3"/>
      <c r="L443" s="2"/>
      <c r="M443" s="2"/>
      <c r="N443" s="4"/>
      <c r="Q443" s="5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3"/>
      <c r="K444" s="3"/>
      <c r="L444" s="2"/>
      <c r="M444" s="2"/>
      <c r="N444" s="4"/>
      <c r="Q444" s="5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3"/>
      <c r="K445" s="3"/>
      <c r="L445" s="2"/>
      <c r="M445" s="2"/>
      <c r="N445" s="4"/>
      <c r="Q445" s="5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3"/>
      <c r="K446" s="3"/>
      <c r="L446" s="2"/>
      <c r="M446" s="2"/>
      <c r="N446" s="4"/>
      <c r="Q446" s="5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3"/>
      <c r="K447" s="3"/>
      <c r="L447" s="2"/>
      <c r="M447" s="2"/>
      <c r="N447" s="4"/>
      <c r="Q447" s="5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3"/>
      <c r="K448" s="3"/>
      <c r="L448" s="2"/>
      <c r="M448" s="2"/>
      <c r="N448" s="4"/>
      <c r="Q448" s="5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3"/>
      <c r="K449" s="3"/>
      <c r="L449" s="2"/>
      <c r="M449" s="2"/>
      <c r="N449" s="4"/>
      <c r="Q449" s="5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3"/>
      <c r="K450" s="3"/>
      <c r="L450" s="2"/>
      <c r="M450" s="2"/>
      <c r="N450" s="4"/>
      <c r="Q450" s="5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3"/>
      <c r="K451" s="3"/>
      <c r="L451" s="2"/>
      <c r="M451" s="2"/>
      <c r="N451" s="4"/>
      <c r="Q451" s="5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3"/>
      <c r="K452" s="3"/>
      <c r="L452" s="2"/>
      <c r="M452" s="2"/>
      <c r="N452" s="4"/>
      <c r="Q452" s="5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3"/>
      <c r="K453" s="3"/>
      <c r="L453" s="2"/>
      <c r="M453" s="2"/>
      <c r="N453" s="4"/>
      <c r="Q453" s="5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3"/>
      <c r="K454" s="3"/>
      <c r="L454" s="2"/>
      <c r="M454" s="2"/>
      <c r="N454" s="4"/>
      <c r="Q454" s="5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3"/>
      <c r="K455" s="3"/>
      <c r="L455" s="2"/>
      <c r="M455" s="2"/>
      <c r="N455" s="4"/>
      <c r="Q455" s="5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3"/>
      <c r="K456" s="3"/>
      <c r="L456" s="2"/>
      <c r="M456" s="2"/>
      <c r="N456" s="4"/>
      <c r="Q456" s="5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3"/>
      <c r="K457" s="3"/>
      <c r="L457" s="2"/>
      <c r="M457" s="2"/>
      <c r="N457" s="4"/>
      <c r="Q457" s="5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3"/>
      <c r="K458" s="3"/>
      <c r="L458" s="2"/>
      <c r="M458" s="2"/>
      <c r="N458" s="4"/>
      <c r="Q458" s="5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3"/>
      <c r="K459" s="3"/>
      <c r="L459" s="2"/>
      <c r="M459" s="2"/>
      <c r="N459" s="4"/>
      <c r="Q459" s="5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3"/>
      <c r="K460" s="3"/>
      <c r="L460" s="2"/>
      <c r="M460" s="2"/>
      <c r="N460" s="4"/>
      <c r="Q460" s="5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3"/>
      <c r="K461" s="3"/>
      <c r="L461" s="2"/>
      <c r="M461" s="2"/>
      <c r="N461" s="4"/>
      <c r="Q461" s="5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3"/>
      <c r="K462" s="3"/>
      <c r="L462" s="2"/>
      <c r="M462" s="2"/>
      <c r="N462" s="4"/>
      <c r="Q462" s="5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3"/>
      <c r="K463" s="3"/>
      <c r="L463" s="2"/>
      <c r="M463" s="2"/>
      <c r="N463" s="4"/>
      <c r="Q463" s="5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3"/>
      <c r="K464" s="3"/>
      <c r="L464" s="2"/>
      <c r="M464" s="2"/>
      <c r="N464" s="4"/>
      <c r="Q464" s="5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3"/>
      <c r="K465" s="3"/>
      <c r="L465" s="2"/>
      <c r="M465" s="2"/>
      <c r="N465" s="4"/>
      <c r="Q465" s="5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3"/>
      <c r="K466" s="3"/>
      <c r="L466" s="2"/>
      <c r="M466" s="2"/>
      <c r="N466" s="4"/>
      <c r="Q466" s="5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3"/>
      <c r="K467" s="3"/>
      <c r="L467" s="2"/>
      <c r="M467" s="2"/>
      <c r="N467" s="4"/>
      <c r="Q467" s="5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3"/>
      <c r="K468" s="3"/>
      <c r="L468" s="2"/>
      <c r="M468" s="2"/>
      <c r="N468" s="4"/>
      <c r="Q468" s="5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3"/>
      <c r="K469" s="3"/>
      <c r="L469" s="2"/>
      <c r="M469" s="2"/>
      <c r="N469" s="4"/>
      <c r="Q469" s="5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3"/>
      <c r="K470" s="3"/>
      <c r="L470" s="2"/>
      <c r="M470" s="2"/>
      <c r="N470" s="4"/>
      <c r="Q470" s="5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3"/>
      <c r="K471" s="3"/>
      <c r="L471" s="2"/>
      <c r="M471" s="2"/>
      <c r="N471" s="4"/>
      <c r="Q471" s="5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3"/>
      <c r="K472" s="3"/>
      <c r="L472" s="2"/>
      <c r="M472" s="2"/>
      <c r="N472" s="4"/>
      <c r="Q472" s="5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3"/>
      <c r="K473" s="3"/>
      <c r="L473" s="2"/>
      <c r="M473" s="2"/>
      <c r="N473" s="4"/>
      <c r="Q473" s="5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3"/>
      <c r="K474" s="3"/>
      <c r="L474" s="2"/>
      <c r="M474" s="2"/>
      <c r="N474" s="4"/>
      <c r="Q474" s="5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3"/>
      <c r="K475" s="3"/>
      <c r="L475" s="2"/>
      <c r="M475" s="2"/>
      <c r="N475" s="4"/>
      <c r="Q475" s="5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3"/>
      <c r="K476" s="3"/>
      <c r="L476" s="2"/>
      <c r="M476" s="2"/>
      <c r="N476" s="4"/>
      <c r="Q476" s="5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3"/>
      <c r="K477" s="3"/>
      <c r="L477" s="2"/>
      <c r="M477" s="2"/>
      <c r="N477" s="4"/>
      <c r="Q477" s="5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3"/>
      <c r="K478" s="3"/>
      <c r="L478" s="2"/>
      <c r="M478" s="2"/>
      <c r="N478" s="4"/>
      <c r="Q478" s="5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3"/>
      <c r="K479" s="3"/>
      <c r="L479" s="2"/>
      <c r="M479" s="2"/>
      <c r="N479" s="4"/>
      <c r="Q479" s="5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3"/>
      <c r="K480" s="3"/>
      <c r="L480" s="2"/>
      <c r="M480" s="2"/>
      <c r="N480" s="4"/>
      <c r="Q480" s="5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3"/>
      <c r="K481" s="3"/>
      <c r="L481" s="2"/>
      <c r="M481" s="2"/>
      <c r="N481" s="4"/>
      <c r="Q481" s="5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3"/>
      <c r="K482" s="3"/>
      <c r="L482" s="2"/>
      <c r="M482" s="2"/>
      <c r="N482" s="4"/>
      <c r="Q482" s="5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3"/>
      <c r="K483" s="3"/>
      <c r="L483" s="2"/>
      <c r="M483" s="2"/>
      <c r="N483" s="4"/>
      <c r="Q483" s="5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3"/>
      <c r="K484" s="3"/>
      <c r="L484" s="2"/>
      <c r="M484" s="2"/>
      <c r="N484" s="4"/>
      <c r="Q484" s="5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3"/>
      <c r="K485" s="3"/>
      <c r="L485" s="2"/>
      <c r="M485" s="2"/>
      <c r="N485" s="4"/>
      <c r="Q485" s="5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3"/>
      <c r="K486" s="3"/>
      <c r="L486" s="2"/>
      <c r="M486" s="2"/>
      <c r="N486" s="4"/>
      <c r="Q486" s="5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3"/>
      <c r="K487" s="3"/>
      <c r="L487" s="2"/>
      <c r="M487" s="2"/>
      <c r="N487" s="4"/>
      <c r="Q487" s="5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3"/>
      <c r="K488" s="3"/>
      <c r="L488" s="2"/>
      <c r="M488" s="2"/>
      <c r="N488" s="4"/>
      <c r="Q488" s="5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3"/>
      <c r="K489" s="3"/>
      <c r="L489" s="2"/>
      <c r="M489" s="2"/>
      <c r="N489" s="4"/>
      <c r="Q489" s="5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3"/>
      <c r="K490" s="3"/>
      <c r="L490" s="2"/>
      <c r="M490" s="2"/>
      <c r="N490" s="4"/>
      <c r="Q490" s="5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3"/>
      <c r="K491" s="3"/>
      <c r="L491" s="2"/>
      <c r="M491" s="2"/>
      <c r="N491" s="4"/>
      <c r="Q491" s="5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3"/>
      <c r="K492" s="3"/>
      <c r="L492" s="2"/>
      <c r="M492" s="2"/>
      <c r="N492" s="4"/>
      <c r="Q492" s="5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3"/>
      <c r="K493" s="3"/>
      <c r="L493" s="2"/>
      <c r="M493" s="2"/>
      <c r="N493" s="4"/>
      <c r="Q493" s="5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3"/>
      <c r="K494" s="3"/>
      <c r="L494" s="2"/>
      <c r="M494" s="2"/>
      <c r="N494" s="4"/>
      <c r="Q494" s="5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3"/>
      <c r="K495" s="3"/>
      <c r="L495" s="2"/>
      <c r="M495" s="2"/>
      <c r="N495" s="4"/>
      <c r="Q495" s="5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3"/>
      <c r="K496" s="3"/>
      <c r="L496" s="2"/>
      <c r="M496" s="2"/>
      <c r="N496" s="4"/>
      <c r="Q496" s="5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3"/>
      <c r="K497" s="3"/>
      <c r="L497" s="2"/>
      <c r="M497" s="2"/>
      <c r="N497" s="4"/>
      <c r="Q497" s="5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3"/>
      <c r="K498" s="3"/>
      <c r="L498" s="2"/>
      <c r="M498" s="2"/>
      <c r="N498" s="4"/>
      <c r="Q498" s="5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3"/>
      <c r="K499" s="3"/>
      <c r="L499" s="2"/>
      <c r="M499" s="2"/>
      <c r="N499" s="4"/>
      <c r="Q499" s="5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3"/>
      <c r="K500" s="3"/>
      <c r="L500" s="2"/>
      <c r="M500" s="2"/>
      <c r="N500" s="4"/>
      <c r="Q500" s="5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3"/>
      <c r="K501" s="3"/>
      <c r="L501" s="2"/>
      <c r="M501" s="2"/>
      <c r="N501" s="4"/>
      <c r="Q501" s="5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3"/>
      <c r="K502" s="3"/>
      <c r="L502" s="2"/>
      <c r="M502" s="2"/>
      <c r="N502" s="4"/>
      <c r="Q502" s="5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3"/>
      <c r="K503" s="3"/>
      <c r="L503" s="2"/>
      <c r="M503" s="2"/>
      <c r="N503" s="4"/>
      <c r="Q503" s="5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3"/>
      <c r="K504" s="3"/>
      <c r="L504" s="2"/>
      <c r="M504" s="2"/>
      <c r="N504" s="4"/>
      <c r="Q504" s="5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3"/>
      <c r="K505" s="3"/>
      <c r="L505" s="2"/>
      <c r="M505" s="2"/>
      <c r="N505" s="4"/>
      <c r="Q505" s="5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3"/>
      <c r="K506" s="3"/>
      <c r="L506" s="2"/>
      <c r="M506" s="2"/>
      <c r="N506" s="4"/>
      <c r="Q506" s="5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3"/>
      <c r="K507" s="3"/>
      <c r="L507" s="2"/>
      <c r="M507" s="2"/>
      <c r="N507" s="4"/>
      <c r="Q507" s="5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3"/>
      <c r="K508" s="3"/>
      <c r="L508" s="2"/>
      <c r="M508" s="2"/>
      <c r="N508" s="4"/>
      <c r="Q508" s="5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3"/>
      <c r="K509" s="3"/>
      <c r="L509" s="2"/>
      <c r="M509" s="2"/>
      <c r="N509" s="4"/>
      <c r="Q509" s="5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3"/>
      <c r="K510" s="3"/>
      <c r="L510" s="2"/>
      <c r="M510" s="2"/>
      <c r="N510" s="4"/>
      <c r="Q510" s="5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3"/>
      <c r="K511" s="3"/>
      <c r="L511" s="2"/>
      <c r="M511" s="2"/>
      <c r="N511" s="4"/>
      <c r="Q511" s="5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3"/>
      <c r="K512" s="3"/>
      <c r="L512" s="2"/>
      <c r="M512" s="2"/>
      <c r="N512" s="4"/>
      <c r="Q512" s="5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3"/>
      <c r="K513" s="3"/>
      <c r="L513" s="2"/>
      <c r="M513" s="2"/>
      <c r="N513" s="4"/>
      <c r="Q513" s="5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3"/>
      <c r="K514" s="3"/>
      <c r="L514" s="2"/>
      <c r="M514" s="2"/>
      <c r="N514" s="4"/>
      <c r="Q514" s="5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3"/>
      <c r="K515" s="3"/>
      <c r="L515" s="2"/>
      <c r="M515" s="2"/>
      <c r="N515" s="4"/>
      <c r="Q515" s="5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3"/>
      <c r="K516" s="3"/>
      <c r="L516" s="2"/>
      <c r="M516" s="2"/>
      <c r="N516" s="4"/>
      <c r="Q516" s="5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3"/>
      <c r="K517" s="3"/>
      <c r="L517" s="2"/>
      <c r="M517" s="2"/>
      <c r="N517" s="4"/>
      <c r="Q517" s="5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3"/>
      <c r="K518" s="3"/>
      <c r="L518" s="2"/>
      <c r="M518" s="2"/>
      <c r="N518" s="4"/>
      <c r="Q518" s="5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3"/>
      <c r="K519" s="3"/>
      <c r="L519" s="2"/>
      <c r="M519" s="2"/>
      <c r="N519" s="4"/>
      <c r="Q519" s="5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3"/>
      <c r="K520" s="3"/>
      <c r="L520" s="2"/>
      <c r="M520" s="2"/>
      <c r="N520" s="4"/>
      <c r="Q520" s="5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3"/>
      <c r="K521" s="3"/>
      <c r="L521" s="2"/>
      <c r="M521" s="2"/>
      <c r="N521" s="4"/>
      <c r="Q521" s="5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3"/>
      <c r="K522" s="3"/>
      <c r="L522" s="2"/>
      <c r="M522" s="2"/>
      <c r="N522" s="4"/>
      <c r="Q522" s="5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3"/>
      <c r="K523" s="3"/>
      <c r="L523" s="2"/>
      <c r="M523" s="2"/>
      <c r="N523" s="4"/>
      <c r="Q523" s="5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3"/>
      <c r="K524" s="3"/>
      <c r="L524" s="2"/>
      <c r="M524" s="2"/>
      <c r="N524" s="4"/>
      <c r="Q524" s="5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3"/>
      <c r="K525" s="3"/>
      <c r="L525" s="2"/>
      <c r="M525" s="2"/>
      <c r="N525" s="4"/>
      <c r="Q525" s="5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3"/>
      <c r="K526" s="3"/>
      <c r="L526" s="2"/>
      <c r="M526" s="2"/>
      <c r="N526" s="4"/>
      <c r="Q526" s="5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3"/>
      <c r="K527" s="3"/>
      <c r="L527" s="2"/>
      <c r="M527" s="2"/>
      <c r="N527" s="4"/>
      <c r="Q527" s="5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3"/>
      <c r="K528" s="3"/>
      <c r="L528" s="2"/>
      <c r="M528" s="2"/>
      <c r="N528" s="4"/>
      <c r="Q528" s="5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3"/>
      <c r="K529" s="3"/>
      <c r="L529" s="2"/>
      <c r="M529" s="2"/>
      <c r="N529" s="4"/>
      <c r="Q529" s="5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3"/>
      <c r="K530" s="3"/>
      <c r="L530" s="2"/>
      <c r="M530" s="2"/>
      <c r="N530" s="4"/>
      <c r="Q530" s="5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3"/>
      <c r="K531" s="3"/>
      <c r="L531" s="2"/>
      <c r="M531" s="2"/>
      <c r="N531" s="4"/>
      <c r="Q531" s="5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3"/>
      <c r="K532" s="3"/>
      <c r="L532" s="2"/>
      <c r="M532" s="2"/>
      <c r="N532" s="4"/>
      <c r="Q532" s="5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3"/>
      <c r="K533" s="3"/>
      <c r="L533" s="2"/>
      <c r="M533" s="2"/>
      <c r="N533" s="4"/>
      <c r="Q533" s="5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3"/>
      <c r="K534" s="3"/>
      <c r="L534" s="2"/>
      <c r="M534" s="2"/>
      <c r="N534" s="4"/>
      <c r="Q534" s="5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3"/>
      <c r="K535" s="3"/>
      <c r="L535" s="2"/>
      <c r="M535" s="2"/>
      <c r="N535" s="4"/>
      <c r="Q535" s="5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3"/>
      <c r="K536" s="3"/>
      <c r="L536" s="2"/>
      <c r="M536" s="2"/>
      <c r="N536" s="4"/>
      <c r="Q536" s="5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3"/>
      <c r="K537" s="3"/>
      <c r="L537" s="2"/>
      <c r="M537" s="2"/>
      <c r="N537" s="4"/>
      <c r="Q537" s="5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3"/>
      <c r="K538" s="3"/>
      <c r="L538" s="2"/>
      <c r="M538" s="2"/>
      <c r="N538" s="4"/>
      <c r="Q538" s="5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3"/>
      <c r="K539" s="3"/>
      <c r="L539" s="2"/>
      <c r="M539" s="2"/>
      <c r="N539" s="4"/>
      <c r="Q539" s="5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3"/>
      <c r="K540" s="3"/>
      <c r="L540" s="2"/>
      <c r="M540" s="2"/>
      <c r="N540" s="4"/>
      <c r="Q540" s="5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3"/>
      <c r="K541" s="3"/>
      <c r="L541" s="2"/>
      <c r="M541" s="2"/>
      <c r="N541" s="4"/>
      <c r="Q541" s="5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3"/>
      <c r="K542" s="3"/>
      <c r="L542" s="2"/>
      <c r="M542" s="2"/>
      <c r="N542" s="4"/>
      <c r="Q542" s="5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3"/>
      <c r="K543" s="3"/>
      <c r="L543" s="2"/>
      <c r="M543" s="2"/>
      <c r="N543" s="4"/>
      <c r="Q543" s="5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3"/>
      <c r="K544" s="3"/>
      <c r="L544" s="2"/>
      <c r="M544" s="2"/>
      <c r="N544" s="4"/>
      <c r="Q544" s="5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3"/>
      <c r="K545" s="3"/>
      <c r="L545" s="2"/>
      <c r="M545" s="2"/>
      <c r="N545" s="4"/>
      <c r="Q545" s="5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3"/>
      <c r="K546" s="3"/>
      <c r="L546" s="2"/>
      <c r="M546" s="2"/>
      <c r="N546" s="4"/>
      <c r="Q546" s="5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3"/>
      <c r="K547" s="3"/>
      <c r="L547" s="2"/>
      <c r="M547" s="2"/>
      <c r="N547" s="4"/>
      <c r="Q547" s="5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3"/>
      <c r="K548" s="3"/>
      <c r="L548" s="2"/>
      <c r="M548" s="2"/>
      <c r="N548" s="4"/>
      <c r="Q548" s="5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3"/>
      <c r="K549" s="3"/>
      <c r="L549" s="2"/>
      <c r="M549" s="2"/>
      <c r="N549" s="4"/>
      <c r="Q549" s="5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3"/>
      <c r="K550" s="3"/>
      <c r="L550" s="2"/>
      <c r="M550" s="2"/>
      <c r="N550" s="4"/>
      <c r="Q550" s="5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3"/>
      <c r="K551" s="3"/>
      <c r="L551" s="2"/>
      <c r="M551" s="2"/>
      <c r="N551" s="4"/>
      <c r="Q551" s="5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3"/>
      <c r="K552" s="3"/>
      <c r="L552" s="2"/>
      <c r="M552" s="2"/>
      <c r="N552" s="4"/>
      <c r="Q552" s="5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3"/>
      <c r="K553" s="3"/>
      <c r="L553" s="2"/>
      <c r="M553" s="2"/>
      <c r="N553" s="4"/>
      <c r="Q553" s="5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3"/>
      <c r="K554" s="3"/>
      <c r="L554" s="2"/>
      <c r="M554" s="2"/>
      <c r="N554" s="4"/>
      <c r="Q554" s="5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3"/>
      <c r="K555" s="3"/>
      <c r="L555" s="2"/>
      <c r="M555" s="2"/>
      <c r="N555" s="4"/>
      <c r="Q555" s="5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3"/>
      <c r="K556" s="3"/>
      <c r="L556" s="2"/>
      <c r="M556" s="2"/>
      <c r="N556" s="4"/>
      <c r="Q556" s="5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3"/>
      <c r="K557" s="3"/>
      <c r="L557" s="2"/>
      <c r="M557" s="2"/>
      <c r="N557" s="4"/>
      <c r="Q557" s="5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3"/>
      <c r="K558" s="3"/>
      <c r="L558" s="2"/>
      <c r="M558" s="2"/>
      <c r="N558" s="4"/>
      <c r="Q558" s="5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3"/>
      <c r="K559" s="3"/>
      <c r="L559" s="2"/>
      <c r="M559" s="2"/>
      <c r="N559" s="4"/>
      <c r="Q559" s="5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3"/>
      <c r="K560" s="3"/>
      <c r="L560" s="2"/>
      <c r="M560" s="2"/>
      <c r="N560" s="4"/>
      <c r="Q560" s="5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3"/>
      <c r="K561" s="3"/>
      <c r="L561" s="2"/>
      <c r="M561" s="2"/>
      <c r="N561" s="4"/>
      <c r="Q561" s="5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3"/>
      <c r="K562" s="3"/>
      <c r="L562" s="2"/>
      <c r="M562" s="2"/>
      <c r="N562" s="4"/>
      <c r="Q562" s="5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3"/>
      <c r="K563" s="3"/>
      <c r="L563" s="2"/>
      <c r="M563" s="2"/>
      <c r="N563" s="4"/>
      <c r="Q563" s="5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3"/>
      <c r="K564" s="3"/>
      <c r="L564" s="2"/>
      <c r="M564" s="2"/>
      <c r="N564" s="4"/>
      <c r="Q564" s="5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3"/>
      <c r="K565" s="3"/>
      <c r="L565" s="2"/>
      <c r="M565" s="2"/>
      <c r="N565" s="4"/>
      <c r="Q565" s="5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3"/>
      <c r="K566" s="3"/>
      <c r="L566" s="2"/>
      <c r="M566" s="2"/>
      <c r="N566" s="4"/>
      <c r="Q566" s="5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3"/>
      <c r="K567" s="3"/>
      <c r="L567" s="2"/>
      <c r="M567" s="2"/>
      <c r="N567" s="4"/>
      <c r="Q567" s="5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3"/>
      <c r="K568" s="3"/>
      <c r="L568" s="2"/>
      <c r="M568" s="2"/>
      <c r="N568" s="4"/>
      <c r="Q568" s="5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3"/>
      <c r="K569" s="3"/>
      <c r="L569" s="2"/>
      <c r="M569" s="2"/>
      <c r="N569" s="4"/>
      <c r="Q569" s="5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3"/>
      <c r="K570" s="3"/>
      <c r="L570" s="2"/>
      <c r="M570" s="2"/>
      <c r="N570" s="4"/>
      <c r="Q570" s="5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3"/>
      <c r="K571" s="3"/>
      <c r="L571" s="2"/>
      <c r="M571" s="2"/>
      <c r="N571" s="4"/>
      <c r="Q571" s="5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3"/>
      <c r="K572" s="3"/>
      <c r="L572" s="2"/>
      <c r="M572" s="2"/>
      <c r="N572" s="4"/>
      <c r="Q572" s="5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3"/>
      <c r="K573" s="3"/>
      <c r="L573" s="2"/>
      <c r="M573" s="2"/>
      <c r="N573" s="4"/>
      <c r="Q573" s="5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3"/>
      <c r="K574" s="3"/>
      <c r="L574" s="2"/>
      <c r="M574" s="2"/>
      <c r="N574" s="4"/>
      <c r="Q574" s="5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3"/>
      <c r="K575" s="3"/>
      <c r="L575" s="2"/>
      <c r="M575" s="2"/>
      <c r="N575" s="4"/>
      <c r="Q575" s="5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3"/>
      <c r="K576" s="3"/>
      <c r="L576" s="2"/>
      <c r="M576" s="2"/>
      <c r="N576" s="4"/>
      <c r="Q576" s="5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3"/>
      <c r="K577" s="3"/>
      <c r="L577" s="2"/>
      <c r="M577" s="2"/>
      <c r="N577" s="4"/>
      <c r="Q577" s="5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3"/>
      <c r="K578" s="3"/>
      <c r="L578" s="2"/>
      <c r="M578" s="2"/>
      <c r="N578" s="4"/>
      <c r="Q578" s="5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3"/>
      <c r="K579" s="3"/>
      <c r="L579" s="2"/>
      <c r="M579" s="2"/>
      <c r="N579" s="4"/>
      <c r="Q579" s="5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3"/>
      <c r="K580" s="3"/>
      <c r="L580" s="2"/>
      <c r="M580" s="2"/>
      <c r="N580" s="4"/>
      <c r="Q580" s="5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3"/>
      <c r="K581" s="3"/>
      <c r="L581" s="2"/>
      <c r="M581" s="2"/>
      <c r="N581" s="4"/>
      <c r="Q581" s="5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3"/>
      <c r="K582" s="3"/>
      <c r="L582" s="2"/>
      <c r="M582" s="2"/>
      <c r="N582" s="4"/>
      <c r="Q582" s="5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3"/>
      <c r="K583" s="3"/>
      <c r="L583" s="2"/>
      <c r="M583" s="2"/>
      <c r="N583" s="4"/>
      <c r="Q583" s="5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3"/>
      <c r="K584" s="3"/>
      <c r="L584" s="2"/>
      <c r="M584" s="2"/>
      <c r="N584" s="4"/>
      <c r="Q584" s="5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3"/>
      <c r="K585" s="3"/>
      <c r="L585" s="2"/>
      <c r="M585" s="2"/>
      <c r="N585" s="4"/>
      <c r="Q585" s="5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3"/>
      <c r="K586" s="3"/>
      <c r="L586" s="2"/>
      <c r="M586" s="2"/>
      <c r="N586" s="4"/>
      <c r="Q586" s="5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3"/>
      <c r="K587" s="3"/>
      <c r="L587" s="2"/>
      <c r="M587" s="2"/>
      <c r="N587" s="4"/>
      <c r="Q587" s="5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3"/>
      <c r="K588" s="3"/>
      <c r="L588" s="2"/>
      <c r="M588" s="2"/>
      <c r="N588" s="4"/>
      <c r="Q588" s="5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3"/>
      <c r="K589" s="3"/>
      <c r="L589" s="2"/>
      <c r="M589" s="2"/>
      <c r="N589" s="4"/>
      <c r="Q589" s="5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3"/>
      <c r="K590" s="3"/>
      <c r="L590" s="2"/>
      <c r="M590" s="2"/>
      <c r="N590" s="4"/>
      <c r="Q590" s="5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3"/>
      <c r="K591" s="3"/>
      <c r="L591" s="2"/>
      <c r="M591" s="2"/>
      <c r="N591" s="4"/>
      <c r="Q591" s="5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3"/>
      <c r="K592" s="3"/>
      <c r="L592" s="2"/>
      <c r="M592" s="2"/>
      <c r="N592" s="4"/>
      <c r="Q592" s="5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3"/>
      <c r="K593" s="3"/>
      <c r="L593" s="2"/>
      <c r="M593" s="2"/>
      <c r="N593" s="4"/>
      <c r="Q593" s="5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3"/>
      <c r="K594" s="3"/>
      <c r="L594" s="2"/>
      <c r="M594" s="2"/>
      <c r="N594" s="4"/>
      <c r="Q594" s="5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3"/>
      <c r="K595" s="3"/>
      <c r="L595" s="2"/>
      <c r="M595" s="2"/>
      <c r="N595" s="4"/>
      <c r="Q595" s="5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3"/>
      <c r="K596" s="3"/>
      <c r="L596" s="2"/>
      <c r="M596" s="2"/>
      <c r="N596" s="4"/>
      <c r="Q596" s="5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3"/>
      <c r="K597" s="3"/>
      <c r="L597" s="2"/>
      <c r="M597" s="2"/>
      <c r="N597" s="4"/>
      <c r="Q597" s="5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3"/>
      <c r="K598" s="3"/>
      <c r="L598" s="2"/>
      <c r="M598" s="2"/>
      <c r="N598" s="4"/>
      <c r="Q598" s="5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3"/>
      <c r="K599" s="3"/>
      <c r="L599" s="2"/>
      <c r="M599" s="2"/>
      <c r="N599" s="4"/>
      <c r="Q599" s="5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3"/>
      <c r="K600" s="3"/>
      <c r="L600" s="2"/>
      <c r="M600" s="2"/>
      <c r="N600" s="4"/>
      <c r="Q600" s="5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3"/>
      <c r="K601" s="3"/>
      <c r="L601" s="2"/>
      <c r="M601" s="2"/>
      <c r="N601" s="4"/>
      <c r="Q601" s="5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3"/>
      <c r="K602" s="3"/>
      <c r="L602" s="2"/>
      <c r="M602" s="2"/>
      <c r="N602" s="4"/>
      <c r="Q602" s="5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3"/>
      <c r="K603" s="3"/>
      <c r="L603" s="2"/>
      <c r="M603" s="2"/>
      <c r="N603" s="4"/>
      <c r="Q603" s="5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3"/>
      <c r="K604" s="3"/>
      <c r="L604" s="2"/>
      <c r="M604" s="2"/>
      <c r="N604" s="4"/>
      <c r="Q604" s="5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3"/>
      <c r="K605" s="3"/>
      <c r="L605" s="2"/>
      <c r="M605" s="2"/>
      <c r="N605" s="4"/>
      <c r="Q605" s="5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3"/>
      <c r="K606" s="3"/>
      <c r="L606" s="2"/>
      <c r="M606" s="2"/>
      <c r="N606" s="4"/>
      <c r="Q606" s="5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3"/>
      <c r="K607" s="3"/>
      <c r="L607" s="2"/>
      <c r="M607" s="2"/>
      <c r="N607" s="4"/>
      <c r="Q607" s="5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3"/>
      <c r="K608" s="3"/>
      <c r="L608" s="2"/>
      <c r="M608" s="2"/>
      <c r="N608" s="4"/>
      <c r="Q608" s="5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3"/>
      <c r="K609" s="3"/>
      <c r="L609" s="2"/>
      <c r="M609" s="2"/>
      <c r="N609" s="4"/>
      <c r="Q609" s="5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3"/>
      <c r="K610" s="3"/>
      <c r="L610" s="2"/>
      <c r="M610" s="2"/>
      <c r="N610" s="4"/>
      <c r="Q610" s="5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3"/>
      <c r="K611" s="3"/>
      <c r="L611" s="2"/>
      <c r="M611" s="2"/>
      <c r="N611" s="4"/>
      <c r="Q611" s="5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3"/>
      <c r="K612" s="3"/>
      <c r="L612" s="2"/>
      <c r="M612" s="2"/>
      <c r="N612" s="4"/>
      <c r="Q612" s="5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3"/>
      <c r="K613" s="3"/>
      <c r="L613" s="2"/>
      <c r="M613" s="2"/>
      <c r="N613" s="4"/>
      <c r="Q613" s="5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3"/>
      <c r="K614" s="3"/>
      <c r="L614" s="2"/>
      <c r="M614" s="2"/>
      <c r="N614" s="4"/>
      <c r="Q614" s="5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3"/>
      <c r="K615" s="3"/>
      <c r="L615" s="2"/>
      <c r="M615" s="2"/>
      <c r="N615" s="4"/>
      <c r="Q615" s="5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3"/>
      <c r="K616" s="3"/>
      <c r="L616" s="2"/>
      <c r="M616" s="2"/>
      <c r="N616" s="4"/>
      <c r="Q616" s="5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3"/>
      <c r="K617" s="3"/>
      <c r="L617" s="2"/>
      <c r="M617" s="2"/>
      <c r="N617" s="4"/>
      <c r="Q617" s="5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3"/>
      <c r="K618" s="3"/>
      <c r="L618" s="2"/>
      <c r="M618" s="2"/>
      <c r="N618" s="4"/>
      <c r="Q618" s="5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3"/>
      <c r="K619" s="3"/>
      <c r="L619" s="2"/>
      <c r="M619" s="2"/>
      <c r="N619" s="4"/>
      <c r="Q619" s="5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3"/>
      <c r="K620" s="3"/>
      <c r="L620" s="2"/>
      <c r="M620" s="2"/>
      <c r="N620" s="4"/>
      <c r="Q620" s="5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3"/>
      <c r="K621" s="3"/>
      <c r="L621" s="2"/>
      <c r="M621" s="2"/>
      <c r="N621" s="4"/>
      <c r="Q621" s="5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3"/>
      <c r="K622" s="3"/>
      <c r="L622" s="2"/>
      <c r="M622" s="2"/>
      <c r="N622" s="4"/>
      <c r="Q622" s="5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3"/>
      <c r="K623" s="3"/>
      <c r="L623" s="2"/>
      <c r="M623" s="2"/>
      <c r="N623" s="4"/>
      <c r="Q623" s="5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3"/>
      <c r="K624" s="3"/>
      <c r="L624" s="2"/>
      <c r="M624" s="2"/>
      <c r="N624" s="4"/>
      <c r="Q624" s="5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3"/>
      <c r="K625" s="3"/>
      <c r="L625" s="2"/>
      <c r="M625" s="2"/>
      <c r="N625" s="4"/>
      <c r="Q625" s="5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3"/>
      <c r="K626" s="3"/>
      <c r="L626" s="2"/>
      <c r="M626" s="2"/>
      <c r="N626" s="4"/>
      <c r="Q626" s="5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3"/>
      <c r="K627" s="3"/>
      <c r="L627" s="2"/>
      <c r="M627" s="2"/>
      <c r="N627" s="4"/>
      <c r="Q627" s="5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3"/>
      <c r="K628" s="3"/>
      <c r="L628" s="2"/>
      <c r="M628" s="2"/>
      <c r="N628" s="4"/>
      <c r="Q628" s="5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3"/>
      <c r="K629" s="3"/>
      <c r="L629" s="2"/>
      <c r="M629" s="2"/>
      <c r="N629" s="4"/>
      <c r="Q629" s="5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3"/>
      <c r="K630" s="3"/>
      <c r="L630" s="2"/>
      <c r="M630" s="2"/>
      <c r="N630" s="4"/>
      <c r="Q630" s="5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3"/>
      <c r="K631" s="3"/>
      <c r="L631" s="2"/>
      <c r="M631" s="2"/>
      <c r="N631" s="4"/>
      <c r="Q631" s="5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3"/>
      <c r="K632" s="3"/>
      <c r="L632" s="2"/>
      <c r="M632" s="2"/>
      <c r="N632" s="4"/>
      <c r="Q632" s="5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3"/>
      <c r="K633" s="3"/>
      <c r="L633" s="2"/>
      <c r="M633" s="2"/>
      <c r="N633" s="4"/>
      <c r="Q633" s="5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3"/>
      <c r="K634" s="3"/>
      <c r="L634" s="2"/>
      <c r="M634" s="2"/>
      <c r="N634" s="4"/>
      <c r="Q634" s="5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3"/>
      <c r="K635" s="3"/>
      <c r="L635" s="2"/>
      <c r="M635" s="2"/>
      <c r="N635" s="4"/>
      <c r="Q635" s="5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3"/>
      <c r="K636" s="3"/>
      <c r="L636" s="2"/>
      <c r="M636" s="2"/>
      <c r="N636" s="4"/>
      <c r="Q636" s="5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3"/>
      <c r="K637" s="3"/>
      <c r="L637" s="2"/>
      <c r="M637" s="2"/>
      <c r="N637" s="4"/>
      <c r="Q637" s="5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3"/>
      <c r="K638" s="3"/>
      <c r="L638" s="2"/>
      <c r="M638" s="2"/>
      <c r="N638" s="4"/>
      <c r="Q638" s="5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3"/>
      <c r="K639" s="3"/>
      <c r="L639" s="2"/>
      <c r="M639" s="2"/>
      <c r="N639" s="4"/>
      <c r="Q639" s="5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3"/>
      <c r="K640" s="3"/>
      <c r="L640" s="2"/>
      <c r="M640" s="2"/>
      <c r="N640" s="4"/>
      <c r="Q640" s="5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3"/>
      <c r="K641" s="3"/>
      <c r="L641" s="2"/>
      <c r="M641" s="2"/>
      <c r="N641" s="4"/>
      <c r="Q641" s="5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3"/>
      <c r="K642" s="3"/>
      <c r="L642" s="2"/>
      <c r="M642" s="2"/>
      <c r="N642" s="4"/>
      <c r="Q642" s="5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3"/>
      <c r="K643" s="3"/>
      <c r="L643" s="2"/>
      <c r="M643" s="2"/>
      <c r="N643" s="4"/>
      <c r="Q643" s="5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3"/>
      <c r="K644" s="3"/>
      <c r="L644" s="2"/>
      <c r="M644" s="2"/>
      <c r="N644" s="4"/>
      <c r="Q644" s="5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3"/>
      <c r="K645" s="3"/>
      <c r="L645" s="2"/>
      <c r="M645" s="2"/>
      <c r="N645" s="4"/>
      <c r="Q645" s="5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3"/>
      <c r="K646" s="3"/>
      <c r="L646" s="2"/>
      <c r="M646" s="2"/>
      <c r="N646" s="4"/>
      <c r="Q646" s="5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3"/>
      <c r="K647" s="3"/>
      <c r="L647" s="2"/>
      <c r="M647" s="2"/>
      <c r="N647" s="4"/>
      <c r="Q647" s="5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3"/>
      <c r="K648" s="3"/>
      <c r="L648" s="2"/>
      <c r="M648" s="2"/>
      <c r="N648" s="4"/>
      <c r="Q648" s="5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3"/>
      <c r="K649" s="3"/>
      <c r="L649" s="2"/>
      <c r="M649" s="2"/>
      <c r="N649" s="4"/>
      <c r="Q649" s="5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3"/>
      <c r="K650" s="3"/>
      <c r="L650" s="2"/>
      <c r="M650" s="2"/>
      <c r="N650" s="4"/>
      <c r="Q650" s="5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3"/>
      <c r="K651" s="3"/>
      <c r="L651" s="2"/>
      <c r="M651" s="2"/>
      <c r="N651" s="4"/>
      <c r="Q651" s="5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3"/>
      <c r="K652" s="3"/>
      <c r="L652" s="2"/>
      <c r="M652" s="2"/>
      <c r="N652" s="4"/>
      <c r="Q652" s="5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3"/>
      <c r="K653" s="3"/>
      <c r="L653" s="2"/>
      <c r="M653" s="2"/>
      <c r="N653" s="4"/>
      <c r="Q653" s="5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3"/>
      <c r="K654" s="3"/>
      <c r="L654" s="2"/>
      <c r="M654" s="2"/>
      <c r="N654" s="4"/>
      <c r="Q654" s="5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3"/>
      <c r="K655" s="3"/>
      <c r="L655" s="2"/>
      <c r="M655" s="2"/>
      <c r="N655" s="4"/>
      <c r="Q655" s="5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3"/>
      <c r="K656" s="3"/>
      <c r="L656" s="2"/>
      <c r="M656" s="2"/>
      <c r="N656" s="4"/>
      <c r="Q656" s="5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3"/>
      <c r="K657" s="3"/>
      <c r="L657" s="2"/>
      <c r="M657" s="2"/>
      <c r="N657" s="4"/>
      <c r="Q657" s="5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3"/>
      <c r="K658" s="3"/>
      <c r="L658" s="2"/>
      <c r="M658" s="2"/>
      <c r="N658" s="4"/>
      <c r="Q658" s="5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3"/>
      <c r="K659" s="3"/>
      <c r="L659" s="2"/>
      <c r="M659" s="2"/>
      <c r="N659" s="4"/>
      <c r="Q659" s="5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3"/>
      <c r="K660" s="3"/>
      <c r="L660" s="2"/>
      <c r="M660" s="2"/>
      <c r="N660" s="4"/>
      <c r="Q660" s="5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3"/>
      <c r="K661" s="3"/>
      <c r="L661" s="2"/>
      <c r="M661" s="2"/>
      <c r="N661" s="4"/>
      <c r="Q661" s="5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3"/>
      <c r="K662" s="3"/>
      <c r="L662" s="2"/>
      <c r="M662" s="2"/>
      <c r="N662" s="4"/>
      <c r="Q662" s="5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3"/>
      <c r="K663" s="3"/>
      <c r="L663" s="2"/>
      <c r="M663" s="2"/>
      <c r="N663" s="4"/>
      <c r="Q663" s="5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3"/>
      <c r="K664" s="3"/>
      <c r="L664" s="2"/>
      <c r="M664" s="2"/>
      <c r="N664" s="4"/>
      <c r="Q664" s="5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3"/>
      <c r="K665" s="3"/>
      <c r="L665" s="2"/>
      <c r="M665" s="2"/>
      <c r="N665" s="4"/>
      <c r="Q665" s="5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3"/>
      <c r="K666" s="3"/>
      <c r="L666" s="2"/>
      <c r="M666" s="2"/>
      <c r="N666" s="4"/>
      <c r="Q666" s="5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3"/>
      <c r="K667" s="3"/>
      <c r="L667" s="2"/>
      <c r="M667" s="2"/>
      <c r="N667" s="4"/>
      <c r="Q667" s="5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3"/>
      <c r="K668" s="3"/>
      <c r="L668" s="2"/>
      <c r="M668" s="2"/>
      <c r="N668" s="4"/>
      <c r="Q668" s="5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3"/>
      <c r="K669" s="3"/>
      <c r="L669" s="2"/>
      <c r="M669" s="2"/>
      <c r="N669" s="4"/>
      <c r="Q669" s="5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3"/>
      <c r="K670" s="3"/>
      <c r="L670" s="2"/>
      <c r="M670" s="2"/>
      <c r="N670" s="4"/>
      <c r="Q670" s="5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3"/>
      <c r="K671" s="3"/>
      <c r="L671" s="2"/>
      <c r="M671" s="2"/>
      <c r="N671" s="4"/>
      <c r="Q671" s="5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3"/>
      <c r="K672" s="3"/>
      <c r="L672" s="2"/>
      <c r="M672" s="2"/>
      <c r="N672" s="4"/>
      <c r="Q672" s="5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3"/>
      <c r="K673" s="3"/>
      <c r="L673" s="2"/>
      <c r="M673" s="2"/>
      <c r="N673" s="4"/>
      <c r="Q673" s="5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3"/>
      <c r="K674" s="3"/>
      <c r="L674" s="2"/>
      <c r="M674" s="2"/>
      <c r="N674" s="4"/>
      <c r="Q674" s="5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3"/>
      <c r="K675" s="3"/>
      <c r="L675" s="2"/>
      <c r="M675" s="2"/>
      <c r="N675" s="4"/>
      <c r="Q675" s="5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3"/>
      <c r="K676" s="3"/>
      <c r="L676" s="2"/>
      <c r="M676" s="2"/>
      <c r="N676" s="4"/>
      <c r="Q676" s="5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3"/>
      <c r="K677" s="3"/>
      <c r="L677" s="2"/>
      <c r="M677" s="2"/>
      <c r="N677" s="4"/>
      <c r="Q677" s="5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3"/>
      <c r="K678" s="3"/>
      <c r="L678" s="2"/>
      <c r="M678" s="2"/>
      <c r="N678" s="4"/>
      <c r="Q678" s="5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3"/>
      <c r="K679" s="3"/>
      <c r="L679" s="2"/>
      <c r="M679" s="2"/>
      <c r="N679" s="4"/>
      <c r="Q679" s="5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3"/>
      <c r="K680" s="3"/>
      <c r="L680" s="2"/>
      <c r="M680" s="2"/>
      <c r="N680" s="4"/>
      <c r="Q680" s="5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3"/>
      <c r="K681" s="3"/>
      <c r="L681" s="2"/>
      <c r="M681" s="2"/>
      <c r="N681" s="4"/>
      <c r="Q681" s="5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3"/>
      <c r="K682" s="3"/>
      <c r="L682" s="2"/>
      <c r="M682" s="2"/>
      <c r="N682" s="4"/>
      <c r="Q682" s="5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3"/>
      <c r="K683" s="3"/>
      <c r="L683" s="2"/>
      <c r="M683" s="2"/>
      <c r="N683" s="4"/>
      <c r="Q683" s="5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3"/>
      <c r="K684" s="3"/>
      <c r="L684" s="2"/>
      <c r="M684" s="2"/>
      <c r="N684" s="4"/>
      <c r="Q684" s="5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3"/>
      <c r="K685" s="3"/>
      <c r="L685" s="2"/>
      <c r="M685" s="2"/>
      <c r="N685" s="4"/>
      <c r="Q685" s="5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3"/>
      <c r="K686" s="3"/>
      <c r="L686" s="2"/>
      <c r="M686" s="2"/>
      <c r="N686" s="4"/>
      <c r="Q686" s="5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3"/>
      <c r="K687" s="3"/>
      <c r="L687" s="2"/>
      <c r="M687" s="2"/>
      <c r="N687" s="4"/>
      <c r="Q687" s="5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3"/>
      <c r="K688" s="3"/>
      <c r="L688" s="2"/>
      <c r="M688" s="2"/>
      <c r="N688" s="4"/>
      <c r="Q688" s="5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3"/>
      <c r="K689" s="3"/>
      <c r="L689" s="2"/>
      <c r="M689" s="2"/>
      <c r="N689" s="4"/>
      <c r="Q689" s="5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3"/>
      <c r="K690" s="3"/>
      <c r="L690" s="2"/>
      <c r="M690" s="2"/>
      <c r="N690" s="4"/>
      <c r="Q690" s="5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3"/>
      <c r="K691" s="3"/>
      <c r="L691" s="2"/>
      <c r="M691" s="2"/>
      <c r="N691" s="4"/>
      <c r="Q691" s="5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3"/>
      <c r="K692" s="3"/>
      <c r="L692" s="2"/>
      <c r="M692" s="2"/>
      <c r="N692" s="4"/>
      <c r="Q692" s="5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3"/>
      <c r="K693" s="3"/>
      <c r="L693" s="2"/>
      <c r="M693" s="2"/>
      <c r="N693" s="4"/>
      <c r="Q693" s="5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3"/>
      <c r="K694" s="3"/>
      <c r="L694" s="2"/>
      <c r="M694" s="2"/>
      <c r="N694" s="4"/>
      <c r="Q694" s="5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3"/>
      <c r="K695" s="3"/>
      <c r="L695" s="2"/>
      <c r="M695" s="2"/>
      <c r="N695" s="4"/>
      <c r="Q695" s="5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3"/>
      <c r="K696" s="3"/>
      <c r="L696" s="2"/>
      <c r="M696" s="2"/>
      <c r="N696" s="4"/>
      <c r="Q696" s="5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3"/>
      <c r="K697" s="3"/>
      <c r="L697" s="2"/>
      <c r="M697" s="2"/>
      <c r="N697" s="4"/>
      <c r="Q697" s="5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3"/>
      <c r="K698" s="3"/>
      <c r="L698" s="2"/>
      <c r="M698" s="2"/>
      <c r="N698" s="4"/>
      <c r="Q698" s="5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3"/>
      <c r="K699" s="3"/>
      <c r="L699" s="2"/>
      <c r="M699" s="2"/>
      <c r="N699" s="4"/>
      <c r="Q699" s="5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3"/>
      <c r="K700" s="3"/>
      <c r="L700" s="2"/>
      <c r="M700" s="2"/>
      <c r="N700" s="4"/>
      <c r="Q700" s="5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3"/>
      <c r="K701" s="3"/>
      <c r="L701" s="2"/>
      <c r="M701" s="2"/>
      <c r="N701" s="4"/>
      <c r="Q701" s="5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3"/>
      <c r="K702" s="3"/>
      <c r="L702" s="2"/>
      <c r="M702" s="2"/>
      <c r="N702" s="4"/>
      <c r="Q702" s="5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3"/>
      <c r="K703" s="3"/>
      <c r="L703" s="2"/>
      <c r="M703" s="2"/>
      <c r="N703" s="4"/>
      <c r="Q703" s="5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3"/>
      <c r="K704" s="3"/>
      <c r="L704" s="2"/>
      <c r="M704" s="2"/>
      <c r="N704" s="4"/>
      <c r="Q704" s="5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3"/>
      <c r="K705" s="3"/>
      <c r="L705" s="2"/>
      <c r="M705" s="2"/>
      <c r="N705" s="4"/>
      <c r="Q705" s="5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3"/>
      <c r="K706" s="3"/>
      <c r="L706" s="2"/>
      <c r="M706" s="2"/>
      <c r="N706" s="4"/>
      <c r="Q706" s="5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3"/>
      <c r="K707" s="3"/>
      <c r="L707" s="2"/>
      <c r="M707" s="2"/>
      <c r="N707" s="4"/>
      <c r="Q707" s="5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3"/>
      <c r="K708" s="3"/>
      <c r="L708" s="2"/>
      <c r="M708" s="2"/>
      <c r="N708" s="4"/>
      <c r="Q708" s="5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3"/>
      <c r="K709" s="3"/>
      <c r="L709" s="2"/>
      <c r="M709" s="2"/>
      <c r="N709" s="4"/>
      <c r="Q709" s="5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3"/>
      <c r="K710" s="3"/>
      <c r="L710" s="2"/>
      <c r="M710" s="2"/>
      <c r="N710" s="4"/>
      <c r="Q710" s="5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3"/>
      <c r="K711" s="3"/>
      <c r="L711" s="2"/>
      <c r="M711" s="2"/>
      <c r="N711" s="4"/>
      <c r="Q711" s="5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3"/>
      <c r="K712" s="3"/>
      <c r="L712" s="2"/>
      <c r="M712" s="2"/>
      <c r="N712" s="4"/>
      <c r="Q712" s="5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3"/>
      <c r="K713" s="3"/>
      <c r="L713" s="2"/>
      <c r="M713" s="2"/>
      <c r="N713" s="4"/>
      <c r="Q713" s="5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3"/>
      <c r="K714" s="3"/>
      <c r="L714" s="2"/>
      <c r="M714" s="2"/>
      <c r="N714" s="4"/>
      <c r="Q714" s="5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3"/>
      <c r="K715" s="3"/>
      <c r="L715" s="2"/>
      <c r="M715" s="2"/>
      <c r="N715" s="4"/>
      <c r="Q715" s="5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3"/>
      <c r="K716" s="3"/>
      <c r="L716" s="2"/>
      <c r="M716" s="2"/>
      <c r="N716" s="4"/>
      <c r="Q716" s="5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3"/>
      <c r="K717" s="3"/>
      <c r="L717" s="2"/>
      <c r="M717" s="2"/>
      <c r="N717" s="4"/>
      <c r="Q717" s="5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3"/>
      <c r="K718" s="3"/>
      <c r="L718" s="2"/>
      <c r="M718" s="2"/>
      <c r="N718" s="4"/>
      <c r="Q718" s="5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3"/>
      <c r="K719" s="3"/>
      <c r="L719" s="2"/>
      <c r="M719" s="2"/>
      <c r="N719" s="4"/>
      <c r="Q719" s="5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3"/>
      <c r="K720" s="3"/>
      <c r="L720" s="2"/>
      <c r="M720" s="2"/>
      <c r="N720" s="4"/>
      <c r="Q720" s="5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3"/>
      <c r="K721" s="3"/>
      <c r="L721" s="2"/>
      <c r="M721" s="2"/>
      <c r="N721" s="4"/>
      <c r="Q721" s="5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3"/>
      <c r="K722" s="3"/>
      <c r="L722" s="2"/>
      <c r="M722" s="2"/>
      <c r="N722" s="4"/>
      <c r="Q722" s="5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3"/>
      <c r="K723" s="3"/>
      <c r="L723" s="2"/>
      <c r="M723" s="2"/>
      <c r="N723" s="4"/>
      <c r="Q723" s="5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3"/>
      <c r="K724" s="3"/>
      <c r="L724" s="2"/>
      <c r="M724" s="2"/>
      <c r="N724" s="4"/>
      <c r="Q724" s="5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3"/>
      <c r="K725" s="3"/>
      <c r="L725" s="2"/>
      <c r="M725" s="2"/>
      <c r="N725" s="4"/>
      <c r="Q725" s="5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3"/>
      <c r="K726" s="3"/>
      <c r="L726" s="2"/>
      <c r="M726" s="2"/>
      <c r="N726" s="4"/>
      <c r="Q726" s="5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3"/>
      <c r="K727" s="3"/>
      <c r="L727" s="2"/>
      <c r="M727" s="2"/>
      <c r="N727" s="4"/>
      <c r="Q727" s="5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3"/>
      <c r="K728" s="3"/>
      <c r="L728" s="2"/>
      <c r="M728" s="2"/>
      <c r="N728" s="4"/>
      <c r="Q728" s="5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3"/>
      <c r="K729" s="3"/>
      <c r="L729" s="2"/>
      <c r="M729" s="2"/>
      <c r="N729" s="4"/>
      <c r="Q729" s="5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3"/>
      <c r="K730" s="3"/>
      <c r="L730" s="2"/>
      <c r="M730" s="2"/>
      <c r="N730" s="4"/>
      <c r="Q730" s="5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3"/>
      <c r="K731" s="3"/>
      <c r="L731" s="2"/>
      <c r="M731" s="2"/>
      <c r="N731" s="4"/>
      <c r="Q731" s="5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3"/>
      <c r="K732" s="3"/>
      <c r="L732" s="2"/>
      <c r="M732" s="2"/>
      <c r="N732" s="4"/>
      <c r="Q732" s="5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3"/>
      <c r="K733" s="3"/>
      <c r="L733" s="2"/>
      <c r="M733" s="2"/>
      <c r="N733" s="4"/>
      <c r="Q733" s="5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3"/>
      <c r="K734" s="3"/>
      <c r="L734" s="2"/>
      <c r="M734" s="2"/>
      <c r="N734" s="4"/>
      <c r="Q734" s="5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3"/>
      <c r="K735" s="3"/>
      <c r="L735" s="2"/>
      <c r="M735" s="2"/>
      <c r="N735" s="4"/>
      <c r="Q735" s="5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3"/>
      <c r="K736" s="3"/>
      <c r="L736" s="2"/>
      <c r="M736" s="2"/>
      <c r="N736" s="4"/>
      <c r="Q736" s="5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3"/>
      <c r="K737" s="3"/>
      <c r="L737" s="2"/>
      <c r="M737" s="2"/>
      <c r="N737" s="4"/>
      <c r="Q737" s="5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3"/>
      <c r="K738" s="3"/>
      <c r="L738" s="2"/>
      <c r="M738" s="2"/>
      <c r="N738" s="4"/>
      <c r="Q738" s="5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3"/>
      <c r="K739" s="3"/>
      <c r="L739" s="2"/>
      <c r="M739" s="2"/>
      <c r="N739" s="4"/>
      <c r="Q739" s="5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3"/>
      <c r="K740" s="3"/>
      <c r="L740" s="2"/>
      <c r="M740" s="2"/>
      <c r="N740" s="4"/>
      <c r="Q740" s="5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3"/>
      <c r="K741" s="3"/>
      <c r="L741" s="2"/>
      <c r="M741" s="2"/>
      <c r="N741" s="4"/>
      <c r="Q741" s="5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3"/>
      <c r="K742" s="3"/>
      <c r="L742" s="2"/>
      <c r="M742" s="2"/>
      <c r="N742" s="4"/>
      <c r="Q742" s="5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3"/>
      <c r="K743" s="3"/>
      <c r="L743" s="2"/>
      <c r="M743" s="2"/>
      <c r="N743" s="4"/>
      <c r="Q743" s="5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3"/>
      <c r="K744" s="3"/>
      <c r="L744" s="2"/>
      <c r="M744" s="2"/>
      <c r="N744" s="4"/>
      <c r="Q744" s="5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3"/>
      <c r="K745" s="3"/>
      <c r="L745" s="2"/>
      <c r="M745" s="2"/>
      <c r="N745" s="4"/>
      <c r="Q745" s="5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3"/>
      <c r="K746" s="3"/>
      <c r="L746" s="2"/>
      <c r="M746" s="2"/>
      <c r="N746" s="4"/>
      <c r="Q746" s="5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3"/>
      <c r="K747" s="3"/>
      <c r="L747" s="2"/>
      <c r="M747" s="2"/>
      <c r="N747" s="4"/>
      <c r="Q747" s="5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3"/>
      <c r="K748" s="3"/>
      <c r="L748" s="2"/>
      <c r="M748" s="2"/>
      <c r="N748" s="4"/>
      <c r="Q748" s="5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3"/>
      <c r="K749" s="3"/>
      <c r="L749" s="2"/>
      <c r="M749" s="2"/>
      <c r="N749" s="4"/>
      <c r="Q749" s="5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3"/>
      <c r="K750" s="3"/>
      <c r="L750" s="2"/>
      <c r="M750" s="2"/>
      <c r="N750" s="4"/>
      <c r="Q750" s="5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3"/>
      <c r="K751" s="3"/>
      <c r="L751" s="2"/>
      <c r="M751" s="2"/>
      <c r="N751" s="4"/>
      <c r="Q751" s="5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3"/>
      <c r="K752" s="3"/>
      <c r="L752" s="2"/>
      <c r="M752" s="2"/>
      <c r="N752" s="4"/>
      <c r="Q752" s="5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3"/>
      <c r="K753" s="3"/>
      <c r="L753" s="2"/>
      <c r="M753" s="2"/>
      <c r="N753" s="4"/>
      <c r="Q753" s="5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3"/>
      <c r="K754" s="3"/>
      <c r="L754" s="2"/>
      <c r="M754" s="2"/>
      <c r="N754" s="4"/>
      <c r="Q754" s="5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3"/>
      <c r="K755" s="3"/>
      <c r="L755" s="2"/>
      <c r="M755" s="2"/>
      <c r="N755" s="4"/>
      <c r="Q755" s="5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3"/>
      <c r="K756" s="3"/>
      <c r="L756" s="2"/>
      <c r="M756" s="2"/>
      <c r="N756" s="4"/>
      <c r="Q756" s="5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3"/>
      <c r="K757" s="3"/>
      <c r="L757" s="2"/>
      <c r="M757" s="2"/>
      <c r="N757" s="4"/>
      <c r="Q757" s="5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3"/>
      <c r="K758" s="3"/>
      <c r="L758" s="2"/>
      <c r="M758" s="2"/>
      <c r="N758" s="4"/>
      <c r="Q758" s="5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3"/>
      <c r="K759" s="3"/>
      <c r="L759" s="2"/>
      <c r="M759" s="2"/>
      <c r="N759" s="4"/>
      <c r="Q759" s="5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3"/>
      <c r="K760" s="3"/>
      <c r="L760" s="2"/>
      <c r="M760" s="2"/>
      <c r="N760" s="4"/>
      <c r="Q760" s="5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3"/>
      <c r="K761" s="3"/>
      <c r="L761" s="2"/>
      <c r="M761" s="2"/>
      <c r="N761" s="4"/>
      <c r="Q761" s="5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3"/>
      <c r="K762" s="3"/>
      <c r="L762" s="2"/>
      <c r="M762" s="2"/>
      <c r="N762" s="4"/>
      <c r="Q762" s="5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3"/>
      <c r="K763" s="3"/>
      <c r="L763" s="2"/>
      <c r="M763" s="2"/>
      <c r="N763" s="4"/>
      <c r="Q763" s="5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3"/>
      <c r="K764" s="3"/>
      <c r="L764" s="2"/>
      <c r="M764" s="2"/>
      <c r="N764" s="4"/>
      <c r="Q764" s="5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3"/>
      <c r="K765" s="3"/>
      <c r="L765" s="2"/>
      <c r="M765" s="2"/>
      <c r="N765" s="4"/>
      <c r="Q765" s="5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3"/>
      <c r="K766" s="3"/>
      <c r="L766" s="2"/>
      <c r="M766" s="2"/>
      <c r="N766" s="4"/>
      <c r="Q766" s="5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3"/>
      <c r="K767" s="3"/>
      <c r="L767" s="2"/>
      <c r="M767" s="2"/>
      <c r="N767" s="4"/>
      <c r="Q767" s="5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3"/>
      <c r="K768" s="3"/>
      <c r="L768" s="2"/>
      <c r="M768" s="2"/>
      <c r="N768" s="4"/>
      <c r="Q768" s="5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3"/>
      <c r="K769" s="3"/>
      <c r="L769" s="2"/>
      <c r="M769" s="2"/>
      <c r="N769" s="4"/>
      <c r="Q769" s="5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3"/>
      <c r="K770" s="3"/>
      <c r="L770" s="2"/>
      <c r="M770" s="2"/>
      <c r="N770" s="4"/>
      <c r="Q770" s="5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3"/>
      <c r="K771" s="3"/>
      <c r="L771" s="2"/>
      <c r="M771" s="2"/>
      <c r="N771" s="4"/>
      <c r="Q771" s="5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3"/>
      <c r="K772" s="3"/>
      <c r="L772" s="2"/>
      <c r="M772" s="2"/>
      <c r="N772" s="4"/>
      <c r="Q772" s="5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3"/>
      <c r="K773" s="3"/>
      <c r="L773" s="2"/>
      <c r="M773" s="2"/>
      <c r="N773" s="4"/>
      <c r="Q773" s="5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3"/>
      <c r="K774" s="3"/>
      <c r="L774" s="2"/>
      <c r="M774" s="2"/>
      <c r="N774" s="4"/>
      <c r="Q774" s="5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3"/>
      <c r="K775" s="3"/>
      <c r="L775" s="2"/>
      <c r="M775" s="2"/>
      <c r="N775" s="4"/>
      <c r="Q775" s="5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3"/>
      <c r="K776" s="3"/>
      <c r="L776" s="2"/>
      <c r="M776" s="2"/>
      <c r="N776" s="4"/>
      <c r="Q776" s="5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3"/>
      <c r="K777" s="3"/>
      <c r="L777" s="2"/>
      <c r="M777" s="2"/>
      <c r="N777" s="4"/>
      <c r="Q777" s="5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3"/>
      <c r="K778" s="3"/>
      <c r="L778" s="2"/>
      <c r="M778" s="2"/>
      <c r="N778" s="4"/>
      <c r="Q778" s="5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3"/>
      <c r="K779" s="3"/>
      <c r="L779" s="2"/>
      <c r="M779" s="2"/>
      <c r="N779" s="4"/>
      <c r="Q779" s="5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3"/>
      <c r="K780" s="3"/>
      <c r="L780" s="2"/>
      <c r="M780" s="2"/>
      <c r="N780" s="4"/>
      <c r="Q780" s="5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3"/>
      <c r="K781" s="3"/>
      <c r="L781" s="2"/>
      <c r="M781" s="2"/>
      <c r="N781" s="4"/>
      <c r="Q781" s="5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3"/>
      <c r="K782" s="3"/>
      <c r="L782" s="2"/>
      <c r="M782" s="2"/>
      <c r="N782" s="4"/>
      <c r="Q782" s="5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3"/>
      <c r="K783" s="3"/>
      <c r="L783" s="2"/>
      <c r="M783" s="2"/>
      <c r="N783" s="4"/>
      <c r="Q783" s="5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3"/>
      <c r="K784" s="3"/>
      <c r="L784" s="2"/>
      <c r="M784" s="2"/>
      <c r="N784" s="4"/>
      <c r="Q784" s="5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3"/>
      <c r="K785" s="3"/>
      <c r="L785" s="2"/>
      <c r="M785" s="2"/>
      <c r="N785" s="4"/>
      <c r="Q785" s="5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3"/>
      <c r="K786" s="3"/>
      <c r="L786" s="2"/>
      <c r="M786" s="2"/>
      <c r="N786" s="4"/>
      <c r="Q786" s="5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3"/>
      <c r="K787" s="3"/>
      <c r="L787" s="2"/>
      <c r="M787" s="2"/>
      <c r="N787" s="4"/>
      <c r="Q787" s="5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3"/>
      <c r="K788" s="3"/>
      <c r="L788" s="2"/>
      <c r="M788" s="2"/>
      <c r="N788" s="4"/>
      <c r="Q788" s="5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3"/>
      <c r="K789" s="3"/>
      <c r="L789" s="2"/>
      <c r="M789" s="2"/>
      <c r="N789" s="4"/>
      <c r="Q789" s="5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3"/>
      <c r="K790" s="3"/>
      <c r="L790" s="2"/>
      <c r="M790" s="2"/>
      <c r="N790" s="4"/>
      <c r="Q790" s="5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3"/>
      <c r="K791" s="3"/>
      <c r="L791" s="2"/>
      <c r="M791" s="2"/>
      <c r="N791" s="4"/>
      <c r="Q791" s="5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3"/>
      <c r="K792" s="3"/>
      <c r="L792" s="2"/>
      <c r="M792" s="2"/>
      <c r="N792" s="4"/>
      <c r="Q792" s="5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3"/>
      <c r="K793" s="3"/>
      <c r="L793" s="2"/>
      <c r="M793" s="2"/>
      <c r="N793" s="4"/>
      <c r="Q793" s="5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3"/>
      <c r="K794" s="3"/>
      <c r="L794" s="2"/>
      <c r="M794" s="2"/>
      <c r="N794" s="4"/>
      <c r="Q794" s="5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3"/>
      <c r="K795" s="3"/>
      <c r="L795" s="2"/>
      <c r="M795" s="2"/>
      <c r="N795" s="4"/>
      <c r="Q795" s="5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3"/>
      <c r="K796" s="3"/>
      <c r="L796" s="2"/>
      <c r="M796" s="2"/>
      <c r="N796" s="4"/>
      <c r="Q796" s="5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3"/>
      <c r="K797" s="3"/>
      <c r="L797" s="2"/>
      <c r="M797" s="2"/>
      <c r="N797" s="4"/>
      <c r="Q797" s="5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3"/>
      <c r="K798" s="3"/>
      <c r="L798" s="2"/>
      <c r="M798" s="2"/>
      <c r="N798" s="4"/>
      <c r="Q798" s="5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3"/>
      <c r="K799" s="3"/>
      <c r="L799" s="2"/>
      <c r="M799" s="2"/>
      <c r="N799" s="4"/>
      <c r="Q799" s="5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3"/>
      <c r="K800" s="3"/>
      <c r="L800" s="2"/>
      <c r="M800" s="2"/>
      <c r="N800" s="4"/>
      <c r="Q800" s="5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3"/>
      <c r="K801" s="3"/>
      <c r="L801" s="2"/>
      <c r="M801" s="2"/>
      <c r="N801" s="4"/>
      <c r="Q801" s="5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3"/>
      <c r="K802" s="3"/>
      <c r="L802" s="2"/>
      <c r="M802" s="2"/>
      <c r="N802" s="4"/>
      <c r="Q802" s="5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3"/>
      <c r="K803" s="3"/>
      <c r="L803" s="2"/>
      <c r="M803" s="2"/>
      <c r="N803" s="4"/>
      <c r="Q803" s="5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3"/>
      <c r="K804" s="3"/>
      <c r="L804" s="2"/>
      <c r="M804" s="2"/>
      <c r="N804" s="4"/>
      <c r="Q804" s="5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3"/>
      <c r="K805" s="3"/>
      <c r="L805" s="2"/>
      <c r="M805" s="2"/>
      <c r="N805" s="4"/>
      <c r="Q805" s="5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3"/>
      <c r="K806" s="3"/>
      <c r="L806" s="2"/>
      <c r="M806" s="2"/>
      <c r="N806" s="4"/>
      <c r="Q806" s="5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3"/>
      <c r="K807" s="3"/>
      <c r="L807" s="2"/>
      <c r="M807" s="2"/>
      <c r="N807" s="4"/>
      <c r="Q807" s="5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3"/>
      <c r="K808" s="3"/>
      <c r="L808" s="2"/>
      <c r="M808" s="2"/>
      <c r="N808" s="4"/>
      <c r="Q808" s="5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3"/>
      <c r="K809" s="3"/>
      <c r="L809" s="2"/>
      <c r="M809" s="2"/>
      <c r="N809" s="4"/>
      <c r="Q809" s="5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3"/>
      <c r="K810" s="3"/>
      <c r="L810" s="2"/>
      <c r="M810" s="2"/>
      <c r="N810" s="4"/>
      <c r="Q810" s="5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3"/>
      <c r="K811" s="3"/>
      <c r="L811" s="2"/>
      <c r="M811" s="2"/>
      <c r="N811" s="4"/>
      <c r="Q811" s="5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3"/>
      <c r="K812" s="3"/>
      <c r="L812" s="2"/>
      <c r="M812" s="2"/>
      <c r="N812" s="4"/>
      <c r="Q812" s="5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3"/>
      <c r="K813" s="3"/>
      <c r="L813" s="2"/>
      <c r="M813" s="2"/>
      <c r="N813" s="4"/>
      <c r="Q813" s="5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3"/>
      <c r="K814" s="3"/>
      <c r="L814" s="2"/>
      <c r="M814" s="2"/>
      <c r="N814" s="4"/>
      <c r="Q814" s="5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3"/>
      <c r="K815" s="3"/>
      <c r="L815" s="2"/>
      <c r="M815" s="2"/>
      <c r="N815" s="4"/>
      <c r="Q815" s="5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3"/>
      <c r="K816" s="3"/>
      <c r="L816" s="2"/>
      <c r="M816" s="2"/>
      <c r="N816" s="4"/>
      <c r="Q816" s="5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3"/>
      <c r="K817" s="3"/>
      <c r="L817" s="2"/>
      <c r="M817" s="2"/>
      <c r="N817" s="4"/>
      <c r="Q817" s="5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3"/>
      <c r="K818" s="3"/>
      <c r="L818" s="2"/>
      <c r="M818" s="2"/>
      <c r="N818" s="4"/>
      <c r="Q818" s="5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3"/>
      <c r="K819" s="3"/>
      <c r="L819" s="2"/>
      <c r="M819" s="2"/>
      <c r="N819" s="4"/>
      <c r="Q819" s="5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3"/>
      <c r="K820" s="3"/>
      <c r="L820" s="2"/>
      <c r="M820" s="2"/>
      <c r="N820" s="4"/>
      <c r="Q820" s="5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3"/>
      <c r="K821" s="3"/>
      <c r="L821" s="2"/>
      <c r="M821" s="2"/>
      <c r="N821" s="4"/>
      <c r="Q821" s="5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3"/>
      <c r="K822" s="3"/>
      <c r="L822" s="2"/>
      <c r="M822" s="2"/>
      <c r="N822" s="4"/>
      <c r="Q822" s="5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3"/>
      <c r="K823" s="3"/>
      <c r="L823" s="2"/>
      <c r="M823" s="2"/>
      <c r="N823" s="4"/>
      <c r="Q823" s="5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3"/>
      <c r="K824" s="3"/>
      <c r="L824" s="2"/>
      <c r="M824" s="2"/>
      <c r="N824" s="4"/>
      <c r="Q824" s="5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3"/>
      <c r="K825" s="3"/>
      <c r="L825" s="2"/>
      <c r="M825" s="2"/>
      <c r="N825" s="4"/>
      <c r="Q825" s="5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3"/>
      <c r="K826" s="3"/>
      <c r="L826" s="2"/>
      <c r="M826" s="2"/>
      <c r="N826" s="4"/>
      <c r="Q826" s="5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3"/>
      <c r="K827" s="3"/>
      <c r="L827" s="2"/>
      <c r="M827" s="2"/>
      <c r="N827" s="4"/>
      <c r="Q827" s="5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3"/>
      <c r="K828" s="3"/>
      <c r="L828" s="2"/>
      <c r="M828" s="2"/>
      <c r="N828" s="4"/>
      <c r="Q828" s="5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3"/>
      <c r="K829" s="3"/>
      <c r="L829" s="2"/>
      <c r="M829" s="2"/>
      <c r="N829" s="4"/>
      <c r="Q829" s="5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3"/>
      <c r="K830" s="3"/>
      <c r="L830" s="2"/>
      <c r="M830" s="2"/>
      <c r="N830" s="4"/>
      <c r="Q830" s="5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3"/>
      <c r="K831" s="3"/>
      <c r="L831" s="2"/>
      <c r="M831" s="2"/>
      <c r="N831" s="4"/>
      <c r="Q831" s="5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3"/>
      <c r="K832" s="3"/>
      <c r="L832" s="2"/>
      <c r="M832" s="2"/>
      <c r="N832" s="4"/>
      <c r="Q832" s="5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3"/>
      <c r="K833" s="3"/>
      <c r="L833" s="2"/>
      <c r="M833" s="2"/>
      <c r="N833" s="4"/>
      <c r="Q833" s="5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3"/>
      <c r="K834" s="3"/>
      <c r="L834" s="2"/>
      <c r="M834" s="2"/>
      <c r="N834" s="4"/>
      <c r="Q834" s="5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3"/>
      <c r="K835" s="3"/>
      <c r="L835" s="2"/>
      <c r="M835" s="2"/>
      <c r="N835" s="4"/>
      <c r="Q835" s="5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3"/>
      <c r="K836" s="3"/>
      <c r="L836" s="2"/>
      <c r="M836" s="2"/>
      <c r="N836" s="4"/>
      <c r="Q836" s="5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3"/>
      <c r="K837" s="3"/>
      <c r="L837" s="2"/>
      <c r="M837" s="2"/>
      <c r="N837" s="4"/>
      <c r="Q837" s="5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3"/>
      <c r="K838" s="3"/>
      <c r="L838" s="2"/>
      <c r="M838" s="2"/>
      <c r="N838" s="4"/>
      <c r="Q838" s="5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3"/>
      <c r="K839" s="3"/>
      <c r="L839" s="2"/>
      <c r="M839" s="2"/>
      <c r="N839" s="4"/>
      <c r="Q839" s="5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3"/>
      <c r="K840" s="3"/>
      <c r="L840" s="2"/>
      <c r="M840" s="2"/>
      <c r="N840" s="4"/>
      <c r="Q840" s="5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3"/>
      <c r="K841" s="3"/>
      <c r="L841" s="2"/>
      <c r="M841" s="2"/>
      <c r="N841" s="4"/>
      <c r="Q841" s="5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3"/>
      <c r="K842" s="3"/>
      <c r="L842" s="2"/>
      <c r="M842" s="2"/>
      <c r="N842" s="4"/>
      <c r="Q842" s="5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3"/>
      <c r="K843" s="3"/>
      <c r="L843" s="2"/>
      <c r="M843" s="2"/>
      <c r="N843" s="4"/>
      <c r="Q843" s="5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3"/>
      <c r="K844" s="3"/>
      <c r="L844" s="2"/>
      <c r="M844" s="2"/>
      <c r="N844" s="4"/>
      <c r="Q844" s="5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3"/>
      <c r="K845" s="3"/>
      <c r="L845" s="2"/>
      <c r="M845" s="2"/>
      <c r="N845" s="4"/>
      <c r="Q845" s="5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3"/>
      <c r="K846" s="3"/>
      <c r="L846" s="2"/>
      <c r="M846" s="2"/>
      <c r="N846" s="4"/>
      <c r="Q846" s="5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3"/>
      <c r="K847" s="3"/>
      <c r="L847" s="2"/>
      <c r="M847" s="2"/>
      <c r="N847" s="4"/>
      <c r="Q847" s="5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3"/>
      <c r="K848" s="3"/>
      <c r="L848" s="2"/>
      <c r="M848" s="2"/>
      <c r="N848" s="4"/>
      <c r="Q848" s="5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3"/>
      <c r="K849" s="3"/>
      <c r="L849" s="2"/>
      <c r="M849" s="2"/>
      <c r="N849" s="4"/>
      <c r="Q849" s="5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3"/>
      <c r="K850" s="3"/>
      <c r="L850" s="2"/>
      <c r="M850" s="2"/>
      <c r="N850" s="4"/>
      <c r="Q850" s="5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3"/>
      <c r="K851" s="3"/>
      <c r="L851" s="2"/>
      <c r="M851" s="2"/>
      <c r="N851" s="4"/>
      <c r="Q851" s="5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3"/>
      <c r="K852" s="3"/>
      <c r="L852" s="2"/>
      <c r="M852" s="2"/>
      <c r="N852" s="4"/>
      <c r="Q852" s="5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3"/>
      <c r="K853" s="3"/>
      <c r="L853" s="2"/>
      <c r="M853" s="2"/>
      <c r="N853" s="4"/>
      <c r="Q853" s="5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3"/>
      <c r="K854" s="3"/>
      <c r="L854" s="2"/>
      <c r="M854" s="2"/>
      <c r="N854" s="4"/>
      <c r="Q854" s="5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3"/>
      <c r="K855" s="3"/>
      <c r="L855" s="2"/>
      <c r="M855" s="2"/>
      <c r="N855" s="4"/>
      <c r="Q855" s="5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3"/>
      <c r="K856" s="3"/>
      <c r="L856" s="2"/>
      <c r="M856" s="2"/>
      <c r="N856" s="4"/>
      <c r="Q856" s="5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3"/>
      <c r="K857" s="3"/>
      <c r="L857" s="2"/>
      <c r="M857" s="2"/>
      <c r="N857" s="4"/>
      <c r="Q857" s="5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3"/>
      <c r="K858" s="3"/>
      <c r="L858" s="2"/>
      <c r="M858" s="2"/>
      <c r="N858" s="4"/>
      <c r="Q858" s="5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3"/>
      <c r="K859" s="3"/>
      <c r="L859" s="2"/>
      <c r="M859" s="2"/>
      <c r="N859" s="4"/>
      <c r="Q859" s="5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3"/>
      <c r="K860" s="3"/>
      <c r="L860" s="2"/>
      <c r="M860" s="2"/>
      <c r="N860" s="4"/>
      <c r="Q860" s="5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3"/>
      <c r="K861" s="3"/>
      <c r="L861" s="2"/>
      <c r="M861" s="2"/>
      <c r="N861" s="4"/>
      <c r="Q861" s="5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3"/>
      <c r="K862" s="3"/>
      <c r="L862" s="2"/>
      <c r="M862" s="2"/>
      <c r="N862" s="4"/>
      <c r="Q862" s="5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3"/>
      <c r="K863" s="3"/>
      <c r="L863" s="2"/>
      <c r="M863" s="2"/>
      <c r="N863" s="4"/>
      <c r="Q863" s="5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3"/>
      <c r="K864" s="3"/>
      <c r="L864" s="2"/>
      <c r="M864" s="2"/>
      <c r="N864" s="4"/>
      <c r="Q864" s="5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3"/>
      <c r="K865" s="3"/>
      <c r="L865" s="2"/>
      <c r="M865" s="2"/>
      <c r="N865" s="4"/>
      <c r="Q865" s="5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3"/>
      <c r="K866" s="3"/>
      <c r="L866" s="2"/>
      <c r="M866" s="2"/>
      <c r="N866" s="4"/>
      <c r="Q866" s="5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3"/>
      <c r="K867" s="3"/>
      <c r="L867" s="2"/>
      <c r="M867" s="2"/>
      <c r="N867" s="4"/>
      <c r="Q867" s="5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3"/>
      <c r="K868" s="3"/>
      <c r="L868" s="2"/>
      <c r="M868" s="2"/>
      <c r="N868" s="4"/>
      <c r="Q868" s="5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3"/>
      <c r="K869" s="3"/>
      <c r="L869" s="2"/>
      <c r="M869" s="2"/>
      <c r="N869" s="4"/>
      <c r="Q869" s="5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3"/>
      <c r="K870" s="3"/>
      <c r="L870" s="2"/>
      <c r="M870" s="2"/>
      <c r="N870" s="4"/>
      <c r="Q870" s="5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3"/>
      <c r="K871" s="3"/>
      <c r="L871" s="2"/>
      <c r="M871" s="2"/>
      <c r="N871" s="4"/>
      <c r="Q871" s="5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3"/>
      <c r="K872" s="3"/>
      <c r="L872" s="2"/>
      <c r="M872" s="2"/>
      <c r="N872" s="4"/>
      <c r="Q872" s="5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3"/>
      <c r="K873" s="3"/>
      <c r="L873" s="2"/>
      <c r="M873" s="2"/>
      <c r="N873" s="4"/>
      <c r="Q873" s="5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3"/>
      <c r="K874" s="3"/>
      <c r="L874" s="2"/>
      <c r="M874" s="2"/>
      <c r="N874" s="4"/>
      <c r="Q874" s="5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3"/>
      <c r="K875" s="3"/>
      <c r="L875" s="2"/>
      <c r="M875" s="2"/>
      <c r="N875" s="4"/>
      <c r="Q875" s="5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3"/>
      <c r="K876" s="3"/>
      <c r="L876" s="2"/>
      <c r="M876" s="2"/>
      <c r="N876" s="4"/>
      <c r="Q876" s="5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3"/>
      <c r="K877" s="3"/>
      <c r="L877" s="2"/>
      <c r="M877" s="2"/>
      <c r="N877" s="4"/>
      <c r="Q877" s="5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3"/>
      <c r="K878" s="3"/>
      <c r="L878" s="2"/>
      <c r="M878" s="2"/>
      <c r="N878" s="4"/>
      <c r="Q878" s="5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3"/>
      <c r="K879" s="3"/>
      <c r="L879" s="2"/>
      <c r="M879" s="2"/>
      <c r="N879" s="4"/>
      <c r="Q879" s="5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3"/>
      <c r="K880" s="3"/>
      <c r="L880" s="2"/>
      <c r="M880" s="2"/>
      <c r="N880" s="4"/>
      <c r="Q880" s="5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3"/>
      <c r="K881" s="3"/>
      <c r="L881" s="2"/>
      <c r="M881" s="2"/>
      <c r="N881" s="4"/>
      <c r="Q881" s="5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3"/>
      <c r="K882" s="3"/>
      <c r="L882" s="2"/>
      <c r="M882" s="2"/>
      <c r="N882" s="4"/>
      <c r="Q882" s="5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3"/>
      <c r="K883" s="3"/>
      <c r="L883" s="2"/>
      <c r="M883" s="2"/>
      <c r="N883" s="4"/>
      <c r="Q883" s="5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3"/>
      <c r="K884" s="3"/>
      <c r="L884" s="2"/>
      <c r="M884" s="2"/>
      <c r="N884" s="4"/>
      <c r="Q884" s="5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3"/>
      <c r="K885" s="3"/>
      <c r="L885" s="2"/>
      <c r="M885" s="2"/>
      <c r="N885" s="4"/>
      <c r="Q885" s="5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3"/>
      <c r="K886" s="3"/>
      <c r="L886" s="2"/>
      <c r="M886" s="2"/>
      <c r="N886" s="4"/>
      <c r="Q886" s="5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3"/>
      <c r="K887" s="3"/>
      <c r="L887" s="2"/>
      <c r="M887" s="2"/>
      <c r="N887" s="4"/>
      <c r="Q887" s="5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3"/>
      <c r="K888" s="3"/>
      <c r="L888" s="2"/>
      <c r="M888" s="2"/>
      <c r="N888" s="4"/>
      <c r="Q888" s="5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3"/>
      <c r="K889" s="3"/>
      <c r="L889" s="2"/>
      <c r="M889" s="2"/>
      <c r="N889" s="4"/>
      <c r="Q889" s="5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3"/>
      <c r="K890" s="3"/>
      <c r="L890" s="2"/>
      <c r="M890" s="2"/>
      <c r="N890" s="4"/>
      <c r="Q890" s="5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3"/>
      <c r="K891" s="3"/>
      <c r="L891" s="2"/>
      <c r="M891" s="2"/>
      <c r="N891" s="4"/>
      <c r="Q891" s="5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3"/>
      <c r="K892" s="3"/>
      <c r="L892" s="2"/>
      <c r="M892" s="2"/>
      <c r="N892" s="4"/>
      <c r="Q892" s="5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3"/>
      <c r="K893" s="3"/>
      <c r="L893" s="2"/>
      <c r="M893" s="2"/>
      <c r="N893" s="4"/>
      <c r="Q893" s="5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3"/>
      <c r="K894" s="3"/>
      <c r="L894" s="2"/>
      <c r="M894" s="2"/>
      <c r="N894" s="4"/>
      <c r="Q894" s="5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3"/>
      <c r="K895" s="3"/>
      <c r="L895" s="2"/>
      <c r="M895" s="2"/>
      <c r="N895" s="4"/>
      <c r="Q895" s="5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3"/>
      <c r="K896" s="3"/>
      <c r="L896" s="2"/>
      <c r="M896" s="2"/>
      <c r="N896" s="4"/>
      <c r="Q896" s="5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3"/>
      <c r="K897" s="3"/>
      <c r="L897" s="2"/>
      <c r="M897" s="2"/>
      <c r="N897" s="4"/>
      <c r="Q897" s="5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3"/>
      <c r="K898" s="3"/>
      <c r="L898" s="2"/>
      <c r="M898" s="2"/>
      <c r="N898" s="4"/>
      <c r="Q898" s="5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3"/>
      <c r="K899" s="3"/>
      <c r="L899" s="2"/>
      <c r="M899" s="2"/>
      <c r="N899" s="4"/>
      <c r="Q899" s="5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3"/>
      <c r="K900" s="3"/>
      <c r="L900" s="2"/>
      <c r="M900" s="2"/>
      <c r="N900" s="4"/>
      <c r="Q900" s="5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3"/>
      <c r="K901" s="3"/>
      <c r="L901" s="2"/>
      <c r="M901" s="2"/>
      <c r="N901" s="4"/>
      <c r="Q901" s="5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3"/>
      <c r="K902" s="3"/>
      <c r="L902" s="2"/>
      <c r="M902" s="2"/>
      <c r="N902" s="4"/>
      <c r="Q902" s="5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3"/>
      <c r="K903" s="3"/>
      <c r="L903" s="2"/>
      <c r="M903" s="2"/>
      <c r="N903" s="4"/>
      <c r="Q903" s="5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3"/>
      <c r="K904" s="3"/>
      <c r="L904" s="2"/>
      <c r="M904" s="2"/>
      <c r="N904" s="4"/>
      <c r="Q904" s="5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3"/>
      <c r="K905" s="3"/>
      <c r="L905" s="2"/>
      <c r="M905" s="2"/>
      <c r="N905" s="4"/>
      <c r="Q905" s="5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3"/>
      <c r="K906" s="3"/>
      <c r="L906" s="2"/>
      <c r="M906" s="2"/>
      <c r="N906" s="4"/>
      <c r="Q906" s="5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3"/>
      <c r="K907" s="3"/>
      <c r="L907" s="2"/>
      <c r="M907" s="2"/>
      <c r="N907" s="4"/>
      <c r="Q907" s="5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3"/>
      <c r="K908" s="3"/>
      <c r="L908" s="2"/>
      <c r="M908" s="2"/>
      <c r="N908" s="4"/>
      <c r="Q908" s="5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3"/>
      <c r="K909" s="3"/>
      <c r="L909" s="2"/>
      <c r="M909" s="2"/>
      <c r="N909" s="4"/>
      <c r="Q909" s="5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3"/>
      <c r="K910" s="3"/>
      <c r="L910" s="2"/>
      <c r="M910" s="2"/>
      <c r="N910" s="4"/>
      <c r="Q910" s="5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3"/>
      <c r="K911" s="3"/>
      <c r="L911" s="2"/>
      <c r="M911" s="2"/>
      <c r="N911" s="4"/>
      <c r="Q911" s="5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3"/>
      <c r="K912" s="3"/>
      <c r="L912" s="2"/>
      <c r="M912" s="2"/>
      <c r="N912" s="4"/>
      <c r="Q912" s="5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3"/>
      <c r="K913" s="3"/>
      <c r="L913" s="2"/>
      <c r="M913" s="2"/>
      <c r="N913" s="4"/>
      <c r="Q913" s="5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3"/>
      <c r="K914" s="3"/>
      <c r="L914" s="2"/>
      <c r="M914" s="2"/>
      <c r="N914" s="4"/>
      <c r="Q914" s="5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3"/>
      <c r="K915" s="3"/>
      <c r="L915" s="2"/>
      <c r="M915" s="2"/>
      <c r="N915" s="4"/>
      <c r="Q915" s="5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3"/>
      <c r="K916" s="3"/>
      <c r="L916" s="2"/>
      <c r="M916" s="2"/>
      <c r="N916" s="4"/>
      <c r="Q916" s="5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3"/>
      <c r="K917" s="3"/>
      <c r="L917" s="2"/>
      <c r="M917" s="2"/>
      <c r="N917" s="4"/>
      <c r="Q917" s="5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3"/>
      <c r="K918" s="3"/>
      <c r="L918" s="2"/>
      <c r="M918" s="2"/>
      <c r="N918" s="4"/>
      <c r="Q918" s="5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3"/>
      <c r="K919" s="3"/>
      <c r="L919" s="2"/>
      <c r="M919" s="2"/>
      <c r="N919" s="4"/>
      <c r="Q919" s="5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3"/>
      <c r="K920" s="3"/>
      <c r="L920" s="2"/>
      <c r="M920" s="2"/>
      <c r="N920" s="4"/>
      <c r="Q920" s="5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3"/>
      <c r="K921" s="3"/>
      <c r="L921" s="2"/>
      <c r="M921" s="2"/>
      <c r="N921" s="4"/>
      <c r="Q921" s="5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3"/>
      <c r="K922" s="3"/>
      <c r="L922" s="2"/>
      <c r="M922" s="2"/>
      <c r="N922" s="4"/>
      <c r="Q922" s="5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3"/>
      <c r="K923" s="3"/>
      <c r="L923" s="2"/>
      <c r="M923" s="2"/>
      <c r="N923" s="4"/>
      <c r="Q923" s="5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3"/>
      <c r="K924" s="3"/>
      <c r="L924" s="2"/>
      <c r="M924" s="2"/>
      <c r="N924" s="4"/>
      <c r="Q924" s="5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3"/>
      <c r="K925" s="3"/>
      <c r="L925" s="2"/>
      <c r="M925" s="2"/>
      <c r="N925" s="4"/>
      <c r="Q925" s="5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3"/>
      <c r="K926" s="3"/>
      <c r="L926" s="2"/>
      <c r="M926" s="2"/>
      <c r="N926" s="4"/>
      <c r="Q926" s="5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3"/>
      <c r="K927" s="3"/>
      <c r="L927" s="2"/>
      <c r="M927" s="2"/>
      <c r="N927" s="4"/>
      <c r="Q927" s="5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3"/>
      <c r="K928" s="3"/>
      <c r="L928" s="2"/>
      <c r="M928" s="2"/>
      <c r="N928" s="4"/>
      <c r="Q928" s="5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3"/>
      <c r="K929" s="3"/>
      <c r="L929" s="2"/>
      <c r="M929" s="2"/>
      <c r="N929" s="4"/>
      <c r="Q929" s="5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3"/>
      <c r="K930" s="3"/>
      <c r="L930" s="2"/>
      <c r="M930" s="2"/>
      <c r="N930" s="4"/>
      <c r="Q930" s="5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3"/>
      <c r="K931" s="3"/>
      <c r="L931" s="2"/>
      <c r="M931" s="2"/>
      <c r="N931" s="4"/>
      <c r="Q931" s="5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3"/>
      <c r="K932" s="3"/>
      <c r="L932" s="2"/>
      <c r="M932" s="2"/>
      <c r="N932" s="4"/>
      <c r="Q932" s="5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3"/>
      <c r="K933" s="3"/>
      <c r="L933" s="2"/>
      <c r="M933" s="2"/>
      <c r="N933" s="4"/>
      <c r="Q933" s="5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3"/>
      <c r="K934" s="3"/>
      <c r="L934" s="2"/>
      <c r="M934" s="2"/>
      <c r="N934" s="4"/>
      <c r="Q934" s="5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3"/>
      <c r="K935" s="3"/>
      <c r="L935" s="2"/>
      <c r="M935" s="2"/>
      <c r="N935" s="4"/>
      <c r="Q935" s="5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3"/>
      <c r="K936" s="3"/>
      <c r="L936" s="2"/>
      <c r="M936" s="2"/>
      <c r="N936" s="4"/>
      <c r="Q936" s="5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3"/>
      <c r="K937" s="3"/>
      <c r="L937" s="2"/>
      <c r="M937" s="2"/>
      <c r="N937" s="4"/>
      <c r="Q937" s="5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3"/>
      <c r="K938" s="3"/>
      <c r="L938" s="2"/>
      <c r="M938" s="2"/>
      <c r="N938" s="4"/>
      <c r="Q938" s="5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3"/>
      <c r="K939" s="3"/>
      <c r="L939" s="2"/>
      <c r="M939" s="2"/>
      <c r="N939" s="4"/>
      <c r="Q939" s="5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3"/>
      <c r="K940" s="3"/>
      <c r="L940" s="2"/>
      <c r="M940" s="2"/>
      <c r="N940" s="4"/>
      <c r="Q940" s="5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3"/>
      <c r="K941" s="3"/>
      <c r="L941" s="2"/>
      <c r="M941" s="2"/>
      <c r="N941" s="4"/>
      <c r="Q941" s="5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3"/>
      <c r="K942" s="3"/>
      <c r="L942" s="2"/>
      <c r="M942" s="2"/>
      <c r="N942" s="4"/>
      <c r="Q942" s="5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3"/>
      <c r="K943" s="3"/>
      <c r="L943" s="2"/>
      <c r="M943" s="2"/>
      <c r="N943" s="4"/>
      <c r="Q943" s="5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3"/>
      <c r="K944" s="3"/>
      <c r="L944" s="2"/>
      <c r="M944" s="2"/>
      <c r="N944" s="4"/>
      <c r="Q944" s="5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3"/>
      <c r="K945" s="3"/>
      <c r="L945" s="2"/>
      <c r="M945" s="2"/>
      <c r="N945" s="4"/>
      <c r="Q945" s="5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3"/>
      <c r="K946" s="3"/>
      <c r="L946" s="2"/>
      <c r="M946" s="2"/>
      <c r="N946" s="4"/>
      <c r="Q946" s="5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3"/>
      <c r="K947" s="3"/>
      <c r="L947" s="2"/>
      <c r="M947" s="2"/>
      <c r="N947" s="4"/>
      <c r="Q947" s="5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3"/>
      <c r="K948" s="3"/>
      <c r="L948" s="2"/>
      <c r="M948" s="2"/>
      <c r="N948" s="4"/>
      <c r="Q948" s="5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3"/>
      <c r="K949" s="3"/>
      <c r="L949" s="2"/>
      <c r="M949" s="2"/>
      <c r="N949" s="4"/>
      <c r="Q949" s="5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3"/>
      <c r="K950" s="3"/>
      <c r="L950" s="2"/>
      <c r="M950" s="2"/>
      <c r="N950" s="4"/>
      <c r="Q950" s="5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3"/>
      <c r="K951" s="3"/>
      <c r="L951" s="2"/>
      <c r="M951" s="2"/>
      <c r="N951" s="4"/>
      <c r="Q951" s="5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3"/>
      <c r="K952" s="3"/>
      <c r="L952" s="2"/>
      <c r="M952" s="2"/>
      <c r="N952" s="4"/>
      <c r="Q952" s="5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3"/>
      <c r="K953" s="3"/>
      <c r="L953" s="2"/>
      <c r="M953" s="2"/>
      <c r="N953" s="4"/>
      <c r="Q953" s="5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3"/>
      <c r="K954" s="3"/>
      <c r="L954" s="2"/>
      <c r="M954" s="2"/>
      <c r="N954" s="4"/>
      <c r="Q954" s="5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3"/>
      <c r="K955" s="3"/>
      <c r="L955" s="2"/>
      <c r="M955" s="2"/>
      <c r="N955" s="4"/>
      <c r="Q955" s="5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3"/>
      <c r="K956" s="3"/>
      <c r="L956" s="2"/>
      <c r="M956" s="2"/>
      <c r="N956" s="4"/>
      <c r="Q956" s="5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3"/>
      <c r="K957" s="3"/>
      <c r="L957" s="2"/>
      <c r="M957" s="2"/>
      <c r="N957" s="4"/>
      <c r="Q957" s="5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3"/>
      <c r="K958" s="3"/>
      <c r="L958" s="2"/>
      <c r="M958" s="2"/>
      <c r="N958" s="4"/>
      <c r="Q958" s="5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3"/>
      <c r="K959" s="3"/>
      <c r="L959" s="2"/>
      <c r="M959" s="2"/>
      <c r="N959" s="4"/>
      <c r="Q959" s="5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3"/>
      <c r="K960" s="3"/>
      <c r="L960" s="2"/>
      <c r="M960" s="2"/>
      <c r="N960" s="4"/>
      <c r="Q960" s="5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3"/>
      <c r="K961" s="3"/>
      <c r="L961" s="2"/>
      <c r="M961" s="2"/>
      <c r="N961" s="4"/>
      <c r="Q961" s="5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3"/>
      <c r="K962" s="3"/>
      <c r="L962" s="2"/>
      <c r="M962" s="2"/>
      <c r="N962" s="4"/>
      <c r="Q962" s="5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3"/>
      <c r="K963" s="3"/>
      <c r="L963" s="2"/>
      <c r="M963" s="2"/>
      <c r="N963" s="4"/>
      <c r="Q963" s="5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3"/>
      <c r="K964" s="3"/>
      <c r="L964" s="2"/>
      <c r="M964" s="2"/>
      <c r="N964" s="4"/>
      <c r="Q964" s="5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3"/>
      <c r="K965" s="3"/>
      <c r="L965" s="2"/>
      <c r="M965" s="2"/>
      <c r="N965" s="4"/>
      <c r="Q965" s="5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3"/>
      <c r="K966" s="3"/>
      <c r="L966" s="2"/>
      <c r="M966" s="2"/>
      <c r="N966" s="4"/>
      <c r="Q966" s="5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3"/>
      <c r="K967" s="3"/>
      <c r="L967" s="2"/>
      <c r="M967" s="2"/>
      <c r="N967" s="4"/>
      <c r="Q967" s="5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3"/>
      <c r="K968" s="3"/>
      <c r="L968" s="2"/>
      <c r="M968" s="2"/>
      <c r="N968" s="4"/>
      <c r="Q968" s="5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3"/>
      <c r="K969" s="3"/>
      <c r="L969" s="2"/>
      <c r="M969" s="2"/>
      <c r="N969" s="4"/>
      <c r="Q969" s="5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3"/>
      <c r="K970" s="3"/>
      <c r="L970" s="2"/>
      <c r="M970" s="2"/>
      <c r="N970" s="4"/>
      <c r="Q970" s="5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3"/>
      <c r="K971" s="3"/>
      <c r="L971" s="2"/>
      <c r="M971" s="2"/>
      <c r="N971" s="4"/>
      <c r="Q971" s="5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3"/>
      <c r="K972" s="3"/>
      <c r="L972" s="2"/>
      <c r="M972" s="2"/>
      <c r="N972" s="4"/>
      <c r="Q972" s="5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3"/>
      <c r="K973" s="3"/>
      <c r="L973" s="2"/>
      <c r="M973" s="2"/>
      <c r="N973" s="4"/>
      <c r="Q973" s="5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3"/>
      <c r="K974" s="3"/>
      <c r="L974" s="2"/>
      <c r="M974" s="2"/>
      <c r="N974" s="4"/>
      <c r="Q974" s="5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3"/>
      <c r="K975" s="3"/>
      <c r="L975" s="2"/>
      <c r="M975" s="2"/>
      <c r="N975" s="4"/>
      <c r="Q975" s="5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3"/>
      <c r="K976" s="3"/>
      <c r="L976" s="2"/>
      <c r="M976" s="2"/>
      <c r="N976" s="4"/>
      <c r="Q976" s="5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3"/>
      <c r="K977" s="3"/>
      <c r="L977" s="2"/>
      <c r="M977" s="2"/>
      <c r="N977" s="4"/>
      <c r="Q977" s="5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3"/>
      <c r="K978" s="3"/>
      <c r="L978" s="2"/>
      <c r="M978" s="2"/>
      <c r="N978" s="4"/>
      <c r="Q978" s="5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3"/>
      <c r="K979" s="3"/>
      <c r="L979" s="2"/>
      <c r="M979" s="2"/>
      <c r="N979" s="4"/>
      <c r="Q979" s="5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3"/>
      <c r="K980" s="3"/>
      <c r="L980" s="2"/>
      <c r="M980" s="2"/>
      <c r="N980" s="4"/>
      <c r="Q980" s="5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3"/>
      <c r="K981" s="3"/>
      <c r="L981" s="2"/>
      <c r="M981" s="2"/>
      <c r="N981" s="4"/>
      <c r="Q981" s="5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3"/>
      <c r="K982" s="3"/>
      <c r="L982" s="2"/>
      <c r="M982" s="2"/>
      <c r="N982" s="4"/>
      <c r="Q982" s="5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3"/>
      <c r="K983" s="3"/>
      <c r="L983" s="2"/>
      <c r="M983" s="2"/>
      <c r="N983" s="4"/>
      <c r="Q983" s="5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3"/>
      <c r="K984" s="3"/>
      <c r="L984" s="2"/>
      <c r="M984" s="2"/>
      <c r="N984" s="4"/>
      <c r="Q984" s="5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3"/>
      <c r="K985" s="3"/>
      <c r="L985" s="2"/>
      <c r="M985" s="2"/>
      <c r="N985" s="4"/>
      <c r="Q985" s="5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3"/>
      <c r="K986" s="3"/>
      <c r="L986" s="2"/>
      <c r="M986" s="2"/>
      <c r="N986" s="4"/>
      <c r="Q986" s="5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3"/>
      <c r="K987" s="3"/>
      <c r="L987" s="2"/>
      <c r="M987" s="2"/>
      <c r="N987" s="4"/>
      <c r="Q987" s="5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3"/>
      <c r="K988" s="3"/>
      <c r="L988" s="2"/>
      <c r="M988" s="2"/>
      <c r="N988" s="4"/>
      <c r="Q988" s="5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3"/>
      <c r="K989" s="3"/>
      <c r="L989" s="2"/>
      <c r="M989" s="2"/>
      <c r="N989" s="4"/>
      <c r="Q989" s="5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3"/>
      <c r="K990" s="3"/>
      <c r="L990" s="2"/>
      <c r="M990" s="2"/>
      <c r="N990" s="4"/>
      <c r="Q990" s="5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3"/>
      <c r="K991" s="3"/>
      <c r="L991" s="2"/>
      <c r="M991" s="2"/>
      <c r="N991" s="4"/>
      <c r="Q991" s="5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3"/>
      <c r="K992" s="3"/>
      <c r="L992" s="2"/>
      <c r="M992" s="2"/>
      <c r="N992" s="4"/>
      <c r="Q992" s="5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3"/>
      <c r="K993" s="3"/>
      <c r="L993" s="2"/>
      <c r="M993" s="2"/>
      <c r="N993" s="4"/>
      <c r="Q993" s="5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3"/>
      <c r="K994" s="3"/>
      <c r="L994" s="2"/>
      <c r="M994" s="2"/>
      <c r="N994" s="4"/>
      <c r="Q994" s="5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3"/>
      <c r="K995" s="3"/>
      <c r="L995" s="2"/>
      <c r="M995" s="2"/>
      <c r="N995" s="4"/>
      <c r="Q995" s="5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3"/>
      <c r="K996" s="3"/>
      <c r="L996" s="2"/>
      <c r="M996" s="2"/>
      <c r="N996" s="4"/>
      <c r="Q996" s="5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3"/>
      <c r="K997" s="3"/>
      <c r="L997" s="2"/>
      <c r="M997" s="2"/>
      <c r="N997" s="4"/>
      <c r="Q997" s="5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3"/>
      <c r="K998" s="3"/>
      <c r="L998" s="2"/>
      <c r="M998" s="2"/>
      <c r="N998" s="4"/>
      <c r="Q998" s="5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3"/>
      <c r="K999" s="3"/>
      <c r="L999" s="2"/>
      <c r="M999" s="2"/>
      <c r="N999" s="4"/>
      <c r="Q999" s="5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3"/>
      <c r="K1000" s="3"/>
      <c r="L1000" s="2"/>
      <c r="M1000" s="2"/>
      <c r="N1000" s="4"/>
      <c r="Q1000" s="5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0FE5B-818F-4194-B3A7-304AB0DBDF14}">
  <dimension ref="A1:K2"/>
  <sheetViews>
    <sheetView workbookViewId="0">
      <selection sqref="A1:K1"/>
    </sheetView>
  </sheetViews>
  <sheetFormatPr defaultRowHeight="14.4" x14ac:dyDescent="0.3"/>
  <cols>
    <col min="1" max="1" width="15" bestFit="1" customWidth="1"/>
    <col min="2" max="2" width="21.33203125" bestFit="1" customWidth="1"/>
    <col min="3" max="3" width="16.77734375" bestFit="1" customWidth="1"/>
    <col min="4" max="4" width="10.44140625" bestFit="1" customWidth="1"/>
    <col min="5" max="5" width="7.33203125" bestFit="1" customWidth="1"/>
    <col min="6" max="6" width="7.44140625" bestFit="1" customWidth="1"/>
    <col min="7" max="7" width="7.5546875" bestFit="1" customWidth="1"/>
    <col min="8" max="8" width="8.77734375" bestFit="1" customWidth="1"/>
    <col min="9" max="9" width="5.21875" bestFit="1" customWidth="1"/>
    <col min="10" max="10" width="7.109375" bestFit="1" customWidth="1"/>
    <col min="11" max="11" width="20.88671875" bestFit="1" customWidth="1"/>
  </cols>
  <sheetData>
    <row r="1" spans="1:11" x14ac:dyDescent="0.3">
      <c r="A1" s="134" t="s">
        <v>123</v>
      </c>
      <c r="B1" s="134" t="s">
        <v>124</v>
      </c>
      <c r="C1" s="134" t="s">
        <v>19</v>
      </c>
      <c r="D1" s="134" t="s">
        <v>31</v>
      </c>
      <c r="E1" s="134" t="s">
        <v>32</v>
      </c>
      <c r="F1" s="134" t="s">
        <v>33</v>
      </c>
      <c r="G1" s="134" t="s">
        <v>34</v>
      </c>
      <c r="H1" s="134" t="s">
        <v>35</v>
      </c>
      <c r="I1" s="134" t="s">
        <v>125</v>
      </c>
      <c r="J1" s="134" t="s">
        <v>126</v>
      </c>
      <c r="K1" s="134" t="s">
        <v>127</v>
      </c>
    </row>
    <row r="2" spans="1:11" x14ac:dyDescent="0.3">
      <c r="A2" s="135" t="s">
        <v>128</v>
      </c>
      <c r="B2" s="135" t="s">
        <v>129</v>
      </c>
      <c r="C2" s="135" t="s">
        <v>130</v>
      </c>
      <c r="D2" s="135">
        <v>15167</v>
      </c>
      <c r="E2" s="135">
        <v>0</v>
      </c>
      <c r="F2" s="135">
        <v>0</v>
      </c>
      <c r="G2" s="135">
        <v>10</v>
      </c>
      <c r="H2" s="135">
        <v>15177</v>
      </c>
      <c r="I2" s="135">
        <v>1</v>
      </c>
      <c r="J2" s="135">
        <v>15177</v>
      </c>
      <c r="K2" s="135" t="s">
        <v>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66A2F-9DC4-4AD5-9052-9508AB10607F}">
  <dimension ref="A1:AF13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25.88671875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19.77734375" bestFit="1" customWidth="1"/>
    <col min="8" max="8" width="16.109375" bestFit="1" customWidth="1"/>
    <col min="9" max="9" width="11.8867187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5.21875" bestFit="1" customWidth="1"/>
    <col min="27" max="27" width="12.664062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x14ac:dyDescent="0.3">
      <c r="A1" s="134" t="s">
        <v>131</v>
      </c>
      <c r="B1" s="134" t="s">
        <v>20</v>
      </c>
      <c r="C1" s="134" t="s">
        <v>19</v>
      </c>
      <c r="D1" s="134" t="s">
        <v>132</v>
      </c>
      <c r="E1" s="134" t="s">
        <v>133</v>
      </c>
      <c r="F1" s="134" t="s">
        <v>134</v>
      </c>
      <c r="G1" s="134" t="s">
        <v>135</v>
      </c>
      <c r="H1" s="134" t="s">
        <v>136</v>
      </c>
      <c r="I1" s="134" t="s">
        <v>137</v>
      </c>
      <c r="J1" s="134" t="s">
        <v>138</v>
      </c>
      <c r="K1" s="134" t="s">
        <v>139</v>
      </c>
      <c r="L1" s="134" t="s">
        <v>140</v>
      </c>
      <c r="M1" s="134" t="s">
        <v>141</v>
      </c>
      <c r="N1" s="134" t="s">
        <v>142</v>
      </c>
      <c r="O1" s="134" t="s">
        <v>143</v>
      </c>
      <c r="P1" s="134" t="s">
        <v>144</v>
      </c>
      <c r="Q1" s="134" t="s">
        <v>145</v>
      </c>
      <c r="R1" s="134" t="s">
        <v>146</v>
      </c>
      <c r="S1" s="134" t="s">
        <v>147</v>
      </c>
      <c r="T1" s="134" t="s">
        <v>148</v>
      </c>
      <c r="U1" s="134" t="s">
        <v>149</v>
      </c>
      <c r="V1" s="134" t="s">
        <v>150</v>
      </c>
      <c r="W1" s="134" t="s">
        <v>151</v>
      </c>
      <c r="X1" s="134" t="s">
        <v>152</v>
      </c>
      <c r="Y1" s="134" t="s">
        <v>153</v>
      </c>
      <c r="Z1" s="134" t="s">
        <v>125</v>
      </c>
      <c r="AA1" s="134" t="s">
        <v>21</v>
      </c>
      <c r="AB1" s="134" t="s">
        <v>154</v>
      </c>
      <c r="AC1" s="134" t="s">
        <v>155</v>
      </c>
      <c r="AD1" s="134" t="s">
        <v>127</v>
      </c>
      <c r="AE1" s="134" t="s">
        <v>22</v>
      </c>
      <c r="AF1" s="134" t="s">
        <v>156</v>
      </c>
    </row>
    <row r="2" spans="1:32" x14ac:dyDescent="0.3">
      <c r="A2" s="133" t="s">
        <v>128</v>
      </c>
      <c r="B2" s="133" t="s">
        <v>157</v>
      </c>
      <c r="C2" s="133" t="s">
        <v>158</v>
      </c>
      <c r="D2" s="133" t="s">
        <v>159</v>
      </c>
      <c r="E2" s="133" t="s">
        <v>160</v>
      </c>
      <c r="F2" s="136">
        <v>46252.367824074077</v>
      </c>
      <c r="G2" s="133" t="s">
        <v>161</v>
      </c>
      <c r="H2" s="133">
        <v>150</v>
      </c>
      <c r="I2" s="133" t="s">
        <v>162</v>
      </c>
      <c r="J2" s="136">
        <v>46253.532638888886</v>
      </c>
      <c r="K2" s="136">
        <v>46255.618055555555</v>
      </c>
      <c r="L2" s="136"/>
      <c r="M2" s="133">
        <v>150</v>
      </c>
      <c r="N2" s="133"/>
      <c r="O2" s="133" t="s">
        <v>163</v>
      </c>
      <c r="P2" s="133" t="s">
        <v>164</v>
      </c>
      <c r="Q2" s="133"/>
      <c r="R2" s="133"/>
      <c r="S2" s="133" t="s">
        <v>165</v>
      </c>
      <c r="T2" s="133" t="s">
        <v>166</v>
      </c>
      <c r="U2" s="133" t="s">
        <v>167</v>
      </c>
      <c r="V2" s="133" t="s">
        <v>168</v>
      </c>
      <c r="W2" s="133" t="s">
        <v>168</v>
      </c>
      <c r="X2" s="133" t="s">
        <v>168</v>
      </c>
      <c r="Y2" s="133"/>
      <c r="Z2" s="133"/>
      <c r="AA2" s="133" t="s">
        <v>169</v>
      </c>
      <c r="AB2" s="133" t="s">
        <v>165</v>
      </c>
      <c r="AC2" s="133">
        <v>2300</v>
      </c>
      <c r="AD2" s="133" t="s">
        <v>168</v>
      </c>
      <c r="AE2" s="133"/>
      <c r="AF2" s="133">
        <v>0</v>
      </c>
    </row>
    <row r="3" spans="1:32" x14ac:dyDescent="0.3">
      <c r="A3" s="137" t="s">
        <v>128</v>
      </c>
      <c r="B3" s="137" t="s">
        <v>170</v>
      </c>
      <c r="C3" s="137" t="s">
        <v>130</v>
      </c>
      <c r="D3" s="137" t="s">
        <v>159</v>
      </c>
      <c r="E3" s="137" t="s">
        <v>171</v>
      </c>
      <c r="F3" s="138">
        <v>46282.336180555554</v>
      </c>
      <c r="G3" s="137" t="s">
        <v>161</v>
      </c>
      <c r="H3" s="137">
        <v>4</v>
      </c>
      <c r="I3" s="137" t="s">
        <v>172</v>
      </c>
      <c r="J3" s="138">
        <v>46282.35</v>
      </c>
      <c r="K3" s="138">
        <v>46287.444444444445</v>
      </c>
      <c r="L3" s="138">
        <v>46287</v>
      </c>
      <c r="M3" s="137">
        <v>4</v>
      </c>
      <c r="N3" s="137"/>
      <c r="O3" s="137" t="s">
        <v>163</v>
      </c>
      <c r="P3" s="137" t="s">
        <v>164</v>
      </c>
      <c r="Q3" s="137"/>
      <c r="R3" s="137"/>
      <c r="S3" s="137" t="s">
        <v>165</v>
      </c>
      <c r="T3" s="137" t="s">
        <v>166</v>
      </c>
      <c r="U3" s="137" t="s">
        <v>167</v>
      </c>
      <c r="V3" s="137" t="s">
        <v>128</v>
      </c>
      <c r="W3" s="137" t="s">
        <v>173</v>
      </c>
      <c r="X3" s="137" t="s">
        <v>167</v>
      </c>
      <c r="Y3" s="137">
        <v>0</v>
      </c>
      <c r="Z3" s="137"/>
      <c r="AA3" s="137" t="s">
        <v>36</v>
      </c>
      <c r="AB3" s="137" t="s">
        <v>165</v>
      </c>
      <c r="AC3" s="137">
        <v>2300</v>
      </c>
      <c r="AD3" s="137" t="s">
        <v>53</v>
      </c>
      <c r="AE3" s="137">
        <v>1</v>
      </c>
      <c r="AF3" s="137">
        <v>1</v>
      </c>
    </row>
    <row r="4" spans="1:32" x14ac:dyDescent="0.3">
      <c r="A4" s="133" t="s">
        <v>128</v>
      </c>
      <c r="B4" s="133" t="s">
        <v>170</v>
      </c>
      <c r="C4" s="133" t="s">
        <v>130</v>
      </c>
      <c r="D4" s="133" t="s">
        <v>159</v>
      </c>
      <c r="E4" s="133" t="s">
        <v>174</v>
      </c>
      <c r="F4" s="136">
        <v>46281.658784722225</v>
      </c>
      <c r="G4" s="133" t="s">
        <v>161</v>
      </c>
      <c r="H4" s="133">
        <v>6</v>
      </c>
      <c r="I4" s="133" t="s">
        <v>175</v>
      </c>
      <c r="J4" s="136">
        <v>46282.338888888888</v>
      </c>
      <c r="K4" s="136">
        <v>46287.444444444445</v>
      </c>
      <c r="L4" s="136">
        <v>46287</v>
      </c>
      <c r="M4" s="133">
        <v>6</v>
      </c>
      <c r="N4" s="133"/>
      <c r="O4" s="133" t="s">
        <v>163</v>
      </c>
      <c r="P4" s="133" t="s">
        <v>164</v>
      </c>
      <c r="Q4" s="133"/>
      <c r="R4" s="133"/>
      <c r="S4" s="133" t="s">
        <v>165</v>
      </c>
      <c r="T4" s="133" t="s">
        <v>166</v>
      </c>
      <c r="U4" s="133" t="s">
        <v>167</v>
      </c>
      <c r="V4" s="133" t="s">
        <v>128</v>
      </c>
      <c r="W4" s="133" t="s">
        <v>173</v>
      </c>
      <c r="X4" s="133" t="s">
        <v>167</v>
      </c>
      <c r="Y4" s="133"/>
      <c r="Z4" s="133"/>
      <c r="AA4" s="133" t="s">
        <v>36</v>
      </c>
      <c r="AB4" s="133" t="s">
        <v>165</v>
      </c>
      <c r="AC4" s="133">
        <v>2300</v>
      </c>
      <c r="AD4" s="133" t="s">
        <v>53</v>
      </c>
      <c r="AE4" s="133">
        <v>1</v>
      </c>
      <c r="AF4" s="133"/>
    </row>
    <row r="5" spans="1:32" x14ac:dyDescent="0.3">
      <c r="A5" s="137" t="s">
        <v>128</v>
      </c>
      <c r="B5" s="137" t="s">
        <v>176</v>
      </c>
      <c r="C5" s="137" t="s">
        <v>177</v>
      </c>
      <c r="D5" s="137" t="s">
        <v>159</v>
      </c>
      <c r="E5" s="137" t="s">
        <v>178</v>
      </c>
      <c r="F5" s="138">
        <v>46286.528935185182</v>
      </c>
      <c r="G5" s="137" t="s">
        <v>179</v>
      </c>
      <c r="H5" s="137">
        <v>1</v>
      </c>
      <c r="I5" s="137" t="s">
        <v>180</v>
      </c>
      <c r="J5" s="138">
        <v>46286.659722222219</v>
      </c>
      <c r="K5" s="138">
        <v>46290.456944444442</v>
      </c>
      <c r="L5" s="138">
        <v>46290.456944444442</v>
      </c>
      <c r="M5" s="137">
        <v>1</v>
      </c>
      <c r="N5" s="137"/>
      <c r="O5" s="137" t="s">
        <v>163</v>
      </c>
      <c r="P5" s="137" t="s">
        <v>181</v>
      </c>
      <c r="Q5" s="137"/>
      <c r="R5" s="137"/>
      <c r="S5" s="137" t="s">
        <v>165</v>
      </c>
      <c r="T5" s="137" t="s">
        <v>166</v>
      </c>
      <c r="U5" s="137" t="s">
        <v>167</v>
      </c>
      <c r="V5" s="137" t="s">
        <v>168</v>
      </c>
      <c r="W5" s="137" t="s">
        <v>168</v>
      </c>
      <c r="X5" s="137" t="s">
        <v>168</v>
      </c>
      <c r="Y5" s="137"/>
      <c r="Z5" s="137"/>
      <c r="AA5" s="137" t="s">
        <v>182</v>
      </c>
      <c r="AB5" s="137" t="s">
        <v>165</v>
      </c>
      <c r="AC5" s="137">
        <v>2300</v>
      </c>
      <c r="AD5" s="137" t="s">
        <v>96</v>
      </c>
      <c r="AE5" s="137">
        <v>1</v>
      </c>
      <c r="AF5" s="137">
        <v>1</v>
      </c>
    </row>
    <row r="6" spans="1:32" x14ac:dyDescent="0.3">
      <c r="A6" s="133" t="s">
        <v>128</v>
      </c>
      <c r="B6" s="133" t="s">
        <v>183</v>
      </c>
      <c r="C6" s="133" t="s">
        <v>184</v>
      </c>
      <c r="D6" s="133" t="s">
        <v>159</v>
      </c>
      <c r="E6" s="133" t="s">
        <v>178</v>
      </c>
      <c r="F6" s="136">
        <v>46286.528935185182</v>
      </c>
      <c r="G6" s="133" t="s">
        <v>179</v>
      </c>
      <c r="H6" s="133">
        <v>578</v>
      </c>
      <c r="I6" s="133" t="s">
        <v>180</v>
      </c>
      <c r="J6" s="136">
        <v>46286.659722222219</v>
      </c>
      <c r="K6" s="136">
        <v>46290.456944444442</v>
      </c>
      <c r="L6" s="136"/>
      <c r="M6" s="133">
        <v>578</v>
      </c>
      <c r="N6" s="133"/>
      <c r="O6" s="133" t="s">
        <v>163</v>
      </c>
      <c r="P6" s="133" t="s">
        <v>164</v>
      </c>
      <c r="Q6" s="133"/>
      <c r="R6" s="133"/>
      <c r="S6" s="133" t="s">
        <v>165</v>
      </c>
      <c r="T6" s="133" t="s">
        <v>166</v>
      </c>
      <c r="U6" s="133" t="s">
        <v>167</v>
      </c>
      <c r="V6" s="133" t="s">
        <v>168</v>
      </c>
      <c r="W6" s="133" t="s">
        <v>168</v>
      </c>
      <c r="X6" s="133" t="s">
        <v>168</v>
      </c>
      <c r="Y6" s="133"/>
      <c r="Z6" s="133">
        <v>1</v>
      </c>
      <c r="AA6" s="133" t="s">
        <v>88</v>
      </c>
      <c r="AB6" s="133" t="s">
        <v>165</v>
      </c>
      <c r="AC6" s="133">
        <v>2300</v>
      </c>
      <c r="AD6" s="133" t="s">
        <v>93</v>
      </c>
      <c r="AE6" s="133">
        <v>578</v>
      </c>
      <c r="AF6" s="133">
        <v>57.8</v>
      </c>
    </row>
    <row r="7" spans="1:32" x14ac:dyDescent="0.3">
      <c r="A7" s="137" t="s">
        <v>128</v>
      </c>
      <c r="B7" s="137" t="s">
        <v>185</v>
      </c>
      <c r="C7" s="137" t="s">
        <v>186</v>
      </c>
      <c r="D7" s="137" t="s">
        <v>159</v>
      </c>
      <c r="E7" s="137" t="s">
        <v>178</v>
      </c>
      <c r="F7" s="138">
        <v>46286.528935185182</v>
      </c>
      <c r="G7" s="137" t="s">
        <v>179</v>
      </c>
      <c r="H7" s="137">
        <v>1</v>
      </c>
      <c r="I7" s="137" t="s">
        <v>180</v>
      </c>
      <c r="J7" s="138">
        <v>46286.659722222219</v>
      </c>
      <c r="K7" s="138">
        <v>46290.456944444442</v>
      </c>
      <c r="L7" s="138"/>
      <c r="M7" s="137">
        <v>1</v>
      </c>
      <c r="N7" s="137"/>
      <c r="O7" s="137" t="s">
        <v>163</v>
      </c>
      <c r="P7" s="137" t="s">
        <v>164</v>
      </c>
      <c r="Q7" s="137"/>
      <c r="R7" s="137"/>
      <c r="S7" s="137" t="s">
        <v>165</v>
      </c>
      <c r="T7" s="137" t="s">
        <v>166</v>
      </c>
      <c r="U7" s="137" t="s">
        <v>167</v>
      </c>
      <c r="V7" s="137" t="s">
        <v>168</v>
      </c>
      <c r="W7" s="137" t="s">
        <v>168</v>
      </c>
      <c r="X7" s="137" t="s">
        <v>168</v>
      </c>
      <c r="Y7" s="137"/>
      <c r="Z7" s="137"/>
      <c r="AA7" s="137" t="s">
        <v>187</v>
      </c>
      <c r="AB7" s="137" t="s">
        <v>165</v>
      </c>
      <c r="AC7" s="137">
        <v>2300</v>
      </c>
      <c r="AD7" s="137" t="s">
        <v>64</v>
      </c>
      <c r="AE7" s="137">
        <v>1</v>
      </c>
      <c r="AF7" s="137">
        <v>1</v>
      </c>
    </row>
    <row r="8" spans="1:32" x14ac:dyDescent="0.3">
      <c r="A8" s="133" t="s">
        <v>128</v>
      </c>
      <c r="B8" s="133" t="s">
        <v>185</v>
      </c>
      <c r="C8" s="133" t="s">
        <v>186</v>
      </c>
      <c r="D8" s="133" t="s">
        <v>159</v>
      </c>
      <c r="E8" s="133" t="s">
        <v>188</v>
      </c>
      <c r="F8" s="136">
        <v>46262.495011574072</v>
      </c>
      <c r="G8" s="133" t="s">
        <v>179</v>
      </c>
      <c r="H8" s="133">
        <v>1</v>
      </c>
      <c r="I8" s="133" t="s">
        <v>189</v>
      </c>
      <c r="J8" s="136">
        <v>46262.686562499999</v>
      </c>
      <c r="K8" s="136">
        <v>46267.352777777778</v>
      </c>
      <c r="L8" s="136"/>
      <c r="M8" s="133">
        <v>1</v>
      </c>
      <c r="N8" s="133"/>
      <c r="O8" s="133" t="s">
        <v>163</v>
      </c>
      <c r="P8" s="133" t="s">
        <v>164</v>
      </c>
      <c r="Q8" s="133"/>
      <c r="R8" s="133"/>
      <c r="S8" s="133" t="s">
        <v>165</v>
      </c>
      <c r="T8" s="133" t="s">
        <v>166</v>
      </c>
      <c r="U8" s="133" t="s">
        <v>167</v>
      </c>
      <c r="V8" s="133" t="s">
        <v>168</v>
      </c>
      <c r="W8" s="133" t="s">
        <v>168</v>
      </c>
      <c r="X8" s="133" t="s">
        <v>168</v>
      </c>
      <c r="Y8" s="133"/>
      <c r="Z8" s="133"/>
      <c r="AA8" s="133" t="s">
        <v>187</v>
      </c>
      <c r="AB8" s="133" t="s">
        <v>165</v>
      </c>
      <c r="AC8" s="133">
        <v>2300</v>
      </c>
      <c r="AD8" s="133" t="s">
        <v>64</v>
      </c>
      <c r="AE8" s="133">
        <v>1</v>
      </c>
      <c r="AF8" s="133">
        <v>1</v>
      </c>
    </row>
    <row r="9" spans="1:32" x14ac:dyDescent="0.3">
      <c r="A9" s="137" t="s">
        <v>128</v>
      </c>
      <c r="B9" s="137" t="s">
        <v>176</v>
      </c>
      <c r="C9" s="137" t="s">
        <v>177</v>
      </c>
      <c r="D9" s="137" t="s">
        <v>159</v>
      </c>
      <c r="E9" s="137" t="s">
        <v>188</v>
      </c>
      <c r="F9" s="138">
        <v>46262.495011574072</v>
      </c>
      <c r="G9" s="137" t="s">
        <v>179</v>
      </c>
      <c r="H9" s="137">
        <v>1</v>
      </c>
      <c r="I9" s="137" t="s">
        <v>189</v>
      </c>
      <c r="J9" s="138">
        <v>46262.686562499999</v>
      </c>
      <c r="K9" s="138">
        <v>46267.352777777778</v>
      </c>
      <c r="L9" s="138">
        <v>46267.352777777778</v>
      </c>
      <c r="M9" s="137">
        <v>1</v>
      </c>
      <c r="N9" s="137"/>
      <c r="O9" s="137" t="s">
        <v>163</v>
      </c>
      <c r="P9" s="137" t="s">
        <v>181</v>
      </c>
      <c r="Q9" s="137"/>
      <c r="R9" s="137"/>
      <c r="S9" s="137" t="s">
        <v>165</v>
      </c>
      <c r="T9" s="137" t="s">
        <v>166</v>
      </c>
      <c r="U9" s="137" t="s">
        <v>167</v>
      </c>
      <c r="V9" s="137" t="s">
        <v>168</v>
      </c>
      <c r="W9" s="137" t="s">
        <v>168</v>
      </c>
      <c r="X9" s="137" t="s">
        <v>168</v>
      </c>
      <c r="Y9" s="137"/>
      <c r="Z9" s="137"/>
      <c r="AA9" s="137" t="s">
        <v>182</v>
      </c>
      <c r="AB9" s="137" t="s">
        <v>165</v>
      </c>
      <c r="AC9" s="137">
        <v>2300</v>
      </c>
      <c r="AD9" s="137" t="s">
        <v>96</v>
      </c>
      <c r="AE9" s="137">
        <v>1</v>
      </c>
      <c r="AF9" s="137">
        <v>1</v>
      </c>
    </row>
    <row r="10" spans="1:32" x14ac:dyDescent="0.3">
      <c r="A10" s="133" t="s">
        <v>128</v>
      </c>
      <c r="B10" s="133" t="s">
        <v>183</v>
      </c>
      <c r="C10" s="133" t="s">
        <v>184</v>
      </c>
      <c r="D10" s="133" t="s">
        <v>159</v>
      </c>
      <c r="E10" s="133" t="s">
        <v>188</v>
      </c>
      <c r="F10" s="136">
        <v>46262.495011574072</v>
      </c>
      <c r="G10" s="133" t="s">
        <v>179</v>
      </c>
      <c r="H10" s="133">
        <v>153</v>
      </c>
      <c r="I10" s="133" t="s">
        <v>189</v>
      </c>
      <c r="J10" s="136">
        <v>46262.686562499999</v>
      </c>
      <c r="K10" s="136">
        <v>46267.352777777778</v>
      </c>
      <c r="L10" s="136"/>
      <c r="M10" s="133">
        <v>153</v>
      </c>
      <c r="N10" s="133"/>
      <c r="O10" s="133" t="s">
        <v>163</v>
      </c>
      <c r="P10" s="133" t="s">
        <v>181</v>
      </c>
      <c r="Q10" s="133"/>
      <c r="R10" s="133"/>
      <c r="S10" s="133" t="s">
        <v>165</v>
      </c>
      <c r="T10" s="133" t="s">
        <v>166</v>
      </c>
      <c r="U10" s="133" t="s">
        <v>167</v>
      </c>
      <c r="V10" s="133" t="s">
        <v>168</v>
      </c>
      <c r="W10" s="133" t="s">
        <v>168</v>
      </c>
      <c r="X10" s="133" t="s">
        <v>168</v>
      </c>
      <c r="Y10" s="133"/>
      <c r="Z10" s="133">
        <v>1</v>
      </c>
      <c r="AA10" s="133" t="s">
        <v>88</v>
      </c>
      <c r="AB10" s="133" t="s">
        <v>165</v>
      </c>
      <c r="AC10" s="133">
        <v>2300</v>
      </c>
      <c r="AD10" s="133" t="s">
        <v>93</v>
      </c>
      <c r="AE10" s="133">
        <v>153</v>
      </c>
      <c r="AF10" s="133">
        <v>15.3</v>
      </c>
    </row>
    <row r="11" spans="1:32" x14ac:dyDescent="0.3">
      <c r="A11" s="137" t="s">
        <v>128</v>
      </c>
      <c r="B11" s="137" t="s">
        <v>183</v>
      </c>
      <c r="C11" s="137" t="s">
        <v>184</v>
      </c>
      <c r="D11" s="137" t="s">
        <v>159</v>
      </c>
      <c r="E11" s="137" t="s">
        <v>190</v>
      </c>
      <c r="F11" s="138">
        <v>46255.568541666667</v>
      </c>
      <c r="G11" s="137" t="s">
        <v>179</v>
      </c>
      <c r="H11" s="137">
        <v>398</v>
      </c>
      <c r="I11" s="137" t="s">
        <v>191</v>
      </c>
      <c r="J11" s="138">
        <v>46258.384791666664</v>
      </c>
      <c r="K11" s="138">
        <v>46265.379166666666</v>
      </c>
      <c r="L11" s="138"/>
      <c r="M11" s="137">
        <v>398</v>
      </c>
      <c r="N11" s="137"/>
      <c r="O11" s="137" t="s">
        <v>163</v>
      </c>
      <c r="P11" s="137" t="s">
        <v>164</v>
      </c>
      <c r="Q11" s="137"/>
      <c r="R11" s="137"/>
      <c r="S11" s="137" t="s">
        <v>165</v>
      </c>
      <c r="T11" s="137" t="s">
        <v>166</v>
      </c>
      <c r="U11" s="137" t="s">
        <v>167</v>
      </c>
      <c r="V11" s="137" t="s">
        <v>168</v>
      </c>
      <c r="W11" s="137" t="s">
        <v>168</v>
      </c>
      <c r="X11" s="137" t="s">
        <v>168</v>
      </c>
      <c r="Y11" s="137"/>
      <c r="Z11" s="137">
        <v>1</v>
      </c>
      <c r="AA11" s="137" t="s">
        <v>88</v>
      </c>
      <c r="AB11" s="137" t="s">
        <v>165</v>
      </c>
      <c r="AC11" s="137">
        <v>2300</v>
      </c>
      <c r="AD11" s="137" t="s">
        <v>93</v>
      </c>
      <c r="AE11" s="137">
        <v>398</v>
      </c>
      <c r="AF11" s="137">
        <v>39.799999999999997</v>
      </c>
    </row>
    <row r="12" spans="1:32" x14ac:dyDescent="0.3">
      <c r="A12" s="133" t="s">
        <v>128</v>
      </c>
      <c r="B12" s="133" t="s">
        <v>185</v>
      </c>
      <c r="C12" s="133" t="s">
        <v>186</v>
      </c>
      <c r="D12" s="133" t="s">
        <v>159</v>
      </c>
      <c r="E12" s="133" t="s">
        <v>190</v>
      </c>
      <c r="F12" s="136">
        <v>46255.568541666667</v>
      </c>
      <c r="G12" s="133" t="s">
        <v>179</v>
      </c>
      <c r="H12" s="133">
        <v>1</v>
      </c>
      <c r="I12" s="133" t="s">
        <v>191</v>
      </c>
      <c r="J12" s="136">
        <v>46258.384791666664</v>
      </c>
      <c r="K12" s="136">
        <v>46265.379166666666</v>
      </c>
      <c r="L12" s="136"/>
      <c r="M12" s="133">
        <v>1</v>
      </c>
      <c r="N12" s="133"/>
      <c r="O12" s="133" t="s">
        <v>163</v>
      </c>
      <c r="P12" s="133" t="s">
        <v>164</v>
      </c>
      <c r="Q12" s="133"/>
      <c r="R12" s="133"/>
      <c r="S12" s="133" t="s">
        <v>165</v>
      </c>
      <c r="T12" s="133" t="s">
        <v>166</v>
      </c>
      <c r="U12" s="133" t="s">
        <v>167</v>
      </c>
      <c r="V12" s="133" t="s">
        <v>168</v>
      </c>
      <c r="W12" s="133" t="s">
        <v>168</v>
      </c>
      <c r="X12" s="133" t="s">
        <v>168</v>
      </c>
      <c r="Y12" s="133"/>
      <c r="Z12" s="133"/>
      <c r="AA12" s="133" t="s">
        <v>187</v>
      </c>
      <c r="AB12" s="133" t="s">
        <v>165</v>
      </c>
      <c r="AC12" s="133">
        <v>2300</v>
      </c>
      <c r="AD12" s="133" t="s">
        <v>64</v>
      </c>
      <c r="AE12" s="133">
        <v>1</v>
      </c>
      <c r="AF12" s="133">
        <v>1</v>
      </c>
    </row>
    <row r="13" spans="1:32" x14ac:dyDescent="0.3">
      <c r="A13" s="139" t="s">
        <v>128</v>
      </c>
      <c r="B13" s="139" t="s">
        <v>176</v>
      </c>
      <c r="C13" s="139" t="s">
        <v>177</v>
      </c>
      <c r="D13" s="139" t="s">
        <v>159</v>
      </c>
      <c r="E13" s="139" t="s">
        <v>190</v>
      </c>
      <c r="F13" s="140">
        <v>46255.568541666667</v>
      </c>
      <c r="G13" s="139" t="s">
        <v>179</v>
      </c>
      <c r="H13" s="139">
        <v>1</v>
      </c>
      <c r="I13" s="139" t="s">
        <v>191</v>
      </c>
      <c r="J13" s="140">
        <v>46258.384791666664</v>
      </c>
      <c r="K13" s="140">
        <v>46265.379166666666</v>
      </c>
      <c r="L13" s="140">
        <v>46265.379166666666</v>
      </c>
      <c r="M13" s="139">
        <v>1</v>
      </c>
      <c r="N13" s="139"/>
      <c r="O13" s="139" t="s">
        <v>163</v>
      </c>
      <c r="P13" s="139" t="s">
        <v>181</v>
      </c>
      <c r="Q13" s="139"/>
      <c r="R13" s="139"/>
      <c r="S13" s="139" t="s">
        <v>165</v>
      </c>
      <c r="T13" s="139" t="s">
        <v>166</v>
      </c>
      <c r="U13" s="139" t="s">
        <v>167</v>
      </c>
      <c r="V13" s="139" t="s">
        <v>168</v>
      </c>
      <c r="W13" s="139" t="s">
        <v>168</v>
      </c>
      <c r="X13" s="139" t="s">
        <v>168</v>
      </c>
      <c r="Y13" s="139"/>
      <c r="Z13" s="139"/>
      <c r="AA13" s="139" t="s">
        <v>182</v>
      </c>
      <c r="AB13" s="139" t="s">
        <v>165</v>
      </c>
      <c r="AC13" s="139">
        <v>2300</v>
      </c>
      <c r="AD13" s="139" t="s">
        <v>96</v>
      </c>
      <c r="AE13" s="139">
        <v>1</v>
      </c>
      <c r="AF13" s="139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C5B56-C07E-40D6-901A-F258F3BAA39D}">
  <dimension ref="A1:R3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22.21875" bestFit="1" customWidth="1"/>
    <col min="3" max="3" width="16.77734375" bestFit="1" customWidth="1"/>
    <col min="4" max="4" width="16.44140625" bestFit="1" customWidth="1"/>
    <col min="5" max="5" width="19.777343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7" max="17" width="20.88671875" bestFit="1" customWidth="1"/>
    <col min="18" max="18" width="16.77734375" bestFit="1" customWidth="1"/>
  </cols>
  <sheetData>
    <row r="1" spans="1:18" x14ac:dyDescent="0.3">
      <c r="A1" s="134" t="s">
        <v>131</v>
      </c>
      <c r="B1" s="134" t="s">
        <v>20</v>
      </c>
      <c r="C1" s="134" t="s">
        <v>19</v>
      </c>
      <c r="D1" s="134" t="s">
        <v>134</v>
      </c>
      <c r="E1" s="134" t="s">
        <v>135</v>
      </c>
      <c r="F1" s="134" t="s">
        <v>136</v>
      </c>
      <c r="G1" s="134" t="s">
        <v>139</v>
      </c>
      <c r="H1" s="134" t="s">
        <v>147</v>
      </c>
      <c r="I1" s="134" t="s">
        <v>148</v>
      </c>
      <c r="J1" s="134" t="s">
        <v>149</v>
      </c>
      <c r="K1" s="134" t="s">
        <v>150</v>
      </c>
      <c r="L1" s="134" t="s">
        <v>151</v>
      </c>
      <c r="M1" s="134" t="s">
        <v>152</v>
      </c>
      <c r="N1" s="134" t="s">
        <v>153</v>
      </c>
      <c r="O1" s="134" t="s">
        <v>21</v>
      </c>
      <c r="P1" s="134" t="s">
        <v>154</v>
      </c>
      <c r="Q1" s="134" t="s">
        <v>127</v>
      </c>
      <c r="R1" s="134" t="s">
        <v>156</v>
      </c>
    </row>
    <row r="2" spans="1:18" x14ac:dyDescent="0.3">
      <c r="A2" s="133" t="s">
        <v>128</v>
      </c>
      <c r="B2" s="133" t="s">
        <v>170</v>
      </c>
      <c r="C2" s="133" t="s">
        <v>130</v>
      </c>
      <c r="D2" s="136">
        <v>46282.336180555554</v>
      </c>
      <c r="E2" s="133" t="s">
        <v>161</v>
      </c>
      <c r="F2" s="133">
        <v>4</v>
      </c>
      <c r="G2" s="136">
        <v>46287.444444444445</v>
      </c>
      <c r="H2" s="133" t="s">
        <v>165</v>
      </c>
      <c r="I2" s="133" t="s">
        <v>166</v>
      </c>
      <c r="J2" s="133" t="s">
        <v>167</v>
      </c>
      <c r="K2" s="133" t="s">
        <v>128</v>
      </c>
      <c r="L2" s="133" t="s">
        <v>173</v>
      </c>
      <c r="M2" s="133" t="s">
        <v>167</v>
      </c>
      <c r="N2" s="133">
        <v>0</v>
      </c>
      <c r="O2" s="133" t="s">
        <v>36</v>
      </c>
      <c r="P2" s="133" t="s">
        <v>165</v>
      </c>
      <c r="Q2" s="133" t="s">
        <v>53</v>
      </c>
      <c r="R2" s="133">
        <v>1</v>
      </c>
    </row>
    <row r="3" spans="1:18" x14ac:dyDescent="0.3">
      <c r="A3" s="139" t="s">
        <v>128</v>
      </c>
      <c r="B3" s="139" t="s">
        <v>170</v>
      </c>
      <c r="C3" s="139" t="s">
        <v>130</v>
      </c>
      <c r="D3" s="140">
        <v>46281.658784722225</v>
      </c>
      <c r="E3" s="139" t="s">
        <v>161</v>
      </c>
      <c r="F3" s="139">
        <v>6</v>
      </c>
      <c r="G3" s="140">
        <v>46287.444444444445</v>
      </c>
      <c r="H3" s="139" t="s">
        <v>165</v>
      </c>
      <c r="I3" s="139" t="s">
        <v>166</v>
      </c>
      <c r="J3" s="139" t="s">
        <v>167</v>
      </c>
      <c r="K3" s="139" t="s">
        <v>128</v>
      </c>
      <c r="L3" s="139" t="s">
        <v>173</v>
      </c>
      <c r="M3" s="139" t="s">
        <v>167</v>
      </c>
      <c r="N3" s="139"/>
      <c r="O3" s="139" t="s">
        <v>36</v>
      </c>
      <c r="P3" s="139" t="s">
        <v>165</v>
      </c>
      <c r="Q3" s="139" t="s">
        <v>53</v>
      </c>
      <c r="R3" s="139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2026-10-06T17:25:45Z</dcterms:created>
  <dcterms:modified xsi:type="dcterms:W3CDTF">2026-10-06T17:25:45Z</dcterms:modified>
</cp:coreProperties>
</file>
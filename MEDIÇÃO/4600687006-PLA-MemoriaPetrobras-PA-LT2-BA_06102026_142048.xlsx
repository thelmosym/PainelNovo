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C9FA3DF8-F20F-4985-97B0-72FE79E9DA90}" xr6:coauthVersionLast="47" xr6:coauthVersionMax="47" xr10:uidLastSave="{00000000-0000-0000-0000-000000000000}"/>
  <bookViews>
    <workbookView xWindow="-108" yWindow="-108" windowWidth="30936" windowHeight="16776" activeTab="3" xr2:uid="{82AE13AF-AB86-479A-BE3A-0EA57086320C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K38" i="1" s="1"/>
  <c r="M38" i="1" s="1"/>
  <c r="J36" i="1"/>
  <c r="J35" i="1"/>
  <c r="K35" i="1" s="1"/>
  <c r="J34" i="1"/>
  <c r="K34" i="1" s="1"/>
  <c r="M34" i="1" s="1"/>
  <c r="J33" i="1"/>
  <c r="J32" i="1"/>
  <c r="J31" i="1"/>
  <c r="J30" i="1"/>
  <c r="G29" i="1"/>
  <c r="F29" i="1"/>
  <c r="E29" i="1"/>
  <c r="D29" i="1"/>
  <c r="J28" i="1"/>
  <c r="G26" i="1"/>
  <c r="F26" i="1"/>
  <c r="E26" i="1"/>
  <c r="H26" i="1" s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K19" i="1" s="1"/>
  <c r="M19" i="1" s="1"/>
  <c r="G17" i="1"/>
  <c r="F17" i="1"/>
  <c r="E17" i="1"/>
  <c r="D17" i="1"/>
  <c r="J16" i="1"/>
  <c r="G14" i="1"/>
  <c r="F14" i="1"/>
  <c r="E14" i="1"/>
  <c r="D14" i="1"/>
  <c r="H14" i="1" s="1"/>
  <c r="J13" i="1"/>
  <c r="M46" i="1"/>
  <c r="K46" i="1"/>
  <c r="K45" i="1"/>
  <c r="M45" i="1" s="1"/>
  <c r="M44" i="1"/>
  <c r="K44" i="1"/>
  <c r="K43" i="1"/>
  <c r="M43" i="1" s="1"/>
  <c r="K42" i="1"/>
  <c r="M42" i="1" s="1"/>
  <c r="K41" i="1"/>
  <c r="M41" i="1" s="1"/>
  <c r="M40" i="1"/>
  <c r="K40" i="1"/>
  <c r="M39" i="1"/>
  <c r="K39" i="1"/>
  <c r="M36" i="1"/>
  <c r="K36" i="1"/>
  <c r="K33" i="1"/>
  <c r="M33" i="1" s="1"/>
  <c r="K32" i="1"/>
  <c r="M32" i="1" s="1"/>
  <c r="K31" i="1"/>
  <c r="M31" i="1" s="1"/>
  <c r="M30" i="1"/>
  <c r="K30" i="1"/>
  <c r="H29" i="1"/>
  <c r="K28" i="1"/>
  <c r="M28" i="1" s="1"/>
  <c r="K25" i="1"/>
  <c r="M25" i="1" s="1"/>
  <c r="H23" i="1"/>
  <c r="K22" i="1"/>
  <c r="M22" i="1" s="1"/>
  <c r="H17" i="1"/>
  <c r="K16" i="1"/>
  <c r="M16" i="1" s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E8C8FF8E-415E-4235-9C26-C3AD44AB627F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39DA10AE-D5A1-4C11-89FA-15844D5AD656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8D7C5954-5D55-48D2-9AD2-48801A600860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C2DD7AA3-71AE-470A-A261-64976FAD377B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970C7B5F-FEC0-48C9-BDC7-43E22ED86969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<sst xmlns="http://schemas.openxmlformats.org/spreadsheetml/2006/main" count="3879" uniqueCount="373">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</sst>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F288E-E601-448A-B35D-993F0C3C4E96}" name="ARM_PA_LT2" displayName="ARM_PA_LT2" ref="A1:J15" totalsRowShown="0" headerRowDxfId="29" headerRowBorderDxfId="31" tableBorderDxfId="32">
  <autoFilter ref="A1:J15" xr:uid="{E9DF288E-E601-448A-B35D-993F0C3C4E96}"/>
  <tableColumns count="10">
    <tableColumn id="1" xr3:uid="{C1C07AAF-373C-4689-BCF7-CDA4B0810477}" name="MEDIDAS CONTRATO"/>
    <tableColumn id="2" xr3:uid="{9EE91C4D-FCC5-4D1D-8A29-9208121D272F}" name="Item"/>
    <tableColumn id="3" xr3:uid="{1E56E790-5D9F-4055-81E0-DAE74FF25E4C}" name="QUAm-1"/>
    <tableColumn id="4" xr3:uid="{6D18D2D3-0479-4EF6-98D4-CC1B72E596D4}" name="QBm"/>
    <tableColumn id="5" xr3:uid="{DA34B18B-A1A4-41E0-9AAC-FE5F2D12D4B5}" name="QDm"/>
    <tableColumn id="6" xr3:uid="{ECC880F7-78FB-4816-BD1E-CAA408B24D5E}" name="QNm"/>
    <tableColumn id="7" xr3:uid="{C4B985DE-E661-47FC-A9A3-F31AFFD36310}" name="QUAm"/>
    <tableColumn id="8" xr3:uid="{F674956C-0AF2-4FEE-8A0A-A01598FB248F}" name="FC" dataDxfId="30"/>
    <tableColumn id="9" xr3:uid="{337D59FA-BD9C-42E0-A0E2-0326A4913899}" name="QUA"/>
    <tableColumn id="10" xr3:uid="{2AE2A90D-0DA6-4A74-85D9-3370E9B862C9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98AFF0-2416-40DC-99EB-AAE7FCA7EFAF}" name="DADOS_PA_LT2" displayName="DADOS_PA_LT2" ref="A1:AF163" totalsRowShown="0" headerRowDxfId="22" headerRowBorderDxfId="27" tableBorderDxfId="28">
  <autoFilter ref="A1:AF163" xr:uid="{0998AFF0-2416-40DC-99EB-AAE7FCA7EFAF}"/>
  <tableColumns count="32">
    <tableColumn id="1" xr3:uid="{909A9B68-F088-4839-BE54-B0F31D56B145}" name="Contrato.1"/>
    <tableColumn id="2" xr3:uid="{B48B5B71-7B61-40C9-AB8E-A3172557357B}" name="Descrição da atividade"/>
    <tableColumn id="3" xr3:uid="{341B268B-336E-4436-818B-55F2651A2171}" name="Item"/>
    <tableColumn id="4" xr3:uid="{9222F594-B238-440C-99D8-0AA2F7025C76}" name="Aplicação"/>
    <tableColumn id="5" xr3:uid="{9B690AE2-F2A6-476D-817A-F885F20B76BF}" name="Código da_x000a_solicitação"/>
    <tableColumn id="6" xr3:uid="{252BAE70-8266-4BA1-8CD7-81B12955149F}" name="Data solicitação" dataDxfId="26"/>
    <tableColumn id="7" xr3:uid="{2C198F1F-39F6-49FD-AAFC-46EF3782740C}" name="Gerência solicitante"/>
    <tableColumn id="8" xr3:uid="{17611B3C-6F5E-4DEE-A0AA-0B11AF37912B}" name="Qtd._x000a_Solicitada"/>
    <tableColumn id="9" xr3:uid="{788178E3-DA70-464A-A411-6EBEB482656B}" name="Código OS"/>
    <tableColumn id="10" xr3:uid="{DD5C5319-48D3-4748-B07E-D345BED04401}" name="D. abertura" dataDxfId="25"/>
    <tableColumn id="11" xr3:uid="{E4696C87-160A-4AA3-97BC-50CFA0494291}" name="D. fechamento" dataDxfId="24"/>
    <tableColumn id="12" xr3:uid="{D02719FB-43B6-4E5A-B038-CF3D5368DB10}" name="Prazo combinado" dataDxfId="23"/>
    <tableColumn id="13" xr3:uid="{68355073-C1C8-4497-9E52-339403F3392F}" name="Qtd._x000a_Atendida"/>
    <tableColumn id="14" xr3:uid="{1D852403-D99B-4E07-A67F-B8F396089655}" name="Agrupamento"/>
    <tableColumn id="15" xr3:uid="{E504D479-0361-4C94-8A7B-ACF66A29D750}" name="Classificação"/>
    <tableColumn id="16" xr3:uid="{3E97EE7D-3FBE-4AA4-B8E8-E1FD770276EE}" name="FDM"/>
    <tableColumn id="17" xr3:uid="{14CAF845-E97E-438A-8011-9C8244B8CC6B}" name="Obs. Isenção"/>
    <tableColumn id="18" xr3:uid="{4228BAAC-2617-4497-B08D-9E7EC8511517}" name="FA"/>
    <tableColumn id="19" xr3:uid="{A048E532-47C3-4AD4-8F97-CA692A52C4A0}" name="Localidade - Origem"/>
    <tableColumn id="20" xr3:uid="{C22FBBAC-672D-4FA9-869A-715B76AB14EE}" name="Município - Origem"/>
    <tableColumn id="21" xr3:uid="{FDCB01B2-3BE3-4D9B-8CB4-5399524286B2}" name="UF - Origem"/>
    <tableColumn id="22" xr3:uid="{ECF6B407-A00B-408A-87AD-1103C09D0042}" name="Localidade - Destino"/>
    <tableColumn id="23" xr3:uid="{CAD46185-8DB7-4F04-860A-FC7472E2BB34}" name="Município - Destino"/>
    <tableColumn id="24" xr3:uid="{5F08509B-5484-42E8-972A-70024B4A05DE}" name="UF - Destino"/>
    <tableColumn id="25" xr3:uid="{CA43FB38-B382-4DDE-A0C6-237B9A2F3184}" name="KM Adicional"/>
    <tableColumn id="26" xr3:uid="{84FCE637-2FEA-440A-AADD-BEEE3BE27922}" name="FC"/>
    <tableColumn id="27" xr3:uid="{64C53BB0-7561-4C8C-B867-FF6FA5186ABB}" name="Unidade"/>
    <tableColumn id="28" xr3:uid="{1C6FE2B5-EE65-42AD-AD8D-DEE1135652E4}" name="Centro"/>
    <tableColumn id="29" xr3:uid="{F8517EAE-0A94-4B78-A53C-F98CBD88B435}" name="Código Centro"/>
    <tableColumn id="30" xr3:uid="{509A3D50-9B44-4941-A256-3D7B66C54195}" name="Linha de serviço PPU"/>
    <tableColumn id="31" xr3:uid="{B41C67F7-2017-41B3-A9B4-CE24E6290099}" name="QExec"/>
    <tableColumn id="32" xr3:uid="{C24C8009-5C76-41F5-AB73-005E46036755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B1D29D-463F-433E-82C7-088E0B3C8B29}" name="FRETE_PA_LT2" displayName="FRETE_PA_LT2" ref="A1:R58" totalsRowShown="0" headerRowDxfId="0" dataDxfId="1" headerRowBorderDxfId="20" tableBorderDxfId="21">
  <autoFilter ref="A1:R58" xr:uid="{40B1D29D-463F-433E-82C7-088E0B3C8B29}"/>
  <tableColumns count="18">
    <tableColumn id="1" xr3:uid="{A27EF829-9D19-426B-BA87-6E89BAD74812}" name="Contrato.1" dataDxfId="19"/>
    <tableColumn id="2" xr3:uid="{85769DCB-FA28-4BAA-A8A0-852E6F0C7DFE}" name="Descrição da atividade" dataDxfId="18"/>
    <tableColumn id="3" xr3:uid="{875C7A07-B422-4CD0-8F5E-D215311A1ACA}" name="Item" dataDxfId="17"/>
    <tableColumn id="4" xr3:uid="{B8D6D81C-57F2-413A-B680-EE0C3D85D409}" name="Data solicitação" dataDxfId="16"/>
    <tableColumn id="5" xr3:uid="{0C45247E-DBB9-41DA-B9F9-C5B1CEF7C208}" name="Gerência solicitante" dataDxfId="15"/>
    <tableColumn id="6" xr3:uid="{FFEB961C-ED4F-4160-9385-20FC07D29C00}" name="Qtd._x000a_Solicitada" dataDxfId="14"/>
    <tableColumn id="7" xr3:uid="{0A85B60D-056E-4690-B631-C3EACB46CECC}" name="D. fechamento" dataDxfId="13"/>
    <tableColumn id="8" xr3:uid="{33F6098E-F98E-4051-B4F8-8A3BD50F2259}" name="Localidade - Origem" dataDxfId="12"/>
    <tableColumn id="9" xr3:uid="{0DCEB158-4C44-4CB1-ABC3-6C55E9B3ACCE}" name="Município - Origem" dataDxfId="11"/>
    <tableColumn id="10" xr3:uid="{E5B6857C-3970-4C87-8260-1C37495A40AA}" name="UF - Origem" dataDxfId="10"/>
    <tableColumn id="11" xr3:uid="{EDC89430-75D6-420F-BBE8-FFEC64073129}" name="Localidade - Destino" dataDxfId="9"/>
    <tableColumn id="12" xr3:uid="{AB229E11-8506-4725-8882-FB77D22D5FB9}" name="Município - Destino" dataDxfId="8"/>
    <tableColumn id="13" xr3:uid="{C574020C-45EE-4DA8-AC93-40A6A6EEA4E5}" name="UF - Destino" dataDxfId="7"/>
    <tableColumn id="14" xr3:uid="{091C60DE-D486-4BD8-8C49-8CE1F8970C3B}" name="KM Adicional" dataDxfId="6"/>
    <tableColumn id="15" xr3:uid="{D83DAB91-A3B3-48D6-8419-87AA3CC2F964}" name="Unidade" dataDxfId="5"/>
    <tableColumn id="16" xr3:uid="{36FC159D-734E-42CE-B61E-CF09CCCD6A03}" name="Centro" dataDxfId="4"/>
    <tableColumn id="17" xr3:uid="{98D3E2E9-FA21-413A-9C31-AD7F717D3817}" name="Linha de serviço PPU" dataDxfId="3"/>
    <tableColumn id="18" xr3:uid="{B4F1BF57-F80C-43C5-953D-CA8FF8D5B497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427A-756D-4134-827D-E612C755E49A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98311.7</v>
      </c>
      <c r="L13" s="68">
        <v>0.9</v>
      </c>
      <c r="M13" s="69">
        <f>K13*L13</f>
        <v>88480.53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2024.4499999999998</v>
      </c>
      <c r="L19" s="68">
        <v>0.9</v>
      </c>
      <c r="M19" s="69">
        <f>K19*L19</f>
        <v>1822.0049999999999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10.734999999999999</v>
      </c>
      <c r="L30" s="94">
        <v>50</v>
      </c>
      <c r="M30" s="81">
        <f t="shared" ref="M30:M36" si="0">K30*L30</f>
        <v>536.75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644.1</v>
      </c>
      <c r="L32" s="94">
        <v>1</v>
      </c>
      <c r="M32" s="98">
        <f t="shared" si="0"/>
        <v>644.1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111.05500000000001</v>
      </c>
      <c r="L33" s="94">
        <v>3</v>
      </c>
      <c r="M33" s="98">
        <f t="shared" si="0"/>
        <v>333.16500000000002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92355.199999999997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09853-4A74-4E27-A863-AD4AFFB55D16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19242-E388-46BD-8C4A-D0C91481FAB7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FFA4-9F77-4C72-85C3-2D24B30DD4E3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2026-10-06T17:20:47Z</dcterms:created>
  <dcterms:modified xsi:type="dcterms:W3CDTF">2026-10-06T17:20:48Z</dcterms:modified>
</cp:coreProperties>
</file>
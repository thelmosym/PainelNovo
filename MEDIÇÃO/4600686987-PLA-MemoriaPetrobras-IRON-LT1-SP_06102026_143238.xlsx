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6E723D83-84F8-4B1C-B1B6-5AD288A1D5AE}" xr6:coauthVersionLast="47" xr6:coauthVersionMax="47" xr10:uidLastSave="{00000000-0000-0000-0000-000000000000}"/>
  <bookViews>
    <workbookView xWindow="-108" yWindow="-108" windowWidth="30936" windowHeight="16776" activeTab="3" xr2:uid="{492D6637-5D32-4A0C-ACAA-E48D6AACB73B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7" i="1" l="1"/>
  <c r="J46" i="1"/>
  <c r="J45" i="1"/>
  <c r="J44" i="1"/>
  <c r="J43" i="1"/>
  <c r="J42" i="1"/>
  <c r="J41" i="1"/>
  <c r="J40" i="1"/>
  <c r="M40" i="1" s="1"/>
  <c r="J39" i="1"/>
  <c r="M39" i="1" s="1"/>
  <c r="J38" i="1"/>
  <c r="J36" i="1"/>
  <c r="M36" i="1" s="1"/>
  <c r="J35" i="1"/>
  <c r="J34" i="1"/>
  <c r="J33" i="1"/>
  <c r="J32" i="1"/>
  <c r="J31" i="1"/>
  <c r="J30" i="1"/>
  <c r="G29" i="1"/>
  <c r="F29" i="1"/>
  <c r="E29" i="1"/>
  <c r="D29" i="1"/>
  <c r="J28" i="1"/>
  <c r="G26" i="1"/>
  <c r="H26" i="1" s="1"/>
  <c r="F26" i="1"/>
  <c r="E26" i="1"/>
  <c r="D26" i="1"/>
  <c r="J25" i="1"/>
  <c r="G23" i="1"/>
  <c r="F23" i="1"/>
  <c r="E23" i="1"/>
  <c r="D23" i="1"/>
  <c r="J22" i="1"/>
  <c r="M22" i="1" s="1"/>
  <c r="G20" i="1"/>
  <c r="F20" i="1"/>
  <c r="E20" i="1"/>
  <c r="H20" i="1" s="1"/>
  <c r="D20" i="1"/>
  <c r="J19" i="1"/>
  <c r="G17" i="1"/>
  <c r="F17" i="1"/>
  <c r="E17" i="1"/>
  <c r="D17" i="1"/>
  <c r="J16" i="1"/>
  <c r="G14" i="1"/>
  <c r="F14" i="1"/>
  <c r="E14" i="1"/>
  <c r="H14" i="1" s="1"/>
  <c r="D14" i="1"/>
  <c r="J13" i="1"/>
  <c r="M13" i="1" s="1"/>
  <c r="M48" i="1" s="1"/>
  <c r="M47" i="1"/>
  <c r="K47" i="1"/>
  <c r="M46" i="1"/>
  <c r="K46" i="1"/>
  <c r="M45" i="1"/>
  <c r="K45" i="1"/>
  <c r="M44" i="1"/>
  <c r="K44" i="1"/>
  <c r="M43" i="1"/>
  <c r="K43" i="1"/>
  <c r="M42" i="1"/>
  <c r="K42" i="1"/>
  <c r="M41" i="1"/>
  <c r="K41" i="1"/>
  <c r="M38" i="1"/>
  <c r="K38" i="1"/>
  <c r="M35" i="1"/>
  <c r="K35" i="1"/>
  <c r="M34" i="1"/>
  <c r="K34" i="1"/>
  <c r="M33" i="1"/>
  <c r="K33" i="1"/>
  <c r="M32" i="1"/>
  <c r="K32" i="1"/>
  <c r="M31" i="1"/>
  <c r="K31" i="1"/>
  <c r="M30" i="1"/>
  <c r="K30" i="1"/>
  <c r="H29" i="1"/>
  <c r="M28" i="1"/>
  <c r="K28" i="1"/>
  <c r="M25" i="1"/>
  <c r="K25" i="1"/>
  <c r="H23" i="1"/>
  <c r="M19" i="1"/>
  <c r="K19" i="1"/>
  <c r="H17" i="1"/>
  <c r="M16" i="1"/>
  <c r="K16" i="1"/>
  <c r="K36" i="1" l="1"/>
  <c r="K22" i="1"/>
  <c r="K39" i="1"/>
  <c r="K13" i="1"/>
  <c r="K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F4E7FD92-DEED-46BD-BF65-11B9C39F3B64}">
      <text>
        <r>
          <rPr>
            <sz val="11"/>
            <color theme="1"/>
            <rFont val="Aptos Narrow"/>
            <family val="2"/>
            <scheme val="minor"/>
          </rPr>
          <t>Índice de Conformidade do Prazo de Atendimento
======</t>
        </r>
      </text>
    </comment>
    <comment ref="M5" authorId="0" shapeId="0" xr:uid="{F8BB0218-C12C-41BF-B4C2-A5DC7DEFB8CC}">
      <text>
        <r>
          <rPr>
            <sz val="11"/>
            <color theme="1"/>
            <rFont val="Aptos Narrow"/>
            <family val="2"/>
            <scheme val="minor"/>
          </rPr>
          <t>Fator de Desempenho Mensal
======</t>
        </r>
      </text>
    </comment>
    <comment ref="J10" authorId="0" shapeId="0" xr:uid="{16353A31-2DB4-4E6D-A63D-0B7CCF36ED2D}">
      <text>
        <r>
          <rPr>
            <sz val="11"/>
            <color theme="1"/>
            <rFont val="Aptos Narrow"/>
            <family val="2"/>
            <scheme val="minor"/>
          </rPr>
          <t>Quantidade executada pela CONTRATADA
======</t>
        </r>
      </text>
    </comment>
    <comment ref="K10" authorId="0" shapeId="0" xr:uid="{7449E3BE-4C4C-415E-8D74-63F32A895EE9}">
      <text>
        <r>
          <rPr>
            <sz val="11"/>
            <color theme="1"/>
            <rFont val="Aptos Narrow"/>
            <family val="2"/>
            <scheme val="minor"/>
          </rPr>
          <t>Quantidade final a ser paga à CONTRATADA 
======</t>
        </r>
      </text>
    </comment>
    <comment ref="D13" authorId="0" shapeId="0" xr:uid="{4A7A4175-6F09-4355-9769-408957291358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9695C225-3401-4939-AA96-199C75CEF5CE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325D260D-4DB3-4440-B9D9-F1B67FB2A4C2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2798893F-88D6-495E-967F-2E08724171FD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DBC7FDEA-0576-4248-9A7F-32EB7BC42FBB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<sst xmlns="http://schemas.openxmlformats.org/spreadsheetml/2006/main" count="943" uniqueCount="251">
  <si>
    <t>P E T R O L E O  B R A S I L E I R O  S. A.  P E T R O B R A S</t>
  </si>
  <si>
    <t>M E M Ó R I A   D E   C Á L C U L O   D E   M E D I Ç Ã O</t>
  </si>
  <si>
    <t xml:space="preserve">Razão Social: </t>
  </si>
  <si>
    <t>IRON MOUNTAIN DO BRASIL LTDA</t>
  </si>
  <si>
    <t xml:space="preserve">CNPJ: </t>
  </si>
  <si>
    <t>04.120.966/0001-13</t>
  </si>
  <si>
    <t>Item 1 PPU</t>
  </si>
  <si>
    <t>IAPEFARQ:</t>
  </si>
  <si>
    <t xml:space="preserve">Contrato SAP: </t>
  </si>
  <si>
    <t>Área contrato:</t>
  </si>
  <si>
    <t>Lote 1</t>
  </si>
  <si>
    <t>FDM:</t>
  </si>
  <si>
    <t>Objeto:</t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</si>
  <si>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</si>
  <si>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</si>
  <si>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</si>
  <si>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</si>
  <si>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</si>
  <si>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26/07/2026  à  25/08/2026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</si>
  <si>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</si>
  <si>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</si>
  <si>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</si>
  <si>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</si>
  <si>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</si>
  <si>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</si>
  <si>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</si>
  <si>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</si>
  <si>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</si>
  <si>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</si>
  <si>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</si>
  <si>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1.1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</si>
  <si>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</si>
  <si>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</si>
  <si>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</si>
  <si>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</si>
  <si>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</si>
  <si>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</si>
  <si>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</si>
  <si>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</si>
  <si>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</si>
  <si>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</si>
  <si>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</si>
  <si>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</si>
  <si>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</si>
  <si>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</si>
  <si>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</si>
  <si>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</si>
  <si>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</si>
  <si>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</si>
  <si>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</si>
  <si>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</si>
  <si>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</si>
  <si>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</si>
  <si>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FRE-NRM</t>
  </si>
  <si>
    <t xml:space="preserve">Frete normal </t>
  </si>
  <si>
    <t>Frete</t>
  </si>
  <si>
    <t>1.8</t>
  </si>
  <si>
    <t>FRE-EXP</t>
  </si>
  <si>
    <t>Frete expresso</t>
  </si>
  <si>
    <t>1.9</t>
  </si>
  <si>
    <t>KM-AD</t>
  </si>
  <si>
    <t>Quilometragem adicional</t>
  </si>
  <si>
    <t>KM</t>
  </si>
  <si>
    <t>1.10</t>
  </si>
  <si>
    <t>PES-ITEM</t>
  </si>
  <si>
    <t>Pesquisa de itens avulsos</t>
  </si>
  <si>
    <t>Item Avulso</t>
  </si>
  <si>
    <t>1.11</t>
  </si>
  <si>
    <t>DES-EMB</t>
  </si>
  <si>
    <t>Destruição segura de documentos</t>
  </si>
  <si>
    <t>1.12</t>
  </si>
  <si>
    <t>TRANSF</t>
  </si>
  <si>
    <t>Transferência inicial de acervo documental</t>
  </si>
  <si>
    <t>Transferência</t>
  </si>
  <si>
    <t>1.13</t>
  </si>
  <si>
    <t>MIGR-UA</t>
  </si>
  <si>
    <t xml:space="preserve">Migração de acervo documental para digitalização </t>
  </si>
  <si>
    <t>Gerenciamento de Documentos e Informações</t>
  </si>
  <si>
    <t>2.1</t>
  </si>
  <si>
    <t>CAT-ITEM</t>
  </si>
  <si>
    <t>Catalogação de documentos digitalizados</t>
  </si>
  <si>
    <t>Documento</t>
  </si>
  <si>
    <t>2.2</t>
  </si>
  <si>
    <t>ORG-DOC</t>
  </si>
  <si>
    <t>Organização de documentos para digitalização</t>
  </si>
  <si>
    <t>2.3</t>
  </si>
  <si>
    <t>DIG-MI</t>
  </si>
  <si>
    <t xml:space="preserve">Digitalização de microfilmes </t>
  </si>
  <si>
    <t>UD</t>
  </si>
  <si>
    <t>2.4</t>
  </si>
  <si>
    <t>DIG-MF</t>
  </si>
  <si>
    <t>Digitalização de microfichas</t>
  </si>
  <si>
    <t>2.5</t>
  </si>
  <si>
    <t>DIG-DOC</t>
  </si>
  <si>
    <t>Digitalização de documentos</t>
  </si>
  <si>
    <t>2.6</t>
  </si>
  <si>
    <t>IND-DOC</t>
  </si>
  <si>
    <t xml:space="preserve">Indexação de documentos </t>
  </si>
  <si>
    <t xml:space="preserve">UD </t>
  </si>
  <si>
    <t>2.7</t>
  </si>
  <si>
    <t>CONV-MID</t>
  </si>
  <si>
    <t>Conversão de mídias</t>
  </si>
  <si>
    <t>Mídia</t>
  </si>
  <si>
    <t>2.8</t>
  </si>
  <si>
    <t>GRV-MID</t>
  </si>
  <si>
    <t>Gravação de mídias</t>
  </si>
  <si>
    <t>2.9</t>
  </si>
  <si>
    <t>COP-MID</t>
  </si>
  <si>
    <t>Cópia de mídias</t>
  </si>
  <si>
    <t>2.10</t>
  </si>
  <si>
    <t>COP-VID</t>
  </si>
  <si>
    <t>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</si>
  <si>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</si>
  <si>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</si>
  <si>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</si>
  <si>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</si>
  <si>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</si>
  <si>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</si>
  <si>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</si>
  <si>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</si>
  <si>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</si>
  <si>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</si>
  <si>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</si>
  <si>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Contrato-Reg.</t>
  </si>
  <si>
    <t>MEDIDAS CONTRATO</t>
  </si>
  <si>
    <t>FC</t>
  </si>
  <si>
    <t>QUA</t>
  </si>
  <si>
    <t>Linha de serviço PPU</t>
  </si>
  <si>
    <t>IRON-LT1-SP</t>
  </si>
  <si>
    <t>A 25,0 X L 14,0 X P 37,0</t>
  </si>
  <si>
    <t>Caixa 5 kg</t>
  </si>
  <si>
    <t>A 29,0 X L 18,0 X P 41,0</t>
  </si>
  <si>
    <t>Caixa 7 kg</t>
  </si>
  <si>
    <t>A 30,0 X L 19,0 X P 39,0</t>
  </si>
  <si>
    <t>Caixa 10 kg (Jumbo)</t>
  </si>
  <si>
    <t>A 29 X L 41 X P 37</t>
  </si>
  <si>
    <t>Caixa 20 kg - Tipo 1</t>
  </si>
  <si>
    <t>A 29 X L 40 X P 50</t>
  </si>
  <si>
    <t>Caixa 20 kg - Tipo 2</t>
  </si>
  <si>
    <t>Caixa 20 kg (contendo Mídias e Microfilmes)</t>
  </si>
  <si>
    <t>Ø10,0 P 120,0</t>
  </si>
  <si>
    <t>Tubo de Engenharia</t>
  </si>
  <si>
    <t>A 34,0 X L 37,0 X P 12,0</t>
  </si>
  <si>
    <t>Caixa para mídias - Tipo 1</t>
  </si>
  <si>
    <t>A 10,0 X L 10,0 X P 2,5</t>
  </si>
  <si>
    <t>Microfilme</t>
  </si>
  <si>
    <t>A 11,0 X L 15,5 X P 0,3</t>
  </si>
  <si>
    <t>Microficha</t>
  </si>
  <si>
    <t>A 12,5 X L 14 X P 0,5</t>
  </si>
  <si>
    <t>Mídia óptica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</si>
  <si>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</si>
  <si>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</si>
  <si>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</si>
  <si>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</si>
  <si>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</si>
  <si>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</si>
  <si>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</si>
  <si>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</si>
  <si>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</si>
  <si>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</si>
  <si>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</si>
  <si>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</si>
  <si>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</si>
  <si>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</si>
  <si>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</si>
  <si>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</si>
  <si>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</si>
  <si>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</si>
  <si>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</si>
  <si>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</si>
  <si>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</si>
  <si>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</si>
  <si>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</si>
  <si>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</si>
  <si>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</si>
  <si>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</si>
  <si>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COLETA DE EMBALAGEM</t>
  </si>
  <si>
    <t>ServiceNow</t>
  </si>
  <si>
    <t>CSC0895221</t>
  </si>
  <si>
    <t>REVAP/ES/BS</t>
  </si>
  <si>
    <t>307307347</t>
  </si>
  <si>
    <t>Normal</t>
  </si>
  <si>
    <t>NP</t>
  </si>
  <si>
    <t>REVAP</t>
  </si>
  <si>
    <t>São José dos Campos</t>
  </si>
  <si>
    <t>SP</t>
  </si>
  <si>
    <t>São Paulo</t>
  </si>
  <si>
    <t>MATERIAL PARA ARQUIVAMENTO</t>
  </si>
  <si>
    <t>Kit de material</t>
  </si>
  <si>
    <t>CSC0895243</t>
  </si>
  <si>
    <t>307287104</t>
  </si>
  <si>
    <t>N/A</t>
  </si>
  <si>
    <t>kit de material</t>
  </si>
  <si>
    <t>CSC0895237</t>
  </si>
  <si>
    <t>CSC0895233</t>
  </si>
  <si>
    <t>CSC0883685</t>
  </si>
  <si>
    <t>306928149</t>
  </si>
  <si>
    <t>FP</t>
  </si>
  <si>
    <t>ENTREGA DE EMBALAGEM NORMAL</t>
  </si>
  <si>
    <t>CSC0892597</t>
  </si>
  <si>
    <t>307244693</t>
  </si>
  <si>
    <t>CSC0888379</t>
  </si>
  <si>
    <t>307060460</t>
  </si>
  <si>
    <t>DEVOLUCAO DE EMPRESTIMO</t>
  </si>
  <si>
    <t>Embalagem</t>
  </si>
  <si>
    <t>CSC0895268</t>
  </si>
  <si>
    <t>307287216</t>
  </si>
  <si>
    <t>CSC0892603</t>
  </si>
  <si>
    <t>307248627</t>
  </si>
  <si>
    <t>CSC0893644</t>
  </si>
  <si>
    <t>REPLAN/ES/PROJ</t>
  </si>
  <si>
    <t>307244059</t>
  </si>
  <si>
    <t>REPLAN</t>
  </si>
  <si>
    <t>Paulínia</t>
  </si>
  <si>
    <t>CSC0893645</t>
  </si>
  <si>
    <t>307244122</t>
  </si>
  <si>
    <t>CSC0880332</t>
  </si>
  <si>
    <t>306824854</t>
  </si>
  <si>
    <t>CSC0881531</t>
  </si>
  <si>
    <t>306854996</t>
  </si>
  <si>
    <t>PESQUISA DE ITEM AVULSO NORMAL</t>
  </si>
  <si>
    <t>Item documental em caixa</t>
  </si>
  <si>
    <t>CSC0888852</t>
  </si>
  <si>
    <t>REPAR/ES/PROJ</t>
  </si>
  <si>
    <t>307111800</t>
  </si>
  <si>
    <t>EDISA</t>
  </si>
  <si>
    <t>Santos</t>
  </si>
  <si>
    <t>Item avulso</t>
  </si>
  <si>
    <t>FDM definido</t>
  </si>
  <si>
    <t>INDEXACAO DE DOCUMENTO</t>
  </si>
  <si>
    <t>Documentação administrativa</t>
  </si>
  <si>
    <t>Indexação</t>
  </si>
  <si>
    <t>DIGITALIZACAO DE DOCUMENTO ADMINISTRATIVO</t>
  </si>
  <si>
    <t>Documento - Formato A4</t>
  </si>
  <si>
    <t>CSC0871247</t>
  </si>
  <si>
    <t>RH/RBO/COA/CB</t>
  </si>
  <si>
    <t>306626312</t>
  </si>
  <si>
    <t>CSC0871220</t>
  </si>
  <si>
    <t>306626352</t>
  </si>
  <si>
    <t>CSC0870608</t>
  </si>
  <si>
    <t>306646965</t>
  </si>
  <si>
    <t>CSC0870159</t>
  </si>
  <si>
    <t>306655607</t>
  </si>
  <si>
    <t>CSC0871652</t>
  </si>
  <si>
    <t>306630144</t>
  </si>
  <si>
    <t>CSC0889662</t>
  </si>
  <si>
    <t>G&amp;E/TERM/UTE-CAN</t>
  </si>
  <si>
    <t>307115779</t>
  </si>
  <si>
    <t>UTE-CANOAS</t>
  </si>
  <si>
    <t>Canoas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</si>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</sst>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/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/>
    </xf>
    <xf numFmtId="0" fontId="12" fillId="0" borderId="19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" fontId="12" fillId="0" borderId="16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" fontId="12" fillId="0" borderId="21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1" xfId="0" applyNumberFormat="1" applyFont="1" applyBorder="1" applyAlignment="1">
      <alignment horizontal="right" vertical="center"/>
    </xf>
    <xf numFmtId="0" fontId="5" fillId="0" borderId="24" xfId="0" applyFont="1" applyBorder="1"/>
    <xf numFmtId="0" fontId="10" fillId="0" borderId="0" xfId="0" applyFont="1"/>
    <xf numFmtId="3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66" fontId="12" fillId="0" borderId="25" xfId="0" applyNumberFormat="1" applyFont="1" applyBorder="1" applyAlignment="1">
      <alignment horizontal="center" vertical="center"/>
    </xf>
    <xf numFmtId="1" fontId="12" fillId="0" borderId="22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5" fillId="0" borderId="26" xfId="0" applyFont="1" applyBorder="1"/>
    <xf numFmtId="0" fontId="12" fillId="0" borderId="19" xfId="0" applyFont="1" applyBorder="1" applyAlignment="1">
      <alignment vertical="center"/>
    </xf>
    <xf numFmtId="166" fontId="12" fillId="0" borderId="18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vertical="center"/>
    </xf>
    <xf numFmtId="166" fontId="12" fillId="0" borderId="0" xfId="0" applyNumberFormat="1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2" fillId="0" borderId="23" xfId="0" applyFont="1" applyBorder="1" applyAlignment="1">
      <alignment horizontal="center" vertical="center"/>
    </xf>
    <xf numFmtId="3" fontId="12" fillId="0" borderId="20" xfId="0" applyNumberFormat="1" applyFont="1" applyBorder="1" applyAlignment="1">
      <alignment horizontal="center" vertical="center"/>
    </xf>
    <xf numFmtId="1" fontId="12" fillId="0" borderId="25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164" fontId="12" fillId="0" borderId="26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0" fillId="0" borderId="15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/>
    <xf numFmtId="0" fontId="13" fillId="2" borderId="14" xfId="0" applyFont="1" applyFill="1" applyBorder="1" applyAlignment="1">
      <alignment horizontal="center" vertical="center"/>
    </xf>
    <xf numFmtId="166" fontId="13" fillId="2" borderId="20" xfId="0" applyNumberFormat="1" applyFont="1" applyFill="1" applyBorder="1" applyAlignment="1">
      <alignment horizontal="center" vertical="center"/>
    </xf>
    <xf numFmtId="166" fontId="13" fillId="2" borderId="14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1" fontId="12" fillId="0" borderId="14" xfId="0" applyNumberFormat="1" applyFont="1" applyBorder="1" applyAlignment="1">
      <alignment horizontal="center" vertical="center"/>
    </xf>
    <xf numFmtId="164" fontId="12" fillId="0" borderId="15" xfId="0" applyNumberFormat="1" applyFont="1" applyBorder="1" applyAlignment="1">
      <alignment horizontal="right" vertical="center"/>
    </xf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 wrapText="1"/>
    </xf>
    <xf numFmtId="0" fontId="5" fillId="0" borderId="25" xfId="0" applyFont="1" applyBorder="1"/>
    <xf numFmtId="0" fontId="3" fillId="0" borderId="25" xfId="0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0" fillId="4" borderId="30" xfId="0" applyFill="1" applyBorder="1"/>
    <xf numFmtId="0" fontId="0" fillId="0" borderId="30" xfId="0" applyBorder="1"/>
    <xf numFmtId="0" fontId="1" fillId="3" borderId="31" xfId="0" applyFont="1" applyFill="1" applyBorder="1"/>
    <xf numFmtId="0" fontId="0" fillId="4" borderId="32" xfId="0" applyFill="1" applyBorder="1"/>
    <xf numFmtId="22" fontId="0" fillId="4" borderId="30" xfId="0" applyNumberFormat="1" applyFill="1" applyBorder="1"/>
    <xf numFmtId="22" fontId="0" fillId="0" borderId="30" xfId="0" applyNumberFormat="1" applyBorder="1"/>
    <xf numFmtId="22" fontId="0" fillId="4" borderId="32" xfId="0" applyNumberFormat="1" applyFill="1" applyBorder="1"/>
  </cellXfs>
  <cellStyles count="1">
    <cellStyle name="Normal" xfId="0" builtinId="0"/>
  </cellStyles>
  <dxfs count="7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E5CDE3-027E-4EA8-B14C-E7CF8F6416B9}" name="ARM_IRON_LT1_SP" displayName="ARM_IRON_LT1_SP" ref="A1:K14" totalsRowShown="0" headerRowDxfId="60" dataDxfId="61" headerRowBorderDxfId="74" tableBorderDxfId="75" totalsRowBorderDxfId="73">
  <autoFilter ref="A1:K14" xr:uid="{37E5CDE3-027E-4EA8-B14C-E7CF8F6416B9}"/>
  <tableColumns count="11">
    <tableColumn id="1" xr3:uid="{6833A33D-BEB9-4A8F-84D8-9FFD1A356802}" name="Contrato-Reg." dataDxfId="72"/>
    <tableColumn id="2" xr3:uid="{EDE512D3-FA6E-40A2-931C-EE3730B1E98C}" name="MEDIDAS CONTRATO" dataDxfId="71"/>
    <tableColumn id="3" xr3:uid="{6612BFB0-0A60-46F8-A400-B3C9DFA1F822}" name="Item" dataDxfId="70"/>
    <tableColumn id="4" xr3:uid="{A095337E-2E79-45E3-AC71-655A8BFCA253}" name="QUAm-1" dataDxfId="69"/>
    <tableColumn id="5" xr3:uid="{4B8C647C-FAFB-4BD1-886B-7972EC120567}" name="QBm" dataDxfId="68"/>
    <tableColumn id="6" xr3:uid="{34A52BD6-EF8F-429F-8E09-D57B0B8529C3}" name="QDm" dataDxfId="67"/>
    <tableColumn id="7" xr3:uid="{F83D3EEB-EA27-4360-812F-E3C80AE38346}" name="QNm" dataDxfId="66"/>
    <tableColumn id="8" xr3:uid="{59FE6E17-4EB3-4257-A2DD-6E66D2732636}" name="QUAm" dataDxfId="65"/>
    <tableColumn id="9" xr3:uid="{956D6198-AA3D-4121-AE9B-73AE06245885}" name="FC" dataDxfId="64"/>
    <tableColumn id="10" xr3:uid="{884D7607-67C8-4448-9A41-04DE0225BC0F}" name="QUA" dataDxfId="63"/>
    <tableColumn id="11" xr3:uid="{03D4C47A-B6EE-4602-B12B-00B995C4D5C5}" name="Linha de serviço PPU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1A2AD7-18F6-402F-B270-3C2FAE378B33}" name="DADOS_IRON_LT1_SP" displayName="DADOS_IRON_LT1_SP" ref="A1:AF32" totalsRowShown="0" headerRowDxfId="23" dataDxfId="24" headerRowBorderDxfId="58" tableBorderDxfId="59" totalsRowBorderDxfId="57">
  <autoFilter ref="A1:AF32" xr:uid="{461A2AD7-18F6-402F-B270-3C2FAE378B33}"/>
  <tableColumns count="32">
    <tableColumn id="1" xr3:uid="{075D0E98-8530-4ADC-8090-1572AE397E60}" name="Contrato.1" dataDxfId="56"/>
    <tableColumn id="2" xr3:uid="{1A9F206B-60AD-42C4-ABA3-E46690B77D17}" name="Descrição da atividade" dataDxfId="55"/>
    <tableColumn id="3" xr3:uid="{1819C3D2-6A6C-48C6-B0BE-97AF27A73231}" name="Item" dataDxfId="54"/>
    <tableColumn id="4" xr3:uid="{FDB35383-6661-4A51-B18F-DCDC4A2EA72C}" name="Aplicação" dataDxfId="53"/>
    <tableColumn id="5" xr3:uid="{AA64472D-2537-4E52-B5E1-9AF0049F1903}" name="Código da_x000a_solicitação" dataDxfId="52"/>
    <tableColumn id="6" xr3:uid="{982EBD0B-C679-443D-9414-6429BA28A206}" name="Data solicitação" dataDxfId="51"/>
    <tableColumn id="7" xr3:uid="{7050E217-8653-4732-9EC6-44106FDC3DB0}" name="Gerência solicitante" dataDxfId="50"/>
    <tableColumn id="8" xr3:uid="{919423E8-4DB2-4FB6-8C61-D2F0B2C8A7AE}" name="Qtd._x000a_Solicitada" dataDxfId="49"/>
    <tableColumn id="9" xr3:uid="{F62991F3-DF89-4AA7-8804-CF752A023113}" name="Código OS" dataDxfId="48"/>
    <tableColumn id="10" xr3:uid="{5631FEC0-5AC6-4911-B051-26982A9143C6}" name="D. abertura" dataDxfId="47"/>
    <tableColumn id="11" xr3:uid="{3F1CF783-CA01-4048-91ED-76C65E93BD32}" name="D. fechamento" dataDxfId="46"/>
    <tableColumn id="12" xr3:uid="{36CD2999-EFBE-4C8D-887E-FF0F13EB590D}" name="Prazo combinado" dataDxfId="45"/>
    <tableColumn id="13" xr3:uid="{3B4B838F-8628-44EA-A091-5144DC339E77}" name="Qtd._x000a_Atendida" dataDxfId="44"/>
    <tableColumn id="14" xr3:uid="{0FC437B0-2B5C-4C80-9228-E330E726CB99}" name="Agrupamento" dataDxfId="43"/>
    <tableColumn id="15" xr3:uid="{244B56A2-C76D-4503-A7BB-931BCAC7904D}" name="Classificação" dataDxfId="42"/>
    <tableColumn id="16" xr3:uid="{E9A8B7FF-807E-4ABC-9B68-02E4CA4E98F6}" name="FDM" dataDxfId="41"/>
    <tableColumn id="17" xr3:uid="{084476E9-785D-435A-BEBD-769145C2D0D1}" name="Obs. Isenção" dataDxfId="40"/>
    <tableColumn id="18" xr3:uid="{38B7BFD2-C847-46E5-8A12-C123CFE147F1}" name="FA" dataDxfId="39"/>
    <tableColumn id="19" xr3:uid="{2AF8A865-8AE0-4237-A13C-54D68BC7D2AE}" name="Localidade - Origem" dataDxfId="38"/>
    <tableColumn id="20" xr3:uid="{ECAD8DB5-CC3B-4508-B766-9CC170DA6390}" name="Município - Origem" dataDxfId="37"/>
    <tableColumn id="21" xr3:uid="{8DB51C9E-0780-4662-A65F-97C3F55C91A8}" name="UF - Origem" dataDxfId="36"/>
    <tableColumn id="22" xr3:uid="{C93D9E9B-C3B5-4974-A0A4-D2387CEA9498}" name="Localidade - Destino" dataDxfId="35"/>
    <tableColumn id="23" xr3:uid="{0B659FCF-4009-4DB3-91A0-1F613737DB33}" name="Município - Destino" dataDxfId="34"/>
    <tableColumn id="24" xr3:uid="{CBC2C75D-F7D6-4E26-B1AA-FB3299B4860F}" name="UF - Destino" dataDxfId="33"/>
    <tableColumn id="25" xr3:uid="{F3D04E94-B9E5-43EC-A2FA-AC44BBEAA0F6}" name="KM Adicional" dataDxfId="32"/>
    <tableColumn id="26" xr3:uid="{D9BEF962-C202-4A20-BC4F-2B18E950A560}" name="FC" dataDxfId="31"/>
    <tableColumn id="27" xr3:uid="{68FD2585-39A1-4B58-98DB-E9C81939672D}" name="Unidade" dataDxfId="30"/>
    <tableColumn id="28" xr3:uid="{13C9A62C-F938-49A3-A70F-19932AB0CB1F}" name="Centro" dataDxfId="29"/>
    <tableColumn id="29" xr3:uid="{8074F148-9325-4778-B434-7AFDB5764EC2}" name="Código Centro" dataDxfId="28"/>
    <tableColumn id="30" xr3:uid="{3A386CB9-2E40-4163-8A8D-64FBDE3145D4}" name="Linha de serviço PPU" dataDxfId="27"/>
    <tableColumn id="31" xr3:uid="{2E7CD1EB-2869-4EAC-A2CB-BD8CBBD7DB3D}" name="QExec" dataDxfId="26"/>
    <tableColumn id="32" xr3:uid="{F887E9CF-D0EB-4F6A-87B8-66B3B87B0163}" name="QExecAgrupado" dataDxfId="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91265D-BBFB-4065-89B3-F7C0C30F7403}" name="FRETE_IRON_LT1_SP" displayName="FRETE_IRON_LT1_SP" ref="A1:R10" totalsRowShown="0" headerRowDxfId="0" dataDxfId="1" headerRowBorderDxfId="21" tableBorderDxfId="22" totalsRowBorderDxfId="20">
  <autoFilter ref="A1:R10" xr:uid="{FA91265D-BBFB-4065-89B3-F7C0C30F7403}"/>
  <tableColumns count="18">
    <tableColumn id="1" xr3:uid="{B9BBD9FA-920E-4418-8B65-4479CA16DE86}" name="Contrato.1" dataDxfId="19"/>
    <tableColumn id="2" xr3:uid="{634C92D2-FD8B-4CEB-AF1B-7A07094AFB2D}" name="Descrição da atividade" dataDxfId="18"/>
    <tableColumn id="3" xr3:uid="{FCB2C3AA-36E4-4700-A4FD-F79E50F31888}" name="Item" dataDxfId="17"/>
    <tableColumn id="4" xr3:uid="{710114FD-D150-4B64-A339-2569FFCDD56D}" name="Data solicitação" dataDxfId="16"/>
    <tableColumn id="5" xr3:uid="{456B7AA3-931A-491D-A327-66B904C0399E}" name="Gerência solicitante" dataDxfId="15"/>
    <tableColumn id="6" xr3:uid="{1C96CE0D-69E8-491F-9AAE-E8D3C16CD802}" name="Qtd._x000a_Solicitada" dataDxfId="14"/>
    <tableColumn id="7" xr3:uid="{11BC5D44-3C99-4805-AFA8-AD9D8A2820B0}" name="D. fechamento" dataDxfId="13"/>
    <tableColumn id="8" xr3:uid="{9D795B5E-C846-4ED2-99B2-54317D8B8E13}" name="Localidade - Origem" dataDxfId="12"/>
    <tableColumn id="9" xr3:uid="{2C98D885-0BF0-4B62-803A-87F7948EBAB0}" name="Município - Origem" dataDxfId="11"/>
    <tableColumn id="10" xr3:uid="{4D91CBBA-997B-4569-BA59-E0F7D3C9B6A0}" name="UF - Origem" dataDxfId="10"/>
    <tableColumn id="11" xr3:uid="{80F456B3-E5B5-4E32-8B81-C5507A78888B}" name="Localidade - Destino" dataDxfId="9"/>
    <tableColumn id="12" xr3:uid="{F59F1AFF-2A8C-41EF-A864-1F620E928CDD}" name="Município - Destino" dataDxfId="8"/>
    <tableColumn id="13" xr3:uid="{FD3977B6-4343-46EB-83F7-ABCA633BB4C9}" name="UF - Destino" dataDxfId="7"/>
    <tableColumn id="14" xr3:uid="{1C4FA493-0204-4D5E-A48E-42858A80CC0E}" name="KM Adicional" dataDxfId="6"/>
    <tableColumn id="15" xr3:uid="{50EA8F2C-4795-4D70-860E-39867F95781D}" name="Unidade" dataDxfId="5"/>
    <tableColumn id="16" xr3:uid="{9D96FD7E-E28B-4F36-989A-D6C5901B8B95}" name="Centro" dataDxfId="4"/>
    <tableColumn id="17" xr3:uid="{3ACCE1C0-378A-408A-AB34-7E7FDFD7E817}" name="Linha de serviço PPU" dataDxfId="3"/>
    <tableColumn id="18" xr3:uid="{0B528031-B0A2-4451-B28A-F395B1F7C9AB}" name="QExecAgrupad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B371F-5F1D-4BBC-8FC1-E6DB5477D347}">
  <dimension ref="A1:Z1000"/>
  <sheetViews>
    <sheetView workbookViewId="0">
      <selection sqref="A1:Z1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thickTop="1" thickBot="1" x14ac:dyDescent="0.35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Q2" s="4"/>
    </row>
    <row r="3" spans="1:26" ht="14.25" customHeight="1" thickTop="1" thickBot="1" x14ac:dyDescent="0.35">
      <c r="B3" s="8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Q3" s="9"/>
      <c r="R3" s="4"/>
    </row>
    <row r="4" spans="1:26" ht="14.25" customHeight="1" thickTop="1" x14ac:dyDescent="0.3">
      <c r="B4" s="10" t="s">
        <v>2</v>
      </c>
      <c r="C4" s="11"/>
      <c r="D4" s="12" t="s">
        <v>3</v>
      </c>
      <c r="E4" s="12"/>
      <c r="F4" s="3"/>
      <c r="G4" s="3"/>
      <c r="H4" s="2"/>
      <c r="I4" s="3" t="s">
        <v>4</v>
      </c>
      <c r="J4" s="13" t="s">
        <v>5</v>
      </c>
      <c r="K4" s="12"/>
      <c r="L4" s="14" t="s">
        <v>6</v>
      </c>
      <c r="M4" s="15" t="s">
        <v>7</v>
      </c>
      <c r="N4" s="16">
        <v>32.467532467532465</v>
      </c>
      <c r="O4" s="17"/>
      <c r="Q4" s="9"/>
      <c r="R4" s="4"/>
    </row>
    <row r="5" spans="1:26" ht="14.25" customHeight="1" x14ac:dyDescent="0.3">
      <c r="B5" s="18" t="s">
        <v>8</v>
      </c>
      <c r="C5" s="19"/>
      <c r="D5" s="20">
        <v>4600686987</v>
      </c>
      <c r="E5" s="20"/>
      <c r="F5" s="3"/>
      <c r="G5" s="3"/>
      <c r="H5" s="2"/>
      <c r="I5" s="21" t="s">
        <v>9</v>
      </c>
      <c r="J5" s="20" t="s">
        <v>10</v>
      </c>
      <c r="K5" s="22"/>
      <c r="L5" s="19"/>
      <c r="M5" s="23" t="s">
        <v>11</v>
      </c>
      <c r="N5" s="20">
        <v>0.95</v>
      </c>
      <c r="O5" s="24"/>
      <c r="Q5" s="9"/>
      <c r="R5" s="4"/>
    </row>
    <row r="6" spans="1:26" ht="14.25" customHeight="1" x14ac:dyDescent="0.3">
      <c r="B6" s="18" t="s">
        <v>12</v>
      </c>
      <c r="C6" s="19"/>
      <c r="D6" s="25" t="s">
        <v>13</v>
      </c>
      <c r="E6" s="19"/>
      <c r="F6" s="19"/>
      <c r="G6" s="19"/>
      <c r="H6" s="19"/>
      <c r="I6" s="21" t="s">
        <v>14</v>
      </c>
      <c r="J6" s="20" t="s">
        <v>15</v>
      </c>
      <c r="K6" s="20"/>
      <c r="L6" s="26" t="s">
        <v>16</v>
      </c>
      <c r="M6" s="23" t="s">
        <v>7</v>
      </c>
      <c r="N6" s="27">
        <v>73.958333333333343</v>
      </c>
      <c r="O6" s="28"/>
      <c r="Q6" s="9"/>
      <c r="R6" s="4"/>
    </row>
    <row r="7" spans="1:26" ht="14.25" customHeight="1" thickBot="1" x14ac:dyDescent="0.35">
      <c r="B7" s="29"/>
      <c r="C7" s="30"/>
      <c r="D7" s="30"/>
      <c r="E7" s="30"/>
      <c r="F7" s="30"/>
      <c r="G7" s="30"/>
      <c r="H7" s="30"/>
      <c r="I7" s="31" t="s">
        <v>17</v>
      </c>
      <c r="J7" s="32" t="s">
        <v>18</v>
      </c>
      <c r="K7" s="32"/>
      <c r="L7" s="30"/>
      <c r="M7" s="33" t="s">
        <v>11</v>
      </c>
      <c r="N7" s="34">
        <v>0.95</v>
      </c>
      <c r="O7" s="35"/>
      <c r="Q7" s="4"/>
      <c r="R7" s="4"/>
    </row>
    <row r="8" spans="1:26" ht="14.25" customHeight="1" thickTop="1" x14ac:dyDescent="0.3">
      <c r="D8" s="3"/>
      <c r="E8" s="3"/>
      <c r="F8" s="3"/>
      <c r="G8" s="3"/>
      <c r="H8" s="2"/>
      <c r="I8" s="2"/>
      <c r="J8" s="12"/>
      <c r="K8" s="12"/>
      <c r="L8" s="3"/>
      <c r="M8" s="21"/>
      <c r="N8" s="36"/>
      <c r="Q8" s="4"/>
      <c r="R8" s="4"/>
    </row>
    <row r="9" spans="1:26" ht="8.25" customHeight="1" x14ac:dyDescent="0.3">
      <c r="H9" s="37"/>
      <c r="I9" s="4"/>
      <c r="J9" s="12"/>
      <c r="K9" s="12"/>
      <c r="L9" s="12"/>
      <c r="M9" s="12"/>
      <c r="Q9" s="4"/>
      <c r="R9" s="4"/>
    </row>
    <row r="10" spans="1:26" ht="14.25" customHeight="1" x14ac:dyDescent="0.3">
      <c r="A10" s="1"/>
      <c r="B10" s="1"/>
      <c r="C10" s="38" t="s">
        <v>19</v>
      </c>
      <c r="D10" s="39" t="s">
        <v>20</v>
      </c>
      <c r="E10" s="40"/>
      <c r="F10" s="40"/>
      <c r="G10" s="40"/>
      <c r="H10" s="41"/>
      <c r="I10" s="42" t="s">
        <v>21</v>
      </c>
      <c r="J10" s="43" t="s">
        <v>22</v>
      </c>
      <c r="K10" s="43" t="s">
        <v>23</v>
      </c>
      <c r="L10" s="43" t="s">
        <v>24</v>
      </c>
      <c r="M10" s="44" t="s">
        <v>25</v>
      </c>
      <c r="N10" s="45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46">
        <v>1</v>
      </c>
      <c r="D11" s="47" t="s">
        <v>27</v>
      </c>
      <c r="E11" s="48"/>
      <c r="F11" s="48"/>
      <c r="G11" s="48"/>
      <c r="H11" s="49"/>
      <c r="I11" s="50"/>
      <c r="J11" s="50"/>
      <c r="K11" s="50"/>
      <c r="L11" s="50"/>
      <c r="M11" s="51"/>
      <c r="N11" s="5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3"/>
      <c r="D12" s="54" t="s">
        <v>28</v>
      </c>
      <c r="E12" s="55" t="s">
        <v>29</v>
      </c>
      <c r="F12" s="56"/>
      <c r="G12" s="56"/>
      <c r="H12" s="56"/>
      <c r="I12" s="57"/>
      <c r="J12" s="58"/>
      <c r="K12" s="59"/>
      <c r="L12" s="60"/>
      <c r="M12" s="61"/>
      <c r="N12" s="62"/>
      <c r="Q12" s="4"/>
    </row>
    <row r="13" spans="1:26" ht="14.25" customHeight="1" x14ac:dyDescent="0.3">
      <c r="A13" s="1"/>
      <c r="B13" s="1"/>
      <c r="C13" s="63" t="s">
        <v>30</v>
      </c>
      <c r="D13" s="64" t="s">
        <v>31</v>
      </c>
      <c r="E13" s="64" t="s">
        <v>32</v>
      </c>
      <c r="F13" s="64" t="s">
        <v>33</v>
      </c>
      <c r="G13" s="64" t="s">
        <v>34</v>
      </c>
      <c r="H13" s="65" t="s">
        <v>35</v>
      </c>
      <c r="I13" s="66" t="s">
        <v>36</v>
      </c>
      <c r="J13" s="67">
        <f>SUMIF(ARM_IRON_LT1_SP[Linha de serviço PPU], D12, ARM_IRON_LT1_SP[QUA])</f>
        <v>64672</v>
      </c>
      <c r="K13" s="68">
        <f>J13*$N$5</f>
        <v>61438.399999999994</v>
      </c>
      <c r="L13" s="69">
        <v>0.6</v>
      </c>
      <c r="M13" s="70">
        <f>J13*L13</f>
        <v>38803.199999999997</v>
      </c>
      <c r="N13" s="71"/>
      <c r="P13" s="72"/>
      <c r="Q13" s="4"/>
    </row>
    <row r="14" spans="1:26" ht="14.25" customHeight="1" x14ac:dyDescent="0.3">
      <c r="A14" s="1"/>
      <c r="B14" s="1"/>
      <c r="C14" s="64"/>
      <c r="D14" s="73">
        <f>SUMIF(  ARM_IRON_LT1_SP[Linha de serviço PPU], D12, ARM_IRON_LT1_SP[QUAm-1])</f>
        <v>64495</v>
      </c>
      <c r="E14" s="74">
        <f>SUMIF(  ARM_IRON_LT1_SP[Linha de serviço PPU], D12, ARM_IRON_LT1_SP[QBm])</f>
        <v>0</v>
      </c>
      <c r="F14" s="74">
        <f>SUMIF(  ARM_IRON_LT1_SP[Linha de serviço PPU], D12, ARM_IRON_LT1_SP[QDm])</f>
        <v>0</v>
      </c>
      <c r="G14" s="75">
        <f>SUMIF(  ARM_IRON_LT1_SP[Linha de serviço PPU], D12, ARM_IRON_LT1_SP[QNm])</f>
        <v>177</v>
      </c>
      <c r="H14" s="76">
        <f>(D14-E14-F14)+G14</f>
        <v>64672</v>
      </c>
      <c r="I14" s="77"/>
      <c r="J14" s="78"/>
      <c r="K14" s="79"/>
      <c r="L14" s="80"/>
      <c r="M14" s="81"/>
      <c r="N14" s="82"/>
      <c r="Q14" s="4"/>
    </row>
    <row r="15" spans="1:26" ht="15" customHeight="1" x14ac:dyDescent="0.3">
      <c r="A15" s="1"/>
      <c r="B15" s="1"/>
      <c r="C15" s="53"/>
      <c r="D15" s="54" t="s">
        <v>37</v>
      </c>
      <c r="E15" s="55" t="s">
        <v>38</v>
      </c>
      <c r="F15" s="56"/>
      <c r="G15" s="56"/>
      <c r="H15" s="56"/>
      <c r="I15" s="83"/>
      <c r="J15" s="84"/>
      <c r="K15" s="59"/>
      <c r="L15" s="85"/>
      <c r="M15" s="86"/>
      <c r="N15" s="62"/>
      <c r="Q15" s="4"/>
    </row>
    <row r="16" spans="1:26" ht="14.25" customHeight="1" x14ac:dyDescent="0.3">
      <c r="A16" s="1"/>
      <c r="B16" s="1"/>
      <c r="C16" s="63" t="s">
        <v>39</v>
      </c>
      <c r="D16" s="64" t="s">
        <v>31</v>
      </c>
      <c r="E16" s="64" t="s">
        <v>32</v>
      </c>
      <c r="F16" s="64" t="s">
        <v>33</v>
      </c>
      <c r="G16" s="64" t="s">
        <v>34</v>
      </c>
      <c r="H16" s="65" t="s">
        <v>35</v>
      </c>
      <c r="I16" s="66" t="s">
        <v>36</v>
      </c>
      <c r="J16" s="67">
        <f>SUMIF(ARM_IRON_LT1_SP[Linha de serviço PPU], D15, ARM_IRON_LT1_SP[QUA])</f>
        <v>1870</v>
      </c>
      <c r="K16" s="68">
        <f>J16*N5</f>
        <v>1776.5</v>
      </c>
      <c r="L16" s="69">
        <v>3.55</v>
      </c>
      <c r="M16" s="70">
        <f>J16*L16</f>
        <v>6638.5</v>
      </c>
      <c r="N16" s="71"/>
      <c r="Q16" s="4"/>
    </row>
    <row r="17" spans="1:17" ht="14.25" customHeight="1" x14ac:dyDescent="0.3">
      <c r="A17" s="1"/>
      <c r="B17" s="1"/>
      <c r="C17" s="64"/>
      <c r="D17" s="73">
        <f>SUMIF(  ARM_IRON_LT1_SP[Linha de serviço PPU], D15, ARM_IRON_LT1_SP[QUAm-1])</f>
        <v>1870</v>
      </c>
      <c r="E17" s="74">
        <f>SUMIF(  ARM_IRON_LT1_SP[Linha de serviço PPU], D15, ARM_IRON_LT1_SP[QBm])</f>
        <v>0</v>
      </c>
      <c r="F17" s="74">
        <f>SUMIF(  ARM_IRON_LT1_SP[Linha de serviço PPU], D15, ARM_IRON_LT1_SP[QDm])</f>
        <v>0</v>
      </c>
      <c r="G17" s="75">
        <f>SUMIF(  ARM_IRON_LT1_SP[Linha de serviço PPU], D15, ARM_IRON_LT1_SP[QNm])</f>
        <v>0</v>
      </c>
      <c r="H17" s="76">
        <f>(D17-E17-F17)+G17</f>
        <v>1870</v>
      </c>
      <c r="I17" s="77"/>
      <c r="J17" s="78"/>
      <c r="K17" s="79"/>
      <c r="L17" s="80"/>
      <c r="M17" s="81"/>
      <c r="N17" s="82"/>
      <c r="Q17" s="4"/>
    </row>
    <row r="18" spans="1:17" ht="15" customHeight="1" x14ac:dyDescent="0.3">
      <c r="A18" s="1"/>
      <c r="B18" s="1"/>
      <c r="C18" s="53"/>
      <c r="D18" s="54" t="s">
        <v>40</v>
      </c>
      <c r="E18" s="55" t="s">
        <v>41</v>
      </c>
      <c r="F18" s="56"/>
      <c r="G18" s="56"/>
      <c r="H18" s="56"/>
      <c r="I18" s="83"/>
      <c r="J18" s="84"/>
      <c r="K18" s="59"/>
      <c r="M18" s="86"/>
      <c r="N18" s="62"/>
      <c r="Q18" s="4"/>
    </row>
    <row r="19" spans="1:17" ht="14.25" customHeight="1" x14ac:dyDescent="0.3">
      <c r="A19" s="1"/>
      <c r="B19" s="1"/>
      <c r="C19" s="63" t="s">
        <v>42</v>
      </c>
      <c r="D19" s="64" t="s">
        <v>31</v>
      </c>
      <c r="E19" s="64" t="s">
        <v>32</v>
      </c>
      <c r="F19" s="64" t="s">
        <v>33</v>
      </c>
      <c r="G19" s="64" t="s">
        <v>34</v>
      </c>
      <c r="H19" s="65" t="s">
        <v>35</v>
      </c>
      <c r="I19" s="66" t="s">
        <v>36</v>
      </c>
      <c r="J19" s="67">
        <f>SUMIF(ARM_IRON_LT1_SP[Linha de serviço PPU], D18, ARM_IRON_LT1_SP[QUA])</f>
        <v>4951</v>
      </c>
      <c r="K19" s="68">
        <f>J19*N5</f>
        <v>4703.45</v>
      </c>
      <c r="L19" s="69">
        <v>0.74</v>
      </c>
      <c r="M19" s="70">
        <f>J19*L19</f>
        <v>3663.74</v>
      </c>
      <c r="N19" s="71"/>
      <c r="Q19" s="4"/>
    </row>
    <row r="20" spans="1:17" ht="14.25" customHeight="1" x14ac:dyDescent="0.3">
      <c r="A20" s="1"/>
      <c r="B20" s="1"/>
      <c r="C20" s="64"/>
      <c r="D20" s="73">
        <f>SUMIF(  ARM_IRON_LT1_SP[Linha de serviço PPU], D18, ARM_IRON_LT1_SP[QUAm-1])</f>
        <v>4951</v>
      </c>
      <c r="E20" s="74">
        <f>SUMIF(  ARM_IRON_LT1_SP[Linha de serviço PPU], D18, ARM_IRON_LT1_SP[QBm])</f>
        <v>0</v>
      </c>
      <c r="F20" s="74">
        <f>SUMIF(  ARM_IRON_LT1_SP[Linha de serviço PPU], D18, ARM_IRON_LT1_SP[QDm])</f>
        <v>0</v>
      </c>
      <c r="G20" s="75">
        <f>SUMIF(  ARM_IRON_LT1_SP[Linha de serviço PPU], D18, ARM_IRON_LT1_SP[QNm])</f>
        <v>0</v>
      </c>
      <c r="H20" s="76">
        <f>(D20-E20-F20)+G20</f>
        <v>4951</v>
      </c>
      <c r="I20" s="77"/>
      <c r="J20" s="78"/>
      <c r="K20" s="79"/>
      <c r="L20" s="80"/>
      <c r="M20" s="81"/>
      <c r="N20" s="82"/>
      <c r="Q20" s="4"/>
    </row>
    <row r="21" spans="1:17" ht="15" customHeight="1" x14ac:dyDescent="0.3">
      <c r="A21" s="1"/>
      <c r="B21" s="1"/>
      <c r="C21" s="53"/>
      <c r="D21" s="54" t="s">
        <v>43</v>
      </c>
      <c r="E21" s="55" t="s">
        <v>44</v>
      </c>
      <c r="F21" s="56"/>
      <c r="G21" s="56"/>
      <c r="H21" s="56"/>
      <c r="I21" s="83"/>
      <c r="J21" s="84"/>
      <c r="K21" s="59"/>
      <c r="L21" s="85"/>
      <c r="M21" s="86"/>
      <c r="N21" s="62"/>
      <c r="Q21" s="4"/>
    </row>
    <row r="22" spans="1:17" ht="14.25" customHeight="1" x14ac:dyDescent="0.3">
      <c r="A22" s="1"/>
      <c r="B22" s="1"/>
      <c r="C22" s="63" t="s">
        <v>45</v>
      </c>
      <c r="D22" s="64" t="s">
        <v>31</v>
      </c>
      <c r="E22" s="64" t="s">
        <v>32</v>
      </c>
      <c r="F22" s="64" t="s">
        <v>33</v>
      </c>
      <c r="G22" s="64" t="s">
        <v>34</v>
      </c>
      <c r="H22" s="65" t="s">
        <v>35</v>
      </c>
      <c r="I22" s="66" t="s">
        <v>36</v>
      </c>
      <c r="J22" s="67">
        <f>SUMIF(ARM_IRON_LT1_SP[Linha de serviço PPU], D21, ARM_IRON_LT1_SP[QUA])</f>
        <v>0</v>
      </c>
      <c r="K22" s="68">
        <f>J22*N5</f>
        <v>0</v>
      </c>
      <c r="L22" s="69">
        <v>56.11</v>
      </c>
      <c r="M22" s="70">
        <f>J22*L22</f>
        <v>0</v>
      </c>
      <c r="N22" s="71"/>
      <c r="Q22" s="4"/>
    </row>
    <row r="23" spans="1:17" ht="14.25" customHeight="1" x14ac:dyDescent="0.3">
      <c r="A23" s="1"/>
      <c r="B23" s="1"/>
      <c r="C23" s="64"/>
      <c r="D23" s="73">
        <f>SUMIF(  ARM_IRON_LT1_SP[Linha de serviço PPU], D21, ARM_IRON_LT1_SP[QUAm-1])</f>
        <v>0</v>
      </c>
      <c r="E23" s="74">
        <f>SUMIF(  ARM_IRON_LT1_SP[Linha de serviço PPU], D21, ARM_IRON_LT1_SP[QBm])</f>
        <v>0</v>
      </c>
      <c r="F23" s="74">
        <f>SUMIF(  ARM_IRON_LT1_SP[Linha de serviço PPU], D21, ARM_IRON_LT1_SP[QDm])</f>
        <v>0</v>
      </c>
      <c r="G23" s="75">
        <f>SUMIF(  ARM_IRON_LT1_SP[Linha de serviço PPU], D21, ARM_IRON_LT1_SP[QNm])</f>
        <v>0</v>
      </c>
      <c r="H23" s="76">
        <f>(D23-E23-F23)+G23</f>
        <v>0</v>
      </c>
      <c r="I23" s="77"/>
      <c r="J23" s="78"/>
      <c r="K23" s="79"/>
      <c r="L23" s="80"/>
      <c r="M23" s="81"/>
      <c r="N23" s="82"/>
      <c r="Q23" s="4"/>
    </row>
    <row r="24" spans="1:17" ht="15" customHeight="1" x14ac:dyDescent="0.3">
      <c r="A24" s="1"/>
      <c r="B24" s="1"/>
      <c r="C24" s="53"/>
      <c r="D24" s="54" t="s">
        <v>46</v>
      </c>
      <c r="E24" s="55" t="s">
        <v>47</v>
      </c>
      <c r="F24" s="56"/>
      <c r="G24" s="56"/>
      <c r="H24" s="56"/>
      <c r="I24" s="83"/>
      <c r="J24" s="84"/>
      <c r="K24" s="59"/>
      <c r="L24" s="85"/>
      <c r="M24" s="86"/>
      <c r="N24" s="62"/>
      <c r="Q24" s="4"/>
    </row>
    <row r="25" spans="1:17" ht="14.25" customHeight="1" x14ac:dyDescent="0.3">
      <c r="A25" s="1"/>
      <c r="B25" s="1"/>
      <c r="C25" s="63" t="s">
        <v>48</v>
      </c>
      <c r="D25" s="64" t="s">
        <v>31</v>
      </c>
      <c r="E25" s="64" t="s">
        <v>32</v>
      </c>
      <c r="F25" s="64" t="s">
        <v>33</v>
      </c>
      <c r="G25" s="64" t="s">
        <v>34</v>
      </c>
      <c r="H25" s="65" t="s">
        <v>35</v>
      </c>
      <c r="I25" s="66" t="s">
        <v>36</v>
      </c>
      <c r="J25" s="67">
        <f>SUMIF(ARM_IRON_LT1_SP[Linha de serviço PPU], D24, ARM_IRON_LT1_SP[QUA])</f>
        <v>0</v>
      </c>
      <c r="K25" s="68">
        <f>J25*N5</f>
        <v>0</v>
      </c>
      <c r="L25" s="69">
        <v>0.08</v>
      </c>
      <c r="M25" s="70">
        <f>J25*L25</f>
        <v>0</v>
      </c>
      <c r="N25" s="71"/>
      <c r="Q25" s="4"/>
    </row>
    <row r="26" spans="1:17" ht="14.25" customHeight="1" x14ac:dyDescent="0.3">
      <c r="A26" s="1"/>
      <c r="B26" s="1"/>
      <c r="C26" s="64"/>
      <c r="D26" s="73">
        <f>SUMIF(  ARM_IRON_LT1_SP[Linha de serviço PPU], D24, ARM_IRON_LT1_SP[QUAm-1])</f>
        <v>0</v>
      </c>
      <c r="E26" s="74">
        <f>SUMIF(  ARM_IRON_LT1_SP[Linha de serviço PPU], D24, ARM_IRON_LT1_SP[QBm])</f>
        <v>0</v>
      </c>
      <c r="F26" s="74">
        <f>SUMIF(  ARM_IRON_LT1_SP[Linha de serviço PPU], D24, ARM_IRON_LT1_SP[QDm])</f>
        <v>0</v>
      </c>
      <c r="G26" s="75">
        <f>SUMIF(  ARM_IRON_LT1_SP[Linha de serviço PPU], D24, ARM_IRON_LT1_SP[QNm])</f>
        <v>0</v>
      </c>
      <c r="H26" s="76">
        <f>(D26-E26-F26)+G26</f>
        <v>0</v>
      </c>
      <c r="I26" s="77"/>
      <c r="J26" s="78"/>
      <c r="K26" s="79"/>
      <c r="L26" s="80"/>
      <c r="M26" s="81"/>
      <c r="N26" s="82"/>
      <c r="Q26" s="4"/>
    </row>
    <row r="27" spans="1:17" ht="15" customHeight="1" x14ac:dyDescent="0.3">
      <c r="A27" s="1"/>
      <c r="B27" s="1"/>
      <c r="C27" s="53"/>
      <c r="D27" s="54" t="s">
        <v>49</v>
      </c>
      <c r="E27" s="55" t="s">
        <v>50</v>
      </c>
      <c r="F27" s="56"/>
      <c r="G27" s="56"/>
      <c r="H27" s="56"/>
      <c r="I27" s="87"/>
      <c r="J27" s="88"/>
      <c r="K27" s="68"/>
      <c r="L27" s="69"/>
      <c r="M27" s="70"/>
      <c r="N27" s="62"/>
      <c r="Q27" s="4"/>
    </row>
    <row r="28" spans="1:17" ht="14.25" customHeight="1" x14ac:dyDescent="0.3">
      <c r="A28" s="1"/>
      <c r="B28" s="1"/>
      <c r="C28" s="63" t="s">
        <v>51</v>
      </c>
      <c r="D28" s="64" t="s">
        <v>31</v>
      </c>
      <c r="E28" s="64" t="s">
        <v>32</v>
      </c>
      <c r="F28" s="64" t="s">
        <v>33</v>
      </c>
      <c r="G28" s="64" t="s">
        <v>34</v>
      </c>
      <c r="H28" s="65" t="s">
        <v>35</v>
      </c>
      <c r="I28" s="66" t="s">
        <v>36</v>
      </c>
      <c r="J28" s="67">
        <f>SUMIF(ARM_IRON_LT1_SP[Linha de serviço PPU], D27, ARM_IRON_LT1_SP[QUA])</f>
        <v>0</v>
      </c>
      <c r="K28" s="68">
        <f>J28*N5</f>
        <v>0</v>
      </c>
      <c r="L28" s="69">
        <v>0.08</v>
      </c>
      <c r="M28" s="70">
        <f>J28*L28</f>
        <v>0</v>
      </c>
      <c r="N28" s="71"/>
      <c r="Q28" s="4"/>
    </row>
    <row r="29" spans="1:17" ht="14.25" customHeight="1" x14ac:dyDescent="0.3">
      <c r="A29" s="1"/>
      <c r="B29" s="1"/>
      <c r="C29" s="64"/>
      <c r="D29" s="73">
        <f>SUMIF(  ARM_IRON_LT1_SP[Linha de serviço PPU], D27, ARM_IRON_LT1_SP[QUAm-1])</f>
        <v>0</v>
      </c>
      <c r="E29" s="74">
        <f>SUMIF(  ARM_IRON_LT1_SP[Linha de serviço PPU], D27, ARM_IRON_LT1_SP[QBm])</f>
        <v>0</v>
      </c>
      <c r="F29" s="74">
        <f>SUMIF(  ARM_IRON_LT1_SP[Linha de serviço PPU], D27, ARM_IRON_LT1_SP[QDm])</f>
        <v>0</v>
      </c>
      <c r="G29" s="75">
        <f>SUMIF(  ARM_IRON_LT1_SP[Linha de serviço PPU], D27, ARM_IRON_LT1_SP[QNm])</f>
        <v>0</v>
      </c>
      <c r="H29" s="76">
        <f>(D29-E29-F29)+G29</f>
        <v>0</v>
      </c>
      <c r="I29" s="77"/>
      <c r="J29" s="88"/>
      <c r="K29" s="79"/>
      <c r="L29" s="69"/>
      <c r="M29" s="81"/>
      <c r="N29" s="82"/>
      <c r="Q29" s="4"/>
    </row>
    <row r="30" spans="1:17" ht="15" customHeight="1" x14ac:dyDescent="0.3">
      <c r="A30" s="1"/>
      <c r="B30" s="1"/>
      <c r="C30" s="89" t="s">
        <v>52</v>
      </c>
      <c r="D30" s="90" t="s">
        <v>53</v>
      </c>
      <c r="E30" s="91" t="s">
        <v>54</v>
      </c>
      <c r="F30" s="91"/>
      <c r="G30" s="91"/>
      <c r="H30" s="92"/>
      <c r="I30" s="93" t="s">
        <v>55</v>
      </c>
      <c r="J30" s="94">
        <f>SUMIF( DADOS_IRON_LT1_SP[Linha de serviço PPU], D30, DADOS_IRON_LT1_SP[QExecAgrupado])</f>
        <v>6</v>
      </c>
      <c r="K30" s="95">
        <f>J30*N5</f>
        <v>5.6999999999999993</v>
      </c>
      <c r="L30" s="96">
        <v>125.89</v>
      </c>
      <c r="M30" s="97">
        <f t="shared" ref="M30:M36" si="0">L30*J30</f>
        <v>755.34</v>
      </c>
      <c r="N30" s="98"/>
      <c r="Q30" s="4"/>
    </row>
    <row r="31" spans="1:17" ht="15" customHeight="1" x14ac:dyDescent="0.3">
      <c r="A31" s="1"/>
      <c r="B31" s="1"/>
      <c r="C31" s="99" t="s">
        <v>56</v>
      </c>
      <c r="D31" s="54" t="s">
        <v>57</v>
      </c>
      <c r="E31" s="56" t="s">
        <v>58</v>
      </c>
      <c r="F31" s="56"/>
      <c r="G31" s="56"/>
      <c r="H31" s="56"/>
      <c r="I31" s="100" t="s">
        <v>55</v>
      </c>
      <c r="J31" s="94">
        <f>SUMIF( DADOS_IRON_LT1_SP[Linha de serviço PPU], D31, DADOS_IRON_LT1_SP[QExecAgrupado])</f>
        <v>0</v>
      </c>
      <c r="K31" s="95">
        <f>J31*N5</f>
        <v>0</v>
      </c>
      <c r="L31" s="96">
        <v>200</v>
      </c>
      <c r="M31" s="97">
        <f t="shared" si="0"/>
        <v>0</v>
      </c>
      <c r="N31" s="98"/>
      <c r="Q31" s="4"/>
    </row>
    <row r="32" spans="1:17" ht="15" customHeight="1" x14ac:dyDescent="0.3">
      <c r="A32" s="1"/>
      <c r="B32" s="1"/>
      <c r="C32" s="99" t="s">
        <v>59</v>
      </c>
      <c r="D32" s="54" t="s">
        <v>60</v>
      </c>
      <c r="E32" s="56" t="s">
        <v>61</v>
      </c>
      <c r="F32" s="56"/>
      <c r="G32" s="56"/>
      <c r="H32" s="56"/>
      <c r="I32" s="100" t="s">
        <v>62</v>
      </c>
      <c r="J32" s="94">
        <f>SUM(DADOS_IRON_LT1_SP[KM Adicional])</f>
        <v>320</v>
      </c>
      <c r="K32" s="95">
        <f>J32*N5</f>
        <v>304</v>
      </c>
      <c r="L32" s="96">
        <v>0.5</v>
      </c>
      <c r="M32" s="97">
        <f t="shared" si="0"/>
        <v>160</v>
      </c>
      <c r="N32" s="98"/>
      <c r="Q32" s="4"/>
    </row>
    <row r="33" spans="1:17" ht="15" customHeight="1" x14ac:dyDescent="0.3">
      <c r="A33" s="1"/>
      <c r="B33" s="1"/>
      <c r="C33" s="99" t="s">
        <v>63</v>
      </c>
      <c r="D33" s="54" t="s">
        <v>64</v>
      </c>
      <c r="E33" s="101" t="s">
        <v>65</v>
      </c>
      <c r="F33" s="102"/>
      <c r="G33" s="102"/>
      <c r="H33" s="103"/>
      <c r="I33" s="100" t="s">
        <v>66</v>
      </c>
      <c r="J33" s="94">
        <f>SUMIF( DADOS_IRON_LT1_SP[Linha de serviço PPU], D33, DADOS_IRON_LT1_SP[QExecAgrupado])</f>
        <v>4</v>
      </c>
      <c r="K33" s="95">
        <f>J33*N5</f>
        <v>3.8</v>
      </c>
      <c r="L33" s="96">
        <v>1.96</v>
      </c>
      <c r="M33" s="97">
        <f t="shared" si="0"/>
        <v>7.84</v>
      </c>
      <c r="N33" s="98"/>
      <c r="Q33" s="4"/>
    </row>
    <row r="34" spans="1:17" ht="15" customHeight="1" x14ac:dyDescent="0.3">
      <c r="A34" s="1"/>
      <c r="B34" s="1"/>
      <c r="C34" s="99" t="s">
        <v>67</v>
      </c>
      <c r="D34" s="54" t="s">
        <v>68</v>
      </c>
      <c r="E34" s="101" t="s">
        <v>69</v>
      </c>
      <c r="F34" s="102"/>
      <c r="G34" s="102"/>
      <c r="H34" s="103"/>
      <c r="I34" s="100" t="s">
        <v>66</v>
      </c>
      <c r="J34" s="94">
        <f>SUMIF( DADOS_IRON_LT1_SP[Linha de serviço PPU], D34, DADOS_IRON_LT1_SP[QExecAgrupado])</f>
        <v>0</v>
      </c>
      <c r="K34" s="95">
        <f>J34*N5</f>
        <v>0</v>
      </c>
      <c r="L34" s="96">
        <v>1.35</v>
      </c>
      <c r="M34" s="97">
        <f t="shared" si="0"/>
        <v>0</v>
      </c>
      <c r="N34" s="98"/>
      <c r="Q34" s="4"/>
    </row>
    <row r="35" spans="1:17" ht="15" customHeight="1" x14ac:dyDescent="0.3">
      <c r="A35" s="1"/>
      <c r="B35" s="1"/>
      <c r="C35" s="99" t="s">
        <v>70</v>
      </c>
      <c r="D35" s="54" t="s">
        <v>71</v>
      </c>
      <c r="E35" s="101" t="s">
        <v>72</v>
      </c>
      <c r="F35" s="102"/>
      <c r="G35" s="102"/>
      <c r="H35" s="103"/>
      <c r="I35" s="100" t="s">
        <v>73</v>
      </c>
      <c r="J35" s="94">
        <f>SUMIF( DADOS_IRON_LT1_SP[Linha de serviço PPU], D35, DADOS_IRON_LT1_SP[QExecAgrupado])</f>
        <v>0</v>
      </c>
      <c r="K35" s="95">
        <f>J35*N5</f>
        <v>0</v>
      </c>
      <c r="L35" s="96">
        <v>594488.34</v>
      </c>
      <c r="M35" s="97">
        <f t="shared" si="0"/>
        <v>0</v>
      </c>
      <c r="N35" s="104"/>
      <c r="Q35" s="4"/>
    </row>
    <row r="36" spans="1:17" ht="15" customHeight="1" x14ac:dyDescent="0.3">
      <c r="A36" s="1"/>
      <c r="B36" s="1"/>
      <c r="C36" s="99" t="s">
        <v>74</v>
      </c>
      <c r="D36" s="54" t="s">
        <v>75</v>
      </c>
      <c r="E36" s="101" t="s">
        <v>76</v>
      </c>
      <c r="F36" s="102"/>
      <c r="G36" s="102"/>
      <c r="H36" s="103"/>
      <c r="I36" s="100" t="s">
        <v>36</v>
      </c>
      <c r="J36" s="94">
        <f>SUMIF( DADOS_IRON_LT1_SP[Linha de serviço PPU], D36, DADOS_IRON_LT1_SP[QExecAgrupado])</f>
        <v>0</v>
      </c>
      <c r="K36" s="95">
        <f>J36*N5</f>
        <v>0</v>
      </c>
      <c r="L36" s="96">
        <v>1.01</v>
      </c>
      <c r="M36" s="97">
        <f t="shared" si="0"/>
        <v>0</v>
      </c>
      <c r="N36" s="98"/>
      <c r="Q36" s="4"/>
    </row>
    <row r="37" spans="1:17" ht="15" customHeight="1" x14ac:dyDescent="0.3">
      <c r="A37" s="1"/>
      <c r="B37" s="1"/>
      <c r="C37" s="46">
        <v>2</v>
      </c>
      <c r="D37" s="105" t="s">
        <v>77</v>
      </c>
      <c r="E37" s="106"/>
      <c r="F37" s="106"/>
      <c r="G37" s="106"/>
      <c r="H37" s="106"/>
      <c r="I37" s="107"/>
      <c r="J37" s="107"/>
      <c r="K37" s="107"/>
      <c r="L37" s="108"/>
      <c r="M37" s="109"/>
      <c r="N37" s="51"/>
      <c r="Q37" s="4"/>
    </row>
    <row r="38" spans="1:17" ht="15" customHeight="1" x14ac:dyDescent="0.3">
      <c r="A38" s="1"/>
      <c r="B38" s="1"/>
      <c r="C38" s="99" t="s">
        <v>78</v>
      </c>
      <c r="D38" s="110" t="s">
        <v>79</v>
      </c>
      <c r="E38" s="56" t="s">
        <v>80</v>
      </c>
      <c r="F38" s="56"/>
      <c r="G38" s="56"/>
      <c r="H38" s="56"/>
      <c r="I38" s="100" t="s">
        <v>81</v>
      </c>
      <c r="J38" s="94">
        <f>SUMIF( DADOS_IRON_LT1_SP[Linha de serviço PPU], D38, DADOS_IRON_LT1_SP[QExec])</f>
        <v>0</v>
      </c>
      <c r="K38" s="111">
        <f>J38*N7</f>
        <v>0</v>
      </c>
      <c r="L38" s="96">
        <v>0.44</v>
      </c>
      <c r="M38" s="112">
        <f t="shared" ref="M38:M47" si="1">J38*L38</f>
        <v>0</v>
      </c>
      <c r="N38" s="98"/>
      <c r="Q38" s="4"/>
    </row>
    <row r="39" spans="1:17" ht="15" customHeight="1" x14ac:dyDescent="0.3">
      <c r="A39" s="1"/>
      <c r="B39" s="1"/>
      <c r="C39" s="99" t="s">
        <v>82</v>
      </c>
      <c r="D39" s="113" t="s">
        <v>83</v>
      </c>
      <c r="E39" s="114" t="s">
        <v>84</v>
      </c>
      <c r="F39" s="114"/>
      <c r="G39" s="114"/>
      <c r="H39" s="114"/>
      <c r="I39" s="100" t="s">
        <v>36</v>
      </c>
      <c r="J39" s="94">
        <f>SUMIF( DADOS_IRON_LT1_SP[Linha de serviço PPU], D39, DADOS_IRON_LT1_SP[QExec])</f>
        <v>0</v>
      </c>
      <c r="K39" s="111">
        <f>J39*N7</f>
        <v>0</v>
      </c>
      <c r="L39" s="96">
        <v>1.44</v>
      </c>
      <c r="M39" s="112">
        <f t="shared" si="1"/>
        <v>0</v>
      </c>
      <c r="N39" s="98"/>
      <c r="Q39" s="4"/>
    </row>
    <row r="40" spans="1:17" ht="15" customHeight="1" x14ac:dyDescent="0.3">
      <c r="A40" s="1"/>
      <c r="B40" s="1"/>
      <c r="C40" s="99" t="s">
        <v>85</v>
      </c>
      <c r="D40" s="110" t="s">
        <v>86</v>
      </c>
      <c r="E40" s="56" t="s">
        <v>87</v>
      </c>
      <c r="F40" s="56"/>
      <c r="G40" s="56"/>
      <c r="H40" s="56"/>
      <c r="I40" s="100" t="s">
        <v>88</v>
      </c>
      <c r="J40" s="94">
        <f>SUMIF( DADOS_IRON_LT1_SP[Linha de serviço PPU], D40, DADOS_IRON_LT1_SP[QExec])</f>
        <v>0</v>
      </c>
      <c r="K40" s="111">
        <f>J40*N7</f>
        <v>0</v>
      </c>
      <c r="L40" s="96">
        <v>0.05</v>
      </c>
      <c r="M40" s="112">
        <f t="shared" si="1"/>
        <v>0</v>
      </c>
      <c r="N40" s="98"/>
      <c r="Q40" s="4"/>
    </row>
    <row r="41" spans="1:17" ht="15" customHeight="1" x14ac:dyDescent="0.3">
      <c r="A41" s="1"/>
      <c r="B41" s="1"/>
      <c r="C41" s="99" t="s">
        <v>89</v>
      </c>
      <c r="D41" s="110" t="s">
        <v>90</v>
      </c>
      <c r="E41" s="56" t="s">
        <v>91</v>
      </c>
      <c r="F41" s="56"/>
      <c r="G41" s="56"/>
      <c r="H41" s="56"/>
      <c r="I41" s="100" t="s">
        <v>88</v>
      </c>
      <c r="J41" s="94">
        <f>SUMIF( DADOS_IRON_LT1_SP[Linha de serviço PPU], D41, DADOS_IRON_LT1_SP[QExec])</f>
        <v>0</v>
      </c>
      <c r="K41" s="111">
        <f>J41*N7</f>
        <v>0</v>
      </c>
      <c r="L41" s="96">
        <v>0.06</v>
      </c>
      <c r="M41" s="112">
        <f t="shared" si="1"/>
        <v>0</v>
      </c>
      <c r="N41" s="98"/>
      <c r="Q41" s="4"/>
    </row>
    <row r="42" spans="1:17" ht="15" customHeight="1" x14ac:dyDescent="0.3">
      <c r="A42" s="1"/>
      <c r="B42" s="1"/>
      <c r="C42" s="99" t="s">
        <v>92</v>
      </c>
      <c r="D42" s="110" t="s">
        <v>93</v>
      </c>
      <c r="E42" s="56" t="s">
        <v>94</v>
      </c>
      <c r="F42" s="56"/>
      <c r="G42" s="56"/>
      <c r="H42" s="56"/>
      <c r="I42" s="100" t="s">
        <v>88</v>
      </c>
      <c r="J42" s="94">
        <f>SUMIF( DADOS_IRON_LT1_SP[Linha de serviço PPU], D42, DADOS_IRON_LT1_SP[QExec])</f>
        <v>903</v>
      </c>
      <c r="K42" s="111">
        <f>J42*N7</f>
        <v>857.84999999999991</v>
      </c>
      <c r="L42" s="96">
        <v>0.1</v>
      </c>
      <c r="M42" s="112">
        <f t="shared" si="1"/>
        <v>90.300000000000011</v>
      </c>
      <c r="N42" s="98"/>
      <c r="Q42" s="4"/>
    </row>
    <row r="43" spans="1:17" ht="15" customHeight="1" x14ac:dyDescent="0.3">
      <c r="A43" s="1"/>
      <c r="B43" s="1"/>
      <c r="C43" s="99" t="s">
        <v>95</v>
      </c>
      <c r="D43" s="110" t="s">
        <v>96</v>
      </c>
      <c r="E43" s="56" t="s">
        <v>97</v>
      </c>
      <c r="F43" s="56"/>
      <c r="G43" s="56"/>
      <c r="H43" s="56"/>
      <c r="I43" s="100" t="s">
        <v>98</v>
      </c>
      <c r="J43" s="94">
        <f>SUMIF( DADOS_IRON_LT1_SP[Linha de serviço PPU], D43, DADOS_IRON_LT1_SP[QExec])</f>
        <v>3</v>
      </c>
      <c r="K43" s="111">
        <f>J43*N7</f>
        <v>2.8499999999999996</v>
      </c>
      <c r="L43" s="96">
        <v>0.23</v>
      </c>
      <c r="M43" s="112">
        <f t="shared" si="1"/>
        <v>0.69000000000000006</v>
      </c>
      <c r="N43" s="98"/>
      <c r="Q43" s="4"/>
    </row>
    <row r="44" spans="1:17" ht="15" customHeight="1" x14ac:dyDescent="0.3">
      <c r="A44" s="1"/>
      <c r="B44" s="1"/>
      <c r="C44" s="99" t="s">
        <v>99</v>
      </c>
      <c r="D44" s="110" t="s">
        <v>100</v>
      </c>
      <c r="E44" s="56" t="s">
        <v>101</v>
      </c>
      <c r="F44" s="56"/>
      <c r="G44" s="56"/>
      <c r="H44" s="56"/>
      <c r="I44" s="100" t="s">
        <v>102</v>
      </c>
      <c r="J44" s="94">
        <f>SUMIF( DADOS_IRON_LT1_SP[Linha de serviço PPU], D44, DADOS_IRON_LT1_SP[QExec])</f>
        <v>0</v>
      </c>
      <c r="K44" s="111">
        <f>J44*N7</f>
        <v>0</v>
      </c>
      <c r="L44" s="96">
        <v>68.27</v>
      </c>
      <c r="M44" s="112">
        <f t="shared" si="1"/>
        <v>0</v>
      </c>
      <c r="N44" s="98"/>
      <c r="Q44" s="4"/>
    </row>
    <row r="45" spans="1:17" ht="15" customHeight="1" x14ac:dyDescent="0.3">
      <c r="A45" s="1"/>
      <c r="B45" s="1"/>
      <c r="C45" s="99" t="s">
        <v>103</v>
      </c>
      <c r="D45" s="110" t="s">
        <v>104</v>
      </c>
      <c r="E45" s="56" t="s">
        <v>105</v>
      </c>
      <c r="F45" s="56"/>
      <c r="G45" s="56"/>
      <c r="H45" s="56"/>
      <c r="I45" s="100" t="s">
        <v>102</v>
      </c>
      <c r="J45" s="94">
        <f>SUMIF( DADOS_IRON_LT1_SP[Linha de serviço PPU], D45, DADOS_IRON_LT1_SP[QExec])</f>
        <v>0</v>
      </c>
      <c r="K45" s="111">
        <f>J45*N7</f>
        <v>0</v>
      </c>
      <c r="L45" s="96">
        <v>39</v>
      </c>
      <c r="M45" s="112">
        <f t="shared" si="1"/>
        <v>0</v>
      </c>
      <c r="N45" s="98"/>
      <c r="Q45" s="4"/>
    </row>
    <row r="46" spans="1:17" ht="15" customHeight="1" x14ac:dyDescent="0.3">
      <c r="A46" s="1"/>
      <c r="B46" s="1"/>
      <c r="C46" s="99" t="s">
        <v>106</v>
      </c>
      <c r="D46" s="110" t="s">
        <v>107</v>
      </c>
      <c r="E46" s="56" t="s">
        <v>108</v>
      </c>
      <c r="F46" s="56"/>
      <c r="G46" s="56"/>
      <c r="H46" s="56"/>
      <c r="I46" s="100" t="s">
        <v>102</v>
      </c>
      <c r="J46" s="94">
        <f>SUMIF( DADOS_IRON_LT1_SP[Linha de serviço PPU], D46, DADOS_IRON_LT1_SP[QExec])</f>
        <v>0</v>
      </c>
      <c r="K46" s="111">
        <f>J46*N7</f>
        <v>0</v>
      </c>
      <c r="L46" s="96">
        <v>11.72</v>
      </c>
      <c r="M46" s="112">
        <f t="shared" si="1"/>
        <v>0</v>
      </c>
      <c r="N46" s="98"/>
      <c r="Q46" s="4"/>
    </row>
    <row r="47" spans="1:17" ht="15" customHeight="1" x14ac:dyDescent="0.3">
      <c r="A47" s="1"/>
      <c r="B47" s="1"/>
      <c r="C47" s="99" t="s">
        <v>109</v>
      </c>
      <c r="D47" s="110" t="s">
        <v>110</v>
      </c>
      <c r="E47" s="56" t="s">
        <v>111</v>
      </c>
      <c r="F47" s="56"/>
      <c r="G47" s="56"/>
      <c r="H47" s="56"/>
      <c r="I47" s="100" t="s">
        <v>102</v>
      </c>
      <c r="J47" s="94">
        <f>SUMIF( DADOS_IRON_LT1_SP[Linha de serviço PPU], D47, DADOS_IRON_LT1_SP[QExec])</f>
        <v>0</v>
      </c>
      <c r="K47" s="111">
        <f>J47*N7</f>
        <v>0</v>
      </c>
      <c r="L47" s="96">
        <v>2.44</v>
      </c>
      <c r="M47" s="112">
        <f t="shared" si="1"/>
        <v>0</v>
      </c>
      <c r="N47" s="98"/>
      <c r="Q47" s="4"/>
    </row>
    <row r="48" spans="1:17" ht="30" customHeight="1" x14ac:dyDescent="0.3">
      <c r="A48" s="1"/>
      <c r="B48" s="1"/>
      <c r="C48" s="115" t="s">
        <v>112</v>
      </c>
      <c r="D48" s="116"/>
      <c r="E48" s="116"/>
      <c r="F48" s="116"/>
      <c r="G48" s="116"/>
      <c r="H48" s="116"/>
      <c r="I48" s="41"/>
      <c r="J48" s="117"/>
      <c r="K48" s="117"/>
      <c r="L48" s="117"/>
      <c r="M48" s="118">
        <f>SUM(M12:M47)</f>
        <v>50119.609999999993</v>
      </c>
      <c r="N48" s="98"/>
      <c r="Q48" s="4"/>
    </row>
    <row r="49" spans="1:17" ht="14.25" customHeight="1" x14ac:dyDescent="0.3">
      <c r="A49" s="1"/>
      <c r="B49" s="1"/>
      <c r="C49" s="119" t="s">
        <v>113</v>
      </c>
      <c r="D49" s="40"/>
      <c r="E49" s="40"/>
      <c r="F49" s="40"/>
      <c r="G49" s="40"/>
      <c r="H49" s="40"/>
      <c r="I49" s="41"/>
      <c r="J49" s="120" t="s">
        <v>114</v>
      </c>
      <c r="K49" s="40"/>
      <c r="L49" s="40"/>
      <c r="M49" s="40"/>
      <c r="N49" s="41"/>
      <c r="Q49" s="4"/>
    </row>
    <row r="50" spans="1:17" ht="45" customHeight="1" x14ac:dyDescent="0.3">
      <c r="A50" s="1"/>
      <c r="B50" s="1"/>
      <c r="C50" s="121"/>
      <c r="D50" s="122"/>
      <c r="E50" s="122"/>
      <c r="F50" s="122"/>
      <c r="G50" s="122"/>
      <c r="H50" s="123"/>
      <c r="I50" s="124"/>
      <c r="J50" s="120" t="s">
        <v>115</v>
      </c>
      <c r="K50" s="40"/>
      <c r="L50" s="40"/>
      <c r="M50" s="40"/>
      <c r="N50" s="41"/>
      <c r="Q50" s="4"/>
    </row>
    <row r="51" spans="1:17" ht="16.5" customHeight="1" x14ac:dyDescent="0.3">
      <c r="A51" s="1"/>
      <c r="B51" s="1"/>
      <c r="C51" s="125" t="s">
        <v>116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1"/>
      <c r="Q51" s="4"/>
    </row>
    <row r="52" spans="1:17" ht="60" customHeight="1" x14ac:dyDescent="0.3">
      <c r="A52" s="1"/>
      <c r="B52" s="1"/>
      <c r="C52" s="126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1"/>
      <c r="Q52" s="4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127"/>
      <c r="N53" s="3"/>
      <c r="Q53" s="4"/>
    </row>
    <row r="54" spans="1:17" ht="14.25" customHeight="1" x14ac:dyDescent="0.3">
      <c r="A54" s="1"/>
      <c r="B54" s="1"/>
      <c r="C54" s="2"/>
      <c r="D54" s="38" t="s">
        <v>117</v>
      </c>
      <c r="E54" s="38" t="s">
        <v>118</v>
      </c>
      <c r="F54" s="38" t="s">
        <v>119</v>
      </c>
      <c r="G54" s="38" t="s">
        <v>120</v>
      </c>
      <c r="H54" s="38"/>
      <c r="I54" s="38" t="s">
        <v>121</v>
      </c>
      <c r="J54" s="39" t="s">
        <v>122</v>
      </c>
      <c r="K54" s="41"/>
      <c r="L54" s="128"/>
      <c r="M54" s="128"/>
      <c r="N54" s="128"/>
      <c r="Q54" s="4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127"/>
      <c r="N55" s="3"/>
      <c r="Q55" s="4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127"/>
      <c r="N56" s="3"/>
      <c r="Q56" s="4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127"/>
      <c r="N57" s="3"/>
      <c r="Q57" s="4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127"/>
      <c r="N58" s="3"/>
      <c r="Q58" s="4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127"/>
      <c r="N59" s="3"/>
      <c r="Q59" s="4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127"/>
      <c r="N60" s="3"/>
      <c r="Q60" s="4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127"/>
      <c r="N61" s="3"/>
      <c r="Q61" s="4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127"/>
      <c r="N62" s="3"/>
      <c r="Q62" s="4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127"/>
      <c r="N63" s="3"/>
      <c r="Q63" s="4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127"/>
      <c r="N64" s="3"/>
      <c r="Q64" s="4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127"/>
      <c r="N65" s="3"/>
      <c r="Q65" s="4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127"/>
      <c r="N66" s="3"/>
      <c r="Q66" s="4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127"/>
      <c r="N67" s="3"/>
      <c r="Q67" s="4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127"/>
      <c r="N68" s="3"/>
      <c r="Q68" s="4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127"/>
      <c r="N69" s="3"/>
      <c r="Q69" s="4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127"/>
      <c r="N70" s="3"/>
      <c r="Q70" s="4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127"/>
      <c r="N71" s="3"/>
      <c r="Q71" s="4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127"/>
      <c r="N72" s="3"/>
      <c r="Q72" s="4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127"/>
      <c r="N73" s="3"/>
      <c r="Q73" s="4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127"/>
      <c r="N74" s="3"/>
      <c r="Q74" s="4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127"/>
      <c r="N75" s="3"/>
      <c r="Q75" s="4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127"/>
      <c r="N76" s="3"/>
      <c r="Q76" s="4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127"/>
      <c r="N77" s="3"/>
      <c r="Q77" s="4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127"/>
      <c r="N78" s="3"/>
      <c r="Q78" s="4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127"/>
      <c r="N79" s="3"/>
      <c r="Q79" s="4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127"/>
      <c r="N80" s="3"/>
      <c r="Q80" s="4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127"/>
      <c r="N81" s="3"/>
      <c r="Q81" s="4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127"/>
      <c r="N82" s="3"/>
      <c r="Q82" s="4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127"/>
      <c r="N83" s="3"/>
      <c r="Q83" s="4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127"/>
      <c r="N84" s="3"/>
      <c r="Q84" s="4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127"/>
      <c r="N85" s="3"/>
      <c r="Q85" s="4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127"/>
      <c r="N86" s="3"/>
      <c r="Q86" s="4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127"/>
      <c r="N87" s="3"/>
      <c r="Q87" s="4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127"/>
      <c r="N88" s="3"/>
      <c r="Q88" s="4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127"/>
      <c r="N89" s="3"/>
      <c r="Q89" s="4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127"/>
      <c r="N90" s="3"/>
      <c r="Q90" s="4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127"/>
      <c r="N91" s="3"/>
      <c r="Q91" s="4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127"/>
      <c r="N92" s="3"/>
      <c r="Q92" s="4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127"/>
      <c r="N93" s="3"/>
      <c r="Q93" s="4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127"/>
      <c r="N94" s="3"/>
      <c r="Q94" s="4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127"/>
      <c r="N95" s="3"/>
      <c r="Q95" s="4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127"/>
      <c r="N96" s="3"/>
      <c r="Q96" s="4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127"/>
      <c r="N97" s="3"/>
      <c r="Q97" s="4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127"/>
      <c r="N98" s="3"/>
      <c r="Q98" s="4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127"/>
      <c r="N99" s="3"/>
      <c r="Q99" s="4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27"/>
      <c r="N100" s="3"/>
      <c r="Q100" s="4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Q996" s="4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Q997" s="4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Q998" s="4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Q999" s="4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Q1000" s="4"/>
    </row>
  </sheetData>
  <mergeCells count="47">
    <mergeCell ref="J54:K54"/>
    <mergeCell ref="C48:I48"/>
    <mergeCell ref="C49:I49"/>
    <mergeCell ref="J49:N49"/>
    <mergeCell ref="J50:N50"/>
    <mergeCell ref="C51:N51"/>
    <mergeCell ref="C52:N52"/>
    <mergeCell ref="E42:H42"/>
    <mergeCell ref="E43:H43"/>
    <mergeCell ref="E44:H44"/>
    <mergeCell ref="E45:H45"/>
    <mergeCell ref="E46:H46"/>
    <mergeCell ref="E47:H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3125-E1E0-492C-BC15-E761581F31BE}">
  <dimension ref="A1:K14"/>
  <sheetViews>
    <sheetView workbookViewId="0">
      <selection sqref="A1:K1"/>
    </sheetView>
  </sheetViews>
  <sheetFormatPr defaultRowHeight="14.4" x14ac:dyDescent="0.3"/>
  <cols>
    <col min="1" max="1" width="15" bestFit="1" customWidth="1"/>
    <col min="2" max="2" width="21.33203125" bestFit="1" customWidth="1"/>
    <col min="3" max="3" width="37.44140625" bestFit="1" customWidth="1"/>
    <col min="4" max="4" width="10.44140625" bestFit="1" customWidth="1"/>
    <col min="5" max="5" width="7.33203125" bestFit="1" customWidth="1"/>
    <col min="6" max="6" width="7.44140625" bestFit="1" customWidth="1"/>
    <col min="7" max="7" width="7.5546875" bestFit="1" customWidth="1"/>
    <col min="8" max="8" width="8.77734375" bestFit="1" customWidth="1"/>
    <col min="9" max="9" width="6" bestFit="1" customWidth="1"/>
    <col min="10" max="10" width="7.109375" bestFit="1" customWidth="1"/>
    <col min="11" max="11" width="20.88671875" bestFit="1" customWidth="1"/>
  </cols>
  <sheetData>
    <row r="1" spans="1:11" x14ac:dyDescent="0.3">
      <c r="A1" s="131" t="s">
        <v>123</v>
      </c>
      <c r="B1" s="131" t="s">
        <v>124</v>
      </c>
      <c r="C1" s="131" t="s">
        <v>19</v>
      </c>
      <c r="D1" s="131" t="s">
        <v>31</v>
      </c>
      <c r="E1" s="131" t="s">
        <v>32</v>
      </c>
      <c r="F1" s="131" t="s">
        <v>33</v>
      </c>
      <c r="G1" s="131" t="s">
        <v>34</v>
      </c>
      <c r="H1" s="131" t="s">
        <v>35</v>
      </c>
      <c r="I1" s="131" t="s">
        <v>125</v>
      </c>
      <c r="J1" s="131" t="s">
        <v>126</v>
      </c>
      <c r="K1" s="131" t="s">
        <v>127</v>
      </c>
    </row>
    <row r="2" spans="1:11" x14ac:dyDescent="0.3">
      <c r="A2" s="129" t="s">
        <v>128</v>
      </c>
      <c r="B2" s="129" t="s">
        <v>129</v>
      </c>
      <c r="C2" s="129" t="s">
        <v>130</v>
      </c>
      <c r="D2" s="129">
        <v>0</v>
      </c>
      <c r="E2" s="129">
        <v>0</v>
      </c>
      <c r="F2" s="129">
        <v>0</v>
      </c>
      <c r="G2" s="129">
        <v>0</v>
      </c>
      <c r="H2" s="129">
        <v>0</v>
      </c>
      <c r="I2" s="129">
        <v>0.29399999999999998</v>
      </c>
      <c r="J2" s="129">
        <v>0</v>
      </c>
      <c r="K2" s="129" t="s">
        <v>28</v>
      </c>
    </row>
    <row r="3" spans="1:11" x14ac:dyDescent="0.3">
      <c r="A3" s="130" t="s">
        <v>128</v>
      </c>
      <c r="B3" s="130" t="s">
        <v>131</v>
      </c>
      <c r="C3" s="130" t="s">
        <v>132</v>
      </c>
      <c r="D3" s="130">
        <v>17319</v>
      </c>
      <c r="E3" s="130">
        <v>0</v>
      </c>
      <c r="F3" s="130">
        <v>0</v>
      </c>
      <c r="G3" s="130">
        <v>2</v>
      </c>
      <c r="H3" s="130">
        <v>17321</v>
      </c>
      <c r="I3" s="130">
        <v>0.48599999999999999</v>
      </c>
      <c r="J3" s="130">
        <v>17321</v>
      </c>
      <c r="K3" s="130" t="s">
        <v>28</v>
      </c>
    </row>
    <row r="4" spans="1:11" x14ac:dyDescent="0.3">
      <c r="A4" s="129" t="s">
        <v>128</v>
      </c>
      <c r="B4" s="129" t="s">
        <v>133</v>
      </c>
      <c r="C4" s="129" t="s">
        <v>134</v>
      </c>
      <c r="D4" s="129">
        <v>5918</v>
      </c>
      <c r="E4" s="129">
        <v>0</v>
      </c>
      <c r="F4" s="129">
        <v>0</v>
      </c>
      <c r="G4" s="129">
        <v>6</v>
      </c>
      <c r="H4" s="129">
        <v>5924</v>
      </c>
      <c r="I4" s="129">
        <v>0.505</v>
      </c>
      <c r="J4" s="129">
        <v>5924</v>
      </c>
      <c r="K4" s="129" t="s">
        <v>28</v>
      </c>
    </row>
    <row r="5" spans="1:11" x14ac:dyDescent="0.3">
      <c r="A5" s="130" t="s">
        <v>128</v>
      </c>
      <c r="B5" s="130" t="s">
        <v>135</v>
      </c>
      <c r="C5" s="130" t="s">
        <v>136</v>
      </c>
      <c r="D5" s="130">
        <v>41258</v>
      </c>
      <c r="E5" s="130">
        <v>0</v>
      </c>
      <c r="F5" s="130">
        <v>0</v>
      </c>
      <c r="G5" s="130">
        <v>169</v>
      </c>
      <c r="H5" s="130">
        <v>41427</v>
      </c>
      <c r="I5" s="130">
        <v>1</v>
      </c>
      <c r="J5" s="130">
        <v>41427</v>
      </c>
      <c r="K5" s="130" t="s">
        <v>28</v>
      </c>
    </row>
    <row r="6" spans="1:11" x14ac:dyDescent="0.3">
      <c r="A6" s="129" t="s">
        <v>128</v>
      </c>
      <c r="B6" s="129" t="s">
        <v>137</v>
      </c>
      <c r="C6" s="129" t="s">
        <v>138</v>
      </c>
      <c r="D6" s="129">
        <v>0</v>
      </c>
      <c r="E6" s="129">
        <v>0</v>
      </c>
      <c r="F6" s="129">
        <v>0</v>
      </c>
      <c r="G6" s="129">
        <v>0</v>
      </c>
      <c r="H6" s="129">
        <v>0</v>
      </c>
      <c r="I6" s="129">
        <v>1.3180000000000001</v>
      </c>
      <c r="J6" s="129">
        <v>0</v>
      </c>
      <c r="K6" s="129" t="s">
        <v>28</v>
      </c>
    </row>
    <row r="7" spans="1:11" x14ac:dyDescent="0.3">
      <c r="A7" s="130" t="s">
        <v>128</v>
      </c>
      <c r="B7" s="130" t="s">
        <v>135</v>
      </c>
      <c r="C7" s="130" t="s">
        <v>139</v>
      </c>
      <c r="D7" s="130">
        <v>0</v>
      </c>
      <c r="E7" s="130">
        <v>0</v>
      </c>
      <c r="F7" s="130">
        <v>0</v>
      </c>
      <c r="G7" s="130">
        <v>0</v>
      </c>
      <c r="H7" s="130">
        <v>0</v>
      </c>
      <c r="I7" s="130">
        <v>1</v>
      </c>
      <c r="J7" s="130">
        <v>0</v>
      </c>
      <c r="K7" s="130" t="s">
        <v>37</v>
      </c>
    </row>
    <row r="8" spans="1:11" x14ac:dyDescent="0.3">
      <c r="A8" s="129" t="s">
        <v>128</v>
      </c>
      <c r="B8" s="129" t="s">
        <v>140</v>
      </c>
      <c r="C8" s="129" t="s">
        <v>141</v>
      </c>
      <c r="D8" s="129">
        <v>4951</v>
      </c>
      <c r="E8" s="129">
        <v>0</v>
      </c>
      <c r="F8" s="129">
        <v>0</v>
      </c>
      <c r="G8" s="129">
        <v>0</v>
      </c>
      <c r="H8" s="129">
        <v>4951</v>
      </c>
      <c r="I8" s="129">
        <v>1</v>
      </c>
      <c r="J8" s="129">
        <v>4951</v>
      </c>
      <c r="K8" s="129" t="s">
        <v>40</v>
      </c>
    </row>
    <row r="9" spans="1:11" x14ac:dyDescent="0.3">
      <c r="A9" s="130" t="s">
        <v>128</v>
      </c>
      <c r="B9" s="130" t="s">
        <v>142</v>
      </c>
      <c r="C9" s="130" t="s">
        <v>143</v>
      </c>
      <c r="D9" s="130">
        <v>1870</v>
      </c>
      <c r="E9" s="130">
        <v>0</v>
      </c>
      <c r="F9" s="130">
        <v>0</v>
      </c>
      <c r="G9" s="130">
        <v>0</v>
      </c>
      <c r="H9" s="130">
        <v>1870</v>
      </c>
      <c r="I9" s="130">
        <v>1</v>
      </c>
      <c r="J9" s="130">
        <v>1870</v>
      </c>
      <c r="K9" s="130" t="s">
        <v>37</v>
      </c>
    </row>
    <row r="10" spans="1:11" x14ac:dyDescent="0.3">
      <c r="A10" s="129" t="s">
        <v>128</v>
      </c>
      <c r="B10" s="129" t="s">
        <v>144</v>
      </c>
      <c r="C10" s="129" t="s">
        <v>145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1</v>
      </c>
      <c r="J10" s="129">
        <v>0</v>
      </c>
      <c r="K10" s="129" t="s">
        <v>46</v>
      </c>
    </row>
    <row r="11" spans="1:11" x14ac:dyDescent="0.3">
      <c r="A11" s="130" t="s">
        <v>128</v>
      </c>
      <c r="B11" s="130" t="s">
        <v>146</v>
      </c>
      <c r="C11" s="130" t="s">
        <v>147</v>
      </c>
      <c r="D11" s="130">
        <v>0</v>
      </c>
      <c r="E11" s="130">
        <v>0</v>
      </c>
      <c r="F11" s="130">
        <v>0</v>
      </c>
      <c r="G11" s="130">
        <v>0</v>
      </c>
      <c r="H11" s="130">
        <v>0</v>
      </c>
      <c r="I11" s="130">
        <v>0.186</v>
      </c>
      <c r="J11" s="130">
        <v>0</v>
      </c>
      <c r="K11" s="130" t="s">
        <v>46</v>
      </c>
    </row>
    <row r="12" spans="1:11" x14ac:dyDescent="0.3">
      <c r="A12" s="129" t="s">
        <v>128</v>
      </c>
      <c r="B12" s="129" t="s">
        <v>148</v>
      </c>
      <c r="C12" s="129" t="s">
        <v>149</v>
      </c>
      <c r="D12" s="129">
        <v>0</v>
      </c>
      <c r="E12" s="129">
        <v>0</v>
      </c>
      <c r="F12" s="129">
        <v>0</v>
      </c>
      <c r="G12" s="129">
        <v>0</v>
      </c>
      <c r="H12" s="129">
        <v>0</v>
      </c>
      <c r="I12" s="129">
        <v>1</v>
      </c>
      <c r="J12" s="129">
        <v>0</v>
      </c>
      <c r="K12" s="129" t="s">
        <v>49</v>
      </c>
    </row>
    <row r="13" spans="1:11" x14ac:dyDescent="0.3">
      <c r="A13" s="130" t="s">
        <v>128</v>
      </c>
      <c r="B13" s="130" t="s">
        <v>144</v>
      </c>
      <c r="C13" s="130" t="s">
        <v>145</v>
      </c>
      <c r="D13" s="130">
        <v>0</v>
      </c>
      <c r="E13" s="130">
        <v>0</v>
      </c>
      <c r="F13" s="130">
        <v>0</v>
      </c>
      <c r="G13" s="130">
        <v>0</v>
      </c>
      <c r="H13" s="130">
        <v>0</v>
      </c>
      <c r="I13" s="130">
        <v>1</v>
      </c>
      <c r="J13" s="130">
        <v>0</v>
      </c>
      <c r="K13" s="130" t="s">
        <v>46</v>
      </c>
    </row>
    <row r="14" spans="1:11" x14ac:dyDescent="0.3">
      <c r="A14" s="132" t="s">
        <v>128</v>
      </c>
      <c r="B14" s="132" t="s">
        <v>146</v>
      </c>
      <c r="C14" s="132" t="s">
        <v>147</v>
      </c>
      <c r="D14" s="132">
        <v>0</v>
      </c>
      <c r="E14" s="132">
        <v>0</v>
      </c>
      <c r="F14" s="132">
        <v>0</v>
      </c>
      <c r="G14" s="132">
        <v>0</v>
      </c>
      <c r="H14" s="132">
        <v>0</v>
      </c>
      <c r="I14" s="132">
        <v>0.186</v>
      </c>
      <c r="J14" s="132">
        <v>0</v>
      </c>
      <c r="K14" s="132" t="s">
        <v>46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5BFAD-1024-43BA-9545-B78D50C1B5B8}">
  <dimension ref="A1:AF32"/>
  <sheetViews>
    <sheetView workbookViewId="0">
      <selection sqref="A1:AF1"/>
    </sheetView>
  </sheetViews>
  <sheetFormatPr defaultRowHeight="14.4" x14ac:dyDescent="0.3"/>
  <cols>
    <col min="1" max="1" width="12.21875" bestFit="1" customWidth="1"/>
    <col min="2" max="2" width="44" bestFit="1" customWidth="1"/>
    <col min="3" max="3" width="25.88671875" bestFit="1" customWidth="1"/>
    <col min="4" max="4" width="11.33203125" bestFit="1" customWidth="1"/>
    <col min="5" max="5" width="20.6640625" bestFit="1" customWidth="1"/>
    <col min="6" max="6" width="16.44140625" bestFit="1" customWidth="1"/>
    <col min="7" max="7" width="19.77734375" bestFit="1" customWidth="1"/>
    <col min="8" max="8" width="16.109375" bestFit="1" customWidth="1"/>
    <col min="9" max="9" width="11.88671875" bestFit="1" customWidth="1"/>
    <col min="10" max="10" width="15.6640625" bestFit="1" customWidth="1"/>
    <col min="11" max="11" width="15.77734375" bestFit="1" customWidth="1"/>
    <col min="12" max="12" width="18" bestFit="1" customWidth="1"/>
    <col min="13" max="13" width="15.6640625" bestFit="1" customWidth="1"/>
    <col min="14" max="14" width="14.88671875" bestFit="1" customWidth="1"/>
    <col min="15" max="15" width="14.109375" customWidth="1"/>
    <col min="16" max="16" width="7.109375" bestFit="1" customWidth="1"/>
    <col min="17" max="17" width="13.88671875" bestFit="1" customWidth="1"/>
    <col min="18" max="18" width="5.33203125" bestFit="1" customWidth="1"/>
    <col min="19" max="19" width="20.109375" bestFit="1" customWidth="1"/>
    <col min="20" max="20" width="19.5546875" bestFit="1" customWidth="1"/>
    <col min="21" max="21" width="13.109375" bestFit="1" customWidth="1"/>
    <col min="22" max="22" width="20.33203125" bestFit="1" customWidth="1"/>
    <col min="23" max="23" width="19.77734375" bestFit="1" customWidth="1"/>
    <col min="24" max="24" width="13.33203125" bestFit="1" customWidth="1"/>
    <col min="25" max="25" width="14.33203125" bestFit="1" customWidth="1"/>
    <col min="26" max="26" width="5.21875" bestFit="1" customWidth="1"/>
    <col min="27" max="27" width="12.6640625" bestFit="1" customWidth="1"/>
    <col min="28" max="28" width="11.88671875" bestFit="1" customWidth="1"/>
    <col min="29" max="29" width="15.33203125" bestFit="1" customWidth="1"/>
    <col min="30" max="30" width="20.88671875" bestFit="1" customWidth="1"/>
    <col min="31" max="31" width="8.33203125" bestFit="1" customWidth="1"/>
    <col min="32" max="32" width="16.77734375" bestFit="1" customWidth="1"/>
  </cols>
  <sheetData>
    <row r="1" spans="1:32" x14ac:dyDescent="0.3">
      <c r="A1" s="131" t="s">
        <v>150</v>
      </c>
      <c r="B1" s="131" t="s">
        <v>20</v>
      </c>
      <c r="C1" s="131" t="s">
        <v>19</v>
      </c>
      <c r="D1" s="131" t="s">
        <v>151</v>
      </c>
      <c r="E1" s="131" t="s">
        <v>152</v>
      </c>
      <c r="F1" s="131" t="s">
        <v>153</v>
      </c>
      <c r="G1" s="131" t="s">
        <v>154</v>
      </c>
      <c r="H1" s="131" t="s">
        <v>155</v>
      </c>
      <c r="I1" s="131" t="s">
        <v>156</v>
      </c>
      <c r="J1" s="131" t="s">
        <v>157</v>
      </c>
      <c r="K1" s="131" t="s">
        <v>158</v>
      </c>
      <c r="L1" s="131" t="s">
        <v>159</v>
      </c>
      <c r="M1" s="131" t="s">
        <v>160</v>
      </c>
      <c r="N1" s="131" t="s">
        <v>161</v>
      </c>
      <c r="O1" s="131" t="s">
        <v>162</v>
      </c>
      <c r="P1" s="131" t="s">
        <v>163</v>
      </c>
      <c r="Q1" s="131" t="s">
        <v>164</v>
      </c>
      <c r="R1" s="131" t="s">
        <v>165</v>
      </c>
      <c r="S1" s="131" t="s">
        <v>166</v>
      </c>
      <c r="T1" s="131" t="s">
        <v>167</v>
      </c>
      <c r="U1" s="131" t="s">
        <v>168</v>
      </c>
      <c r="V1" s="131" t="s">
        <v>169</v>
      </c>
      <c r="W1" s="131" t="s">
        <v>170</v>
      </c>
      <c r="X1" s="131" t="s">
        <v>171</v>
      </c>
      <c r="Y1" s="131" t="s">
        <v>172</v>
      </c>
      <c r="Z1" s="131" t="s">
        <v>125</v>
      </c>
      <c r="AA1" s="131" t="s">
        <v>21</v>
      </c>
      <c r="AB1" s="131" t="s">
        <v>173</v>
      </c>
      <c r="AC1" s="131" t="s">
        <v>174</v>
      </c>
      <c r="AD1" s="131" t="s">
        <v>127</v>
      </c>
      <c r="AE1" s="131" t="s">
        <v>22</v>
      </c>
      <c r="AF1" s="131" t="s">
        <v>175</v>
      </c>
    </row>
    <row r="2" spans="1:32" x14ac:dyDescent="0.3">
      <c r="A2" s="129" t="s">
        <v>128</v>
      </c>
      <c r="B2" s="129" t="s">
        <v>176</v>
      </c>
      <c r="C2" s="129" t="s">
        <v>136</v>
      </c>
      <c r="D2" s="129" t="s">
        <v>177</v>
      </c>
      <c r="E2" s="129" t="s">
        <v>178</v>
      </c>
      <c r="F2" s="133">
        <v>46287.478263888886</v>
      </c>
      <c r="G2" s="129" t="s">
        <v>179</v>
      </c>
      <c r="H2" s="129">
        <v>16</v>
      </c>
      <c r="I2" s="129" t="s">
        <v>180</v>
      </c>
      <c r="J2" s="133">
        <v>46288.353472222225</v>
      </c>
      <c r="K2" s="133">
        <v>46289.458333333336</v>
      </c>
      <c r="L2" s="133"/>
      <c r="M2" s="129">
        <v>16</v>
      </c>
      <c r="N2" s="129"/>
      <c r="O2" s="129" t="s">
        <v>181</v>
      </c>
      <c r="P2" s="129" t="s">
        <v>182</v>
      </c>
      <c r="Q2" s="129"/>
      <c r="R2" s="129"/>
      <c r="S2" s="129" t="s">
        <v>183</v>
      </c>
      <c r="T2" s="129" t="s">
        <v>184</v>
      </c>
      <c r="U2" s="129" t="s">
        <v>185</v>
      </c>
      <c r="V2" s="129" t="s">
        <v>128</v>
      </c>
      <c r="W2" s="129" t="s">
        <v>186</v>
      </c>
      <c r="X2" s="129" t="s">
        <v>185</v>
      </c>
      <c r="Y2" s="129">
        <v>48</v>
      </c>
      <c r="Z2" s="129"/>
      <c r="AA2" s="129" t="s">
        <v>36</v>
      </c>
      <c r="AB2" s="129" t="s">
        <v>183</v>
      </c>
      <c r="AC2" s="129"/>
      <c r="AD2" s="129" t="s">
        <v>53</v>
      </c>
      <c r="AE2" s="129">
        <v>1.6</v>
      </c>
      <c r="AF2" s="129">
        <v>1</v>
      </c>
    </row>
    <row r="3" spans="1:32" x14ac:dyDescent="0.3">
      <c r="A3" s="130" t="s">
        <v>128</v>
      </c>
      <c r="B3" s="130" t="s">
        <v>187</v>
      </c>
      <c r="C3" s="130" t="s">
        <v>188</v>
      </c>
      <c r="D3" s="130" t="s">
        <v>177</v>
      </c>
      <c r="E3" s="130" t="s">
        <v>189</v>
      </c>
      <c r="F3" s="134">
        <v>46287.485196759262</v>
      </c>
      <c r="G3" s="130" t="s">
        <v>179</v>
      </c>
      <c r="H3" s="130">
        <v>25</v>
      </c>
      <c r="I3" s="130" t="s">
        <v>190</v>
      </c>
      <c r="J3" s="134">
        <v>46287.60833333333</v>
      </c>
      <c r="K3" s="134">
        <v>46289.458333333336</v>
      </c>
      <c r="L3" s="134"/>
      <c r="M3" s="130">
        <v>25</v>
      </c>
      <c r="N3" s="130"/>
      <c r="O3" s="130" t="s">
        <v>181</v>
      </c>
      <c r="P3" s="130" t="s">
        <v>182</v>
      </c>
      <c r="Q3" s="130"/>
      <c r="R3" s="130"/>
      <c r="S3" s="130" t="s">
        <v>183</v>
      </c>
      <c r="T3" s="130" t="s">
        <v>184</v>
      </c>
      <c r="U3" s="130" t="s">
        <v>185</v>
      </c>
      <c r="V3" s="130" t="s">
        <v>191</v>
      </c>
      <c r="W3" s="130" t="s">
        <v>191</v>
      </c>
      <c r="X3" s="130" t="s">
        <v>191</v>
      </c>
      <c r="Y3" s="130"/>
      <c r="Z3" s="130"/>
      <c r="AA3" s="130" t="s">
        <v>192</v>
      </c>
      <c r="AB3" s="130" t="s">
        <v>183</v>
      </c>
      <c r="AC3" s="130"/>
      <c r="AD3" s="130" t="s">
        <v>191</v>
      </c>
      <c r="AE3" s="130"/>
      <c r="AF3" s="130">
        <v>0</v>
      </c>
    </row>
    <row r="4" spans="1:32" x14ac:dyDescent="0.3">
      <c r="A4" s="129" t="s">
        <v>128</v>
      </c>
      <c r="B4" s="129" t="s">
        <v>187</v>
      </c>
      <c r="C4" s="129" t="s">
        <v>188</v>
      </c>
      <c r="D4" s="129" t="s">
        <v>177</v>
      </c>
      <c r="E4" s="129" t="s">
        <v>193</v>
      </c>
      <c r="F4" s="133">
        <v>46287.483784722222</v>
      </c>
      <c r="G4" s="129" t="s">
        <v>179</v>
      </c>
      <c r="H4" s="129">
        <v>40</v>
      </c>
      <c r="I4" s="129" t="s">
        <v>190</v>
      </c>
      <c r="J4" s="133">
        <v>46287.60833333333</v>
      </c>
      <c r="K4" s="133">
        <v>46289.458333333336</v>
      </c>
      <c r="L4" s="133"/>
      <c r="M4" s="129">
        <v>40</v>
      </c>
      <c r="N4" s="129"/>
      <c r="O4" s="129" t="s">
        <v>181</v>
      </c>
      <c r="P4" s="129" t="s">
        <v>182</v>
      </c>
      <c r="Q4" s="129"/>
      <c r="R4" s="129"/>
      <c r="S4" s="129" t="s">
        <v>183</v>
      </c>
      <c r="T4" s="129" t="s">
        <v>184</v>
      </c>
      <c r="U4" s="129" t="s">
        <v>185</v>
      </c>
      <c r="V4" s="129" t="s">
        <v>191</v>
      </c>
      <c r="W4" s="129" t="s">
        <v>191</v>
      </c>
      <c r="X4" s="129" t="s">
        <v>191</v>
      </c>
      <c r="Y4" s="129"/>
      <c r="Z4" s="129"/>
      <c r="AA4" s="129" t="s">
        <v>192</v>
      </c>
      <c r="AB4" s="129" t="s">
        <v>183</v>
      </c>
      <c r="AC4" s="129"/>
      <c r="AD4" s="129" t="s">
        <v>191</v>
      </c>
      <c r="AE4" s="129"/>
      <c r="AF4" s="129"/>
    </row>
    <row r="5" spans="1:32" x14ac:dyDescent="0.3">
      <c r="A5" s="130" t="s">
        <v>128</v>
      </c>
      <c r="B5" s="130" t="s">
        <v>187</v>
      </c>
      <c r="C5" s="130" t="s">
        <v>188</v>
      </c>
      <c r="D5" s="130" t="s">
        <v>177</v>
      </c>
      <c r="E5" s="130" t="s">
        <v>194</v>
      </c>
      <c r="F5" s="134">
        <v>46287.483194444445</v>
      </c>
      <c r="G5" s="130" t="s">
        <v>179</v>
      </c>
      <c r="H5" s="130">
        <v>40</v>
      </c>
      <c r="I5" s="130" t="s">
        <v>190</v>
      </c>
      <c r="J5" s="134">
        <v>46287.60833333333</v>
      </c>
      <c r="K5" s="134">
        <v>46289.458333333336</v>
      </c>
      <c r="L5" s="134"/>
      <c r="M5" s="130">
        <v>40</v>
      </c>
      <c r="N5" s="130"/>
      <c r="O5" s="130" t="s">
        <v>181</v>
      </c>
      <c r="P5" s="130" t="s">
        <v>182</v>
      </c>
      <c r="Q5" s="130"/>
      <c r="R5" s="130"/>
      <c r="S5" s="130" t="s">
        <v>183</v>
      </c>
      <c r="T5" s="130" t="s">
        <v>184</v>
      </c>
      <c r="U5" s="130" t="s">
        <v>185</v>
      </c>
      <c r="V5" s="130" t="s">
        <v>191</v>
      </c>
      <c r="W5" s="130" t="s">
        <v>191</v>
      </c>
      <c r="X5" s="130" t="s">
        <v>191</v>
      </c>
      <c r="Y5" s="130"/>
      <c r="Z5" s="130"/>
      <c r="AA5" s="130" t="s">
        <v>192</v>
      </c>
      <c r="AB5" s="130" t="s">
        <v>183</v>
      </c>
      <c r="AC5" s="130"/>
      <c r="AD5" s="130" t="s">
        <v>191</v>
      </c>
      <c r="AE5" s="130"/>
      <c r="AF5" s="130"/>
    </row>
    <row r="6" spans="1:32" x14ac:dyDescent="0.3">
      <c r="A6" s="129" t="s">
        <v>128</v>
      </c>
      <c r="B6" s="129" t="s">
        <v>176</v>
      </c>
      <c r="C6" s="129" t="s">
        <v>136</v>
      </c>
      <c r="D6" s="129" t="s">
        <v>177</v>
      </c>
      <c r="E6" s="129" t="s">
        <v>195</v>
      </c>
      <c r="F6" s="133">
        <v>46273.341469907406</v>
      </c>
      <c r="G6" s="129" t="s">
        <v>179</v>
      </c>
      <c r="H6" s="129">
        <v>16</v>
      </c>
      <c r="I6" s="129" t="s">
        <v>196</v>
      </c>
      <c r="J6" s="133">
        <v>46273.402777777781</v>
      </c>
      <c r="K6" s="133">
        <v>46275.465277777781</v>
      </c>
      <c r="L6" s="133"/>
      <c r="M6" s="129">
        <v>16</v>
      </c>
      <c r="N6" s="129"/>
      <c r="O6" s="129" t="s">
        <v>181</v>
      </c>
      <c r="P6" s="129" t="s">
        <v>197</v>
      </c>
      <c r="Q6" s="129"/>
      <c r="R6" s="129"/>
      <c r="S6" s="129" t="s">
        <v>183</v>
      </c>
      <c r="T6" s="129" t="s">
        <v>184</v>
      </c>
      <c r="U6" s="129" t="s">
        <v>185</v>
      </c>
      <c r="V6" s="129" t="s">
        <v>128</v>
      </c>
      <c r="W6" s="129" t="s">
        <v>186</v>
      </c>
      <c r="X6" s="129" t="s">
        <v>185</v>
      </c>
      <c r="Y6" s="129">
        <v>48</v>
      </c>
      <c r="Z6" s="129"/>
      <c r="AA6" s="129" t="s">
        <v>36</v>
      </c>
      <c r="AB6" s="129" t="s">
        <v>183</v>
      </c>
      <c r="AC6" s="129"/>
      <c r="AD6" s="129" t="s">
        <v>53</v>
      </c>
      <c r="AE6" s="129">
        <v>1.6</v>
      </c>
      <c r="AF6" s="129">
        <v>1</v>
      </c>
    </row>
    <row r="7" spans="1:32" x14ac:dyDescent="0.3">
      <c r="A7" s="130" t="s">
        <v>128</v>
      </c>
      <c r="B7" s="130" t="s">
        <v>198</v>
      </c>
      <c r="C7" s="130" t="s">
        <v>136</v>
      </c>
      <c r="D7" s="130" t="s">
        <v>177</v>
      </c>
      <c r="E7" s="130" t="s">
        <v>199</v>
      </c>
      <c r="F7" s="134">
        <v>46283.361296296294</v>
      </c>
      <c r="G7" s="130" t="s">
        <v>179</v>
      </c>
      <c r="H7" s="130">
        <v>1</v>
      </c>
      <c r="I7" s="130" t="s">
        <v>200</v>
      </c>
      <c r="J7" s="134">
        <v>46286.416666666664</v>
      </c>
      <c r="K7" s="134">
        <v>46287.461805555555</v>
      </c>
      <c r="L7" s="134"/>
      <c r="M7" s="130">
        <v>1</v>
      </c>
      <c r="N7" s="130"/>
      <c r="O7" s="130" t="s">
        <v>181</v>
      </c>
      <c r="P7" s="130" t="s">
        <v>182</v>
      </c>
      <c r="Q7" s="130"/>
      <c r="R7" s="130"/>
      <c r="S7" s="130" t="s">
        <v>183</v>
      </c>
      <c r="T7" s="130" t="s">
        <v>184</v>
      </c>
      <c r="U7" s="130" t="s">
        <v>185</v>
      </c>
      <c r="V7" s="130" t="s">
        <v>128</v>
      </c>
      <c r="W7" s="130" t="s">
        <v>186</v>
      </c>
      <c r="X7" s="130" t="s">
        <v>185</v>
      </c>
      <c r="Y7" s="130">
        <v>48</v>
      </c>
      <c r="Z7" s="130"/>
      <c r="AA7" s="130" t="s">
        <v>55</v>
      </c>
      <c r="AB7" s="130" t="s">
        <v>183</v>
      </c>
      <c r="AC7" s="130"/>
      <c r="AD7" s="130" t="s">
        <v>53</v>
      </c>
      <c r="AE7" s="130">
        <v>1</v>
      </c>
      <c r="AF7" s="130">
        <v>1</v>
      </c>
    </row>
    <row r="8" spans="1:32" x14ac:dyDescent="0.3">
      <c r="A8" s="129" t="s">
        <v>128</v>
      </c>
      <c r="B8" s="129" t="s">
        <v>198</v>
      </c>
      <c r="C8" s="129" t="s">
        <v>136</v>
      </c>
      <c r="D8" s="129" t="s">
        <v>177</v>
      </c>
      <c r="E8" s="129" t="s">
        <v>201</v>
      </c>
      <c r="F8" s="133">
        <v>46279.471388888887</v>
      </c>
      <c r="G8" s="129" t="s">
        <v>179</v>
      </c>
      <c r="H8" s="129">
        <v>2</v>
      </c>
      <c r="I8" s="129" t="s">
        <v>202</v>
      </c>
      <c r="J8" s="133">
        <v>46279.524305555555</v>
      </c>
      <c r="K8" s="133">
        <v>46281.472222222219</v>
      </c>
      <c r="L8" s="133"/>
      <c r="M8" s="129">
        <v>2</v>
      </c>
      <c r="N8" s="129"/>
      <c r="O8" s="129" t="s">
        <v>181</v>
      </c>
      <c r="P8" s="129" t="s">
        <v>182</v>
      </c>
      <c r="Q8" s="129"/>
      <c r="R8" s="129"/>
      <c r="S8" s="129" t="s">
        <v>183</v>
      </c>
      <c r="T8" s="129" t="s">
        <v>184</v>
      </c>
      <c r="U8" s="129" t="s">
        <v>185</v>
      </c>
      <c r="V8" s="129" t="s">
        <v>128</v>
      </c>
      <c r="W8" s="129" t="s">
        <v>186</v>
      </c>
      <c r="X8" s="129" t="s">
        <v>185</v>
      </c>
      <c r="Y8" s="129">
        <v>48</v>
      </c>
      <c r="Z8" s="129"/>
      <c r="AA8" s="129" t="s">
        <v>55</v>
      </c>
      <c r="AB8" s="129" t="s">
        <v>183</v>
      </c>
      <c r="AC8" s="129"/>
      <c r="AD8" s="129" t="s">
        <v>53</v>
      </c>
      <c r="AE8" s="129">
        <v>1</v>
      </c>
      <c r="AF8" s="129">
        <v>1</v>
      </c>
    </row>
    <row r="9" spans="1:32" x14ac:dyDescent="0.3">
      <c r="A9" s="130" t="s">
        <v>128</v>
      </c>
      <c r="B9" s="130" t="s">
        <v>203</v>
      </c>
      <c r="C9" s="130" t="s">
        <v>204</v>
      </c>
      <c r="D9" s="130" t="s">
        <v>177</v>
      </c>
      <c r="E9" s="130" t="s">
        <v>205</v>
      </c>
      <c r="F9" s="134">
        <v>46287.493831018517</v>
      </c>
      <c r="G9" s="130" t="s">
        <v>179</v>
      </c>
      <c r="H9" s="130">
        <v>1</v>
      </c>
      <c r="I9" s="130" t="s">
        <v>206</v>
      </c>
      <c r="J9" s="134">
        <v>46287.611805555556</v>
      </c>
      <c r="K9" s="134">
        <v>46289.458333333336</v>
      </c>
      <c r="L9" s="134"/>
      <c r="M9" s="130">
        <v>1</v>
      </c>
      <c r="N9" s="130"/>
      <c r="O9" s="130" t="s">
        <v>181</v>
      </c>
      <c r="P9" s="130" t="s">
        <v>182</v>
      </c>
      <c r="Q9" s="130"/>
      <c r="R9" s="130"/>
      <c r="S9" s="130" t="s">
        <v>183</v>
      </c>
      <c r="T9" s="130" t="s">
        <v>184</v>
      </c>
      <c r="U9" s="130" t="s">
        <v>185</v>
      </c>
      <c r="V9" s="130" t="s">
        <v>128</v>
      </c>
      <c r="W9" s="130" t="s">
        <v>186</v>
      </c>
      <c r="X9" s="130" t="s">
        <v>185</v>
      </c>
      <c r="Y9" s="130">
        <v>48</v>
      </c>
      <c r="Z9" s="130"/>
      <c r="AA9" s="130" t="s">
        <v>36</v>
      </c>
      <c r="AB9" s="130" t="s">
        <v>183</v>
      </c>
      <c r="AC9" s="130"/>
      <c r="AD9" s="130" t="s">
        <v>53</v>
      </c>
      <c r="AE9" s="130">
        <v>1</v>
      </c>
      <c r="AF9" s="130"/>
    </row>
    <row r="10" spans="1:32" x14ac:dyDescent="0.3">
      <c r="A10" s="129" t="s">
        <v>128</v>
      </c>
      <c r="B10" s="129" t="s">
        <v>203</v>
      </c>
      <c r="C10" s="129" t="s">
        <v>204</v>
      </c>
      <c r="D10" s="129" t="s">
        <v>177</v>
      </c>
      <c r="E10" s="129" t="s">
        <v>207</v>
      </c>
      <c r="F10" s="133">
        <v>46283.36478009259</v>
      </c>
      <c r="G10" s="129" t="s">
        <v>179</v>
      </c>
      <c r="H10" s="129">
        <v>2</v>
      </c>
      <c r="I10" s="129" t="s">
        <v>208</v>
      </c>
      <c r="J10" s="133">
        <v>46286.458333333336</v>
      </c>
      <c r="K10" s="133">
        <v>46287.461805555555</v>
      </c>
      <c r="L10" s="133"/>
      <c r="M10" s="129">
        <v>2</v>
      </c>
      <c r="N10" s="129"/>
      <c r="O10" s="129" t="s">
        <v>181</v>
      </c>
      <c r="P10" s="129" t="s">
        <v>182</v>
      </c>
      <c r="Q10" s="129"/>
      <c r="R10" s="129"/>
      <c r="S10" s="129" t="s">
        <v>183</v>
      </c>
      <c r="T10" s="129" t="s">
        <v>184</v>
      </c>
      <c r="U10" s="129" t="s">
        <v>185</v>
      </c>
      <c r="V10" s="129" t="s">
        <v>128</v>
      </c>
      <c r="W10" s="129" t="s">
        <v>186</v>
      </c>
      <c r="X10" s="129" t="s">
        <v>185</v>
      </c>
      <c r="Y10" s="129"/>
      <c r="Z10" s="129"/>
      <c r="AA10" s="129" t="s">
        <v>36</v>
      </c>
      <c r="AB10" s="129" t="s">
        <v>183</v>
      </c>
      <c r="AC10" s="129"/>
      <c r="AD10" s="129" t="s">
        <v>53</v>
      </c>
      <c r="AE10" s="129">
        <v>1</v>
      </c>
      <c r="AF10" s="129"/>
    </row>
    <row r="11" spans="1:32" x14ac:dyDescent="0.3">
      <c r="A11" s="130" t="s">
        <v>128</v>
      </c>
      <c r="B11" s="130" t="s">
        <v>176</v>
      </c>
      <c r="C11" s="130" t="s">
        <v>136</v>
      </c>
      <c r="D11" s="130" t="s">
        <v>177</v>
      </c>
      <c r="E11" s="130" t="s">
        <v>209</v>
      </c>
      <c r="F11" s="134">
        <v>46286.323912037034</v>
      </c>
      <c r="G11" s="130" t="s">
        <v>210</v>
      </c>
      <c r="H11" s="130">
        <v>30</v>
      </c>
      <c r="I11" s="130" t="s">
        <v>211</v>
      </c>
      <c r="J11" s="134">
        <v>46286.373611111114</v>
      </c>
      <c r="K11" s="134">
        <v>46288.454861111109</v>
      </c>
      <c r="L11" s="134"/>
      <c r="M11" s="130">
        <v>30</v>
      </c>
      <c r="N11" s="130"/>
      <c r="O11" s="130" t="s">
        <v>181</v>
      </c>
      <c r="P11" s="130" t="s">
        <v>197</v>
      </c>
      <c r="Q11" s="130"/>
      <c r="R11" s="130"/>
      <c r="S11" s="130" t="s">
        <v>212</v>
      </c>
      <c r="T11" s="130" t="s">
        <v>213</v>
      </c>
      <c r="U11" s="130" t="s">
        <v>185</v>
      </c>
      <c r="V11" s="130" t="s">
        <v>128</v>
      </c>
      <c r="W11" s="130" t="s">
        <v>186</v>
      </c>
      <c r="X11" s="130" t="s">
        <v>185</v>
      </c>
      <c r="Y11" s="130">
        <v>40</v>
      </c>
      <c r="Z11" s="130"/>
      <c r="AA11" s="130" t="s">
        <v>36</v>
      </c>
      <c r="AB11" s="130" t="s">
        <v>212</v>
      </c>
      <c r="AC11" s="130">
        <v>1100</v>
      </c>
      <c r="AD11" s="130" t="s">
        <v>53</v>
      </c>
      <c r="AE11" s="130">
        <v>3</v>
      </c>
      <c r="AF11" s="130">
        <v>1</v>
      </c>
    </row>
    <row r="12" spans="1:32" x14ac:dyDescent="0.3">
      <c r="A12" s="129" t="s">
        <v>128</v>
      </c>
      <c r="B12" s="129" t="s">
        <v>176</v>
      </c>
      <c r="C12" s="129" t="s">
        <v>136</v>
      </c>
      <c r="D12" s="129" t="s">
        <v>177</v>
      </c>
      <c r="E12" s="129" t="s">
        <v>214</v>
      </c>
      <c r="F12" s="133">
        <v>46286.324270833335</v>
      </c>
      <c r="G12" s="129" t="s">
        <v>210</v>
      </c>
      <c r="H12" s="129">
        <v>50</v>
      </c>
      <c r="I12" s="129" t="s">
        <v>215</v>
      </c>
      <c r="J12" s="133">
        <v>46286.378472222219</v>
      </c>
      <c r="K12" s="133">
        <v>46288.454861111109</v>
      </c>
      <c r="L12" s="133"/>
      <c r="M12" s="129">
        <v>50</v>
      </c>
      <c r="N12" s="129"/>
      <c r="O12" s="129" t="s">
        <v>181</v>
      </c>
      <c r="P12" s="129" t="s">
        <v>197</v>
      </c>
      <c r="Q12" s="129"/>
      <c r="R12" s="129"/>
      <c r="S12" s="129" t="s">
        <v>212</v>
      </c>
      <c r="T12" s="129" t="s">
        <v>213</v>
      </c>
      <c r="U12" s="129" t="s">
        <v>185</v>
      </c>
      <c r="V12" s="129" t="s">
        <v>128</v>
      </c>
      <c r="W12" s="129" t="s">
        <v>186</v>
      </c>
      <c r="X12" s="129" t="s">
        <v>185</v>
      </c>
      <c r="Y12" s="129"/>
      <c r="Z12" s="129"/>
      <c r="AA12" s="129" t="s">
        <v>36</v>
      </c>
      <c r="AB12" s="129" t="s">
        <v>212</v>
      </c>
      <c r="AC12" s="129">
        <v>1100</v>
      </c>
      <c r="AD12" s="129" t="s">
        <v>53</v>
      </c>
      <c r="AE12" s="129">
        <v>5</v>
      </c>
      <c r="AF12" s="129"/>
    </row>
    <row r="13" spans="1:32" x14ac:dyDescent="0.3">
      <c r="A13" s="130" t="s">
        <v>128</v>
      </c>
      <c r="B13" s="130" t="s">
        <v>187</v>
      </c>
      <c r="C13" s="130" t="s">
        <v>188</v>
      </c>
      <c r="D13" s="130" t="s">
        <v>177</v>
      </c>
      <c r="E13" s="130" t="s">
        <v>216</v>
      </c>
      <c r="F13" s="134">
        <v>46267.3200462963</v>
      </c>
      <c r="G13" s="130" t="s">
        <v>210</v>
      </c>
      <c r="H13" s="130">
        <v>300</v>
      </c>
      <c r="I13" s="130" t="s">
        <v>217</v>
      </c>
      <c r="J13" s="134">
        <v>46267.451388888891</v>
      </c>
      <c r="K13" s="134">
        <v>46269.4375</v>
      </c>
      <c r="L13" s="134"/>
      <c r="M13" s="130">
        <v>300</v>
      </c>
      <c r="N13" s="130"/>
      <c r="O13" s="130" t="s">
        <v>181</v>
      </c>
      <c r="P13" s="130" t="s">
        <v>182</v>
      </c>
      <c r="Q13" s="130"/>
      <c r="R13" s="130"/>
      <c r="S13" s="130" t="s">
        <v>212</v>
      </c>
      <c r="T13" s="130" t="s">
        <v>213</v>
      </c>
      <c r="U13" s="130" t="s">
        <v>185</v>
      </c>
      <c r="V13" s="130" t="s">
        <v>191</v>
      </c>
      <c r="W13" s="130" t="s">
        <v>191</v>
      </c>
      <c r="X13" s="130" t="s">
        <v>191</v>
      </c>
      <c r="Y13" s="130"/>
      <c r="Z13" s="130"/>
      <c r="AA13" s="130" t="s">
        <v>192</v>
      </c>
      <c r="AB13" s="130" t="s">
        <v>212</v>
      </c>
      <c r="AC13" s="130">
        <v>1100</v>
      </c>
      <c r="AD13" s="130" t="s">
        <v>191</v>
      </c>
      <c r="AE13" s="130"/>
      <c r="AF13" s="130">
        <v>0</v>
      </c>
    </row>
    <row r="14" spans="1:32" x14ac:dyDescent="0.3">
      <c r="A14" s="129" t="s">
        <v>128</v>
      </c>
      <c r="B14" s="129" t="s">
        <v>176</v>
      </c>
      <c r="C14" s="129" t="s">
        <v>136</v>
      </c>
      <c r="D14" s="129" t="s">
        <v>177</v>
      </c>
      <c r="E14" s="129" t="s">
        <v>218</v>
      </c>
      <c r="F14" s="133">
        <v>46268.34103009259</v>
      </c>
      <c r="G14" s="129" t="s">
        <v>210</v>
      </c>
      <c r="H14" s="129">
        <v>35</v>
      </c>
      <c r="I14" s="129" t="s">
        <v>219</v>
      </c>
      <c r="J14" s="133">
        <v>46268.507638888892</v>
      </c>
      <c r="K14" s="133">
        <v>46269.4375</v>
      </c>
      <c r="L14" s="133"/>
      <c r="M14" s="129">
        <v>34</v>
      </c>
      <c r="N14" s="129"/>
      <c r="O14" s="129"/>
      <c r="P14" s="129"/>
      <c r="Q14" s="129"/>
      <c r="R14" s="129"/>
      <c r="S14" s="129" t="s">
        <v>212</v>
      </c>
      <c r="T14" s="129" t="s">
        <v>213</v>
      </c>
      <c r="U14" s="129" t="s">
        <v>185</v>
      </c>
      <c r="V14" s="129" t="s">
        <v>128</v>
      </c>
      <c r="W14" s="129" t="s">
        <v>186</v>
      </c>
      <c r="X14" s="129" t="s">
        <v>185</v>
      </c>
      <c r="Y14" s="129">
        <v>40</v>
      </c>
      <c r="Z14" s="129"/>
      <c r="AA14" s="129" t="s">
        <v>36</v>
      </c>
      <c r="AB14" s="129" t="s">
        <v>212</v>
      </c>
      <c r="AC14" s="129">
        <v>1100</v>
      </c>
      <c r="AD14" s="129" t="s">
        <v>53</v>
      </c>
      <c r="AE14" s="129">
        <v>3.4</v>
      </c>
      <c r="AF14" s="129">
        <v>1</v>
      </c>
    </row>
    <row r="15" spans="1:32" x14ac:dyDescent="0.3">
      <c r="A15" s="130" t="s">
        <v>128</v>
      </c>
      <c r="B15" s="130" t="s">
        <v>220</v>
      </c>
      <c r="C15" s="130" t="s">
        <v>221</v>
      </c>
      <c r="D15" s="130" t="s">
        <v>177</v>
      </c>
      <c r="E15" s="130" t="s">
        <v>222</v>
      </c>
      <c r="F15" s="134">
        <v>46279.677986111114</v>
      </c>
      <c r="G15" s="130" t="s">
        <v>223</v>
      </c>
      <c r="H15" s="130">
        <v>1</v>
      </c>
      <c r="I15" s="130" t="s">
        <v>224</v>
      </c>
      <c r="J15" s="134">
        <v>46280.488888888889</v>
      </c>
      <c r="K15" s="134">
        <v>46288.674305555556</v>
      </c>
      <c r="L15" s="134"/>
      <c r="M15" s="130">
        <v>1</v>
      </c>
      <c r="N15" s="130"/>
      <c r="O15" s="130" t="s">
        <v>181</v>
      </c>
      <c r="P15" s="130" t="s">
        <v>197</v>
      </c>
      <c r="Q15" s="130"/>
      <c r="R15" s="130"/>
      <c r="S15" s="130" t="s">
        <v>225</v>
      </c>
      <c r="T15" s="130" t="s">
        <v>226</v>
      </c>
      <c r="U15" s="130" t="s">
        <v>185</v>
      </c>
      <c r="V15" s="130" t="s">
        <v>191</v>
      </c>
      <c r="W15" s="130" t="s">
        <v>191</v>
      </c>
      <c r="X15" s="130" t="s">
        <v>191</v>
      </c>
      <c r="Y15" s="130"/>
      <c r="Z15" s="130"/>
      <c r="AA15" s="130" t="s">
        <v>227</v>
      </c>
      <c r="AB15" s="130" t="s">
        <v>225</v>
      </c>
      <c r="AC15" s="130">
        <v>2480</v>
      </c>
      <c r="AD15" s="130" t="s">
        <v>64</v>
      </c>
      <c r="AE15" s="130">
        <v>1</v>
      </c>
      <c r="AF15" s="130">
        <v>1</v>
      </c>
    </row>
    <row r="16" spans="1:32" x14ac:dyDescent="0.3">
      <c r="A16" s="129" t="s">
        <v>128</v>
      </c>
      <c r="B16" s="129" t="s">
        <v>220</v>
      </c>
      <c r="C16" s="129" t="s">
        <v>221</v>
      </c>
      <c r="D16" s="129" t="s">
        <v>177</v>
      </c>
      <c r="E16" s="129" t="s">
        <v>222</v>
      </c>
      <c r="F16" s="133">
        <v>46279.677986111114</v>
      </c>
      <c r="G16" s="129" t="s">
        <v>223</v>
      </c>
      <c r="H16" s="129">
        <v>1</v>
      </c>
      <c r="I16" s="129" t="s">
        <v>224</v>
      </c>
      <c r="J16" s="133">
        <v>46280.488888888889</v>
      </c>
      <c r="K16" s="133">
        <v>46288.674305555556</v>
      </c>
      <c r="L16" s="133"/>
      <c r="M16" s="129">
        <v>1</v>
      </c>
      <c r="N16" s="129"/>
      <c r="O16" s="129" t="s">
        <v>228</v>
      </c>
      <c r="P16" s="129"/>
      <c r="Q16" s="129"/>
      <c r="R16" s="129"/>
      <c r="S16" s="129" t="s">
        <v>225</v>
      </c>
      <c r="T16" s="129" t="s">
        <v>226</v>
      </c>
      <c r="U16" s="129" t="s">
        <v>185</v>
      </c>
      <c r="V16" s="129" t="s">
        <v>191</v>
      </c>
      <c r="W16" s="129" t="s">
        <v>191</v>
      </c>
      <c r="X16" s="129" t="s">
        <v>191</v>
      </c>
      <c r="Y16" s="129"/>
      <c r="Z16" s="129"/>
      <c r="AA16" s="129" t="s">
        <v>227</v>
      </c>
      <c r="AB16" s="129" t="s">
        <v>225</v>
      </c>
      <c r="AC16" s="129">
        <v>2480</v>
      </c>
      <c r="AD16" s="129" t="s">
        <v>64</v>
      </c>
      <c r="AE16" s="129">
        <v>1</v>
      </c>
      <c r="AF16" s="129"/>
    </row>
    <row r="17" spans="1:32" x14ac:dyDescent="0.3">
      <c r="A17" s="130" t="s">
        <v>128</v>
      </c>
      <c r="B17" s="130" t="s">
        <v>229</v>
      </c>
      <c r="C17" s="130" t="s">
        <v>230</v>
      </c>
      <c r="D17" s="130" t="s">
        <v>177</v>
      </c>
      <c r="E17" s="130" t="s">
        <v>222</v>
      </c>
      <c r="F17" s="134">
        <v>46279.677986111114</v>
      </c>
      <c r="G17" s="130" t="s">
        <v>223</v>
      </c>
      <c r="H17" s="130">
        <v>1</v>
      </c>
      <c r="I17" s="130" t="s">
        <v>224</v>
      </c>
      <c r="J17" s="134">
        <v>46280.488888888889</v>
      </c>
      <c r="K17" s="134">
        <v>46288.674305555556</v>
      </c>
      <c r="L17" s="134">
        <v>46288.674305555556</v>
      </c>
      <c r="M17" s="130">
        <v>1</v>
      </c>
      <c r="N17" s="130"/>
      <c r="O17" s="130" t="s">
        <v>181</v>
      </c>
      <c r="P17" s="130" t="s">
        <v>182</v>
      </c>
      <c r="Q17" s="130"/>
      <c r="R17" s="130"/>
      <c r="S17" s="130" t="s">
        <v>225</v>
      </c>
      <c r="T17" s="130" t="s">
        <v>226</v>
      </c>
      <c r="U17" s="130" t="s">
        <v>185</v>
      </c>
      <c r="V17" s="130" t="s">
        <v>191</v>
      </c>
      <c r="W17" s="130" t="s">
        <v>191</v>
      </c>
      <c r="X17" s="130" t="s">
        <v>191</v>
      </c>
      <c r="Y17" s="130"/>
      <c r="Z17" s="130"/>
      <c r="AA17" s="130" t="s">
        <v>231</v>
      </c>
      <c r="AB17" s="130" t="s">
        <v>225</v>
      </c>
      <c r="AC17" s="130">
        <v>2480</v>
      </c>
      <c r="AD17" s="130" t="s">
        <v>96</v>
      </c>
      <c r="AE17" s="130">
        <v>1</v>
      </c>
      <c r="AF17" s="130">
        <v>1</v>
      </c>
    </row>
    <row r="18" spans="1:32" x14ac:dyDescent="0.3">
      <c r="A18" s="129" t="s">
        <v>128</v>
      </c>
      <c r="B18" s="129" t="s">
        <v>229</v>
      </c>
      <c r="C18" s="129" t="s">
        <v>230</v>
      </c>
      <c r="D18" s="129" t="s">
        <v>177</v>
      </c>
      <c r="E18" s="129" t="s">
        <v>222</v>
      </c>
      <c r="F18" s="133">
        <v>46279.677986111114</v>
      </c>
      <c r="G18" s="129" t="s">
        <v>223</v>
      </c>
      <c r="H18" s="129">
        <v>1</v>
      </c>
      <c r="I18" s="129" t="s">
        <v>224</v>
      </c>
      <c r="J18" s="133">
        <v>46280.488888888889</v>
      </c>
      <c r="K18" s="133">
        <v>46288.674305555556</v>
      </c>
      <c r="L18" s="133">
        <v>46288.674305555556</v>
      </c>
      <c r="M18" s="129">
        <v>1</v>
      </c>
      <c r="N18" s="129"/>
      <c r="O18" s="129" t="s">
        <v>228</v>
      </c>
      <c r="P18" s="129"/>
      <c r="Q18" s="129"/>
      <c r="R18" s="129"/>
      <c r="S18" s="129" t="s">
        <v>225</v>
      </c>
      <c r="T18" s="129" t="s">
        <v>226</v>
      </c>
      <c r="U18" s="129" t="s">
        <v>185</v>
      </c>
      <c r="V18" s="129" t="s">
        <v>191</v>
      </c>
      <c r="W18" s="129" t="s">
        <v>191</v>
      </c>
      <c r="X18" s="129" t="s">
        <v>191</v>
      </c>
      <c r="Y18" s="129"/>
      <c r="Z18" s="129"/>
      <c r="AA18" s="129" t="s">
        <v>231</v>
      </c>
      <c r="AB18" s="129" t="s">
        <v>225</v>
      </c>
      <c r="AC18" s="129">
        <v>2480</v>
      </c>
      <c r="AD18" s="129" t="s">
        <v>96</v>
      </c>
      <c r="AE18" s="129">
        <v>1</v>
      </c>
      <c r="AF18" s="129"/>
    </row>
    <row r="19" spans="1:32" x14ac:dyDescent="0.3">
      <c r="A19" s="130" t="s">
        <v>128</v>
      </c>
      <c r="B19" s="130" t="s">
        <v>232</v>
      </c>
      <c r="C19" s="130" t="s">
        <v>233</v>
      </c>
      <c r="D19" s="130" t="s">
        <v>177</v>
      </c>
      <c r="E19" s="130" t="s">
        <v>222</v>
      </c>
      <c r="F19" s="134">
        <v>46279.677986111114</v>
      </c>
      <c r="G19" s="130" t="s">
        <v>223</v>
      </c>
      <c r="H19" s="130">
        <v>1</v>
      </c>
      <c r="I19" s="130" t="s">
        <v>224</v>
      </c>
      <c r="J19" s="134">
        <v>46280.488888888889</v>
      </c>
      <c r="K19" s="134">
        <v>46288.674305555556</v>
      </c>
      <c r="L19" s="134"/>
      <c r="M19" s="130">
        <v>1</v>
      </c>
      <c r="N19" s="130"/>
      <c r="O19" s="130" t="s">
        <v>181</v>
      </c>
      <c r="P19" s="130" t="s">
        <v>197</v>
      </c>
      <c r="Q19" s="130"/>
      <c r="R19" s="130"/>
      <c r="S19" s="130" t="s">
        <v>225</v>
      </c>
      <c r="T19" s="130" t="s">
        <v>226</v>
      </c>
      <c r="U19" s="130" t="s">
        <v>185</v>
      </c>
      <c r="V19" s="130" t="s">
        <v>191</v>
      </c>
      <c r="W19" s="130" t="s">
        <v>191</v>
      </c>
      <c r="X19" s="130" t="s">
        <v>191</v>
      </c>
      <c r="Y19" s="130"/>
      <c r="Z19" s="130">
        <v>1</v>
      </c>
      <c r="AA19" s="130" t="s">
        <v>88</v>
      </c>
      <c r="AB19" s="130" t="s">
        <v>225</v>
      </c>
      <c r="AC19" s="130">
        <v>2480</v>
      </c>
      <c r="AD19" s="130" t="s">
        <v>93</v>
      </c>
      <c r="AE19" s="130">
        <v>1</v>
      </c>
      <c r="AF19" s="130">
        <v>70.099999999999994</v>
      </c>
    </row>
    <row r="20" spans="1:32" x14ac:dyDescent="0.3">
      <c r="A20" s="129" t="s">
        <v>128</v>
      </c>
      <c r="B20" s="129" t="s">
        <v>232</v>
      </c>
      <c r="C20" s="129" t="s">
        <v>233</v>
      </c>
      <c r="D20" s="129" t="s">
        <v>177</v>
      </c>
      <c r="E20" s="129" t="s">
        <v>222</v>
      </c>
      <c r="F20" s="133">
        <v>46279.677986111114</v>
      </c>
      <c r="G20" s="129" t="s">
        <v>223</v>
      </c>
      <c r="H20" s="129">
        <v>700</v>
      </c>
      <c r="I20" s="129" t="s">
        <v>224</v>
      </c>
      <c r="J20" s="133">
        <v>46280.488888888889</v>
      </c>
      <c r="K20" s="133">
        <v>46288.674305555556</v>
      </c>
      <c r="L20" s="133"/>
      <c r="M20" s="129">
        <v>700</v>
      </c>
      <c r="N20" s="129"/>
      <c r="O20" s="129" t="s">
        <v>228</v>
      </c>
      <c r="P20" s="129"/>
      <c r="Q20" s="129"/>
      <c r="R20" s="129"/>
      <c r="S20" s="129" t="s">
        <v>225</v>
      </c>
      <c r="T20" s="129" t="s">
        <v>226</v>
      </c>
      <c r="U20" s="129" t="s">
        <v>185</v>
      </c>
      <c r="V20" s="129" t="s">
        <v>191</v>
      </c>
      <c r="W20" s="129" t="s">
        <v>191</v>
      </c>
      <c r="X20" s="129" t="s">
        <v>191</v>
      </c>
      <c r="Y20" s="129"/>
      <c r="Z20" s="129">
        <v>1</v>
      </c>
      <c r="AA20" s="129" t="s">
        <v>88</v>
      </c>
      <c r="AB20" s="129" t="s">
        <v>225</v>
      </c>
      <c r="AC20" s="129">
        <v>2480</v>
      </c>
      <c r="AD20" s="129" t="s">
        <v>93</v>
      </c>
      <c r="AE20" s="129">
        <v>700</v>
      </c>
      <c r="AF20" s="129"/>
    </row>
    <row r="21" spans="1:32" x14ac:dyDescent="0.3">
      <c r="A21" s="130" t="s">
        <v>128</v>
      </c>
      <c r="B21" s="130" t="s">
        <v>229</v>
      </c>
      <c r="C21" s="130" t="s">
        <v>230</v>
      </c>
      <c r="D21" s="130" t="s">
        <v>177</v>
      </c>
      <c r="E21" s="130" t="s">
        <v>234</v>
      </c>
      <c r="F21" s="134">
        <v>46254.604224537034</v>
      </c>
      <c r="G21" s="130" t="s">
        <v>235</v>
      </c>
      <c r="H21" s="130">
        <v>1</v>
      </c>
      <c r="I21" s="130" t="s">
        <v>236</v>
      </c>
      <c r="J21" s="134">
        <v>46255.40347222222</v>
      </c>
      <c r="K21" s="134">
        <v>46261.468055555553</v>
      </c>
      <c r="L21" s="134">
        <v>46261.468055555553</v>
      </c>
      <c r="M21" s="130">
        <v>1</v>
      </c>
      <c r="N21" s="130"/>
      <c r="O21" s="130" t="s">
        <v>181</v>
      </c>
      <c r="P21" s="130" t="s">
        <v>182</v>
      </c>
      <c r="Q21" s="130"/>
      <c r="R21" s="130"/>
      <c r="S21" s="130" t="s">
        <v>225</v>
      </c>
      <c r="T21" s="130" t="s">
        <v>226</v>
      </c>
      <c r="U21" s="130" t="s">
        <v>185</v>
      </c>
      <c r="V21" s="130" t="s">
        <v>191</v>
      </c>
      <c r="W21" s="130" t="s">
        <v>191</v>
      </c>
      <c r="X21" s="130" t="s">
        <v>191</v>
      </c>
      <c r="Y21" s="130"/>
      <c r="Z21" s="130"/>
      <c r="AA21" s="130" t="s">
        <v>231</v>
      </c>
      <c r="AB21" s="130" t="s">
        <v>225</v>
      </c>
      <c r="AC21" s="130">
        <v>2480</v>
      </c>
      <c r="AD21" s="130" t="s">
        <v>96</v>
      </c>
      <c r="AE21" s="130">
        <v>1</v>
      </c>
      <c r="AF21" s="130">
        <v>1</v>
      </c>
    </row>
    <row r="22" spans="1:32" x14ac:dyDescent="0.3">
      <c r="A22" s="129" t="s">
        <v>128</v>
      </c>
      <c r="B22" s="129" t="s">
        <v>232</v>
      </c>
      <c r="C22" s="129" t="s">
        <v>233</v>
      </c>
      <c r="D22" s="129" t="s">
        <v>177</v>
      </c>
      <c r="E22" s="129" t="s">
        <v>234</v>
      </c>
      <c r="F22" s="133">
        <v>46254.604224537034</v>
      </c>
      <c r="G22" s="129" t="s">
        <v>235</v>
      </c>
      <c r="H22" s="129">
        <v>202</v>
      </c>
      <c r="I22" s="129" t="s">
        <v>236</v>
      </c>
      <c r="J22" s="133">
        <v>46255.40347222222</v>
      </c>
      <c r="K22" s="133">
        <v>46261.468055555553</v>
      </c>
      <c r="L22" s="133"/>
      <c r="M22" s="129">
        <v>202</v>
      </c>
      <c r="N22" s="129"/>
      <c r="O22" s="129" t="s">
        <v>181</v>
      </c>
      <c r="P22" s="129" t="s">
        <v>197</v>
      </c>
      <c r="Q22" s="129"/>
      <c r="R22" s="129"/>
      <c r="S22" s="129" t="s">
        <v>225</v>
      </c>
      <c r="T22" s="129" t="s">
        <v>226</v>
      </c>
      <c r="U22" s="129" t="s">
        <v>185</v>
      </c>
      <c r="V22" s="129" t="s">
        <v>191</v>
      </c>
      <c r="W22" s="129" t="s">
        <v>191</v>
      </c>
      <c r="X22" s="129" t="s">
        <v>191</v>
      </c>
      <c r="Y22" s="129"/>
      <c r="Z22" s="129">
        <v>1</v>
      </c>
      <c r="AA22" s="129" t="s">
        <v>88</v>
      </c>
      <c r="AB22" s="129" t="s">
        <v>225</v>
      </c>
      <c r="AC22" s="129">
        <v>2480</v>
      </c>
      <c r="AD22" s="129" t="s">
        <v>93</v>
      </c>
      <c r="AE22" s="129">
        <v>202</v>
      </c>
      <c r="AF22" s="129">
        <v>20.2</v>
      </c>
    </row>
    <row r="23" spans="1:32" x14ac:dyDescent="0.3">
      <c r="A23" s="130" t="s">
        <v>128</v>
      </c>
      <c r="B23" s="130" t="s">
        <v>220</v>
      </c>
      <c r="C23" s="130" t="s">
        <v>221</v>
      </c>
      <c r="D23" s="130" t="s">
        <v>177</v>
      </c>
      <c r="E23" s="130" t="s">
        <v>237</v>
      </c>
      <c r="F23" s="134">
        <v>46254.596168981479</v>
      </c>
      <c r="G23" s="130" t="s">
        <v>235</v>
      </c>
      <c r="H23" s="130">
        <v>1</v>
      </c>
      <c r="I23" s="130" t="s">
        <v>238</v>
      </c>
      <c r="J23" s="134">
        <v>46255.384722222225</v>
      </c>
      <c r="K23" s="134">
        <v>46261.505555555559</v>
      </c>
      <c r="L23" s="134"/>
      <c r="M23" s="130">
        <v>1</v>
      </c>
      <c r="N23" s="130"/>
      <c r="O23" s="130" t="s">
        <v>181</v>
      </c>
      <c r="P23" s="130" t="s">
        <v>197</v>
      </c>
      <c r="Q23" s="130"/>
      <c r="R23" s="130"/>
      <c r="S23" s="130" t="s">
        <v>225</v>
      </c>
      <c r="T23" s="130" t="s">
        <v>226</v>
      </c>
      <c r="U23" s="130" t="s">
        <v>185</v>
      </c>
      <c r="V23" s="130" t="s">
        <v>191</v>
      </c>
      <c r="W23" s="130" t="s">
        <v>191</v>
      </c>
      <c r="X23" s="130" t="s">
        <v>191</v>
      </c>
      <c r="Y23" s="130"/>
      <c r="Z23" s="130"/>
      <c r="AA23" s="130" t="s">
        <v>227</v>
      </c>
      <c r="AB23" s="130" t="s">
        <v>225</v>
      </c>
      <c r="AC23" s="130">
        <v>2480</v>
      </c>
      <c r="AD23" s="130" t="s">
        <v>64</v>
      </c>
      <c r="AE23" s="130">
        <v>1</v>
      </c>
      <c r="AF23" s="130">
        <v>1</v>
      </c>
    </row>
    <row r="24" spans="1:32" x14ac:dyDescent="0.3">
      <c r="A24" s="129" t="s">
        <v>128</v>
      </c>
      <c r="B24" s="129" t="s">
        <v>220</v>
      </c>
      <c r="C24" s="129" t="s">
        <v>221</v>
      </c>
      <c r="D24" s="129" t="s">
        <v>177</v>
      </c>
      <c r="E24" s="129" t="s">
        <v>237</v>
      </c>
      <c r="F24" s="133">
        <v>46254.596168981479</v>
      </c>
      <c r="G24" s="129" t="s">
        <v>235</v>
      </c>
      <c r="H24" s="129">
        <v>1</v>
      </c>
      <c r="I24" s="129" t="s">
        <v>238</v>
      </c>
      <c r="J24" s="133">
        <v>46255.384722222225</v>
      </c>
      <c r="K24" s="133">
        <v>46261.505555555559</v>
      </c>
      <c r="L24" s="133"/>
      <c r="M24" s="129">
        <v>1</v>
      </c>
      <c r="N24" s="129"/>
      <c r="O24" s="129" t="s">
        <v>228</v>
      </c>
      <c r="P24" s="129"/>
      <c r="Q24" s="129"/>
      <c r="R24" s="129"/>
      <c r="S24" s="129" t="s">
        <v>225</v>
      </c>
      <c r="T24" s="129" t="s">
        <v>226</v>
      </c>
      <c r="U24" s="129" t="s">
        <v>185</v>
      </c>
      <c r="V24" s="129" t="s">
        <v>191</v>
      </c>
      <c r="W24" s="129" t="s">
        <v>191</v>
      </c>
      <c r="X24" s="129" t="s">
        <v>191</v>
      </c>
      <c r="Y24" s="129"/>
      <c r="Z24" s="129"/>
      <c r="AA24" s="129" t="s">
        <v>227</v>
      </c>
      <c r="AB24" s="129" t="s">
        <v>225</v>
      </c>
      <c r="AC24" s="129">
        <v>2480</v>
      </c>
      <c r="AD24" s="129" t="s">
        <v>64</v>
      </c>
      <c r="AE24" s="129">
        <v>1</v>
      </c>
      <c r="AF24" s="129"/>
    </row>
    <row r="25" spans="1:32" x14ac:dyDescent="0.3">
      <c r="A25" s="130" t="s">
        <v>128</v>
      </c>
      <c r="B25" s="130" t="s">
        <v>220</v>
      </c>
      <c r="C25" s="130" t="s">
        <v>221</v>
      </c>
      <c r="D25" s="130" t="s">
        <v>177</v>
      </c>
      <c r="E25" s="130" t="s">
        <v>239</v>
      </c>
      <c r="F25" s="134">
        <v>46254.372256944444</v>
      </c>
      <c r="G25" s="130" t="s">
        <v>235</v>
      </c>
      <c r="H25" s="130">
        <v>1</v>
      </c>
      <c r="I25" s="130" t="s">
        <v>240</v>
      </c>
      <c r="J25" s="134">
        <v>46258.352777777778</v>
      </c>
      <c r="K25" s="134">
        <v>46261.490277777775</v>
      </c>
      <c r="L25" s="134"/>
      <c r="M25" s="130">
        <v>1</v>
      </c>
      <c r="N25" s="130"/>
      <c r="O25" s="130" t="s">
        <v>181</v>
      </c>
      <c r="P25" s="130" t="s">
        <v>197</v>
      </c>
      <c r="Q25" s="130"/>
      <c r="R25" s="130"/>
      <c r="S25" s="130" t="s">
        <v>225</v>
      </c>
      <c r="T25" s="130" t="s">
        <v>226</v>
      </c>
      <c r="U25" s="130" t="s">
        <v>185</v>
      </c>
      <c r="V25" s="130" t="s">
        <v>191</v>
      </c>
      <c r="W25" s="130" t="s">
        <v>191</v>
      </c>
      <c r="X25" s="130" t="s">
        <v>191</v>
      </c>
      <c r="Y25" s="130"/>
      <c r="Z25" s="130"/>
      <c r="AA25" s="130" t="s">
        <v>227</v>
      </c>
      <c r="AB25" s="130" t="s">
        <v>225</v>
      </c>
      <c r="AC25" s="130">
        <v>2480</v>
      </c>
      <c r="AD25" s="130" t="s">
        <v>64</v>
      </c>
      <c r="AE25" s="130">
        <v>1</v>
      </c>
      <c r="AF25" s="130"/>
    </row>
    <row r="26" spans="1:32" x14ac:dyDescent="0.3">
      <c r="A26" s="129" t="s">
        <v>128</v>
      </c>
      <c r="B26" s="129" t="s">
        <v>220</v>
      </c>
      <c r="C26" s="129" t="s">
        <v>221</v>
      </c>
      <c r="D26" s="129" t="s">
        <v>177</v>
      </c>
      <c r="E26" s="129" t="s">
        <v>239</v>
      </c>
      <c r="F26" s="133">
        <v>46254.372256944444</v>
      </c>
      <c r="G26" s="129" t="s">
        <v>235</v>
      </c>
      <c r="H26" s="129">
        <v>1</v>
      </c>
      <c r="I26" s="129" t="s">
        <v>240</v>
      </c>
      <c r="J26" s="133">
        <v>46258.352777777778</v>
      </c>
      <c r="K26" s="133">
        <v>46261.490277777775</v>
      </c>
      <c r="L26" s="133"/>
      <c r="M26" s="129">
        <v>1</v>
      </c>
      <c r="N26" s="129"/>
      <c r="O26" s="129" t="s">
        <v>228</v>
      </c>
      <c r="P26" s="129"/>
      <c r="Q26" s="129"/>
      <c r="R26" s="129"/>
      <c r="S26" s="129" t="s">
        <v>225</v>
      </c>
      <c r="T26" s="129" t="s">
        <v>226</v>
      </c>
      <c r="U26" s="129" t="s">
        <v>185</v>
      </c>
      <c r="V26" s="129" t="s">
        <v>191</v>
      </c>
      <c r="W26" s="129" t="s">
        <v>191</v>
      </c>
      <c r="X26" s="129" t="s">
        <v>191</v>
      </c>
      <c r="Y26" s="129"/>
      <c r="Z26" s="129"/>
      <c r="AA26" s="129" t="s">
        <v>227</v>
      </c>
      <c r="AB26" s="129" t="s">
        <v>225</v>
      </c>
      <c r="AC26" s="129">
        <v>2480</v>
      </c>
      <c r="AD26" s="129" t="s">
        <v>64</v>
      </c>
      <c r="AE26" s="129">
        <v>1</v>
      </c>
      <c r="AF26" s="129"/>
    </row>
    <row r="27" spans="1:32" x14ac:dyDescent="0.3">
      <c r="A27" s="130" t="s">
        <v>128</v>
      </c>
      <c r="B27" s="130" t="s">
        <v>220</v>
      </c>
      <c r="C27" s="130" t="s">
        <v>221</v>
      </c>
      <c r="D27" s="130" t="s">
        <v>177</v>
      </c>
      <c r="E27" s="130" t="s">
        <v>239</v>
      </c>
      <c r="F27" s="134">
        <v>46254.372256944444</v>
      </c>
      <c r="G27" s="130" t="s">
        <v>235</v>
      </c>
      <c r="H27" s="130">
        <v>1</v>
      </c>
      <c r="I27" s="130" t="s">
        <v>240</v>
      </c>
      <c r="J27" s="134">
        <v>46258.352777777778</v>
      </c>
      <c r="K27" s="134">
        <v>46261.490277777775</v>
      </c>
      <c r="L27" s="134"/>
      <c r="M27" s="130">
        <v>1</v>
      </c>
      <c r="N27" s="130"/>
      <c r="O27" s="130" t="s">
        <v>228</v>
      </c>
      <c r="P27" s="130"/>
      <c r="Q27" s="130"/>
      <c r="R27" s="130"/>
      <c r="S27" s="130" t="s">
        <v>225</v>
      </c>
      <c r="T27" s="130" t="s">
        <v>226</v>
      </c>
      <c r="U27" s="130" t="s">
        <v>185</v>
      </c>
      <c r="V27" s="130" t="s">
        <v>191</v>
      </c>
      <c r="W27" s="130" t="s">
        <v>191</v>
      </c>
      <c r="X27" s="130" t="s">
        <v>191</v>
      </c>
      <c r="Y27" s="130"/>
      <c r="Z27" s="130"/>
      <c r="AA27" s="130" t="s">
        <v>227</v>
      </c>
      <c r="AB27" s="130" t="s">
        <v>225</v>
      </c>
      <c r="AC27" s="130">
        <v>2480</v>
      </c>
      <c r="AD27" s="130" t="s">
        <v>64</v>
      </c>
      <c r="AE27" s="130">
        <v>1</v>
      </c>
      <c r="AF27" s="130"/>
    </row>
    <row r="28" spans="1:32" x14ac:dyDescent="0.3">
      <c r="A28" s="129" t="s">
        <v>128</v>
      </c>
      <c r="B28" s="129" t="s">
        <v>220</v>
      </c>
      <c r="C28" s="129" t="s">
        <v>221</v>
      </c>
      <c r="D28" s="129" t="s">
        <v>177</v>
      </c>
      <c r="E28" s="129" t="s">
        <v>241</v>
      </c>
      <c r="F28" s="133">
        <v>46253.626759259256</v>
      </c>
      <c r="G28" s="129" t="s">
        <v>235</v>
      </c>
      <c r="H28" s="129">
        <v>1</v>
      </c>
      <c r="I28" s="129" t="s">
        <v>242</v>
      </c>
      <c r="J28" s="133">
        <v>46259.40625</v>
      </c>
      <c r="K28" s="133">
        <v>46265.595138888886</v>
      </c>
      <c r="L28" s="133"/>
      <c r="M28" s="129">
        <v>1</v>
      </c>
      <c r="N28" s="129"/>
      <c r="O28" s="129" t="s">
        <v>181</v>
      </c>
      <c r="P28" s="129" t="s">
        <v>197</v>
      </c>
      <c r="Q28" s="129"/>
      <c r="R28" s="129"/>
      <c r="S28" s="129" t="s">
        <v>225</v>
      </c>
      <c r="T28" s="129" t="s">
        <v>226</v>
      </c>
      <c r="U28" s="129" t="s">
        <v>185</v>
      </c>
      <c r="V28" s="129" t="s">
        <v>191</v>
      </c>
      <c r="W28" s="129" t="s">
        <v>191</v>
      </c>
      <c r="X28" s="129" t="s">
        <v>191</v>
      </c>
      <c r="Y28" s="129"/>
      <c r="Z28" s="129"/>
      <c r="AA28" s="129" t="s">
        <v>227</v>
      </c>
      <c r="AB28" s="129" t="s">
        <v>225</v>
      </c>
      <c r="AC28" s="129">
        <v>2480</v>
      </c>
      <c r="AD28" s="129" t="s">
        <v>64</v>
      </c>
      <c r="AE28" s="129">
        <v>1</v>
      </c>
      <c r="AF28" s="129">
        <v>1</v>
      </c>
    </row>
    <row r="29" spans="1:32" x14ac:dyDescent="0.3">
      <c r="A29" s="130" t="s">
        <v>128</v>
      </c>
      <c r="B29" s="130" t="s">
        <v>220</v>
      </c>
      <c r="C29" s="130" t="s">
        <v>221</v>
      </c>
      <c r="D29" s="130" t="s">
        <v>177</v>
      </c>
      <c r="E29" s="130" t="s">
        <v>234</v>
      </c>
      <c r="F29" s="134">
        <v>46254.604224537034</v>
      </c>
      <c r="G29" s="130" t="s">
        <v>235</v>
      </c>
      <c r="H29" s="130">
        <v>1</v>
      </c>
      <c r="I29" s="130" t="s">
        <v>236</v>
      </c>
      <c r="J29" s="134">
        <v>46255.40347222222</v>
      </c>
      <c r="K29" s="134">
        <v>46261.468055555553</v>
      </c>
      <c r="L29" s="134"/>
      <c r="M29" s="130">
        <v>1</v>
      </c>
      <c r="N29" s="130"/>
      <c r="O29" s="130" t="s">
        <v>181</v>
      </c>
      <c r="P29" s="130" t="s">
        <v>197</v>
      </c>
      <c r="Q29" s="130"/>
      <c r="R29" s="130"/>
      <c r="S29" s="130" t="s">
        <v>225</v>
      </c>
      <c r="T29" s="130" t="s">
        <v>226</v>
      </c>
      <c r="U29" s="130" t="s">
        <v>185</v>
      </c>
      <c r="V29" s="130" t="s">
        <v>191</v>
      </c>
      <c r="W29" s="130" t="s">
        <v>191</v>
      </c>
      <c r="X29" s="130" t="s">
        <v>191</v>
      </c>
      <c r="Y29" s="130"/>
      <c r="Z29" s="130"/>
      <c r="AA29" s="130" t="s">
        <v>227</v>
      </c>
      <c r="AB29" s="130" t="s">
        <v>225</v>
      </c>
      <c r="AC29" s="130">
        <v>2480</v>
      </c>
      <c r="AD29" s="130" t="s">
        <v>64</v>
      </c>
      <c r="AE29" s="130">
        <v>1</v>
      </c>
      <c r="AF29" s="130"/>
    </row>
    <row r="30" spans="1:32" x14ac:dyDescent="0.3">
      <c r="A30" s="129" t="s">
        <v>128</v>
      </c>
      <c r="B30" s="129" t="s">
        <v>220</v>
      </c>
      <c r="C30" s="129" t="s">
        <v>221</v>
      </c>
      <c r="D30" s="129" t="s">
        <v>177</v>
      </c>
      <c r="E30" s="129" t="s">
        <v>243</v>
      </c>
      <c r="F30" s="133">
        <v>46255.36005787037</v>
      </c>
      <c r="G30" s="129" t="s">
        <v>235</v>
      </c>
      <c r="H30" s="129">
        <v>1</v>
      </c>
      <c r="I30" s="129" t="s">
        <v>244</v>
      </c>
      <c r="J30" s="133">
        <v>46255.531944444447</v>
      </c>
      <c r="K30" s="133">
        <v>46261.515277777777</v>
      </c>
      <c r="L30" s="133"/>
      <c r="M30" s="129">
        <v>1</v>
      </c>
      <c r="N30" s="129"/>
      <c r="O30" s="129" t="s">
        <v>181</v>
      </c>
      <c r="P30" s="129" t="s">
        <v>197</v>
      </c>
      <c r="Q30" s="129"/>
      <c r="R30" s="129"/>
      <c r="S30" s="129" t="s">
        <v>225</v>
      </c>
      <c r="T30" s="129" t="s">
        <v>226</v>
      </c>
      <c r="U30" s="129" t="s">
        <v>185</v>
      </c>
      <c r="V30" s="129" t="s">
        <v>191</v>
      </c>
      <c r="W30" s="129" t="s">
        <v>191</v>
      </c>
      <c r="X30" s="129" t="s">
        <v>191</v>
      </c>
      <c r="Y30" s="129"/>
      <c r="Z30" s="129"/>
      <c r="AA30" s="129" t="s">
        <v>227</v>
      </c>
      <c r="AB30" s="129" t="s">
        <v>225</v>
      </c>
      <c r="AC30" s="129">
        <v>2480</v>
      </c>
      <c r="AD30" s="129" t="s">
        <v>64</v>
      </c>
      <c r="AE30" s="129">
        <v>1</v>
      </c>
      <c r="AF30" s="129"/>
    </row>
    <row r="31" spans="1:32" x14ac:dyDescent="0.3">
      <c r="A31" s="130" t="s">
        <v>128</v>
      </c>
      <c r="B31" s="130" t="s">
        <v>220</v>
      </c>
      <c r="C31" s="130" t="s">
        <v>221</v>
      </c>
      <c r="D31" s="130" t="s">
        <v>177</v>
      </c>
      <c r="E31" s="130" t="s">
        <v>245</v>
      </c>
      <c r="F31" s="134">
        <v>46280.576516203706</v>
      </c>
      <c r="G31" s="130" t="s">
        <v>246</v>
      </c>
      <c r="H31" s="130">
        <v>1</v>
      </c>
      <c r="I31" s="130" t="s">
        <v>247</v>
      </c>
      <c r="J31" s="134">
        <v>46281.364583333336</v>
      </c>
      <c r="K31" s="134">
        <v>46286.335416666669</v>
      </c>
      <c r="L31" s="134"/>
      <c r="M31" s="130">
        <v>1</v>
      </c>
      <c r="N31" s="130"/>
      <c r="O31" s="130" t="s">
        <v>181</v>
      </c>
      <c r="P31" s="130" t="s">
        <v>197</v>
      </c>
      <c r="Q31" s="130"/>
      <c r="R31" s="130"/>
      <c r="S31" s="130" t="s">
        <v>248</v>
      </c>
      <c r="T31" s="130" t="s">
        <v>249</v>
      </c>
      <c r="U31" s="130" t="s">
        <v>250</v>
      </c>
      <c r="V31" s="130" t="s">
        <v>191</v>
      </c>
      <c r="W31" s="130" t="s">
        <v>191</v>
      </c>
      <c r="X31" s="130" t="s">
        <v>191</v>
      </c>
      <c r="Y31" s="130"/>
      <c r="Z31" s="130"/>
      <c r="AA31" s="130" t="s">
        <v>227</v>
      </c>
      <c r="AB31" s="130" t="s">
        <v>248</v>
      </c>
      <c r="AC31" s="130"/>
      <c r="AD31" s="130" t="s">
        <v>64</v>
      </c>
      <c r="AE31" s="130">
        <v>1</v>
      </c>
      <c r="AF31" s="130">
        <v>1</v>
      </c>
    </row>
    <row r="32" spans="1:32" x14ac:dyDescent="0.3">
      <c r="A32" s="132" t="s">
        <v>128</v>
      </c>
      <c r="B32" s="132" t="s">
        <v>220</v>
      </c>
      <c r="C32" s="132" t="s">
        <v>221</v>
      </c>
      <c r="D32" s="132" t="s">
        <v>177</v>
      </c>
      <c r="E32" s="132" t="s">
        <v>245</v>
      </c>
      <c r="F32" s="135">
        <v>46280.576516203706</v>
      </c>
      <c r="G32" s="132" t="s">
        <v>246</v>
      </c>
      <c r="H32" s="132">
        <v>1</v>
      </c>
      <c r="I32" s="132" t="s">
        <v>247</v>
      </c>
      <c r="J32" s="135">
        <v>46281.364583333336</v>
      </c>
      <c r="K32" s="135">
        <v>46286.335416666669</v>
      </c>
      <c r="L32" s="135"/>
      <c r="M32" s="132">
        <v>1</v>
      </c>
      <c r="N32" s="132"/>
      <c r="O32" s="132" t="s">
        <v>228</v>
      </c>
      <c r="P32" s="132"/>
      <c r="Q32" s="132"/>
      <c r="R32" s="132"/>
      <c r="S32" s="132" t="s">
        <v>248</v>
      </c>
      <c r="T32" s="132" t="s">
        <v>249</v>
      </c>
      <c r="U32" s="132" t="s">
        <v>250</v>
      </c>
      <c r="V32" s="132" t="s">
        <v>191</v>
      </c>
      <c r="W32" s="132" t="s">
        <v>191</v>
      </c>
      <c r="X32" s="132" t="s">
        <v>191</v>
      </c>
      <c r="Y32" s="132"/>
      <c r="Z32" s="132"/>
      <c r="AA32" s="132" t="s">
        <v>227</v>
      </c>
      <c r="AB32" s="132" t="s">
        <v>248</v>
      </c>
      <c r="AC32" s="132"/>
      <c r="AD32" s="132" t="s">
        <v>64</v>
      </c>
      <c r="AE32" s="132">
        <v>1</v>
      </c>
      <c r="AF32" s="13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4CFD-B7A0-4A84-B65B-E557E0C36556}">
  <dimension ref="A1:R10"/>
  <sheetViews>
    <sheetView tabSelected="1" workbookViewId="0">
      <selection sqref="A1:R1"/>
    </sheetView>
  </sheetViews>
  <sheetFormatPr defaultRowHeight="14.4" x14ac:dyDescent="0.3"/>
  <cols>
    <col min="1" max="1" width="12.21875" bestFit="1" customWidth="1"/>
    <col min="2" max="2" width="31.109375" bestFit="1" customWidth="1"/>
    <col min="3" max="3" width="16.77734375" bestFit="1" customWidth="1"/>
    <col min="4" max="4" width="16.44140625" bestFit="1" customWidth="1"/>
    <col min="5" max="5" width="19.77734375" bestFit="1" customWidth="1"/>
    <col min="6" max="6" width="16.109375" bestFit="1" customWidth="1"/>
    <col min="7" max="7" width="15.77734375" bestFit="1" customWidth="1"/>
    <col min="8" max="8" width="20.109375" bestFit="1" customWidth="1"/>
    <col min="9" max="9" width="19.5546875" bestFit="1" customWidth="1"/>
    <col min="10" max="10" width="13.109375" bestFit="1" customWidth="1"/>
    <col min="11" max="11" width="20.33203125" bestFit="1" customWidth="1"/>
    <col min="12" max="12" width="19.77734375" bestFit="1" customWidth="1"/>
    <col min="13" max="13" width="13.33203125" bestFit="1" customWidth="1"/>
    <col min="14" max="14" width="14.33203125" bestFit="1" customWidth="1"/>
    <col min="15" max="15" width="10.33203125" bestFit="1" customWidth="1"/>
    <col min="17" max="17" width="20.88671875" bestFit="1" customWidth="1"/>
    <col min="18" max="18" width="16.77734375" bestFit="1" customWidth="1"/>
  </cols>
  <sheetData>
    <row r="1" spans="1:18" x14ac:dyDescent="0.3">
      <c r="A1" s="131" t="s">
        <v>150</v>
      </c>
      <c r="B1" s="131" t="s">
        <v>20</v>
      </c>
      <c r="C1" s="131" t="s">
        <v>19</v>
      </c>
      <c r="D1" s="131" t="s">
        <v>153</v>
      </c>
      <c r="E1" s="131" t="s">
        <v>154</v>
      </c>
      <c r="F1" s="131" t="s">
        <v>155</v>
      </c>
      <c r="G1" s="131" t="s">
        <v>158</v>
      </c>
      <c r="H1" s="131" t="s">
        <v>166</v>
      </c>
      <c r="I1" s="131" t="s">
        <v>167</v>
      </c>
      <c r="J1" s="131" t="s">
        <v>168</v>
      </c>
      <c r="K1" s="131" t="s">
        <v>169</v>
      </c>
      <c r="L1" s="131" t="s">
        <v>170</v>
      </c>
      <c r="M1" s="131" t="s">
        <v>171</v>
      </c>
      <c r="N1" s="131" t="s">
        <v>172</v>
      </c>
      <c r="O1" s="131" t="s">
        <v>21</v>
      </c>
      <c r="P1" s="131" t="s">
        <v>173</v>
      </c>
      <c r="Q1" s="131" t="s">
        <v>127</v>
      </c>
      <c r="R1" s="131" t="s">
        <v>175</v>
      </c>
    </row>
    <row r="2" spans="1:18" x14ac:dyDescent="0.3">
      <c r="A2" s="129" t="s">
        <v>128</v>
      </c>
      <c r="B2" s="129" t="s">
        <v>176</v>
      </c>
      <c r="C2" s="129" t="s">
        <v>136</v>
      </c>
      <c r="D2" s="133">
        <v>46287.478263888886</v>
      </c>
      <c r="E2" s="129" t="s">
        <v>179</v>
      </c>
      <c r="F2" s="129">
        <v>16</v>
      </c>
      <c r="G2" s="133">
        <v>46289.458333333336</v>
      </c>
      <c r="H2" s="129" t="s">
        <v>183</v>
      </c>
      <c r="I2" s="129" t="s">
        <v>184</v>
      </c>
      <c r="J2" s="129" t="s">
        <v>185</v>
      </c>
      <c r="K2" s="129" t="s">
        <v>128</v>
      </c>
      <c r="L2" s="129" t="s">
        <v>186</v>
      </c>
      <c r="M2" s="129" t="s">
        <v>185</v>
      </c>
      <c r="N2" s="129">
        <v>48</v>
      </c>
      <c r="O2" s="129" t="s">
        <v>36</v>
      </c>
      <c r="P2" s="129" t="s">
        <v>183</v>
      </c>
      <c r="Q2" s="129" t="s">
        <v>53</v>
      </c>
      <c r="R2" s="129">
        <v>1</v>
      </c>
    </row>
    <row r="3" spans="1:18" x14ac:dyDescent="0.3">
      <c r="A3" s="130" t="s">
        <v>128</v>
      </c>
      <c r="B3" s="130" t="s">
        <v>176</v>
      </c>
      <c r="C3" s="130" t="s">
        <v>136</v>
      </c>
      <c r="D3" s="134">
        <v>46273.341469907406</v>
      </c>
      <c r="E3" s="130" t="s">
        <v>179</v>
      </c>
      <c r="F3" s="130">
        <v>16</v>
      </c>
      <c r="G3" s="134">
        <v>46275.465277777781</v>
      </c>
      <c r="H3" s="130" t="s">
        <v>183</v>
      </c>
      <c r="I3" s="130" t="s">
        <v>184</v>
      </c>
      <c r="J3" s="130" t="s">
        <v>185</v>
      </c>
      <c r="K3" s="130" t="s">
        <v>128</v>
      </c>
      <c r="L3" s="130" t="s">
        <v>186</v>
      </c>
      <c r="M3" s="130" t="s">
        <v>185</v>
      </c>
      <c r="N3" s="130">
        <v>48</v>
      </c>
      <c r="O3" s="130" t="s">
        <v>36</v>
      </c>
      <c r="P3" s="130" t="s">
        <v>183</v>
      </c>
      <c r="Q3" s="130" t="s">
        <v>53</v>
      </c>
      <c r="R3" s="130">
        <v>1</v>
      </c>
    </row>
    <row r="4" spans="1:18" x14ac:dyDescent="0.3">
      <c r="A4" s="129" t="s">
        <v>128</v>
      </c>
      <c r="B4" s="129" t="s">
        <v>198</v>
      </c>
      <c r="C4" s="129" t="s">
        <v>136</v>
      </c>
      <c r="D4" s="133">
        <v>46283.361296296294</v>
      </c>
      <c r="E4" s="129" t="s">
        <v>179</v>
      </c>
      <c r="F4" s="129">
        <v>1</v>
      </c>
      <c r="G4" s="133">
        <v>46287.461805555555</v>
      </c>
      <c r="H4" s="129" t="s">
        <v>183</v>
      </c>
      <c r="I4" s="129" t="s">
        <v>184</v>
      </c>
      <c r="J4" s="129" t="s">
        <v>185</v>
      </c>
      <c r="K4" s="129" t="s">
        <v>128</v>
      </c>
      <c r="L4" s="129" t="s">
        <v>186</v>
      </c>
      <c r="M4" s="129" t="s">
        <v>185</v>
      </c>
      <c r="N4" s="129">
        <v>48</v>
      </c>
      <c r="O4" s="129" t="s">
        <v>55</v>
      </c>
      <c r="P4" s="129" t="s">
        <v>183</v>
      </c>
      <c r="Q4" s="129" t="s">
        <v>53</v>
      </c>
      <c r="R4" s="129">
        <v>1</v>
      </c>
    </row>
    <row r="5" spans="1:18" x14ac:dyDescent="0.3">
      <c r="A5" s="130" t="s">
        <v>128</v>
      </c>
      <c r="B5" s="130" t="s">
        <v>198</v>
      </c>
      <c r="C5" s="130" t="s">
        <v>136</v>
      </c>
      <c r="D5" s="134">
        <v>46279.471388888887</v>
      </c>
      <c r="E5" s="130" t="s">
        <v>179</v>
      </c>
      <c r="F5" s="130">
        <v>2</v>
      </c>
      <c r="G5" s="134">
        <v>46281.472222222219</v>
      </c>
      <c r="H5" s="130" t="s">
        <v>183</v>
      </c>
      <c r="I5" s="130" t="s">
        <v>184</v>
      </c>
      <c r="J5" s="130" t="s">
        <v>185</v>
      </c>
      <c r="K5" s="130" t="s">
        <v>128</v>
      </c>
      <c r="L5" s="130" t="s">
        <v>186</v>
      </c>
      <c r="M5" s="130" t="s">
        <v>185</v>
      </c>
      <c r="N5" s="130">
        <v>48</v>
      </c>
      <c r="O5" s="130" t="s">
        <v>55</v>
      </c>
      <c r="P5" s="130" t="s">
        <v>183</v>
      </c>
      <c r="Q5" s="130" t="s">
        <v>53</v>
      </c>
      <c r="R5" s="130">
        <v>1</v>
      </c>
    </row>
    <row r="6" spans="1:18" x14ac:dyDescent="0.3">
      <c r="A6" s="129" t="s">
        <v>128</v>
      </c>
      <c r="B6" s="129" t="s">
        <v>203</v>
      </c>
      <c r="C6" s="129" t="s">
        <v>204</v>
      </c>
      <c r="D6" s="133">
        <v>46287.493831018517</v>
      </c>
      <c r="E6" s="129" t="s">
        <v>179</v>
      </c>
      <c r="F6" s="129">
        <v>1</v>
      </c>
      <c r="G6" s="133">
        <v>46289.458333333336</v>
      </c>
      <c r="H6" s="129" t="s">
        <v>183</v>
      </c>
      <c r="I6" s="129" t="s">
        <v>184</v>
      </c>
      <c r="J6" s="129" t="s">
        <v>185</v>
      </c>
      <c r="K6" s="129" t="s">
        <v>128</v>
      </c>
      <c r="L6" s="129" t="s">
        <v>186</v>
      </c>
      <c r="M6" s="129" t="s">
        <v>185</v>
      </c>
      <c r="N6" s="129">
        <v>48</v>
      </c>
      <c r="O6" s="129" t="s">
        <v>36</v>
      </c>
      <c r="P6" s="129" t="s">
        <v>183</v>
      </c>
      <c r="Q6" s="129" t="s">
        <v>53</v>
      </c>
      <c r="R6" s="129"/>
    </row>
    <row r="7" spans="1:18" x14ac:dyDescent="0.3">
      <c r="A7" s="130" t="s">
        <v>128</v>
      </c>
      <c r="B7" s="130" t="s">
        <v>203</v>
      </c>
      <c r="C7" s="130" t="s">
        <v>204</v>
      </c>
      <c r="D7" s="134">
        <v>46283.36478009259</v>
      </c>
      <c r="E7" s="130" t="s">
        <v>179</v>
      </c>
      <c r="F7" s="130">
        <v>2</v>
      </c>
      <c r="G7" s="134">
        <v>46287.461805555555</v>
      </c>
      <c r="H7" s="130" t="s">
        <v>183</v>
      </c>
      <c r="I7" s="130" t="s">
        <v>184</v>
      </c>
      <c r="J7" s="130" t="s">
        <v>185</v>
      </c>
      <c r="K7" s="130" t="s">
        <v>128</v>
      </c>
      <c r="L7" s="130" t="s">
        <v>186</v>
      </c>
      <c r="M7" s="130" t="s">
        <v>185</v>
      </c>
      <c r="N7" s="130"/>
      <c r="O7" s="130" t="s">
        <v>36</v>
      </c>
      <c r="P7" s="130" t="s">
        <v>183</v>
      </c>
      <c r="Q7" s="130" t="s">
        <v>53</v>
      </c>
      <c r="R7" s="130"/>
    </row>
    <row r="8" spans="1:18" x14ac:dyDescent="0.3">
      <c r="A8" s="129" t="s">
        <v>128</v>
      </c>
      <c r="B8" s="129" t="s">
        <v>176</v>
      </c>
      <c r="C8" s="129" t="s">
        <v>136</v>
      </c>
      <c r="D8" s="133">
        <v>46286.323912037034</v>
      </c>
      <c r="E8" s="129" t="s">
        <v>210</v>
      </c>
      <c r="F8" s="129">
        <v>30</v>
      </c>
      <c r="G8" s="133">
        <v>46288.454861111109</v>
      </c>
      <c r="H8" s="129" t="s">
        <v>212</v>
      </c>
      <c r="I8" s="129" t="s">
        <v>213</v>
      </c>
      <c r="J8" s="129" t="s">
        <v>185</v>
      </c>
      <c r="K8" s="129" t="s">
        <v>128</v>
      </c>
      <c r="L8" s="129" t="s">
        <v>186</v>
      </c>
      <c r="M8" s="129" t="s">
        <v>185</v>
      </c>
      <c r="N8" s="129">
        <v>40</v>
      </c>
      <c r="O8" s="129" t="s">
        <v>36</v>
      </c>
      <c r="P8" s="129" t="s">
        <v>212</v>
      </c>
      <c r="Q8" s="129" t="s">
        <v>53</v>
      </c>
      <c r="R8" s="129">
        <v>1</v>
      </c>
    </row>
    <row r="9" spans="1:18" x14ac:dyDescent="0.3">
      <c r="A9" s="130" t="s">
        <v>128</v>
      </c>
      <c r="B9" s="130" t="s">
        <v>176</v>
      </c>
      <c r="C9" s="130" t="s">
        <v>136</v>
      </c>
      <c r="D9" s="134">
        <v>46286.324270833335</v>
      </c>
      <c r="E9" s="130" t="s">
        <v>210</v>
      </c>
      <c r="F9" s="130">
        <v>50</v>
      </c>
      <c r="G9" s="134">
        <v>46288.454861111109</v>
      </c>
      <c r="H9" s="130" t="s">
        <v>212</v>
      </c>
      <c r="I9" s="130" t="s">
        <v>213</v>
      </c>
      <c r="J9" s="130" t="s">
        <v>185</v>
      </c>
      <c r="K9" s="130" t="s">
        <v>128</v>
      </c>
      <c r="L9" s="130" t="s">
        <v>186</v>
      </c>
      <c r="M9" s="130" t="s">
        <v>185</v>
      </c>
      <c r="N9" s="130"/>
      <c r="O9" s="130" t="s">
        <v>36</v>
      </c>
      <c r="P9" s="130" t="s">
        <v>212</v>
      </c>
      <c r="Q9" s="130" t="s">
        <v>53</v>
      </c>
      <c r="R9" s="130"/>
    </row>
    <row r="10" spans="1:18" x14ac:dyDescent="0.3">
      <c r="A10" s="132" t="s">
        <v>128</v>
      </c>
      <c r="B10" s="132" t="s">
        <v>176</v>
      </c>
      <c r="C10" s="132" t="s">
        <v>136</v>
      </c>
      <c r="D10" s="135">
        <v>46268.34103009259</v>
      </c>
      <c r="E10" s="132" t="s">
        <v>210</v>
      </c>
      <c r="F10" s="132">
        <v>35</v>
      </c>
      <c r="G10" s="135">
        <v>46269.4375</v>
      </c>
      <c r="H10" s="132" t="s">
        <v>212</v>
      </c>
      <c r="I10" s="132" t="s">
        <v>213</v>
      </c>
      <c r="J10" s="132" t="s">
        <v>185</v>
      </c>
      <c r="K10" s="132" t="s">
        <v>128</v>
      </c>
      <c r="L10" s="132" t="s">
        <v>186</v>
      </c>
      <c r="M10" s="132" t="s">
        <v>185</v>
      </c>
      <c r="N10" s="132">
        <v>40</v>
      </c>
      <c r="O10" s="132" t="s">
        <v>36</v>
      </c>
      <c r="P10" s="132" t="s">
        <v>212</v>
      </c>
      <c r="Q10" s="132" t="s">
        <v>53</v>
      </c>
      <c r="R10" s="132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2026-10-06T17:32:37Z</dcterms:created>
  <dcterms:modified xsi:type="dcterms:W3CDTF">2026-10-06T17:32:38Z</dcterms:modified>
</cp:coreProperties>
</file>
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0E5D9CF6-2CCD-4D97-8790-B4DE17A7E111}" xr6:coauthVersionLast="47" xr6:coauthVersionMax="47" xr10:uidLastSave="{00000000-0000-0000-0000-000000000000}"/>
  <bookViews>
    <workbookView xWindow="-108" yWindow="-108" windowWidth="30936" windowHeight="16776" activeTab="3" xr2:uid="{546BEC9E-0E1F-43D7-90B5-EC2D0962E533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M39" i="1" s="1"/>
  <c r="J38" i="1"/>
  <c r="J36" i="1"/>
  <c r="M36" i="1" s="1"/>
  <c r="J35" i="1"/>
  <c r="M35" i="1" s="1"/>
  <c r="J34" i="1"/>
  <c r="J33" i="1"/>
  <c r="J32" i="1"/>
  <c r="J31" i="1"/>
  <c r="J30" i="1"/>
  <c r="G29" i="1"/>
  <c r="F29" i="1"/>
  <c r="E29" i="1"/>
  <c r="D29" i="1"/>
  <c r="H29" i="1" s="1"/>
  <c r="J28" i="1"/>
  <c r="G26" i="1"/>
  <c r="F26" i="1"/>
  <c r="H26" i="1" s="1"/>
  <c r="E26" i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G17" i="1"/>
  <c r="F17" i="1"/>
  <c r="E17" i="1"/>
  <c r="D17" i="1"/>
  <c r="J16" i="1"/>
  <c r="G14" i="1"/>
  <c r="F14" i="1"/>
  <c r="E14" i="1"/>
  <c r="H14" i="1" s="1"/>
  <c r="D14" i="1"/>
  <c r="J13" i="1"/>
  <c r="M13" i="1" s="1"/>
  <c r="M48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8" i="1"/>
  <c r="K38" i="1"/>
  <c r="M34" i="1"/>
  <c r="K34" i="1"/>
  <c r="M33" i="1"/>
  <c r="K33" i="1"/>
  <c r="M32" i="1"/>
  <c r="K32" i="1"/>
  <c r="M31" i="1"/>
  <c r="K31" i="1"/>
  <c r="M30" i="1"/>
  <c r="K30" i="1"/>
  <c r="M28" i="1"/>
  <c r="K28" i="1"/>
  <c r="M25" i="1"/>
  <c r="K25" i="1"/>
  <c r="H23" i="1"/>
  <c r="M22" i="1"/>
  <c r="K22" i="1"/>
  <c r="M19" i="1"/>
  <c r="K19" i="1"/>
  <c r="H17" i="1"/>
  <c r="M16" i="1"/>
  <c r="K16" i="1"/>
  <c r="K36" i="1" l="1"/>
  <c r="K39" i="1"/>
  <c r="K35" i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DE89E383-AF28-4DB3-9EA8-9BD5DD6B392F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3DD62746-6291-4122-AEDD-8F25F4C474FE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9907BFFE-BA6E-4CCD-8995-DF587811360E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5785AF47-02EE-46D2-91AD-77C625DDFDEF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4843216E-BF9B-41B8-9462-74127C617B7B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D2A5E770-A592-42A0-8CA7-49E6D3E67D42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D5C42967-C6F0-4655-B91B-CF7DDD5D7F9B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AC78D699-F38D-4E4A-A3E3-6A1477A4687B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DA7D6F65-1E3A-4583-B18E-E632738B1A1D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<sst xmlns="http://schemas.openxmlformats.org/spreadsheetml/2006/main" count="943" uniqueCount="251">
  <si>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</si>
  <si>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</si>
  <si>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</si>
  <si>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</si>
  <si>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</si>
  <si>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</si>
  <si>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</si>
  <si>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</si>
  <si>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</si>
  <si>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</si>
  <si>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</si>
  <si>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</si>
  <si>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</si>
  <si>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</si>
  <si>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</si>
  <si>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</si>
  <si>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</si>
  <si>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</si>
  <si>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</si>
  <si>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</si>
  <si>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</si>
  <si>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</si>
  <si>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</si>
  <si>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</si>
  <si>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</si>
  <si>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</si>
  <si>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</si>
  <si>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</si>
  <si>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</si>
  <si>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</si>
  <si>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</si>
  <si>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</si>
  <si>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</si>
  <si>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</si>
  <si>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</si>
  <si>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</si>
  <si>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</si>
  <si>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</si>
  <si>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</si>
  <si>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</si>
  <si>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</si>
  <si>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</si>
  <si>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</si>
  <si>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</si>
  <si>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</si>
  <si>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</si>
  <si>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</si>
  <si>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</si>
  <si>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</si>
  <si>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</si>
  <si>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</si>
  <si>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</si>
  <si>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</si>
  <si>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</si>
  <si>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</si>
  <si>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</si>
  <si>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</si>
  <si>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</si>
  <si>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</si>
  <si>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</si>
  <si>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</si>
  <si>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</si>
  <si>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</si>
  <si>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</si>
  <si>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</si>
  <si>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</si>
  <si>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</si>
  <si>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</si>
  <si>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</si>
  <si>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</si>
  <si>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</si>
  <si>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</si>
  <si>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</si>
  <si>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</si>
  <si>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</si>
  <si>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</si>
  <si>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</si>
  <si>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</si>
  <si>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</si>
  <si>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</si>
  <si>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</si>
  <si>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</si>
  <si>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</si>
  <si>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</si>
  <si>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</si>
  <si>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</si>
  <si>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</si>
  <si>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</si>
  <si>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</si>
  <si>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</si>
  <si>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</si>
  <si>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</si>
  <si>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</si>
  <si>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</si>
  <si>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</si>
  <si>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</si>
  <si>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</si>
  <si>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</si>
  <si>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</si>
  <si>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</si>
  <si>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</si>
  <si>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</si>
  <si>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</si>
  <si>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</si>
  <si>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</si>
  <si>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</si>
  <si>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</si>
  <si>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</si>
  <si>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</si>
  <si>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</si>
  <si>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</si>
  <si>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</si>
  <si>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</si>
  <si>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</si>
  <si>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</si>
  <si>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</si>
  <si>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</si>
  <si>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</si>
  <si>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</si>
  <si>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</si>
  <si>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</si>
  <si>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</si>
  <si>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</si>
  <si>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</si>
  <si>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</si>
  <si>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</si>
  <si>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</si>
  <si>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</si>
  <si>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</si>
  <si>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</si>
  <si>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</si>
  <si>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</si>
  <si>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</si>
  <si>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</si>
  <si>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</si>
  <si>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</si>
  <si>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</si>
  <si>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</si>
  <si>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</si>
  <si>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</si>
  <si>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</si>
  <si>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</si>
  <si>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</si>
  <si>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</si>
  <si>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</si>
  <si>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</si>
  <si>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</si>
  <si>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</si>
  <si>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</si>
  <si>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</si>
  <si>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</si>
  <si>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</si>
  <si>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</si>
  <si>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</si>
  <si>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</si>
  <si>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</si>
  <si>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</si>
  <si>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</si>
  <si>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</si>
  <si>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</si>
  <si>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</si>
  <si>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</si>
  <si>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</si>
  <si>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</si>
  <si>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</si>
  <si>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</si>
  <si>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</si>
  <si>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</si>
  <si>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</si>
  <si>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</si>
  <si>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</si>
  <si>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</si>
  <si>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</si>
  <si>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</si>
  <si>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</si>
  <si>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</si>
  <si>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</si>
  <si>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</si>
  <si>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CSC0895221</t>
  </si>
  <si>
    <t>REVAP/ES/BS</t>
  </si>
  <si>
    <t>307307347</t>
  </si>
  <si>
    <t>Normal</t>
  </si>
  <si>
    <t>NP</t>
  </si>
  <si>
    <t>REVAP</t>
  </si>
  <si>
    <t>São José dos Campos</t>
  </si>
  <si>
    <t>SP</t>
  </si>
  <si>
    <t>São Paulo</t>
  </si>
  <si>
    <t>MATERIAL PARA ARQUIVAMENTO</t>
  </si>
  <si>
    <t>Kit de material</t>
  </si>
  <si>
    <t>CSC0895243</t>
  </si>
  <si>
    <t>307287104</t>
  </si>
  <si>
    <t>N/A</t>
  </si>
  <si>
    <t>kit de material</t>
  </si>
  <si>
    <t>CSC0895237</t>
  </si>
  <si>
    <t>CSC0895233</t>
  </si>
  <si>
    <t>CSC0883685</t>
  </si>
  <si>
    <t>306928149</t>
  </si>
  <si>
    <t>FP</t>
  </si>
  <si>
    <t>ENTREGA DE EMBALAGEM NORMAL</t>
  </si>
  <si>
    <t>CSC0892597</t>
  </si>
  <si>
    <t>307244693</t>
  </si>
  <si>
    <t>CSC0888379</t>
  </si>
  <si>
    <t>307060460</t>
  </si>
  <si>
    <t>DEVOLUCAO DE EMPRESTIMO</t>
  </si>
  <si>
    <t>Embalagem</t>
  </si>
  <si>
    <t>CSC0895268</t>
  </si>
  <si>
    <t>307287216</t>
  </si>
  <si>
    <t>CSC0892603</t>
  </si>
  <si>
    <t>307248627</t>
  </si>
  <si>
    <t>CSC0893644</t>
  </si>
  <si>
    <t>REPLAN/ES/PROJ</t>
  </si>
  <si>
    <t>307244059</t>
  </si>
  <si>
    <t>REPLAN</t>
  </si>
  <si>
    <t>Paulínia</t>
  </si>
  <si>
    <t>CSC0893645</t>
  </si>
  <si>
    <t>307244122</t>
  </si>
  <si>
    <t>CSC0880332</t>
  </si>
  <si>
    <t>306824854</t>
  </si>
  <si>
    <t>CSC0881531</t>
  </si>
  <si>
    <t>306854996</t>
  </si>
  <si>
    <t>PESQUISA DE ITEM AVULSO NORMAL</t>
  </si>
  <si>
    <t>Item documental em caixa</t>
  </si>
  <si>
    <t>CSC0888852</t>
  </si>
  <si>
    <t>REPAR/ES/PROJ</t>
  </si>
  <si>
    <t>307111800</t>
  </si>
  <si>
    <t>EDISA</t>
  </si>
  <si>
    <t>Santos</t>
  </si>
  <si>
    <t>Item avulso</t>
  </si>
  <si>
    <t>FDM definido</t>
  </si>
  <si>
    <t>INDEXACAO DE DOCUMENTO</t>
  </si>
  <si>
    <t>Documentação administrativa</t>
  </si>
  <si>
    <t>Indexação</t>
  </si>
  <si>
    <t>DIGITALIZACAO DE DOCUMENTO ADMINISTRATIVO</t>
  </si>
  <si>
    <t>Documento - Formato A4</t>
  </si>
  <si>
    <t>CSC0871247</t>
  </si>
  <si>
    <t>RH/RBO/COA/CB</t>
  </si>
  <si>
    <t>306626312</t>
  </si>
  <si>
    <t>CSC0871220</t>
  </si>
  <si>
    <t>306626352</t>
  </si>
  <si>
    <t>CSC0870608</t>
  </si>
  <si>
    <t>306646965</t>
  </si>
  <si>
    <t>CSC0870159</t>
  </si>
  <si>
    <t>306655607</t>
  </si>
  <si>
    <t>CSC0871652</t>
  </si>
  <si>
    <t>306630144</t>
  </si>
  <si>
    <t>CSC0889662</t>
  </si>
  <si>
    <t>G&amp;E/TERM/UTE-CAN</t>
  </si>
  <si>
    <t>307115779</t>
  </si>
  <si>
    <t>UTE-CANOAS</t>
  </si>
  <si>
    <t>Canoas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</si>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</sst>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BE970-C4A0-4D65-BA4D-3D6932EBE922}" name="ARM_IRON_LT1_SP" displayName="ARM_IRON_LT1_SP" ref="A1:K14" totalsRowShown="0" headerRowDxfId="60" dataDxfId="61" headerRowBorderDxfId="74" tableBorderDxfId="75" totalsRowBorderDxfId="73">
  <autoFilter ref="A1:K14" xr:uid="{04FBE970-C4A0-4D65-BA4D-3D6932EBE922}"/>
  <tableColumns count="11">
    <tableColumn id="1" xr3:uid="{B2C07F95-E9EF-4BD8-9384-F4E0650AB943}" name="Contrato-Reg." dataDxfId="72"/>
    <tableColumn id="2" xr3:uid="{4D9D8A95-1858-44B1-9DA0-EF52D9A6B3C0}" name="MEDIDAS CONTRATO" dataDxfId="71"/>
    <tableColumn id="3" xr3:uid="{80533FCB-AA12-48ED-8072-830F35CED86C}" name="Item" dataDxfId="70"/>
    <tableColumn id="4" xr3:uid="{6FECAB6E-1FB4-44A8-94AF-DBF3B7C1BCD3}" name="QUAm-1" dataDxfId="69"/>
    <tableColumn id="5" xr3:uid="{8172CD6F-F035-473C-AA91-A65FDE768119}" name="QBm" dataDxfId="68"/>
    <tableColumn id="6" xr3:uid="{D62CCDD4-A6D5-40C9-900E-1DD598A95A84}" name="QDm" dataDxfId="67"/>
    <tableColumn id="7" xr3:uid="{C3EE12EF-0E14-4B2B-90C9-1615B56994D6}" name="QNm" dataDxfId="66"/>
    <tableColumn id="8" xr3:uid="{0D3F0654-1510-4921-B6CA-6780996681C3}" name="QUAm" dataDxfId="65"/>
    <tableColumn id="9" xr3:uid="{7DD6C989-40A4-4255-8E64-3041411ADDBC}" name="FC" dataDxfId="64"/>
    <tableColumn id="10" xr3:uid="{8015590B-E393-4B84-A946-3884751F5399}" name="QUA" dataDxfId="63"/>
    <tableColumn id="11" xr3:uid="{6BD8927F-7DD7-46D0-992A-0058A7BEAD47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25C5AF-129B-46F9-9F17-8999E92D9188}" name="DADOS_IRON_LT1_SP" displayName="DADOS_IRON_LT1_SP" ref="A1:AF32" totalsRowShown="0" headerRowDxfId="23" dataDxfId="24" headerRowBorderDxfId="58" tableBorderDxfId="59" totalsRowBorderDxfId="57">
  <autoFilter ref="A1:AF32" xr:uid="{B025C5AF-129B-46F9-9F17-8999E92D9188}"/>
  <tableColumns count="32">
    <tableColumn id="1" xr3:uid="{6D6EFD46-2FF5-4144-A54E-69086706BB1A}" name="Contrato.1" dataDxfId="56"/>
    <tableColumn id="2" xr3:uid="{AD622652-8FEA-40C9-AF4B-692C87943F6D}" name="Descrição da atividade" dataDxfId="55"/>
    <tableColumn id="3" xr3:uid="{F252D521-61E8-4098-B801-6058F9B2C2B6}" name="Item" dataDxfId="54"/>
    <tableColumn id="4" xr3:uid="{E15DE79E-0A8F-465D-8305-69C5D913A24A}" name="Aplicação" dataDxfId="53"/>
    <tableColumn id="5" xr3:uid="{84FF8C4B-35C8-4D84-B180-922A3689BE39}" name="Código da_x000a_solicitação" dataDxfId="52"/>
    <tableColumn id="6" xr3:uid="{1A6CD639-92EF-4D96-A839-778A62D24B14}" name="Data solicitação" dataDxfId="51"/>
    <tableColumn id="7" xr3:uid="{8EC0A871-976B-4D5A-A25E-DF1E8C68CED0}" name="Gerência solicitante" dataDxfId="50"/>
    <tableColumn id="8" xr3:uid="{9B109DD9-33B5-4698-87A6-8C139C45A3DE}" name="Qtd._x000a_Solicitada" dataDxfId="49"/>
    <tableColumn id="9" xr3:uid="{9E7EB678-CF30-4B6C-AB3F-00F54BB28EF2}" name="Código OS" dataDxfId="48"/>
    <tableColumn id="10" xr3:uid="{42343F72-F139-49B2-9F85-F10196CA08DD}" name="D. abertura" dataDxfId="47"/>
    <tableColumn id="11" xr3:uid="{9CB78BBD-53C2-4D83-9CE1-4579AFFBC391}" name="D. fechamento" dataDxfId="46"/>
    <tableColumn id="12" xr3:uid="{54FA532E-77B3-451B-A957-0E8C3B0A4BE6}" name="Prazo combinado" dataDxfId="45"/>
    <tableColumn id="13" xr3:uid="{C004E512-A52C-4581-B884-9E339E8C6785}" name="Qtd._x000a_Atendida" dataDxfId="44"/>
    <tableColumn id="14" xr3:uid="{6AAF0B09-91C5-4924-A599-987827237A18}" name="Agrupamento" dataDxfId="43"/>
    <tableColumn id="15" xr3:uid="{7F1A2368-4C66-48DB-98FA-FB87EF7A6854}" name="Classificação" dataDxfId="42"/>
    <tableColumn id="16" xr3:uid="{929D7A13-A428-41A0-B97E-F91F959B52CD}" name="FDM" dataDxfId="41"/>
    <tableColumn id="17" xr3:uid="{3905B4F6-3873-4F9E-A34D-4D41DD3B68D8}" name="Obs. Isenção" dataDxfId="40"/>
    <tableColumn id="18" xr3:uid="{9AD50395-BCBB-4CCC-830E-68E227B405E9}" name="FA" dataDxfId="39"/>
    <tableColumn id="19" xr3:uid="{2356245D-5DFF-419F-84DE-D7EEBA4B7E13}" name="Localidade - Origem" dataDxfId="38"/>
    <tableColumn id="20" xr3:uid="{89872AFD-234B-4122-A540-EC1C614F5900}" name="Município - Origem" dataDxfId="37"/>
    <tableColumn id="21" xr3:uid="{818C7638-148D-4B62-AB3D-59F03E8D31D5}" name="UF - Origem" dataDxfId="36"/>
    <tableColumn id="22" xr3:uid="{2DEDC6DD-5C52-4CCF-8A71-20A153439E45}" name="Localidade - Destino" dataDxfId="35"/>
    <tableColumn id="23" xr3:uid="{ACE96DC4-F851-40A0-8247-DD845F25166F}" name="Município - Destino" dataDxfId="34"/>
    <tableColumn id="24" xr3:uid="{EF7596AB-16A1-4121-96BE-C1A981BB1925}" name="UF - Destino" dataDxfId="33"/>
    <tableColumn id="25" xr3:uid="{0E1BAD66-2002-462F-8132-03A1F27D0195}" name="KM Adicional" dataDxfId="32"/>
    <tableColumn id="26" xr3:uid="{D232B944-FC9E-4875-904C-8FEDA29EF05B}" name="FC" dataDxfId="31"/>
    <tableColumn id="27" xr3:uid="{C848BD92-C5DD-40D2-AF4F-A32A7CB3811E}" name="Unidade" dataDxfId="30"/>
    <tableColumn id="28" xr3:uid="{BC88214C-E0C5-4B61-A1D9-7AC6256485C1}" name="Centro" dataDxfId="29"/>
    <tableColumn id="29" xr3:uid="{6376B337-05BB-4B6F-BCC4-0C806D51D2B3}" name="Código Centro" dataDxfId="28"/>
    <tableColumn id="30" xr3:uid="{F9F4C61F-198F-4F05-8861-92B7BCFC7270}" name="Linha de serviço PPU" dataDxfId="27"/>
    <tableColumn id="31" xr3:uid="{91F85D6C-DA38-4E66-A5E0-C3ABE6F052F8}" name="QExec" dataDxfId="26"/>
    <tableColumn id="32" xr3:uid="{D36D4D2E-5374-4D81-BF96-728C60AC2137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739F1-D5E6-490E-AF8A-6F1E7C0DB32B}" name="FRETE_IRON_LT1_SP" displayName="FRETE_IRON_LT1_SP" ref="A1:R10" totalsRowShown="0" headerRowDxfId="0" dataDxfId="1" headerRowBorderDxfId="21" tableBorderDxfId="22" totalsRowBorderDxfId="20">
  <autoFilter ref="A1:R10" xr:uid="{5F3739F1-D5E6-490E-AF8A-6F1E7C0DB32B}"/>
  <tableColumns count="18">
    <tableColumn id="1" xr3:uid="{9060D712-CFD7-489E-BD80-297421984FDB}" name="Contrato.1" dataDxfId="19"/>
    <tableColumn id="2" xr3:uid="{C610482D-3FB4-440D-BFB1-D2680C5FB046}" name="Descrição da atividade" dataDxfId="18"/>
    <tableColumn id="3" xr3:uid="{697534E7-C317-45F4-9339-7B51A5AB26DA}" name="Item" dataDxfId="17"/>
    <tableColumn id="4" xr3:uid="{7C61CED8-BFC8-4F50-971D-8D4BF813F887}" name="Data solicitação" dataDxfId="16"/>
    <tableColumn id="5" xr3:uid="{AE0B3E18-B946-434A-AE73-CE233F3B5A3D}" name="Gerência solicitante" dataDxfId="15"/>
    <tableColumn id="6" xr3:uid="{39048F81-72DB-477D-94FB-F0087E426CD1}" name="Qtd._x000a_Solicitada" dataDxfId="14"/>
    <tableColumn id="7" xr3:uid="{A9ADF7A2-E7A7-44D4-85CF-3F040C5772C9}" name="D. fechamento" dataDxfId="13"/>
    <tableColumn id="8" xr3:uid="{04B730D6-9783-41D9-8821-0B37C3860DE7}" name="Localidade - Origem" dataDxfId="12"/>
    <tableColumn id="9" xr3:uid="{33099311-C878-44AF-BA0E-91649AD3205E}" name="Município - Origem" dataDxfId="11"/>
    <tableColumn id="10" xr3:uid="{F76D75CF-09B1-452B-A48B-3B36B7B00F27}" name="UF - Origem" dataDxfId="10"/>
    <tableColumn id="11" xr3:uid="{FA7B202B-2536-471C-B9CC-08FB120D9F44}" name="Localidade - Destino" dataDxfId="9"/>
    <tableColumn id="12" xr3:uid="{5F8D3F8C-EEB0-47B6-810E-7B7E8696CFBA}" name="Município - Destino" dataDxfId="8"/>
    <tableColumn id="13" xr3:uid="{081FAB81-9646-4BB0-A77A-7A7EFBFB6E31}" name="UF - Destino" dataDxfId="7"/>
    <tableColumn id="14" xr3:uid="{37B72AD9-6F9D-4811-97FD-ADFBBE3E370A}" name="KM Adicional" dataDxfId="6"/>
    <tableColumn id="15" xr3:uid="{941B2FE3-B3CB-4DA5-A6C2-52C6E7FAE206}" name="Unidade" dataDxfId="5"/>
    <tableColumn id="16" xr3:uid="{B1EE1D2C-A07C-410D-9F83-85093E545506}" name="Centro" dataDxfId="4"/>
    <tableColumn id="17" xr3:uid="{15FDA0BF-883A-4093-AC81-99E9671DC985}" name="Linha de serviço PPU" dataDxfId="3"/>
    <tableColumn id="18" xr3:uid="{E6429BC8-A0C0-4B8B-A5C3-0FE941358354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34B7-F364-4012-811C-7D4918F8917C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SUMIF(ARM_IRON_LT1_SP[Linha de serviço PPU], D12, ARM_IRON_LT1_SP[QUA])</f>
        <v>64672</v>
      </c>
      <c r="K13" s="68">
        <f>J13*$N$5</f>
        <v>61438.399999999994</v>
      </c>
      <c r="L13" s="69">
        <v>0.6</v>
      </c>
      <c r="M13" s="70">
        <f>J13*L13</f>
        <v>38803.199999999997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64495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177</v>
      </c>
      <c r="H14" s="76">
        <f>(D14-E14-F14)+G14</f>
        <v>64672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SUMIF(ARM_IRON_LT1_SP[Linha de serviço PPU], D15, ARM_IRON_LT1_SP[QUA])</f>
        <v>1870</v>
      </c>
      <c r="K16" s="68">
        <f>J16*N5</f>
        <v>1776.5</v>
      </c>
      <c r="L16" s="69">
        <v>3.55</v>
      </c>
      <c r="M16" s="70">
        <f>J16*L16</f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SUMIF(ARM_IRON_LT1_SP[Linha de serviço PPU], D18, ARM_IRON_LT1_SP[QUA])</f>
        <v>4951</v>
      </c>
      <c r="K19" s="68">
        <f>J19*N5</f>
        <v>4703.45</v>
      </c>
      <c r="L19" s="69">
        <v>0.74</v>
      </c>
      <c r="M19" s="70">
        <f>J19*L19</f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J22*L22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J28*L28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 DADOS_IRON_LT1_SP[Linha de serviço PPU], D30, DADOS_IRON_LT1_SP[QExecAgrupado])</f>
        <v>6</v>
      </c>
      <c r="K30" s="95">
        <f>J30*N5</f>
        <v>5.6999999999999993</v>
      </c>
      <c r="L30" s="96">
        <v>125.89</v>
      </c>
      <c r="M30" s="97">
        <f t="shared" ref="M30:M36" si="0">L30*J30</f>
        <v>755.34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7">
        <f t="shared" si="0"/>
        <v>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SUM(DADOS_IRON_LT1_SP[KM Adicional])</f>
        <v>320</v>
      </c>
      <c r="K32" s="95">
        <f>J32*N5</f>
        <v>304</v>
      </c>
      <c r="L32" s="96">
        <v>0.5</v>
      </c>
      <c r="M32" s="97">
        <f t="shared" si="0"/>
        <v>160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 DADOS_IRON_LT1_SP[Linha de serviço PPU], D33, DADOS_IRON_LT1_SP[QExecAgrupado])</f>
        <v>4</v>
      </c>
      <c r="K33" s="95">
        <f>J33*N5</f>
        <v>3.8</v>
      </c>
      <c r="L33" s="96">
        <v>1.96</v>
      </c>
      <c r="M33" s="97">
        <f t="shared" si="0"/>
        <v>7.84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 t="s">
        <v>78</v>
      </c>
      <c r="D38" s="110" t="s">
        <v>79</v>
      </c>
      <c r="E38" s="56" t="s">
        <v>80</v>
      </c>
      <c r="F38" s="56"/>
      <c r="G38" s="56"/>
      <c r="H38" s="56"/>
      <c r="I38" s="100" t="s">
        <v>81</v>
      </c>
      <c r="J38" s="94">
        <f>SUMIF( DADOS_IRON_LT1_SP[Linha de serviço PPU], D38, DADOS_IRON_LT1_SP[QExec])</f>
        <v>0</v>
      </c>
      <c r="K38" s="111">
        <f>J38*N7</f>
        <v>0</v>
      </c>
      <c r="L38" s="96">
        <v>0.44</v>
      </c>
      <c r="M38" s="112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3" t="s">
        <v>83</v>
      </c>
      <c r="E39" s="114" t="s">
        <v>84</v>
      </c>
      <c r="F39" s="114"/>
      <c r="G39" s="114"/>
      <c r="H39" s="114"/>
      <c r="I39" s="100" t="s">
        <v>36</v>
      </c>
      <c r="J39" s="94">
        <f>SUMIF( DADOS_IRON_LT1_SP[Linha de serviço PPU], D39, DADOS_IRON_LT1_SP[QExec])</f>
        <v>0</v>
      </c>
      <c r="K39" s="111">
        <f>J39*N7</f>
        <v>0</v>
      </c>
      <c r="L39" s="96">
        <v>1.44</v>
      </c>
      <c r="M39" s="112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0" t="s">
        <v>86</v>
      </c>
      <c r="E40" s="56" t="s">
        <v>87</v>
      </c>
      <c r="F40" s="56"/>
      <c r="G40" s="56"/>
      <c r="H40" s="56"/>
      <c r="I40" s="100" t="s">
        <v>88</v>
      </c>
      <c r="J40" s="94">
        <f>SUMIF( DADOS_IRON_LT1_SP[Linha de serviço PPU], D40, DADOS_IRON_LT1_SP[QExec])</f>
        <v>0</v>
      </c>
      <c r="K40" s="111">
        <f>J40*N7</f>
        <v>0</v>
      </c>
      <c r="L40" s="96">
        <v>0.05</v>
      </c>
      <c r="M40" s="112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0" t="s">
        <v>90</v>
      </c>
      <c r="E41" s="56" t="s">
        <v>91</v>
      </c>
      <c r="F41" s="56"/>
      <c r="G41" s="56"/>
      <c r="H41" s="56"/>
      <c r="I41" s="100" t="s">
        <v>88</v>
      </c>
      <c r="J41" s="94">
        <f>SUMIF( DADOS_IRON_LT1_SP[Linha de serviço PPU], D41, DADOS_IRON_LT1_SP[QExec])</f>
        <v>0</v>
      </c>
      <c r="K41" s="111">
        <f>J41*N7</f>
        <v>0</v>
      </c>
      <c r="L41" s="96">
        <v>0.06</v>
      </c>
      <c r="M41" s="112">
        <f t="shared" si="1"/>
        <v>0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0" t="s">
        <v>93</v>
      </c>
      <c r="E42" s="56" t="s">
        <v>94</v>
      </c>
      <c r="F42" s="56"/>
      <c r="G42" s="56"/>
      <c r="H42" s="56"/>
      <c r="I42" s="100" t="s">
        <v>88</v>
      </c>
      <c r="J42" s="94">
        <f>SUMIF( DADOS_IRON_LT1_SP[Linha de serviço PPU], D42, DADOS_IRON_LT1_SP[QExec])</f>
        <v>903</v>
      </c>
      <c r="K42" s="111">
        <f>J42*N7</f>
        <v>857.84999999999991</v>
      </c>
      <c r="L42" s="96">
        <v>0.1</v>
      </c>
      <c r="M42" s="112">
        <f t="shared" si="1"/>
        <v>90.300000000000011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0" t="s">
        <v>96</v>
      </c>
      <c r="E43" s="56" t="s">
        <v>97</v>
      </c>
      <c r="F43" s="56"/>
      <c r="G43" s="56"/>
      <c r="H43" s="56"/>
      <c r="I43" s="100" t="s">
        <v>98</v>
      </c>
      <c r="J43" s="94">
        <f>SUMIF( DADOS_IRON_LT1_SP[Linha de serviço PPU], D43, DADOS_IRON_LT1_SP[QExec])</f>
        <v>3</v>
      </c>
      <c r="K43" s="111">
        <f>J43*N7</f>
        <v>2.8499999999999996</v>
      </c>
      <c r="L43" s="96">
        <v>0.23</v>
      </c>
      <c r="M43" s="112">
        <f t="shared" si="1"/>
        <v>0.69000000000000006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0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 DADOS_IRON_LT1_SP[Linha de serviço PPU], D44, DADOS_IRON_LT1_SP[QExec])</f>
        <v>0</v>
      </c>
      <c r="K44" s="111">
        <f>J44*N7</f>
        <v>0</v>
      </c>
      <c r="L44" s="96">
        <v>68.27</v>
      </c>
      <c r="M44" s="112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0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 DADOS_IRON_LT1_SP[Linha de serviço PPU], D45, DADOS_IRON_LT1_SP[QExec])</f>
        <v>0</v>
      </c>
      <c r="K45" s="111">
        <f>J45*N7</f>
        <v>0</v>
      </c>
      <c r="L45" s="96">
        <v>39</v>
      </c>
      <c r="M45" s="112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0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 DADOS_IRON_LT1_SP[Linha de serviço PPU], D46, DADOS_IRON_LT1_SP[QExec])</f>
        <v>0</v>
      </c>
      <c r="K46" s="111">
        <f>J46*N7</f>
        <v>0</v>
      </c>
      <c r="L46" s="96">
        <v>11.72</v>
      </c>
      <c r="M46" s="112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0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 DADOS_IRON_LT1_SP[Linha de serviço PPU], D47, DADOS_IRON_LT1_SP[QExec])</f>
        <v>0</v>
      </c>
      <c r="K47" s="111">
        <f>J47*N7</f>
        <v>0</v>
      </c>
      <c r="L47" s="96">
        <v>2.44</v>
      </c>
      <c r="M47" s="112">
        <f t="shared" si="1"/>
        <v>0</v>
      </c>
      <c r="N47" s="98"/>
      <c r="Q47" s="4"/>
    </row>
    <row r="48" spans="1:17" ht="30" customHeight="1" x14ac:dyDescent="0.3">
      <c r="A48" s="1"/>
      <c r="B48" s="1"/>
      <c r="C48" s="115" t="s">
        <v>112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f>SUM(M12:M47)</f>
        <v>50119.609999999993</v>
      </c>
      <c r="N48" s="98"/>
      <c r="Q48" s="4"/>
    </row>
    <row r="49" spans="1:17" ht="14.25" customHeight="1" x14ac:dyDescent="0.3">
      <c r="A49" s="1"/>
      <c r="B49" s="1"/>
      <c r="C49" s="119" t="s">
        <v>113</v>
      </c>
      <c r="D49" s="40"/>
      <c r="E49" s="40"/>
      <c r="F49" s="40"/>
      <c r="G49" s="40"/>
      <c r="H49" s="40"/>
      <c r="I49" s="41"/>
      <c r="J49" s="120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055A-0F73-47F1-9BCF-38128F3226EF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31" t="s">
        <v>123</v>
      </c>
      <c r="B1" s="131" t="s">
        <v>124</v>
      </c>
      <c r="C1" s="131" t="s">
        <v>19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35</v>
      </c>
      <c r="I1" s="131" t="s">
        <v>125</v>
      </c>
      <c r="J1" s="131" t="s">
        <v>126</v>
      </c>
      <c r="K1" s="131" t="s">
        <v>127</v>
      </c>
    </row>
    <row r="2" spans="1:11" x14ac:dyDescent="0.3">
      <c r="A2" s="129" t="s">
        <v>128</v>
      </c>
      <c r="B2" s="129" t="s">
        <v>129</v>
      </c>
      <c r="C2" s="129" t="s">
        <v>130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29">
        <v>0.29399999999999998</v>
      </c>
      <c r="J2" s="129">
        <v>0</v>
      </c>
      <c r="K2" s="129" t="s">
        <v>28</v>
      </c>
    </row>
    <row r="3" spans="1:11" x14ac:dyDescent="0.3">
      <c r="A3" s="130" t="s">
        <v>128</v>
      </c>
      <c r="B3" s="130" t="s">
        <v>131</v>
      </c>
      <c r="C3" s="130" t="s">
        <v>132</v>
      </c>
      <c r="D3" s="130">
        <v>17319</v>
      </c>
      <c r="E3" s="130">
        <v>0</v>
      </c>
      <c r="F3" s="130">
        <v>0</v>
      </c>
      <c r="G3" s="130">
        <v>2</v>
      </c>
      <c r="H3" s="130">
        <v>17321</v>
      </c>
      <c r="I3" s="130">
        <v>0.48599999999999999</v>
      </c>
      <c r="J3" s="130">
        <v>17321</v>
      </c>
      <c r="K3" s="130" t="s">
        <v>28</v>
      </c>
    </row>
    <row r="4" spans="1:11" x14ac:dyDescent="0.3">
      <c r="A4" s="129" t="s">
        <v>128</v>
      </c>
      <c r="B4" s="129" t="s">
        <v>133</v>
      </c>
      <c r="C4" s="129" t="s">
        <v>134</v>
      </c>
      <c r="D4" s="129">
        <v>5918</v>
      </c>
      <c r="E4" s="129">
        <v>0</v>
      </c>
      <c r="F4" s="129">
        <v>0</v>
      </c>
      <c r="G4" s="129">
        <v>6</v>
      </c>
      <c r="H4" s="129">
        <v>5924</v>
      </c>
      <c r="I4" s="129">
        <v>0.505</v>
      </c>
      <c r="J4" s="129">
        <v>5924</v>
      </c>
      <c r="K4" s="129" t="s">
        <v>28</v>
      </c>
    </row>
    <row r="5" spans="1:11" x14ac:dyDescent="0.3">
      <c r="A5" s="130" t="s">
        <v>128</v>
      </c>
      <c r="B5" s="130" t="s">
        <v>135</v>
      </c>
      <c r="C5" s="130" t="s">
        <v>136</v>
      </c>
      <c r="D5" s="130">
        <v>41258</v>
      </c>
      <c r="E5" s="130">
        <v>0</v>
      </c>
      <c r="F5" s="130">
        <v>0</v>
      </c>
      <c r="G5" s="130">
        <v>169</v>
      </c>
      <c r="H5" s="130">
        <v>41427</v>
      </c>
      <c r="I5" s="130">
        <v>1</v>
      </c>
      <c r="J5" s="130">
        <v>41427</v>
      </c>
      <c r="K5" s="130" t="s">
        <v>28</v>
      </c>
    </row>
    <row r="6" spans="1:11" x14ac:dyDescent="0.3">
      <c r="A6" s="129" t="s">
        <v>128</v>
      </c>
      <c r="B6" s="129" t="s">
        <v>137</v>
      </c>
      <c r="C6" s="129" t="s">
        <v>138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29">
        <v>1.3180000000000001</v>
      </c>
      <c r="J6" s="129">
        <v>0</v>
      </c>
      <c r="K6" s="129" t="s">
        <v>28</v>
      </c>
    </row>
    <row r="7" spans="1:11" x14ac:dyDescent="0.3">
      <c r="A7" s="130" t="s">
        <v>128</v>
      </c>
      <c r="B7" s="130" t="s">
        <v>135</v>
      </c>
      <c r="C7" s="130" t="s">
        <v>139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1</v>
      </c>
      <c r="J7" s="130">
        <v>0</v>
      </c>
      <c r="K7" s="130" t="s">
        <v>37</v>
      </c>
    </row>
    <row r="8" spans="1:11" x14ac:dyDescent="0.3">
      <c r="A8" s="129" t="s">
        <v>128</v>
      </c>
      <c r="B8" s="129" t="s">
        <v>140</v>
      </c>
      <c r="C8" s="129" t="s">
        <v>141</v>
      </c>
      <c r="D8" s="129">
        <v>4951</v>
      </c>
      <c r="E8" s="129">
        <v>0</v>
      </c>
      <c r="F8" s="129">
        <v>0</v>
      </c>
      <c r="G8" s="129">
        <v>0</v>
      </c>
      <c r="H8" s="129">
        <v>4951</v>
      </c>
      <c r="I8" s="129">
        <v>1</v>
      </c>
      <c r="J8" s="129">
        <v>4951</v>
      </c>
      <c r="K8" s="129" t="s">
        <v>40</v>
      </c>
    </row>
    <row r="9" spans="1:11" x14ac:dyDescent="0.3">
      <c r="A9" s="130" t="s">
        <v>128</v>
      </c>
      <c r="B9" s="130" t="s">
        <v>142</v>
      </c>
      <c r="C9" s="130" t="s">
        <v>143</v>
      </c>
      <c r="D9" s="130">
        <v>1870</v>
      </c>
      <c r="E9" s="130">
        <v>0</v>
      </c>
      <c r="F9" s="130">
        <v>0</v>
      </c>
      <c r="G9" s="130">
        <v>0</v>
      </c>
      <c r="H9" s="130">
        <v>1870</v>
      </c>
      <c r="I9" s="130">
        <v>1</v>
      </c>
      <c r="J9" s="130">
        <v>1870</v>
      </c>
      <c r="K9" s="130" t="s">
        <v>37</v>
      </c>
    </row>
    <row r="10" spans="1:11" x14ac:dyDescent="0.3">
      <c r="A10" s="129" t="s">
        <v>128</v>
      </c>
      <c r="B10" s="129" t="s">
        <v>144</v>
      </c>
      <c r="C10" s="129" t="s">
        <v>145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1</v>
      </c>
      <c r="J10" s="129">
        <v>0</v>
      </c>
      <c r="K10" s="129" t="s">
        <v>46</v>
      </c>
    </row>
    <row r="11" spans="1:11" x14ac:dyDescent="0.3">
      <c r="A11" s="130" t="s">
        <v>128</v>
      </c>
      <c r="B11" s="130" t="s">
        <v>146</v>
      </c>
      <c r="C11" s="130" t="s">
        <v>147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0.186</v>
      </c>
      <c r="J11" s="130">
        <v>0</v>
      </c>
      <c r="K11" s="130" t="s">
        <v>46</v>
      </c>
    </row>
    <row r="12" spans="1:11" x14ac:dyDescent="0.3">
      <c r="A12" s="129" t="s">
        <v>128</v>
      </c>
      <c r="B12" s="129" t="s">
        <v>148</v>
      </c>
      <c r="C12" s="129" t="s">
        <v>149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1</v>
      </c>
      <c r="J12" s="129">
        <v>0</v>
      </c>
      <c r="K12" s="129" t="s">
        <v>49</v>
      </c>
    </row>
    <row r="13" spans="1:11" x14ac:dyDescent="0.3">
      <c r="A13" s="130" t="s">
        <v>128</v>
      </c>
      <c r="B13" s="130" t="s">
        <v>144</v>
      </c>
      <c r="C13" s="130" t="s">
        <v>145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1</v>
      </c>
      <c r="J13" s="130">
        <v>0</v>
      </c>
      <c r="K13" s="130" t="s">
        <v>46</v>
      </c>
    </row>
    <row r="14" spans="1:11" x14ac:dyDescent="0.3">
      <c r="A14" s="132" t="s">
        <v>128</v>
      </c>
      <c r="B14" s="132" t="s">
        <v>146</v>
      </c>
      <c r="C14" s="132" t="s">
        <v>147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0.186</v>
      </c>
      <c r="J14" s="132">
        <v>0</v>
      </c>
      <c r="K14" s="132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04B2-8A98-4E02-B0E2-7104497D248C}">
  <dimension ref="A1:AF3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1.88671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1" t="s">
        <v>150</v>
      </c>
      <c r="B1" s="131" t="s">
        <v>20</v>
      </c>
      <c r="C1" s="131" t="s">
        <v>19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155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 t="s">
        <v>162</v>
      </c>
      <c r="P1" s="131" t="s">
        <v>163</v>
      </c>
      <c r="Q1" s="131" t="s">
        <v>164</v>
      </c>
      <c r="R1" s="131" t="s">
        <v>165</v>
      </c>
      <c r="S1" s="131" t="s">
        <v>166</v>
      </c>
      <c r="T1" s="131" t="s">
        <v>167</v>
      </c>
      <c r="U1" s="131" t="s">
        <v>168</v>
      </c>
      <c r="V1" s="131" t="s">
        <v>169</v>
      </c>
      <c r="W1" s="131" t="s">
        <v>170</v>
      </c>
      <c r="X1" s="131" t="s">
        <v>171</v>
      </c>
      <c r="Y1" s="131" t="s">
        <v>172</v>
      </c>
      <c r="Z1" s="131" t="s">
        <v>125</v>
      </c>
      <c r="AA1" s="131" t="s">
        <v>21</v>
      </c>
      <c r="AB1" s="131" t="s">
        <v>173</v>
      </c>
      <c r="AC1" s="131" t="s">
        <v>174</v>
      </c>
      <c r="AD1" s="131" t="s">
        <v>127</v>
      </c>
      <c r="AE1" s="131" t="s">
        <v>22</v>
      </c>
      <c r="AF1" s="131" t="s">
        <v>175</v>
      </c>
    </row>
    <row r="2" spans="1:32" x14ac:dyDescent="0.3">
      <c r="A2" s="129" t="s">
        <v>128</v>
      </c>
      <c r="B2" s="129" t="s">
        <v>176</v>
      </c>
      <c r="C2" s="129" t="s">
        <v>136</v>
      </c>
      <c r="D2" s="129" t="s">
        <v>177</v>
      </c>
      <c r="E2" s="129" t="s">
        <v>178</v>
      </c>
      <c r="F2" s="133">
        <v>46287.478263888886</v>
      </c>
      <c r="G2" s="129" t="s">
        <v>179</v>
      </c>
      <c r="H2" s="129">
        <v>16</v>
      </c>
      <c r="I2" s="129" t="s">
        <v>180</v>
      </c>
      <c r="J2" s="133">
        <v>46288.353472222225</v>
      </c>
      <c r="K2" s="133">
        <v>46289.458333333336</v>
      </c>
      <c r="L2" s="133"/>
      <c r="M2" s="129">
        <v>16</v>
      </c>
      <c r="N2" s="129"/>
      <c r="O2" s="129" t="s">
        <v>181</v>
      </c>
      <c r="P2" s="129" t="s">
        <v>182</v>
      </c>
      <c r="Q2" s="129"/>
      <c r="R2" s="129"/>
      <c r="S2" s="129" t="s">
        <v>183</v>
      </c>
      <c r="T2" s="129" t="s">
        <v>184</v>
      </c>
      <c r="U2" s="129" t="s">
        <v>185</v>
      </c>
      <c r="V2" s="129" t="s">
        <v>128</v>
      </c>
      <c r="W2" s="129" t="s">
        <v>186</v>
      </c>
      <c r="X2" s="129" t="s">
        <v>185</v>
      </c>
      <c r="Y2" s="129">
        <v>48</v>
      </c>
      <c r="Z2" s="129"/>
      <c r="AA2" s="129" t="s">
        <v>36</v>
      </c>
      <c r="AB2" s="129" t="s">
        <v>183</v>
      </c>
      <c r="AC2" s="129"/>
      <c r="AD2" s="129" t="s">
        <v>53</v>
      </c>
      <c r="AE2" s="129">
        <v>1.6</v>
      </c>
      <c r="AF2" s="129">
        <v>1</v>
      </c>
    </row>
    <row r="3" spans="1:32" x14ac:dyDescent="0.3">
      <c r="A3" s="130" t="s">
        <v>128</v>
      </c>
      <c r="B3" s="130" t="s">
        <v>187</v>
      </c>
      <c r="C3" s="130" t="s">
        <v>188</v>
      </c>
      <c r="D3" s="130" t="s">
        <v>177</v>
      </c>
      <c r="E3" s="130" t="s">
        <v>189</v>
      </c>
      <c r="F3" s="134">
        <v>46287.485196759262</v>
      </c>
      <c r="G3" s="130" t="s">
        <v>179</v>
      </c>
      <c r="H3" s="130">
        <v>25</v>
      </c>
      <c r="I3" s="130" t="s">
        <v>190</v>
      </c>
      <c r="J3" s="134">
        <v>46287.60833333333</v>
      </c>
      <c r="K3" s="134">
        <v>46289.458333333336</v>
      </c>
      <c r="L3" s="134"/>
      <c r="M3" s="130">
        <v>25</v>
      </c>
      <c r="N3" s="130"/>
      <c r="O3" s="130" t="s">
        <v>181</v>
      </c>
      <c r="P3" s="130" t="s">
        <v>182</v>
      </c>
      <c r="Q3" s="130"/>
      <c r="R3" s="130"/>
      <c r="S3" s="130" t="s">
        <v>183</v>
      </c>
      <c r="T3" s="130" t="s">
        <v>184</v>
      </c>
      <c r="U3" s="130" t="s">
        <v>185</v>
      </c>
      <c r="V3" s="130" t="s">
        <v>191</v>
      </c>
      <c r="W3" s="130" t="s">
        <v>191</v>
      </c>
      <c r="X3" s="130" t="s">
        <v>191</v>
      </c>
      <c r="Y3" s="130"/>
      <c r="Z3" s="130"/>
      <c r="AA3" s="130" t="s">
        <v>192</v>
      </c>
      <c r="AB3" s="130" t="s">
        <v>183</v>
      </c>
      <c r="AC3" s="130"/>
      <c r="AD3" s="130" t="s">
        <v>191</v>
      </c>
      <c r="AE3" s="130"/>
      <c r="AF3" s="130">
        <v>0</v>
      </c>
    </row>
    <row r="4" spans="1:32" x14ac:dyDescent="0.3">
      <c r="A4" s="129" t="s">
        <v>128</v>
      </c>
      <c r="B4" s="129" t="s">
        <v>187</v>
      </c>
      <c r="C4" s="129" t="s">
        <v>188</v>
      </c>
      <c r="D4" s="129" t="s">
        <v>177</v>
      </c>
      <c r="E4" s="129" t="s">
        <v>193</v>
      </c>
      <c r="F4" s="133">
        <v>46287.483784722222</v>
      </c>
      <c r="G4" s="129" t="s">
        <v>179</v>
      </c>
      <c r="H4" s="129">
        <v>40</v>
      </c>
      <c r="I4" s="129" t="s">
        <v>190</v>
      </c>
      <c r="J4" s="133">
        <v>46287.60833333333</v>
      </c>
      <c r="K4" s="133">
        <v>46289.458333333336</v>
      </c>
      <c r="L4" s="133"/>
      <c r="M4" s="129">
        <v>40</v>
      </c>
      <c r="N4" s="129"/>
      <c r="O4" s="129" t="s">
        <v>181</v>
      </c>
      <c r="P4" s="129" t="s">
        <v>182</v>
      </c>
      <c r="Q4" s="129"/>
      <c r="R4" s="129"/>
      <c r="S4" s="129" t="s">
        <v>183</v>
      </c>
      <c r="T4" s="129" t="s">
        <v>184</v>
      </c>
      <c r="U4" s="129" t="s">
        <v>185</v>
      </c>
      <c r="V4" s="129" t="s">
        <v>191</v>
      </c>
      <c r="W4" s="129" t="s">
        <v>191</v>
      </c>
      <c r="X4" s="129" t="s">
        <v>191</v>
      </c>
      <c r="Y4" s="129"/>
      <c r="Z4" s="129"/>
      <c r="AA4" s="129" t="s">
        <v>192</v>
      </c>
      <c r="AB4" s="129" t="s">
        <v>183</v>
      </c>
      <c r="AC4" s="129"/>
      <c r="AD4" s="129" t="s">
        <v>191</v>
      </c>
      <c r="AE4" s="129"/>
      <c r="AF4" s="129"/>
    </row>
    <row r="5" spans="1:32" x14ac:dyDescent="0.3">
      <c r="A5" s="130" t="s">
        <v>128</v>
      </c>
      <c r="B5" s="130" t="s">
        <v>187</v>
      </c>
      <c r="C5" s="130" t="s">
        <v>188</v>
      </c>
      <c r="D5" s="130" t="s">
        <v>177</v>
      </c>
      <c r="E5" s="130" t="s">
        <v>194</v>
      </c>
      <c r="F5" s="134">
        <v>46287.483194444445</v>
      </c>
      <c r="G5" s="130" t="s">
        <v>179</v>
      </c>
      <c r="H5" s="130">
        <v>40</v>
      </c>
      <c r="I5" s="130" t="s">
        <v>190</v>
      </c>
      <c r="J5" s="134">
        <v>46287.60833333333</v>
      </c>
      <c r="K5" s="134">
        <v>46289.458333333336</v>
      </c>
      <c r="L5" s="134"/>
      <c r="M5" s="130">
        <v>40</v>
      </c>
      <c r="N5" s="130"/>
      <c r="O5" s="130" t="s">
        <v>181</v>
      </c>
      <c r="P5" s="130" t="s">
        <v>182</v>
      </c>
      <c r="Q5" s="130"/>
      <c r="R5" s="130"/>
      <c r="S5" s="130" t="s">
        <v>183</v>
      </c>
      <c r="T5" s="130" t="s">
        <v>184</v>
      </c>
      <c r="U5" s="130" t="s">
        <v>185</v>
      </c>
      <c r="V5" s="130" t="s">
        <v>191</v>
      </c>
      <c r="W5" s="130" t="s">
        <v>191</v>
      </c>
      <c r="X5" s="130" t="s">
        <v>191</v>
      </c>
      <c r="Y5" s="130"/>
      <c r="Z5" s="130"/>
      <c r="AA5" s="130" t="s">
        <v>192</v>
      </c>
      <c r="AB5" s="130" t="s">
        <v>183</v>
      </c>
      <c r="AC5" s="130"/>
      <c r="AD5" s="130" t="s">
        <v>191</v>
      </c>
      <c r="AE5" s="130"/>
      <c r="AF5" s="130"/>
    </row>
    <row r="6" spans="1:32" x14ac:dyDescent="0.3">
      <c r="A6" s="129" t="s">
        <v>128</v>
      </c>
      <c r="B6" s="129" t="s">
        <v>176</v>
      </c>
      <c r="C6" s="129" t="s">
        <v>136</v>
      </c>
      <c r="D6" s="129" t="s">
        <v>177</v>
      </c>
      <c r="E6" s="129" t="s">
        <v>195</v>
      </c>
      <c r="F6" s="133">
        <v>46273.341469907406</v>
      </c>
      <c r="G6" s="129" t="s">
        <v>179</v>
      </c>
      <c r="H6" s="129">
        <v>16</v>
      </c>
      <c r="I6" s="129" t="s">
        <v>196</v>
      </c>
      <c r="J6" s="133">
        <v>46273.402777777781</v>
      </c>
      <c r="K6" s="133">
        <v>46275.465277777781</v>
      </c>
      <c r="L6" s="133"/>
      <c r="M6" s="129">
        <v>16</v>
      </c>
      <c r="N6" s="129"/>
      <c r="O6" s="129" t="s">
        <v>181</v>
      </c>
      <c r="P6" s="129" t="s">
        <v>197</v>
      </c>
      <c r="Q6" s="129"/>
      <c r="R6" s="129"/>
      <c r="S6" s="129" t="s">
        <v>183</v>
      </c>
      <c r="T6" s="129" t="s">
        <v>184</v>
      </c>
      <c r="U6" s="129" t="s">
        <v>185</v>
      </c>
      <c r="V6" s="129" t="s">
        <v>128</v>
      </c>
      <c r="W6" s="129" t="s">
        <v>186</v>
      </c>
      <c r="X6" s="129" t="s">
        <v>185</v>
      </c>
      <c r="Y6" s="129">
        <v>48</v>
      </c>
      <c r="Z6" s="129"/>
      <c r="AA6" s="129" t="s">
        <v>36</v>
      </c>
      <c r="AB6" s="129" t="s">
        <v>183</v>
      </c>
      <c r="AC6" s="129"/>
      <c r="AD6" s="129" t="s">
        <v>53</v>
      </c>
      <c r="AE6" s="129">
        <v>1.6</v>
      </c>
      <c r="AF6" s="129">
        <v>1</v>
      </c>
    </row>
    <row r="7" spans="1:32" x14ac:dyDescent="0.3">
      <c r="A7" s="130" t="s">
        <v>128</v>
      </c>
      <c r="B7" s="130" t="s">
        <v>198</v>
      </c>
      <c r="C7" s="130" t="s">
        <v>136</v>
      </c>
      <c r="D7" s="130" t="s">
        <v>177</v>
      </c>
      <c r="E7" s="130" t="s">
        <v>199</v>
      </c>
      <c r="F7" s="134">
        <v>46283.361296296294</v>
      </c>
      <c r="G7" s="130" t="s">
        <v>179</v>
      </c>
      <c r="H7" s="130">
        <v>1</v>
      </c>
      <c r="I7" s="130" t="s">
        <v>200</v>
      </c>
      <c r="J7" s="134">
        <v>46286.416666666664</v>
      </c>
      <c r="K7" s="134">
        <v>46287.461805555555</v>
      </c>
      <c r="L7" s="134"/>
      <c r="M7" s="130">
        <v>1</v>
      </c>
      <c r="N7" s="130"/>
      <c r="O7" s="130" t="s">
        <v>181</v>
      </c>
      <c r="P7" s="130" t="s">
        <v>182</v>
      </c>
      <c r="Q7" s="130"/>
      <c r="R7" s="130"/>
      <c r="S7" s="130" t="s">
        <v>183</v>
      </c>
      <c r="T7" s="130" t="s">
        <v>184</v>
      </c>
      <c r="U7" s="130" t="s">
        <v>185</v>
      </c>
      <c r="V7" s="130" t="s">
        <v>128</v>
      </c>
      <c r="W7" s="130" t="s">
        <v>186</v>
      </c>
      <c r="X7" s="130" t="s">
        <v>185</v>
      </c>
      <c r="Y7" s="130">
        <v>48</v>
      </c>
      <c r="Z7" s="130"/>
      <c r="AA7" s="130" t="s">
        <v>55</v>
      </c>
      <c r="AB7" s="130" t="s">
        <v>183</v>
      </c>
      <c r="AC7" s="130"/>
      <c r="AD7" s="130" t="s">
        <v>53</v>
      </c>
      <c r="AE7" s="130">
        <v>1</v>
      </c>
      <c r="AF7" s="130">
        <v>1</v>
      </c>
    </row>
    <row r="8" spans="1:32" x14ac:dyDescent="0.3">
      <c r="A8" s="129" t="s">
        <v>128</v>
      </c>
      <c r="B8" s="129" t="s">
        <v>198</v>
      </c>
      <c r="C8" s="129" t="s">
        <v>136</v>
      </c>
      <c r="D8" s="129" t="s">
        <v>177</v>
      </c>
      <c r="E8" s="129" t="s">
        <v>201</v>
      </c>
      <c r="F8" s="133">
        <v>46279.471388888887</v>
      </c>
      <c r="G8" s="129" t="s">
        <v>179</v>
      </c>
      <c r="H8" s="129">
        <v>2</v>
      </c>
      <c r="I8" s="129" t="s">
        <v>202</v>
      </c>
      <c r="J8" s="133">
        <v>46279.524305555555</v>
      </c>
      <c r="K8" s="133">
        <v>46281.472222222219</v>
      </c>
      <c r="L8" s="133"/>
      <c r="M8" s="129">
        <v>2</v>
      </c>
      <c r="N8" s="129"/>
      <c r="O8" s="129" t="s">
        <v>181</v>
      </c>
      <c r="P8" s="129" t="s">
        <v>182</v>
      </c>
      <c r="Q8" s="129"/>
      <c r="R8" s="129"/>
      <c r="S8" s="129" t="s">
        <v>183</v>
      </c>
      <c r="T8" s="129" t="s">
        <v>184</v>
      </c>
      <c r="U8" s="129" t="s">
        <v>185</v>
      </c>
      <c r="V8" s="129" t="s">
        <v>128</v>
      </c>
      <c r="W8" s="129" t="s">
        <v>186</v>
      </c>
      <c r="X8" s="129" t="s">
        <v>185</v>
      </c>
      <c r="Y8" s="129">
        <v>48</v>
      </c>
      <c r="Z8" s="129"/>
      <c r="AA8" s="129" t="s">
        <v>55</v>
      </c>
      <c r="AB8" s="129" t="s">
        <v>183</v>
      </c>
      <c r="AC8" s="129"/>
      <c r="AD8" s="129" t="s">
        <v>53</v>
      </c>
      <c r="AE8" s="129">
        <v>1</v>
      </c>
      <c r="AF8" s="129">
        <v>1</v>
      </c>
    </row>
    <row r="9" spans="1:32" x14ac:dyDescent="0.3">
      <c r="A9" s="130" t="s">
        <v>128</v>
      </c>
      <c r="B9" s="130" t="s">
        <v>203</v>
      </c>
      <c r="C9" s="130" t="s">
        <v>204</v>
      </c>
      <c r="D9" s="130" t="s">
        <v>177</v>
      </c>
      <c r="E9" s="130" t="s">
        <v>205</v>
      </c>
      <c r="F9" s="134">
        <v>46287.493831018517</v>
      </c>
      <c r="G9" s="130" t="s">
        <v>179</v>
      </c>
      <c r="H9" s="130">
        <v>1</v>
      </c>
      <c r="I9" s="130" t="s">
        <v>206</v>
      </c>
      <c r="J9" s="134">
        <v>46287.611805555556</v>
      </c>
      <c r="K9" s="134">
        <v>46289.458333333336</v>
      </c>
      <c r="L9" s="134"/>
      <c r="M9" s="130">
        <v>1</v>
      </c>
      <c r="N9" s="130"/>
      <c r="O9" s="130" t="s">
        <v>181</v>
      </c>
      <c r="P9" s="130" t="s">
        <v>182</v>
      </c>
      <c r="Q9" s="130"/>
      <c r="R9" s="130"/>
      <c r="S9" s="130" t="s">
        <v>183</v>
      </c>
      <c r="T9" s="130" t="s">
        <v>184</v>
      </c>
      <c r="U9" s="130" t="s">
        <v>185</v>
      </c>
      <c r="V9" s="130" t="s">
        <v>128</v>
      </c>
      <c r="W9" s="130" t="s">
        <v>186</v>
      </c>
      <c r="X9" s="130" t="s">
        <v>185</v>
      </c>
      <c r="Y9" s="130">
        <v>48</v>
      </c>
      <c r="Z9" s="130"/>
      <c r="AA9" s="130" t="s">
        <v>36</v>
      </c>
      <c r="AB9" s="130" t="s">
        <v>183</v>
      </c>
      <c r="AC9" s="130"/>
      <c r="AD9" s="130" t="s">
        <v>53</v>
      </c>
      <c r="AE9" s="130">
        <v>1</v>
      </c>
      <c r="AF9" s="130"/>
    </row>
    <row r="10" spans="1:32" x14ac:dyDescent="0.3">
      <c r="A10" s="129" t="s">
        <v>128</v>
      </c>
      <c r="B10" s="129" t="s">
        <v>203</v>
      </c>
      <c r="C10" s="129" t="s">
        <v>204</v>
      </c>
      <c r="D10" s="129" t="s">
        <v>177</v>
      </c>
      <c r="E10" s="129" t="s">
        <v>207</v>
      </c>
      <c r="F10" s="133">
        <v>46283.36478009259</v>
      </c>
      <c r="G10" s="129" t="s">
        <v>179</v>
      </c>
      <c r="H10" s="129">
        <v>2</v>
      </c>
      <c r="I10" s="129" t="s">
        <v>208</v>
      </c>
      <c r="J10" s="133">
        <v>46286.458333333336</v>
      </c>
      <c r="K10" s="133">
        <v>46287.461805555555</v>
      </c>
      <c r="L10" s="133"/>
      <c r="M10" s="129">
        <v>2</v>
      </c>
      <c r="N10" s="129"/>
      <c r="O10" s="129" t="s">
        <v>181</v>
      </c>
      <c r="P10" s="129" t="s">
        <v>182</v>
      </c>
      <c r="Q10" s="129"/>
      <c r="R10" s="129"/>
      <c r="S10" s="129" t="s">
        <v>183</v>
      </c>
      <c r="T10" s="129" t="s">
        <v>184</v>
      </c>
      <c r="U10" s="129" t="s">
        <v>185</v>
      </c>
      <c r="V10" s="129" t="s">
        <v>128</v>
      </c>
      <c r="W10" s="129" t="s">
        <v>186</v>
      </c>
      <c r="X10" s="129" t="s">
        <v>185</v>
      </c>
      <c r="Y10" s="129"/>
      <c r="Z10" s="129"/>
      <c r="AA10" s="129" t="s">
        <v>36</v>
      </c>
      <c r="AB10" s="129" t="s">
        <v>183</v>
      </c>
      <c r="AC10" s="129"/>
      <c r="AD10" s="129" t="s">
        <v>53</v>
      </c>
      <c r="AE10" s="129">
        <v>1</v>
      </c>
      <c r="AF10" s="129"/>
    </row>
    <row r="11" spans="1:32" x14ac:dyDescent="0.3">
      <c r="A11" s="130" t="s">
        <v>128</v>
      </c>
      <c r="B11" s="130" t="s">
        <v>176</v>
      </c>
      <c r="C11" s="130" t="s">
        <v>136</v>
      </c>
      <c r="D11" s="130" t="s">
        <v>177</v>
      </c>
      <c r="E11" s="130" t="s">
        <v>209</v>
      </c>
      <c r="F11" s="134">
        <v>46286.323912037034</v>
      </c>
      <c r="G11" s="130" t="s">
        <v>210</v>
      </c>
      <c r="H11" s="130">
        <v>30</v>
      </c>
      <c r="I11" s="130" t="s">
        <v>211</v>
      </c>
      <c r="J11" s="134">
        <v>46286.373611111114</v>
      </c>
      <c r="K11" s="134">
        <v>46288.454861111109</v>
      </c>
      <c r="L11" s="134"/>
      <c r="M11" s="130">
        <v>30</v>
      </c>
      <c r="N11" s="130"/>
      <c r="O11" s="130" t="s">
        <v>181</v>
      </c>
      <c r="P11" s="130" t="s">
        <v>197</v>
      </c>
      <c r="Q11" s="130"/>
      <c r="R11" s="130"/>
      <c r="S11" s="130" t="s">
        <v>212</v>
      </c>
      <c r="T11" s="130" t="s">
        <v>213</v>
      </c>
      <c r="U11" s="130" t="s">
        <v>185</v>
      </c>
      <c r="V11" s="130" t="s">
        <v>128</v>
      </c>
      <c r="W11" s="130" t="s">
        <v>186</v>
      </c>
      <c r="X11" s="130" t="s">
        <v>185</v>
      </c>
      <c r="Y11" s="130">
        <v>40</v>
      </c>
      <c r="Z11" s="130"/>
      <c r="AA11" s="130" t="s">
        <v>36</v>
      </c>
      <c r="AB11" s="130" t="s">
        <v>212</v>
      </c>
      <c r="AC11" s="130">
        <v>1100</v>
      </c>
      <c r="AD11" s="130" t="s">
        <v>53</v>
      </c>
      <c r="AE11" s="130">
        <v>3</v>
      </c>
      <c r="AF11" s="130">
        <v>1</v>
      </c>
    </row>
    <row r="12" spans="1:32" x14ac:dyDescent="0.3">
      <c r="A12" s="129" t="s">
        <v>128</v>
      </c>
      <c r="B12" s="129" t="s">
        <v>176</v>
      </c>
      <c r="C12" s="129" t="s">
        <v>136</v>
      </c>
      <c r="D12" s="129" t="s">
        <v>177</v>
      </c>
      <c r="E12" s="129" t="s">
        <v>214</v>
      </c>
      <c r="F12" s="133">
        <v>46286.324270833335</v>
      </c>
      <c r="G12" s="129" t="s">
        <v>210</v>
      </c>
      <c r="H12" s="129">
        <v>50</v>
      </c>
      <c r="I12" s="129" t="s">
        <v>215</v>
      </c>
      <c r="J12" s="133">
        <v>46286.378472222219</v>
      </c>
      <c r="K12" s="133">
        <v>46288.454861111109</v>
      </c>
      <c r="L12" s="133"/>
      <c r="M12" s="129">
        <v>50</v>
      </c>
      <c r="N12" s="129"/>
      <c r="O12" s="129" t="s">
        <v>181</v>
      </c>
      <c r="P12" s="129" t="s">
        <v>197</v>
      </c>
      <c r="Q12" s="129"/>
      <c r="R12" s="129"/>
      <c r="S12" s="129" t="s">
        <v>212</v>
      </c>
      <c r="T12" s="129" t="s">
        <v>213</v>
      </c>
      <c r="U12" s="129" t="s">
        <v>185</v>
      </c>
      <c r="V12" s="129" t="s">
        <v>128</v>
      </c>
      <c r="W12" s="129" t="s">
        <v>186</v>
      </c>
      <c r="X12" s="129" t="s">
        <v>185</v>
      </c>
      <c r="Y12" s="129"/>
      <c r="Z12" s="129"/>
      <c r="AA12" s="129" t="s">
        <v>36</v>
      </c>
      <c r="AB12" s="129" t="s">
        <v>212</v>
      </c>
      <c r="AC12" s="129">
        <v>1100</v>
      </c>
      <c r="AD12" s="129" t="s">
        <v>53</v>
      </c>
      <c r="AE12" s="129">
        <v>5</v>
      </c>
      <c r="AF12" s="129"/>
    </row>
    <row r="13" spans="1:32" x14ac:dyDescent="0.3">
      <c r="A13" s="130" t="s">
        <v>128</v>
      </c>
      <c r="B13" s="130" t="s">
        <v>187</v>
      </c>
      <c r="C13" s="130" t="s">
        <v>188</v>
      </c>
      <c r="D13" s="130" t="s">
        <v>177</v>
      </c>
      <c r="E13" s="130" t="s">
        <v>216</v>
      </c>
      <c r="F13" s="134">
        <v>46267.3200462963</v>
      </c>
      <c r="G13" s="130" t="s">
        <v>210</v>
      </c>
      <c r="H13" s="130">
        <v>300</v>
      </c>
      <c r="I13" s="130" t="s">
        <v>217</v>
      </c>
      <c r="J13" s="134">
        <v>46267.451388888891</v>
      </c>
      <c r="K13" s="134">
        <v>46269.4375</v>
      </c>
      <c r="L13" s="134"/>
      <c r="M13" s="130">
        <v>300</v>
      </c>
      <c r="N13" s="130"/>
      <c r="O13" s="130" t="s">
        <v>181</v>
      </c>
      <c r="P13" s="130" t="s">
        <v>182</v>
      </c>
      <c r="Q13" s="130"/>
      <c r="R13" s="130"/>
      <c r="S13" s="130" t="s">
        <v>212</v>
      </c>
      <c r="T13" s="130" t="s">
        <v>213</v>
      </c>
      <c r="U13" s="130" t="s">
        <v>185</v>
      </c>
      <c r="V13" s="130" t="s">
        <v>191</v>
      </c>
      <c r="W13" s="130" t="s">
        <v>191</v>
      </c>
      <c r="X13" s="130" t="s">
        <v>191</v>
      </c>
      <c r="Y13" s="130"/>
      <c r="Z13" s="130"/>
      <c r="AA13" s="130" t="s">
        <v>192</v>
      </c>
      <c r="AB13" s="130" t="s">
        <v>212</v>
      </c>
      <c r="AC13" s="130">
        <v>1100</v>
      </c>
      <c r="AD13" s="130" t="s">
        <v>191</v>
      </c>
      <c r="AE13" s="130"/>
      <c r="AF13" s="130">
        <v>0</v>
      </c>
    </row>
    <row r="14" spans="1:32" x14ac:dyDescent="0.3">
      <c r="A14" s="129" t="s">
        <v>128</v>
      </c>
      <c r="B14" s="129" t="s">
        <v>176</v>
      </c>
      <c r="C14" s="129" t="s">
        <v>136</v>
      </c>
      <c r="D14" s="129" t="s">
        <v>177</v>
      </c>
      <c r="E14" s="129" t="s">
        <v>218</v>
      </c>
      <c r="F14" s="133">
        <v>46268.34103009259</v>
      </c>
      <c r="G14" s="129" t="s">
        <v>210</v>
      </c>
      <c r="H14" s="129">
        <v>35</v>
      </c>
      <c r="I14" s="129" t="s">
        <v>219</v>
      </c>
      <c r="J14" s="133">
        <v>46268.507638888892</v>
      </c>
      <c r="K14" s="133">
        <v>46269.4375</v>
      </c>
      <c r="L14" s="133"/>
      <c r="M14" s="129">
        <v>34</v>
      </c>
      <c r="N14" s="129"/>
      <c r="O14" s="129"/>
      <c r="P14" s="129"/>
      <c r="Q14" s="129"/>
      <c r="R14" s="129"/>
      <c r="S14" s="129" t="s">
        <v>212</v>
      </c>
      <c r="T14" s="129" t="s">
        <v>213</v>
      </c>
      <c r="U14" s="129" t="s">
        <v>185</v>
      </c>
      <c r="V14" s="129" t="s">
        <v>128</v>
      </c>
      <c r="W14" s="129" t="s">
        <v>186</v>
      </c>
      <c r="X14" s="129" t="s">
        <v>185</v>
      </c>
      <c r="Y14" s="129">
        <v>40</v>
      </c>
      <c r="Z14" s="129"/>
      <c r="AA14" s="129" t="s">
        <v>36</v>
      </c>
      <c r="AB14" s="129" t="s">
        <v>212</v>
      </c>
      <c r="AC14" s="129">
        <v>1100</v>
      </c>
      <c r="AD14" s="129" t="s">
        <v>53</v>
      </c>
      <c r="AE14" s="129">
        <v>3.4</v>
      </c>
      <c r="AF14" s="129">
        <v>1</v>
      </c>
    </row>
    <row r="15" spans="1:32" x14ac:dyDescent="0.3">
      <c r="A15" s="130" t="s">
        <v>128</v>
      </c>
      <c r="B15" s="130" t="s">
        <v>220</v>
      </c>
      <c r="C15" s="130" t="s">
        <v>221</v>
      </c>
      <c r="D15" s="130" t="s">
        <v>177</v>
      </c>
      <c r="E15" s="130" t="s">
        <v>222</v>
      </c>
      <c r="F15" s="134">
        <v>46279.677986111114</v>
      </c>
      <c r="G15" s="130" t="s">
        <v>223</v>
      </c>
      <c r="H15" s="130">
        <v>1</v>
      </c>
      <c r="I15" s="130" t="s">
        <v>224</v>
      </c>
      <c r="J15" s="134">
        <v>46280.488888888889</v>
      </c>
      <c r="K15" s="134">
        <v>46288.674305555556</v>
      </c>
      <c r="L15" s="134"/>
      <c r="M15" s="130">
        <v>1</v>
      </c>
      <c r="N15" s="130"/>
      <c r="O15" s="130" t="s">
        <v>181</v>
      </c>
      <c r="P15" s="130" t="s">
        <v>197</v>
      </c>
      <c r="Q15" s="130"/>
      <c r="R15" s="130"/>
      <c r="S15" s="130" t="s">
        <v>225</v>
      </c>
      <c r="T15" s="130" t="s">
        <v>226</v>
      </c>
      <c r="U15" s="130" t="s">
        <v>185</v>
      </c>
      <c r="V15" s="130" t="s">
        <v>191</v>
      </c>
      <c r="W15" s="130" t="s">
        <v>191</v>
      </c>
      <c r="X15" s="130" t="s">
        <v>191</v>
      </c>
      <c r="Y15" s="130"/>
      <c r="Z15" s="130"/>
      <c r="AA15" s="130" t="s">
        <v>227</v>
      </c>
      <c r="AB15" s="130" t="s">
        <v>225</v>
      </c>
      <c r="AC15" s="130">
        <v>2480</v>
      </c>
      <c r="AD15" s="130" t="s">
        <v>64</v>
      </c>
      <c r="AE15" s="130">
        <v>1</v>
      </c>
      <c r="AF15" s="130">
        <v>1</v>
      </c>
    </row>
    <row r="16" spans="1:32" x14ac:dyDescent="0.3">
      <c r="A16" s="129" t="s">
        <v>128</v>
      </c>
      <c r="B16" s="129" t="s">
        <v>220</v>
      </c>
      <c r="C16" s="129" t="s">
        <v>221</v>
      </c>
      <c r="D16" s="129" t="s">
        <v>177</v>
      </c>
      <c r="E16" s="129" t="s">
        <v>222</v>
      </c>
      <c r="F16" s="133">
        <v>46279.677986111114</v>
      </c>
      <c r="G16" s="129" t="s">
        <v>223</v>
      </c>
      <c r="H16" s="129">
        <v>1</v>
      </c>
      <c r="I16" s="129" t="s">
        <v>224</v>
      </c>
      <c r="J16" s="133">
        <v>46280.488888888889</v>
      </c>
      <c r="K16" s="133">
        <v>46288.674305555556</v>
      </c>
      <c r="L16" s="133"/>
      <c r="M16" s="129">
        <v>1</v>
      </c>
      <c r="N16" s="129"/>
      <c r="O16" s="129" t="s">
        <v>228</v>
      </c>
      <c r="P16" s="129"/>
      <c r="Q16" s="129"/>
      <c r="R16" s="129"/>
      <c r="S16" s="129" t="s">
        <v>225</v>
      </c>
      <c r="T16" s="129" t="s">
        <v>226</v>
      </c>
      <c r="U16" s="129" t="s">
        <v>185</v>
      </c>
      <c r="V16" s="129" t="s">
        <v>191</v>
      </c>
      <c r="W16" s="129" t="s">
        <v>191</v>
      </c>
      <c r="X16" s="129" t="s">
        <v>191</v>
      </c>
      <c r="Y16" s="129"/>
      <c r="Z16" s="129"/>
      <c r="AA16" s="129" t="s">
        <v>227</v>
      </c>
      <c r="AB16" s="129" t="s">
        <v>225</v>
      </c>
      <c r="AC16" s="129">
        <v>2480</v>
      </c>
      <c r="AD16" s="129" t="s">
        <v>64</v>
      </c>
      <c r="AE16" s="129">
        <v>1</v>
      </c>
      <c r="AF16" s="129"/>
    </row>
    <row r="17" spans="1:32" x14ac:dyDescent="0.3">
      <c r="A17" s="130" t="s">
        <v>128</v>
      </c>
      <c r="B17" s="130" t="s">
        <v>229</v>
      </c>
      <c r="C17" s="130" t="s">
        <v>230</v>
      </c>
      <c r="D17" s="130" t="s">
        <v>177</v>
      </c>
      <c r="E17" s="130" t="s">
        <v>222</v>
      </c>
      <c r="F17" s="134">
        <v>46279.677986111114</v>
      </c>
      <c r="G17" s="130" t="s">
        <v>223</v>
      </c>
      <c r="H17" s="130">
        <v>1</v>
      </c>
      <c r="I17" s="130" t="s">
        <v>224</v>
      </c>
      <c r="J17" s="134">
        <v>46280.488888888889</v>
      </c>
      <c r="K17" s="134">
        <v>46288.674305555556</v>
      </c>
      <c r="L17" s="134">
        <v>46288.674305555556</v>
      </c>
      <c r="M17" s="130">
        <v>1</v>
      </c>
      <c r="N17" s="130"/>
      <c r="O17" s="130" t="s">
        <v>181</v>
      </c>
      <c r="P17" s="130" t="s">
        <v>182</v>
      </c>
      <c r="Q17" s="130"/>
      <c r="R17" s="130"/>
      <c r="S17" s="130" t="s">
        <v>225</v>
      </c>
      <c r="T17" s="130" t="s">
        <v>226</v>
      </c>
      <c r="U17" s="130" t="s">
        <v>185</v>
      </c>
      <c r="V17" s="130" t="s">
        <v>191</v>
      </c>
      <c r="W17" s="130" t="s">
        <v>191</v>
      </c>
      <c r="X17" s="130" t="s">
        <v>191</v>
      </c>
      <c r="Y17" s="130"/>
      <c r="Z17" s="130"/>
      <c r="AA17" s="130" t="s">
        <v>231</v>
      </c>
      <c r="AB17" s="130" t="s">
        <v>225</v>
      </c>
      <c r="AC17" s="130">
        <v>2480</v>
      </c>
      <c r="AD17" s="130" t="s">
        <v>96</v>
      </c>
      <c r="AE17" s="130">
        <v>1</v>
      </c>
      <c r="AF17" s="130">
        <v>1</v>
      </c>
    </row>
    <row r="18" spans="1:32" x14ac:dyDescent="0.3">
      <c r="A18" s="129" t="s">
        <v>128</v>
      </c>
      <c r="B18" s="129" t="s">
        <v>229</v>
      </c>
      <c r="C18" s="129" t="s">
        <v>230</v>
      </c>
      <c r="D18" s="129" t="s">
        <v>177</v>
      </c>
      <c r="E18" s="129" t="s">
        <v>222</v>
      </c>
      <c r="F18" s="133">
        <v>46279.677986111114</v>
      </c>
      <c r="G18" s="129" t="s">
        <v>223</v>
      </c>
      <c r="H18" s="129">
        <v>1</v>
      </c>
      <c r="I18" s="129" t="s">
        <v>224</v>
      </c>
      <c r="J18" s="133">
        <v>46280.488888888889</v>
      </c>
      <c r="K18" s="133">
        <v>46288.674305555556</v>
      </c>
      <c r="L18" s="133">
        <v>46288.674305555556</v>
      </c>
      <c r="M18" s="129">
        <v>1</v>
      </c>
      <c r="N18" s="129"/>
      <c r="O18" s="129" t="s">
        <v>228</v>
      </c>
      <c r="P18" s="129"/>
      <c r="Q18" s="129"/>
      <c r="R18" s="129"/>
      <c r="S18" s="129" t="s">
        <v>225</v>
      </c>
      <c r="T18" s="129" t="s">
        <v>226</v>
      </c>
      <c r="U18" s="129" t="s">
        <v>185</v>
      </c>
      <c r="V18" s="129" t="s">
        <v>191</v>
      </c>
      <c r="W18" s="129" t="s">
        <v>191</v>
      </c>
      <c r="X18" s="129" t="s">
        <v>191</v>
      </c>
      <c r="Y18" s="129"/>
      <c r="Z18" s="129"/>
      <c r="AA18" s="129" t="s">
        <v>231</v>
      </c>
      <c r="AB18" s="129" t="s">
        <v>225</v>
      </c>
      <c r="AC18" s="129">
        <v>2480</v>
      </c>
      <c r="AD18" s="129" t="s">
        <v>96</v>
      </c>
      <c r="AE18" s="129">
        <v>1</v>
      </c>
      <c r="AF18" s="129"/>
    </row>
    <row r="19" spans="1:32" x14ac:dyDescent="0.3">
      <c r="A19" s="130" t="s">
        <v>128</v>
      </c>
      <c r="B19" s="130" t="s">
        <v>232</v>
      </c>
      <c r="C19" s="130" t="s">
        <v>233</v>
      </c>
      <c r="D19" s="130" t="s">
        <v>177</v>
      </c>
      <c r="E19" s="130" t="s">
        <v>222</v>
      </c>
      <c r="F19" s="134">
        <v>46279.677986111114</v>
      </c>
      <c r="G19" s="130" t="s">
        <v>223</v>
      </c>
      <c r="H19" s="130">
        <v>1</v>
      </c>
      <c r="I19" s="130" t="s">
        <v>224</v>
      </c>
      <c r="J19" s="134">
        <v>46280.488888888889</v>
      </c>
      <c r="K19" s="134">
        <v>46288.674305555556</v>
      </c>
      <c r="L19" s="134"/>
      <c r="M19" s="130">
        <v>1</v>
      </c>
      <c r="N19" s="130"/>
      <c r="O19" s="130" t="s">
        <v>181</v>
      </c>
      <c r="P19" s="130" t="s">
        <v>197</v>
      </c>
      <c r="Q19" s="130"/>
      <c r="R19" s="130"/>
      <c r="S19" s="130" t="s">
        <v>225</v>
      </c>
      <c r="T19" s="130" t="s">
        <v>226</v>
      </c>
      <c r="U19" s="130" t="s">
        <v>185</v>
      </c>
      <c r="V19" s="130" t="s">
        <v>191</v>
      </c>
      <c r="W19" s="130" t="s">
        <v>191</v>
      </c>
      <c r="X19" s="130" t="s">
        <v>191</v>
      </c>
      <c r="Y19" s="130"/>
      <c r="Z19" s="130">
        <v>1</v>
      </c>
      <c r="AA19" s="130" t="s">
        <v>88</v>
      </c>
      <c r="AB19" s="130" t="s">
        <v>225</v>
      </c>
      <c r="AC19" s="130">
        <v>2480</v>
      </c>
      <c r="AD19" s="130" t="s">
        <v>93</v>
      </c>
      <c r="AE19" s="130">
        <v>1</v>
      </c>
      <c r="AF19" s="130">
        <v>70.099999999999994</v>
      </c>
    </row>
    <row r="20" spans="1:32" x14ac:dyDescent="0.3">
      <c r="A20" s="129" t="s">
        <v>128</v>
      </c>
      <c r="B20" s="129" t="s">
        <v>232</v>
      </c>
      <c r="C20" s="129" t="s">
        <v>233</v>
      </c>
      <c r="D20" s="129" t="s">
        <v>177</v>
      </c>
      <c r="E20" s="129" t="s">
        <v>222</v>
      </c>
      <c r="F20" s="133">
        <v>46279.677986111114</v>
      </c>
      <c r="G20" s="129" t="s">
        <v>223</v>
      </c>
      <c r="H20" s="129">
        <v>700</v>
      </c>
      <c r="I20" s="129" t="s">
        <v>224</v>
      </c>
      <c r="J20" s="133">
        <v>46280.488888888889</v>
      </c>
      <c r="K20" s="133">
        <v>46288.674305555556</v>
      </c>
      <c r="L20" s="133"/>
      <c r="M20" s="129">
        <v>700</v>
      </c>
      <c r="N20" s="129"/>
      <c r="O20" s="129" t="s">
        <v>228</v>
      </c>
      <c r="P20" s="129"/>
      <c r="Q20" s="129"/>
      <c r="R20" s="129"/>
      <c r="S20" s="129" t="s">
        <v>225</v>
      </c>
      <c r="T20" s="129" t="s">
        <v>226</v>
      </c>
      <c r="U20" s="129" t="s">
        <v>185</v>
      </c>
      <c r="V20" s="129" t="s">
        <v>191</v>
      </c>
      <c r="W20" s="129" t="s">
        <v>191</v>
      </c>
      <c r="X20" s="129" t="s">
        <v>191</v>
      </c>
      <c r="Y20" s="129"/>
      <c r="Z20" s="129">
        <v>1</v>
      </c>
      <c r="AA20" s="129" t="s">
        <v>88</v>
      </c>
      <c r="AB20" s="129" t="s">
        <v>225</v>
      </c>
      <c r="AC20" s="129">
        <v>2480</v>
      </c>
      <c r="AD20" s="129" t="s">
        <v>93</v>
      </c>
      <c r="AE20" s="129">
        <v>700</v>
      </c>
      <c r="AF20" s="129"/>
    </row>
    <row r="21" spans="1:32" x14ac:dyDescent="0.3">
      <c r="A21" s="130" t="s">
        <v>128</v>
      </c>
      <c r="B21" s="130" t="s">
        <v>229</v>
      </c>
      <c r="C21" s="130" t="s">
        <v>230</v>
      </c>
      <c r="D21" s="130" t="s">
        <v>177</v>
      </c>
      <c r="E21" s="130" t="s">
        <v>234</v>
      </c>
      <c r="F21" s="134">
        <v>46254.604224537034</v>
      </c>
      <c r="G21" s="130" t="s">
        <v>235</v>
      </c>
      <c r="H21" s="130">
        <v>1</v>
      </c>
      <c r="I21" s="130" t="s">
        <v>236</v>
      </c>
      <c r="J21" s="134">
        <v>46255.40347222222</v>
      </c>
      <c r="K21" s="134">
        <v>46261.468055555553</v>
      </c>
      <c r="L21" s="134">
        <v>46261.468055555553</v>
      </c>
      <c r="M21" s="130">
        <v>1</v>
      </c>
      <c r="N21" s="130"/>
      <c r="O21" s="130" t="s">
        <v>181</v>
      </c>
      <c r="P21" s="130" t="s">
        <v>182</v>
      </c>
      <c r="Q21" s="130"/>
      <c r="R21" s="130"/>
      <c r="S21" s="130" t="s">
        <v>225</v>
      </c>
      <c r="T21" s="130" t="s">
        <v>226</v>
      </c>
      <c r="U21" s="130" t="s">
        <v>185</v>
      </c>
      <c r="V21" s="130" t="s">
        <v>191</v>
      </c>
      <c r="W21" s="130" t="s">
        <v>191</v>
      </c>
      <c r="X21" s="130" t="s">
        <v>191</v>
      </c>
      <c r="Y21" s="130"/>
      <c r="Z21" s="130"/>
      <c r="AA21" s="130" t="s">
        <v>231</v>
      </c>
      <c r="AB21" s="130" t="s">
        <v>225</v>
      </c>
      <c r="AC21" s="130">
        <v>2480</v>
      </c>
      <c r="AD21" s="130" t="s">
        <v>96</v>
      </c>
      <c r="AE21" s="130">
        <v>1</v>
      </c>
      <c r="AF21" s="130">
        <v>1</v>
      </c>
    </row>
    <row r="22" spans="1:32" x14ac:dyDescent="0.3">
      <c r="A22" s="129" t="s">
        <v>128</v>
      </c>
      <c r="B22" s="129" t="s">
        <v>232</v>
      </c>
      <c r="C22" s="129" t="s">
        <v>233</v>
      </c>
      <c r="D22" s="129" t="s">
        <v>177</v>
      </c>
      <c r="E22" s="129" t="s">
        <v>234</v>
      </c>
      <c r="F22" s="133">
        <v>46254.604224537034</v>
      </c>
      <c r="G22" s="129" t="s">
        <v>235</v>
      </c>
      <c r="H22" s="129">
        <v>202</v>
      </c>
      <c r="I22" s="129" t="s">
        <v>236</v>
      </c>
      <c r="J22" s="133">
        <v>46255.40347222222</v>
      </c>
      <c r="K22" s="133">
        <v>46261.468055555553</v>
      </c>
      <c r="L22" s="133"/>
      <c r="M22" s="129">
        <v>202</v>
      </c>
      <c r="N22" s="129"/>
      <c r="O22" s="129" t="s">
        <v>181</v>
      </c>
      <c r="P22" s="129" t="s">
        <v>197</v>
      </c>
      <c r="Q22" s="129"/>
      <c r="R22" s="129"/>
      <c r="S22" s="129" t="s">
        <v>225</v>
      </c>
      <c r="T22" s="129" t="s">
        <v>226</v>
      </c>
      <c r="U22" s="129" t="s">
        <v>185</v>
      </c>
      <c r="V22" s="129" t="s">
        <v>191</v>
      </c>
      <c r="W22" s="129" t="s">
        <v>191</v>
      </c>
      <c r="X22" s="129" t="s">
        <v>191</v>
      </c>
      <c r="Y22" s="129"/>
      <c r="Z22" s="129">
        <v>1</v>
      </c>
      <c r="AA22" s="129" t="s">
        <v>88</v>
      </c>
      <c r="AB22" s="129" t="s">
        <v>225</v>
      </c>
      <c r="AC22" s="129">
        <v>2480</v>
      </c>
      <c r="AD22" s="129" t="s">
        <v>93</v>
      </c>
      <c r="AE22" s="129">
        <v>202</v>
      </c>
      <c r="AF22" s="129">
        <v>20.2</v>
      </c>
    </row>
    <row r="23" spans="1:32" x14ac:dyDescent="0.3">
      <c r="A23" s="130" t="s">
        <v>128</v>
      </c>
      <c r="B23" s="130" t="s">
        <v>220</v>
      </c>
      <c r="C23" s="130" t="s">
        <v>221</v>
      </c>
      <c r="D23" s="130" t="s">
        <v>177</v>
      </c>
      <c r="E23" s="130" t="s">
        <v>237</v>
      </c>
      <c r="F23" s="134">
        <v>46254.596168981479</v>
      </c>
      <c r="G23" s="130" t="s">
        <v>235</v>
      </c>
      <c r="H23" s="130">
        <v>1</v>
      </c>
      <c r="I23" s="130" t="s">
        <v>238</v>
      </c>
      <c r="J23" s="134">
        <v>46255.384722222225</v>
      </c>
      <c r="K23" s="134">
        <v>46261.505555555559</v>
      </c>
      <c r="L23" s="134"/>
      <c r="M23" s="130">
        <v>1</v>
      </c>
      <c r="N23" s="130"/>
      <c r="O23" s="130" t="s">
        <v>181</v>
      </c>
      <c r="P23" s="130" t="s">
        <v>197</v>
      </c>
      <c r="Q23" s="130"/>
      <c r="R23" s="130"/>
      <c r="S23" s="130" t="s">
        <v>225</v>
      </c>
      <c r="T23" s="130" t="s">
        <v>226</v>
      </c>
      <c r="U23" s="130" t="s">
        <v>185</v>
      </c>
      <c r="V23" s="130" t="s">
        <v>191</v>
      </c>
      <c r="W23" s="130" t="s">
        <v>191</v>
      </c>
      <c r="X23" s="130" t="s">
        <v>191</v>
      </c>
      <c r="Y23" s="130"/>
      <c r="Z23" s="130"/>
      <c r="AA23" s="130" t="s">
        <v>227</v>
      </c>
      <c r="AB23" s="130" t="s">
        <v>225</v>
      </c>
      <c r="AC23" s="130">
        <v>2480</v>
      </c>
      <c r="AD23" s="130" t="s">
        <v>64</v>
      </c>
      <c r="AE23" s="130">
        <v>1</v>
      </c>
      <c r="AF23" s="130">
        <v>1</v>
      </c>
    </row>
    <row r="24" spans="1:32" x14ac:dyDescent="0.3">
      <c r="A24" s="129" t="s">
        <v>128</v>
      </c>
      <c r="B24" s="129" t="s">
        <v>220</v>
      </c>
      <c r="C24" s="129" t="s">
        <v>221</v>
      </c>
      <c r="D24" s="129" t="s">
        <v>177</v>
      </c>
      <c r="E24" s="129" t="s">
        <v>237</v>
      </c>
      <c r="F24" s="133">
        <v>46254.596168981479</v>
      </c>
      <c r="G24" s="129" t="s">
        <v>235</v>
      </c>
      <c r="H24" s="129">
        <v>1</v>
      </c>
      <c r="I24" s="129" t="s">
        <v>238</v>
      </c>
      <c r="J24" s="133">
        <v>46255.384722222225</v>
      </c>
      <c r="K24" s="133">
        <v>46261.505555555559</v>
      </c>
      <c r="L24" s="133"/>
      <c r="M24" s="129">
        <v>1</v>
      </c>
      <c r="N24" s="129"/>
      <c r="O24" s="129" t="s">
        <v>228</v>
      </c>
      <c r="P24" s="129"/>
      <c r="Q24" s="129"/>
      <c r="R24" s="129"/>
      <c r="S24" s="129" t="s">
        <v>225</v>
      </c>
      <c r="T24" s="129" t="s">
        <v>226</v>
      </c>
      <c r="U24" s="129" t="s">
        <v>185</v>
      </c>
      <c r="V24" s="129" t="s">
        <v>191</v>
      </c>
      <c r="W24" s="129" t="s">
        <v>191</v>
      </c>
      <c r="X24" s="129" t="s">
        <v>191</v>
      </c>
      <c r="Y24" s="129"/>
      <c r="Z24" s="129"/>
      <c r="AA24" s="129" t="s">
        <v>227</v>
      </c>
      <c r="AB24" s="129" t="s">
        <v>225</v>
      </c>
      <c r="AC24" s="129">
        <v>2480</v>
      </c>
      <c r="AD24" s="129" t="s">
        <v>64</v>
      </c>
      <c r="AE24" s="129">
        <v>1</v>
      </c>
      <c r="AF24" s="129"/>
    </row>
    <row r="25" spans="1:32" x14ac:dyDescent="0.3">
      <c r="A25" s="130" t="s">
        <v>128</v>
      </c>
      <c r="B25" s="130" t="s">
        <v>220</v>
      </c>
      <c r="C25" s="130" t="s">
        <v>221</v>
      </c>
      <c r="D25" s="130" t="s">
        <v>177</v>
      </c>
      <c r="E25" s="130" t="s">
        <v>239</v>
      </c>
      <c r="F25" s="134">
        <v>46254.372256944444</v>
      </c>
      <c r="G25" s="130" t="s">
        <v>235</v>
      </c>
      <c r="H25" s="130">
        <v>1</v>
      </c>
      <c r="I25" s="130" t="s">
        <v>240</v>
      </c>
      <c r="J25" s="134">
        <v>46258.352777777778</v>
      </c>
      <c r="K25" s="134">
        <v>46261.490277777775</v>
      </c>
      <c r="L25" s="134"/>
      <c r="M25" s="130">
        <v>1</v>
      </c>
      <c r="N25" s="130"/>
      <c r="O25" s="130" t="s">
        <v>181</v>
      </c>
      <c r="P25" s="130" t="s">
        <v>197</v>
      </c>
      <c r="Q25" s="130"/>
      <c r="R25" s="130"/>
      <c r="S25" s="130" t="s">
        <v>225</v>
      </c>
      <c r="T25" s="130" t="s">
        <v>226</v>
      </c>
      <c r="U25" s="130" t="s">
        <v>185</v>
      </c>
      <c r="V25" s="130" t="s">
        <v>191</v>
      </c>
      <c r="W25" s="130" t="s">
        <v>191</v>
      </c>
      <c r="X25" s="130" t="s">
        <v>191</v>
      </c>
      <c r="Y25" s="130"/>
      <c r="Z25" s="130"/>
      <c r="AA25" s="130" t="s">
        <v>227</v>
      </c>
      <c r="AB25" s="130" t="s">
        <v>225</v>
      </c>
      <c r="AC25" s="130">
        <v>2480</v>
      </c>
      <c r="AD25" s="130" t="s">
        <v>64</v>
      </c>
      <c r="AE25" s="130">
        <v>1</v>
      </c>
      <c r="AF25" s="130"/>
    </row>
    <row r="26" spans="1:32" x14ac:dyDescent="0.3">
      <c r="A26" s="129" t="s">
        <v>128</v>
      </c>
      <c r="B26" s="129" t="s">
        <v>220</v>
      </c>
      <c r="C26" s="129" t="s">
        <v>221</v>
      </c>
      <c r="D26" s="129" t="s">
        <v>177</v>
      </c>
      <c r="E26" s="129" t="s">
        <v>239</v>
      </c>
      <c r="F26" s="133">
        <v>46254.372256944444</v>
      </c>
      <c r="G26" s="129" t="s">
        <v>235</v>
      </c>
      <c r="H26" s="129">
        <v>1</v>
      </c>
      <c r="I26" s="129" t="s">
        <v>240</v>
      </c>
      <c r="J26" s="133">
        <v>46258.352777777778</v>
      </c>
      <c r="K26" s="133">
        <v>46261.490277777775</v>
      </c>
      <c r="L26" s="133"/>
      <c r="M26" s="129">
        <v>1</v>
      </c>
      <c r="N26" s="129"/>
      <c r="O26" s="129" t="s">
        <v>228</v>
      </c>
      <c r="P26" s="129"/>
      <c r="Q26" s="129"/>
      <c r="R26" s="129"/>
      <c r="S26" s="129" t="s">
        <v>225</v>
      </c>
      <c r="T26" s="129" t="s">
        <v>226</v>
      </c>
      <c r="U26" s="129" t="s">
        <v>185</v>
      </c>
      <c r="V26" s="129" t="s">
        <v>191</v>
      </c>
      <c r="W26" s="129" t="s">
        <v>191</v>
      </c>
      <c r="X26" s="129" t="s">
        <v>191</v>
      </c>
      <c r="Y26" s="129"/>
      <c r="Z26" s="129"/>
      <c r="AA26" s="129" t="s">
        <v>227</v>
      </c>
      <c r="AB26" s="129" t="s">
        <v>225</v>
      </c>
      <c r="AC26" s="129">
        <v>2480</v>
      </c>
      <c r="AD26" s="129" t="s">
        <v>64</v>
      </c>
      <c r="AE26" s="129">
        <v>1</v>
      </c>
      <c r="AF26" s="129"/>
    </row>
    <row r="27" spans="1:32" x14ac:dyDescent="0.3">
      <c r="A27" s="130" t="s">
        <v>128</v>
      </c>
      <c r="B27" s="130" t="s">
        <v>220</v>
      </c>
      <c r="C27" s="130" t="s">
        <v>221</v>
      </c>
      <c r="D27" s="130" t="s">
        <v>177</v>
      </c>
      <c r="E27" s="130" t="s">
        <v>239</v>
      </c>
      <c r="F27" s="134">
        <v>46254.372256944444</v>
      </c>
      <c r="G27" s="130" t="s">
        <v>235</v>
      </c>
      <c r="H27" s="130">
        <v>1</v>
      </c>
      <c r="I27" s="130" t="s">
        <v>240</v>
      </c>
      <c r="J27" s="134">
        <v>46258.352777777778</v>
      </c>
      <c r="K27" s="134">
        <v>46261.490277777775</v>
      </c>
      <c r="L27" s="134"/>
      <c r="M27" s="130">
        <v>1</v>
      </c>
      <c r="N27" s="130"/>
      <c r="O27" s="130" t="s">
        <v>228</v>
      </c>
      <c r="P27" s="130"/>
      <c r="Q27" s="130"/>
      <c r="R27" s="130"/>
      <c r="S27" s="130" t="s">
        <v>225</v>
      </c>
      <c r="T27" s="130" t="s">
        <v>226</v>
      </c>
      <c r="U27" s="130" t="s">
        <v>185</v>
      </c>
      <c r="V27" s="130" t="s">
        <v>191</v>
      </c>
      <c r="W27" s="130" t="s">
        <v>191</v>
      </c>
      <c r="X27" s="130" t="s">
        <v>191</v>
      </c>
      <c r="Y27" s="130"/>
      <c r="Z27" s="130"/>
      <c r="AA27" s="130" t="s">
        <v>227</v>
      </c>
      <c r="AB27" s="130" t="s">
        <v>225</v>
      </c>
      <c r="AC27" s="130">
        <v>2480</v>
      </c>
      <c r="AD27" s="130" t="s">
        <v>64</v>
      </c>
      <c r="AE27" s="130">
        <v>1</v>
      </c>
      <c r="AF27" s="130"/>
    </row>
    <row r="28" spans="1:32" x14ac:dyDescent="0.3">
      <c r="A28" s="129" t="s">
        <v>128</v>
      </c>
      <c r="B28" s="129" t="s">
        <v>220</v>
      </c>
      <c r="C28" s="129" t="s">
        <v>221</v>
      </c>
      <c r="D28" s="129" t="s">
        <v>177</v>
      </c>
      <c r="E28" s="129" t="s">
        <v>241</v>
      </c>
      <c r="F28" s="133">
        <v>46253.626759259256</v>
      </c>
      <c r="G28" s="129" t="s">
        <v>235</v>
      </c>
      <c r="H28" s="129">
        <v>1</v>
      </c>
      <c r="I28" s="129" t="s">
        <v>242</v>
      </c>
      <c r="J28" s="133">
        <v>46259.40625</v>
      </c>
      <c r="K28" s="133">
        <v>46265.595138888886</v>
      </c>
      <c r="L28" s="133"/>
      <c r="M28" s="129">
        <v>1</v>
      </c>
      <c r="N28" s="129"/>
      <c r="O28" s="129" t="s">
        <v>181</v>
      </c>
      <c r="P28" s="129" t="s">
        <v>197</v>
      </c>
      <c r="Q28" s="129"/>
      <c r="R28" s="129"/>
      <c r="S28" s="129" t="s">
        <v>225</v>
      </c>
      <c r="T28" s="129" t="s">
        <v>226</v>
      </c>
      <c r="U28" s="129" t="s">
        <v>185</v>
      </c>
      <c r="V28" s="129" t="s">
        <v>191</v>
      </c>
      <c r="W28" s="129" t="s">
        <v>191</v>
      </c>
      <c r="X28" s="129" t="s">
        <v>191</v>
      </c>
      <c r="Y28" s="129"/>
      <c r="Z28" s="129"/>
      <c r="AA28" s="129" t="s">
        <v>227</v>
      </c>
      <c r="AB28" s="129" t="s">
        <v>225</v>
      </c>
      <c r="AC28" s="129">
        <v>2480</v>
      </c>
      <c r="AD28" s="129" t="s">
        <v>64</v>
      </c>
      <c r="AE28" s="129">
        <v>1</v>
      </c>
      <c r="AF28" s="129">
        <v>1</v>
      </c>
    </row>
    <row r="29" spans="1:32" x14ac:dyDescent="0.3">
      <c r="A29" s="130" t="s">
        <v>128</v>
      </c>
      <c r="B29" s="130" t="s">
        <v>220</v>
      </c>
      <c r="C29" s="130" t="s">
        <v>221</v>
      </c>
      <c r="D29" s="130" t="s">
        <v>177</v>
      </c>
      <c r="E29" s="130" t="s">
        <v>234</v>
      </c>
      <c r="F29" s="134">
        <v>46254.604224537034</v>
      </c>
      <c r="G29" s="130" t="s">
        <v>235</v>
      </c>
      <c r="H29" s="130">
        <v>1</v>
      </c>
      <c r="I29" s="130" t="s">
        <v>236</v>
      </c>
      <c r="J29" s="134">
        <v>46255.40347222222</v>
      </c>
      <c r="K29" s="134">
        <v>46261.468055555553</v>
      </c>
      <c r="L29" s="134"/>
      <c r="M29" s="130">
        <v>1</v>
      </c>
      <c r="N29" s="130"/>
      <c r="O29" s="130" t="s">
        <v>181</v>
      </c>
      <c r="P29" s="130" t="s">
        <v>197</v>
      </c>
      <c r="Q29" s="130"/>
      <c r="R29" s="130"/>
      <c r="S29" s="130" t="s">
        <v>225</v>
      </c>
      <c r="T29" s="130" t="s">
        <v>226</v>
      </c>
      <c r="U29" s="130" t="s">
        <v>185</v>
      </c>
      <c r="V29" s="130" t="s">
        <v>191</v>
      </c>
      <c r="W29" s="130" t="s">
        <v>191</v>
      </c>
      <c r="X29" s="130" t="s">
        <v>191</v>
      </c>
      <c r="Y29" s="130"/>
      <c r="Z29" s="130"/>
      <c r="AA29" s="130" t="s">
        <v>227</v>
      </c>
      <c r="AB29" s="130" t="s">
        <v>225</v>
      </c>
      <c r="AC29" s="130">
        <v>2480</v>
      </c>
      <c r="AD29" s="130" t="s">
        <v>64</v>
      </c>
      <c r="AE29" s="130">
        <v>1</v>
      </c>
      <c r="AF29" s="130"/>
    </row>
    <row r="30" spans="1:32" x14ac:dyDescent="0.3">
      <c r="A30" s="129" t="s">
        <v>128</v>
      </c>
      <c r="B30" s="129" t="s">
        <v>220</v>
      </c>
      <c r="C30" s="129" t="s">
        <v>221</v>
      </c>
      <c r="D30" s="129" t="s">
        <v>177</v>
      </c>
      <c r="E30" s="129" t="s">
        <v>243</v>
      </c>
      <c r="F30" s="133">
        <v>46255.36005787037</v>
      </c>
      <c r="G30" s="129" t="s">
        <v>235</v>
      </c>
      <c r="H30" s="129">
        <v>1</v>
      </c>
      <c r="I30" s="129" t="s">
        <v>244</v>
      </c>
      <c r="J30" s="133">
        <v>46255.531944444447</v>
      </c>
      <c r="K30" s="133">
        <v>46261.515277777777</v>
      </c>
      <c r="L30" s="133"/>
      <c r="M30" s="129">
        <v>1</v>
      </c>
      <c r="N30" s="129"/>
      <c r="O30" s="129" t="s">
        <v>181</v>
      </c>
      <c r="P30" s="129" t="s">
        <v>197</v>
      </c>
      <c r="Q30" s="129"/>
      <c r="R30" s="129"/>
      <c r="S30" s="129" t="s">
        <v>225</v>
      </c>
      <c r="T30" s="129" t="s">
        <v>226</v>
      </c>
      <c r="U30" s="129" t="s">
        <v>185</v>
      </c>
      <c r="V30" s="129" t="s">
        <v>191</v>
      </c>
      <c r="W30" s="129" t="s">
        <v>191</v>
      </c>
      <c r="X30" s="129" t="s">
        <v>191</v>
      </c>
      <c r="Y30" s="129"/>
      <c r="Z30" s="129"/>
      <c r="AA30" s="129" t="s">
        <v>227</v>
      </c>
      <c r="AB30" s="129" t="s">
        <v>225</v>
      </c>
      <c r="AC30" s="129">
        <v>2480</v>
      </c>
      <c r="AD30" s="129" t="s">
        <v>64</v>
      </c>
      <c r="AE30" s="129">
        <v>1</v>
      </c>
      <c r="AF30" s="129"/>
    </row>
    <row r="31" spans="1:32" x14ac:dyDescent="0.3">
      <c r="A31" s="130" t="s">
        <v>128</v>
      </c>
      <c r="B31" s="130" t="s">
        <v>220</v>
      </c>
      <c r="C31" s="130" t="s">
        <v>221</v>
      </c>
      <c r="D31" s="130" t="s">
        <v>177</v>
      </c>
      <c r="E31" s="130" t="s">
        <v>245</v>
      </c>
      <c r="F31" s="134">
        <v>46280.576516203706</v>
      </c>
      <c r="G31" s="130" t="s">
        <v>246</v>
      </c>
      <c r="H31" s="130">
        <v>1</v>
      </c>
      <c r="I31" s="130" t="s">
        <v>247</v>
      </c>
      <c r="J31" s="134">
        <v>46281.364583333336</v>
      </c>
      <c r="K31" s="134">
        <v>46286.335416666669</v>
      </c>
      <c r="L31" s="134"/>
      <c r="M31" s="130">
        <v>1</v>
      </c>
      <c r="N31" s="130"/>
      <c r="O31" s="130" t="s">
        <v>181</v>
      </c>
      <c r="P31" s="130" t="s">
        <v>197</v>
      </c>
      <c r="Q31" s="130"/>
      <c r="R31" s="130"/>
      <c r="S31" s="130" t="s">
        <v>248</v>
      </c>
      <c r="T31" s="130" t="s">
        <v>249</v>
      </c>
      <c r="U31" s="130" t="s">
        <v>250</v>
      </c>
      <c r="V31" s="130" t="s">
        <v>191</v>
      </c>
      <c r="W31" s="130" t="s">
        <v>191</v>
      </c>
      <c r="X31" s="130" t="s">
        <v>191</v>
      </c>
      <c r="Y31" s="130"/>
      <c r="Z31" s="130"/>
      <c r="AA31" s="130" t="s">
        <v>227</v>
      </c>
      <c r="AB31" s="130" t="s">
        <v>248</v>
      </c>
      <c r="AC31" s="130"/>
      <c r="AD31" s="130" t="s">
        <v>64</v>
      </c>
      <c r="AE31" s="130">
        <v>1</v>
      </c>
      <c r="AF31" s="130">
        <v>1</v>
      </c>
    </row>
    <row r="32" spans="1:32" x14ac:dyDescent="0.3">
      <c r="A32" s="132" t="s">
        <v>128</v>
      </c>
      <c r="B32" s="132" t="s">
        <v>220</v>
      </c>
      <c r="C32" s="132" t="s">
        <v>221</v>
      </c>
      <c r="D32" s="132" t="s">
        <v>177</v>
      </c>
      <c r="E32" s="132" t="s">
        <v>245</v>
      </c>
      <c r="F32" s="135">
        <v>46280.576516203706</v>
      </c>
      <c r="G32" s="132" t="s">
        <v>246</v>
      </c>
      <c r="H32" s="132">
        <v>1</v>
      </c>
      <c r="I32" s="132" t="s">
        <v>247</v>
      </c>
      <c r="J32" s="135">
        <v>46281.364583333336</v>
      </c>
      <c r="K32" s="135">
        <v>46286.335416666669</v>
      </c>
      <c r="L32" s="135"/>
      <c r="M32" s="132">
        <v>1</v>
      </c>
      <c r="N32" s="132"/>
      <c r="O32" s="132" t="s">
        <v>228</v>
      </c>
      <c r="P32" s="132"/>
      <c r="Q32" s="132"/>
      <c r="R32" s="132"/>
      <c r="S32" s="132" t="s">
        <v>248</v>
      </c>
      <c r="T32" s="132" t="s">
        <v>249</v>
      </c>
      <c r="U32" s="132" t="s">
        <v>250</v>
      </c>
      <c r="V32" s="132" t="s">
        <v>191</v>
      </c>
      <c r="W32" s="132" t="s">
        <v>191</v>
      </c>
      <c r="X32" s="132" t="s">
        <v>191</v>
      </c>
      <c r="Y32" s="132"/>
      <c r="Z32" s="132"/>
      <c r="AA32" s="132" t="s">
        <v>227</v>
      </c>
      <c r="AB32" s="132" t="s">
        <v>248</v>
      </c>
      <c r="AC32" s="132"/>
      <c r="AD32" s="132" t="s">
        <v>64</v>
      </c>
      <c r="AE32" s="132">
        <v>1</v>
      </c>
      <c r="AF32" s="1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C837-C59B-4C47-ADE9-12DDE691DE85}">
  <dimension ref="A1:R10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1" t="s">
        <v>150</v>
      </c>
      <c r="B1" s="131" t="s">
        <v>20</v>
      </c>
      <c r="C1" s="131" t="s">
        <v>19</v>
      </c>
      <c r="D1" s="131" t="s">
        <v>153</v>
      </c>
      <c r="E1" s="131" t="s">
        <v>154</v>
      </c>
      <c r="F1" s="131" t="s">
        <v>155</v>
      </c>
      <c r="G1" s="131" t="s">
        <v>158</v>
      </c>
      <c r="H1" s="131" t="s">
        <v>166</v>
      </c>
      <c r="I1" s="131" t="s">
        <v>167</v>
      </c>
      <c r="J1" s="131" t="s">
        <v>168</v>
      </c>
      <c r="K1" s="131" t="s">
        <v>169</v>
      </c>
      <c r="L1" s="131" t="s">
        <v>170</v>
      </c>
      <c r="M1" s="131" t="s">
        <v>171</v>
      </c>
      <c r="N1" s="131" t="s">
        <v>172</v>
      </c>
      <c r="O1" s="131" t="s">
        <v>21</v>
      </c>
      <c r="P1" s="131" t="s">
        <v>173</v>
      </c>
      <c r="Q1" s="131" t="s">
        <v>127</v>
      </c>
      <c r="R1" s="131" t="s">
        <v>175</v>
      </c>
    </row>
    <row r="2" spans="1:18" x14ac:dyDescent="0.3">
      <c r="A2" s="129" t="s">
        <v>128</v>
      </c>
      <c r="B2" s="129" t="s">
        <v>176</v>
      </c>
      <c r="C2" s="129" t="s">
        <v>136</v>
      </c>
      <c r="D2" s="133">
        <v>46287.478263888886</v>
      </c>
      <c r="E2" s="129" t="s">
        <v>179</v>
      </c>
      <c r="F2" s="129">
        <v>16</v>
      </c>
      <c r="G2" s="133">
        <v>46289.458333333336</v>
      </c>
      <c r="H2" s="129" t="s">
        <v>183</v>
      </c>
      <c r="I2" s="129" t="s">
        <v>184</v>
      </c>
      <c r="J2" s="129" t="s">
        <v>185</v>
      </c>
      <c r="K2" s="129" t="s">
        <v>128</v>
      </c>
      <c r="L2" s="129" t="s">
        <v>186</v>
      </c>
      <c r="M2" s="129" t="s">
        <v>185</v>
      </c>
      <c r="N2" s="129">
        <v>48</v>
      </c>
      <c r="O2" s="129" t="s">
        <v>36</v>
      </c>
      <c r="P2" s="129" t="s">
        <v>183</v>
      </c>
      <c r="Q2" s="129" t="s">
        <v>53</v>
      </c>
      <c r="R2" s="129">
        <v>1</v>
      </c>
    </row>
    <row r="3" spans="1:18" x14ac:dyDescent="0.3">
      <c r="A3" s="130" t="s">
        <v>128</v>
      </c>
      <c r="B3" s="130" t="s">
        <v>176</v>
      </c>
      <c r="C3" s="130" t="s">
        <v>136</v>
      </c>
      <c r="D3" s="134">
        <v>46273.341469907406</v>
      </c>
      <c r="E3" s="130" t="s">
        <v>179</v>
      </c>
      <c r="F3" s="130">
        <v>16</v>
      </c>
      <c r="G3" s="134">
        <v>46275.465277777781</v>
      </c>
      <c r="H3" s="130" t="s">
        <v>183</v>
      </c>
      <c r="I3" s="130" t="s">
        <v>184</v>
      </c>
      <c r="J3" s="130" t="s">
        <v>185</v>
      </c>
      <c r="K3" s="130" t="s">
        <v>128</v>
      </c>
      <c r="L3" s="130" t="s">
        <v>186</v>
      </c>
      <c r="M3" s="130" t="s">
        <v>185</v>
      </c>
      <c r="N3" s="130">
        <v>48</v>
      </c>
      <c r="O3" s="130" t="s">
        <v>36</v>
      </c>
      <c r="P3" s="130" t="s">
        <v>183</v>
      </c>
      <c r="Q3" s="130" t="s">
        <v>53</v>
      </c>
      <c r="R3" s="130">
        <v>1</v>
      </c>
    </row>
    <row r="4" spans="1:18" x14ac:dyDescent="0.3">
      <c r="A4" s="129" t="s">
        <v>128</v>
      </c>
      <c r="B4" s="129" t="s">
        <v>198</v>
      </c>
      <c r="C4" s="129" t="s">
        <v>136</v>
      </c>
      <c r="D4" s="133">
        <v>46283.361296296294</v>
      </c>
      <c r="E4" s="129" t="s">
        <v>179</v>
      </c>
      <c r="F4" s="129">
        <v>1</v>
      </c>
      <c r="G4" s="133">
        <v>46287.461805555555</v>
      </c>
      <c r="H4" s="129" t="s">
        <v>183</v>
      </c>
      <c r="I4" s="129" t="s">
        <v>184</v>
      </c>
      <c r="J4" s="129" t="s">
        <v>185</v>
      </c>
      <c r="K4" s="129" t="s">
        <v>128</v>
      </c>
      <c r="L4" s="129" t="s">
        <v>186</v>
      </c>
      <c r="M4" s="129" t="s">
        <v>185</v>
      </c>
      <c r="N4" s="129">
        <v>48</v>
      </c>
      <c r="O4" s="129" t="s">
        <v>55</v>
      </c>
      <c r="P4" s="129" t="s">
        <v>183</v>
      </c>
      <c r="Q4" s="129" t="s">
        <v>53</v>
      </c>
      <c r="R4" s="129">
        <v>1</v>
      </c>
    </row>
    <row r="5" spans="1:18" x14ac:dyDescent="0.3">
      <c r="A5" s="130" t="s">
        <v>128</v>
      </c>
      <c r="B5" s="130" t="s">
        <v>198</v>
      </c>
      <c r="C5" s="130" t="s">
        <v>136</v>
      </c>
      <c r="D5" s="134">
        <v>46279.471388888887</v>
      </c>
      <c r="E5" s="130" t="s">
        <v>179</v>
      </c>
      <c r="F5" s="130">
        <v>2</v>
      </c>
      <c r="G5" s="134">
        <v>46281.472222222219</v>
      </c>
      <c r="H5" s="130" t="s">
        <v>183</v>
      </c>
      <c r="I5" s="130" t="s">
        <v>184</v>
      </c>
      <c r="J5" s="130" t="s">
        <v>185</v>
      </c>
      <c r="K5" s="130" t="s">
        <v>128</v>
      </c>
      <c r="L5" s="130" t="s">
        <v>186</v>
      </c>
      <c r="M5" s="130" t="s">
        <v>185</v>
      </c>
      <c r="N5" s="130">
        <v>48</v>
      </c>
      <c r="O5" s="130" t="s">
        <v>55</v>
      </c>
      <c r="P5" s="130" t="s">
        <v>183</v>
      </c>
      <c r="Q5" s="130" t="s">
        <v>53</v>
      </c>
      <c r="R5" s="130">
        <v>1</v>
      </c>
    </row>
    <row r="6" spans="1:18" x14ac:dyDescent="0.3">
      <c r="A6" s="129" t="s">
        <v>128</v>
      </c>
      <c r="B6" s="129" t="s">
        <v>203</v>
      </c>
      <c r="C6" s="129" t="s">
        <v>204</v>
      </c>
      <c r="D6" s="133">
        <v>46287.493831018517</v>
      </c>
      <c r="E6" s="129" t="s">
        <v>179</v>
      </c>
      <c r="F6" s="129">
        <v>1</v>
      </c>
      <c r="G6" s="133">
        <v>46289.458333333336</v>
      </c>
      <c r="H6" s="129" t="s">
        <v>183</v>
      </c>
      <c r="I6" s="129" t="s">
        <v>184</v>
      </c>
      <c r="J6" s="129" t="s">
        <v>185</v>
      </c>
      <c r="K6" s="129" t="s">
        <v>128</v>
      </c>
      <c r="L6" s="129" t="s">
        <v>186</v>
      </c>
      <c r="M6" s="129" t="s">
        <v>185</v>
      </c>
      <c r="N6" s="129">
        <v>48</v>
      </c>
      <c r="O6" s="129" t="s">
        <v>36</v>
      </c>
      <c r="P6" s="129" t="s">
        <v>183</v>
      </c>
      <c r="Q6" s="129" t="s">
        <v>53</v>
      </c>
      <c r="R6" s="129"/>
    </row>
    <row r="7" spans="1:18" x14ac:dyDescent="0.3">
      <c r="A7" s="130" t="s">
        <v>128</v>
      </c>
      <c r="B7" s="130" t="s">
        <v>203</v>
      </c>
      <c r="C7" s="130" t="s">
        <v>204</v>
      </c>
      <c r="D7" s="134">
        <v>46283.36478009259</v>
      </c>
      <c r="E7" s="130" t="s">
        <v>179</v>
      </c>
      <c r="F7" s="130">
        <v>2</v>
      </c>
      <c r="G7" s="134">
        <v>46287.461805555555</v>
      </c>
      <c r="H7" s="130" t="s">
        <v>183</v>
      </c>
      <c r="I7" s="130" t="s">
        <v>184</v>
      </c>
      <c r="J7" s="130" t="s">
        <v>185</v>
      </c>
      <c r="K7" s="130" t="s">
        <v>128</v>
      </c>
      <c r="L7" s="130" t="s">
        <v>186</v>
      </c>
      <c r="M7" s="130" t="s">
        <v>185</v>
      </c>
      <c r="N7" s="130"/>
      <c r="O7" s="130" t="s">
        <v>36</v>
      </c>
      <c r="P7" s="130" t="s">
        <v>183</v>
      </c>
      <c r="Q7" s="130" t="s">
        <v>53</v>
      </c>
      <c r="R7" s="130"/>
    </row>
    <row r="8" spans="1:18" x14ac:dyDescent="0.3">
      <c r="A8" s="129" t="s">
        <v>128</v>
      </c>
      <c r="B8" s="129" t="s">
        <v>176</v>
      </c>
      <c r="C8" s="129" t="s">
        <v>136</v>
      </c>
      <c r="D8" s="133">
        <v>46286.323912037034</v>
      </c>
      <c r="E8" s="129" t="s">
        <v>210</v>
      </c>
      <c r="F8" s="129">
        <v>30</v>
      </c>
      <c r="G8" s="133">
        <v>46288.454861111109</v>
      </c>
      <c r="H8" s="129" t="s">
        <v>212</v>
      </c>
      <c r="I8" s="129" t="s">
        <v>213</v>
      </c>
      <c r="J8" s="129" t="s">
        <v>185</v>
      </c>
      <c r="K8" s="129" t="s">
        <v>128</v>
      </c>
      <c r="L8" s="129" t="s">
        <v>186</v>
      </c>
      <c r="M8" s="129" t="s">
        <v>185</v>
      </c>
      <c r="N8" s="129">
        <v>40</v>
      </c>
      <c r="O8" s="129" t="s">
        <v>36</v>
      </c>
      <c r="P8" s="129" t="s">
        <v>212</v>
      </c>
      <c r="Q8" s="129" t="s">
        <v>53</v>
      </c>
      <c r="R8" s="129">
        <v>1</v>
      </c>
    </row>
    <row r="9" spans="1:18" x14ac:dyDescent="0.3">
      <c r="A9" s="130" t="s">
        <v>128</v>
      </c>
      <c r="B9" s="130" t="s">
        <v>176</v>
      </c>
      <c r="C9" s="130" t="s">
        <v>136</v>
      </c>
      <c r="D9" s="134">
        <v>46286.324270833335</v>
      </c>
      <c r="E9" s="130" t="s">
        <v>210</v>
      </c>
      <c r="F9" s="130">
        <v>50</v>
      </c>
      <c r="G9" s="134">
        <v>46288.454861111109</v>
      </c>
      <c r="H9" s="130" t="s">
        <v>212</v>
      </c>
      <c r="I9" s="130" t="s">
        <v>213</v>
      </c>
      <c r="J9" s="130" t="s">
        <v>185</v>
      </c>
      <c r="K9" s="130" t="s">
        <v>128</v>
      </c>
      <c r="L9" s="130" t="s">
        <v>186</v>
      </c>
      <c r="M9" s="130" t="s">
        <v>185</v>
      </c>
      <c r="N9" s="130"/>
      <c r="O9" s="130" t="s">
        <v>36</v>
      </c>
      <c r="P9" s="130" t="s">
        <v>212</v>
      </c>
      <c r="Q9" s="130" t="s">
        <v>53</v>
      </c>
      <c r="R9" s="130"/>
    </row>
    <row r="10" spans="1:18" x14ac:dyDescent="0.3">
      <c r="A10" s="132" t="s">
        <v>128</v>
      </c>
      <c r="B10" s="132" t="s">
        <v>176</v>
      </c>
      <c r="C10" s="132" t="s">
        <v>136</v>
      </c>
      <c r="D10" s="135">
        <v>46268.34103009259</v>
      </c>
      <c r="E10" s="132" t="s">
        <v>210</v>
      </c>
      <c r="F10" s="132">
        <v>35</v>
      </c>
      <c r="G10" s="135">
        <v>46269.4375</v>
      </c>
      <c r="H10" s="132" t="s">
        <v>212</v>
      </c>
      <c r="I10" s="132" t="s">
        <v>213</v>
      </c>
      <c r="J10" s="132" t="s">
        <v>185</v>
      </c>
      <c r="K10" s="132" t="s">
        <v>128</v>
      </c>
      <c r="L10" s="132" t="s">
        <v>186</v>
      </c>
      <c r="M10" s="132" t="s">
        <v>185</v>
      </c>
      <c r="N10" s="132">
        <v>40</v>
      </c>
      <c r="O10" s="132" t="s">
        <v>36</v>
      </c>
      <c r="P10" s="132" t="s">
        <v>212</v>
      </c>
      <c r="Q10" s="132" t="s">
        <v>53</v>
      </c>
      <c r="R10" s="13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2026-10-06T17:20:49Z</dcterms:created>
  <dcterms:modified xsi:type="dcterms:W3CDTF">2026-10-06T17:20:49Z</dcterms:modified>
</cp:coreProperties>
</file>
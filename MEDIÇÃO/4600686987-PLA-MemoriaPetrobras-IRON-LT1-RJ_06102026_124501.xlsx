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36CFF3FB-7079-4F61-B601-1BE781415BB5}" xr6:coauthVersionLast="47" xr6:coauthVersionMax="47" xr10:uidLastSave="{00000000-0000-0000-0000-000000000000}"/>
  <bookViews>
    <workbookView xWindow="-108" yWindow="-108" windowWidth="30936" windowHeight="16776" activeTab="3" xr2:uid="{7E9F3ADB-4AE8-48CE-BA0D-87BC2F9B6D52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K41" i="1" s="1"/>
  <c r="J40" i="1"/>
  <c r="J39" i="1"/>
  <c r="J38" i="1"/>
  <c r="J36" i="1"/>
  <c r="J35" i="1"/>
  <c r="K35" i="1" s="1"/>
  <c r="J34" i="1"/>
  <c r="J33" i="1"/>
  <c r="M33" i="1" s="1"/>
  <c r="J32" i="1"/>
  <c r="J31" i="1"/>
  <c r="K31" i="1" s="1"/>
  <c r="J30" i="1"/>
  <c r="M30" i="1" s="1"/>
  <c r="G29" i="1"/>
  <c r="F29" i="1"/>
  <c r="H29" i="1" s="1"/>
  <c r="E29" i="1"/>
  <c r="D29" i="1"/>
  <c r="J28" i="1"/>
  <c r="G26" i="1"/>
  <c r="F26" i="1"/>
  <c r="E26" i="1"/>
  <c r="D26" i="1"/>
  <c r="J25" i="1"/>
  <c r="G23" i="1"/>
  <c r="F23" i="1"/>
  <c r="E23" i="1"/>
  <c r="D23" i="1"/>
  <c r="H23" i="1" s="1"/>
  <c r="J22" i="1"/>
  <c r="G20" i="1"/>
  <c r="F20" i="1"/>
  <c r="E20" i="1"/>
  <c r="D20" i="1"/>
  <c r="H20" i="1" s="1"/>
  <c r="J19" i="1"/>
  <c r="M19" i="1" s="1"/>
  <c r="G17" i="1"/>
  <c r="F17" i="1"/>
  <c r="E17" i="1"/>
  <c r="D17" i="1"/>
  <c r="H17" i="1" s="1"/>
  <c r="J16" i="1"/>
  <c r="G14" i="1"/>
  <c r="H14" i="1" s="1"/>
  <c r="F14" i="1"/>
  <c r="E14" i="1"/>
  <c r="D14" i="1"/>
  <c r="J13" i="1"/>
  <c r="M47" i="1"/>
  <c r="K47" i="1"/>
  <c r="M46" i="1"/>
  <c r="K46" i="1"/>
  <c r="M45" i="1"/>
  <c r="K45" i="1"/>
  <c r="M44" i="1"/>
  <c r="K44" i="1"/>
  <c r="M43" i="1"/>
  <c r="K43" i="1"/>
  <c r="M42" i="1"/>
  <c r="K42" i="1"/>
  <c r="M40" i="1"/>
  <c r="K40" i="1"/>
  <c r="M39" i="1"/>
  <c r="K39" i="1"/>
  <c r="M38" i="1"/>
  <c r="K38" i="1"/>
  <c r="M36" i="1"/>
  <c r="K36" i="1"/>
  <c r="M34" i="1"/>
  <c r="K34" i="1"/>
  <c r="K33" i="1"/>
  <c r="M32" i="1"/>
  <c r="K32" i="1"/>
  <c r="M31" i="1"/>
  <c r="M28" i="1"/>
  <c r="K28" i="1"/>
  <c r="H26" i="1"/>
  <c r="M25" i="1"/>
  <c r="K25" i="1"/>
  <c r="M22" i="1"/>
  <c r="K22" i="1"/>
  <c r="M16" i="1"/>
  <c r="K16" i="1"/>
  <c r="M13" i="1"/>
  <c r="K13" i="1"/>
  <c r="M35" i="1" l="1"/>
  <c r="M48" i="1" s="1"/>
  <c r="K19" i="1"/>
  <c r="K30" i="1"/>
  <c r="M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2989BF0E-5277-4411-937F-CC506005178D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78FDE797-713C-4D1C-B95A-B2E07DA2E46E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2B119BD2-A3EA-4E5B-8D17-38561132251C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C388267F-1FF9-4754-BAA4-4517904DA857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178F3B79-7C8D-4F0A-9B52-D15FBB33CBB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DFE3405F-DBF4-4BE7-98CC-1528CD25AD03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CB2DAF61-5CCA-4031-81AA-91281D00B0E6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F558B18C-56C2-4519-ABD5-1E9D84717A37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6D1BE4D7-8680-4C2C-AE2D-BB346A74701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<sst xmlns="http://schemas.openxmlformats.org/spreadsheetml/2006/main" count="8857" uniqueCount="644">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</sst>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2EC39-03AC-461A-A288-A907E4DE12AD}" name="ARM_IRON_LT1_RJ" displayName="ARM_IRON_LT1_RJ" ref="A1:J10" totalsRowShown="0" headerRowDxfId="59" dataDxfId="60" headerRowBorderDxfId="72" tableBorderDxfId="73" totalsRowBorderDxfId="71">
  <autoFilter ref="A1:J10" xr:uid="{8E72EC39-03AC-461A-A288-A907E4DE12AD}"/>
  <tableColumns count="10">
    <tableColumn id="1" xr3:uid="{05E957D4-1796-4C9F-8731-00C37094524B}" name="MEDIDAS CONTRATO" dataDxfId="70"/>
    <tableColumn id="2" xr3:uid="{23B14D64-597C-481B-B4BF-984B9FE3E7CC}" name="Item" dataDxfId="69"/>
    <tableColumn id="3" xr3:uid="{1193AFAA-1D72-4B4D-8D09-D5BDADCC5BFB}" name="QUAm-1" dataDxfId="68"/>
    <tableColumn id="4" xr3:uid="{AFFADE4D-B653-4B0F-939C-8E22BD586254}" name="QBm" dataDxfId="67"/>
    <tableColumn id="5" xr3:uid="{DB83CE5F-5196-40BF-8A88-1AB2351EA2A8}" name="QDm" dataDxfId="66"/>
    <tableColumn id="6" xr3:uid="{8C5ABF9D-8D34-4713-B210-0C09978DB54D}" name="QNm" dataDxfId="65"/>
    <tableColumn id="7" xr3:uid="{D0DCAEEE-FD6D-4BA3-AECD-F0F556840498}" name="QUAm" dataDxfId="64"/>
    <tableColumn id="8" xr3:uid="{DED7E78F-78CE-4CA9-9D65-81174BEC35BB}" name="FC" dataDxfId="63"/>
    <tableColumn id="9" xr3:uid="{377B01F3-6D58-4814-9719-8D3F8E3CA646}" name="QUA" dataDxfId="62"/>
    <tableColumn id="10" xr3:uid="{2633392D-7EC0-40E6-805B-673EC3E6AFA1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511AE-0931-4A30-90ED-46228D085F3E}" name="DADOS_IRON_LT1_RJ" displayName="DADOS_IRON_LT1_RJ" ref="A1:AF378" totalsRowShown="0" headerRowDxfId="22" dataDxfId="23" headerRowBorderDxfId="57" tableBorderDxfId="58" totalsRowBorderDxfId="56">
  <autoFilter ref="A1:AF378" xr:uid="{0FC511AE-0931-4A30-90ED-46228D085F3E}"/>
  <tableColumns count="32">
    <tableColumn id="1" xr3:uid="{BF047D3E-52D2-4483-B04D-4652F50BDDF2}" name="Contrato.1" dataDxfId="55"/>
    <tableColumn id="2" xr3:uid="{E4159DC9-AF1F-4D81-8601-6784DB6752B7}" name="Descrição da atividade" dataDxfId="54"/>
    <tableColumn id="3" xr3:uid="{25FE6A9A-AC92-4106-9706-4E502D15E591}" name="Item" dataDxfId="53"/>
    <tableColumn id="4" xr3:uid="{0D21C6F8-2707-4CC6-BE7B-D0B57EEB737A}" name="Aplicação" dataDxfId="52"/>
    <tableColumn id="5" xr3:uid="{BB61A06C-1D56-4A10-8CAF-CC582D674E9F}" name="Código da_x000a_solicitação" dataDxfId="51"/>
    <tableColumn id="6" xr3:uid="{7502FC82-D4B1-4318-A989-D2F470A90475}" name="Data solicitação" dataDxfId="50"/>
    <tableColumn id="7" xr3:uid="{5A7464A5-1DE8-485F-B680-648DB15AFAFF}" name="Gerência solicitante" dataDxfId="49"/>
    <tableColumn id="8" xr3:uid="{A6BFAD5F-9476-4142-BAAB-AB4E0A3EC971}" name="Qtd._x000a_Solicitada" dataDxfId="48"/>
    <tableColumn id="9" xr3:uid="{BF279FD8-851B-443D-8AFF-8EF6C073F301}" name="Código OS" dataDxfId="47"/>
    <tableColumn id="10" xr3:uid="{70C497F3-EE52-4E03-8675-D8A292C32B1D}" name="D. abertura" dataDxfId="46"/>
    <tableColumn id="11" xr3:uid="{CB715EBD-C732-4BD5-BE58-AFDAC93C4F69}" name="D. fechamento" dataDxfId="45"/>
    <tableColumn id="12" xr3:uid="{2953D513-E27B-4B6D-9D11-579AA5AFA9E3}" name="Prazo combinado" dataDxfId="44"/>
    <tableColumn id="13" xr3:uid="{F9A7FC71-9CDA-4076-B3A0-93C5F6E814DE}" name="Qtd._x000a_Atendida" dataDxfId="43"/>
    <tableColumn id="14" xr3:uid="{D703A14B-93BA-4EDE-85EF-049B299A4E84}" name="Agrupamento" dataDxfId="42"/>
    <tableColumn id="15" xr3:uid="{772941C0-0151-4F1D-8CFA-446A3218BA97}" name="Classificação" dataDxfId="41"/>
    <tableColumn id="16" xr3:uid="{3D5A9FB1-8091-40DB-8274-70DE1421403A}" name="FDM" dataDxfId="40"/>
    <tableColumn id="17" xr3:uid="{15D2DA7A-8E2D-41F9-9374-5C951F813BB5}" name="Obs. Isenção" dataDxfId="39"/>
    <tableColumn id="18" xr3:uid="{67036581-22A8-4870-BFDB-C62BA0B4E741}" name="FA" dataDxfId="38"/>
    <tableColumn id="19" xr3:uid="{84DF19B0-262F-4F90-8E87-DB9CFDE9384C}" name="Localidade - Origem" dataDxfId="37"/>
    <tableColumn id="20" xr3:uid="{43575FE2-25BB-46E0-B832-EE352A9A5172}" name="Município - Origem" dataDxfId="36"/>
    <tableColumn id="21" xr3:uid="{6F9348CF-033E-4EB1-913E-F74D9483AE57}" name="UF - Origem" dataDxfId="35"/>
    <tableColumn id="22" xr3:uid="{F263E880-5700-486B-8A07-A3B7388B9741}" name="Localidade - Destino" dataDxfId="34"/>
    <tableColumn id="23" xr3:uid="{7E4CFF46-FFFA-4DB3-8C56-C52984E7FB9D}" name="Município - Destino" dataDxfId="33"/>
    <tableColumn id="24" xr3:uid="{2DDA70D6-B4C4-49BC-AFD5-2F39AF8722FE}" name="UF - Destino" dataDxfId="32"/>
    <tableColumn id="25" xr3:uid="{504409E8-116B-43B0-A74F-BAFA800891A1}" name="KM Adicional" dataDxfId="31"/>
    <tableColumn id="26" xr3:uid="{052964DC-A316-404F-A9DE-2662D020F00F}" name="FC" dataDxfId="30"/>
    <tableColumn id="27" xr3:uid="{78BAC396-40F4-4954-99EF-C936FEE94A8E}" name="Unidade" dataDxfId="29"/>
    <tableColumn id="28" xr3:uid="{82042F7A-3CED-4F49-8497-34E92EAEF35B}" name="Centro" dataDxfId="28"/>
    <tableColumn id="29" xr3:uid="{C0EF4577-4770-4881-9B6C-35533152286B}" name="Código Centro" dataDxfId="27"/>
    <tableColumn id="30" xr3:uid="{F75C6D20-941C-41AE-B6B4-A195A3695C03}" name="Linha de serviço PPU" dataDxfId="26"/>
    <tableColumn id="31" xr3:uid="{D5312CDA-12C9-4ACC-94BD-E87C3F65D64D}" name="QExec" dataDxfId="25"/>
    <tableColumn id="32" xr3:uid="{EA05BAEA-82A1-4B6E-B995-2B56AE143769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55589-306C-4869-8746-44D6CEA21AAA}" name="FRETE_IRON_LT1_RJ" displayName="FRETE_IRON_LT1_RJ" ref="A1:R149" totalsRowShown="0" headerRowDxfId="0" headerRowBorderDxfId="20" tableBorderDxfId="21" totalsRowBorderDxfId="19">
  <autoFilter ref="A1:R149" xr:uid="{75F55589-306C-4869-8746-44D6CEA21AAA}"/>
  <tableColumns count="18">
    <tableColumn id="1" xr3:uid="{5B3F5F63-499D-43F4-ACD7-EDCA53135D8E}" name="Contrato.1" dataDxfId="18"/>
    <tableColumn id="2" xr3:uid="{3C5BCCFC-FCEF-4868-A777-4DFD75F1A059}" name="Descrição da atividade" dataDxfId="17"/>
    <tableColumn id="3" xr3:uid="{FA8F0E3C-7F68-4485-907A-98653D3D946C}" name="Item" dataDxfId="16"/>
    <tableColumn id="4" xr3:uid="{E2232DC8-186D-48B9-8F5A-98CDCAE8F8BC}" name="Data solicitação" dataDxfId="15"/>
    <tableColumn id="5" xr3:uid="{7A8A61D5-8A67-4B59-A9AC-9647DC47CAF6}" name="Gerência solicitante" dataDxfId="14"/>
    <tableColumn id="6" xr3:uid="{6E5A86B9-BE69-4D7A-8CC6-9646BFB4526B}" name="Qtd._x000a_Solicitada" dataDxfId="13"/>
    <tableColumn id="7" xr3:uid="{E18FF673-7050-4BB2-89B9-67FB36D45FCE}" name="D. fechamento" dataDxfId="12"/>
    <tableColumn id="8" xr3:uid="{286AFF2B-9DD0-45AB-8240-FC914DD5E66B}" name="Localidade - Origem" dataDxfId="11"/>
    <tableColumn id="9" xr3:uid="{FADB873F-A1C5-43CA-8C06-9C22F4523871}" name="Município - Origem" dataDxfId="10"/>
    <tableColumn id="10" xr3:uid="{9CBD931C-18FF-4E4B-87EC-EFBC2033F6CC}" name="UF - Origem" dataDxfId="9"/>
    <tableColumn id="11" xr3:uid="{47EBD399-6A18-4992-9F35-003CD5259738}" name="Localidade - Destino" dataDxfId="8"/>
    <tableColumn id="12" xr3:uid="{0B98428C-2D0D-4F7F-AA85-86C73BBC9706}" name="Município - Destino" dataDxfId="7"/>
    <tableColumn id="13" xr3:uid="{16B801FD-5130-4852-B4F8-8DDC5EDAE752}" name="UF - Destino" dataDxfId="6"/>
    <tableColumn id="14" xr3:uid="{05B67A72-6C03-4219-944D-CA2E1986B1A6}" name="KM Adicional" dataDxfId="5"/>
    <tableColumn id="15" xr3:uid="{DF788E8C-444C-4EE4-8A8D-3139C06D30D0}" name="Unidade" dataDxfId="4"/>
    <tableColumn id="16" xr3:uid="{8E3D282A-744A-4FE0-BD2A-A735B620A912}" name="Centro" dataDxfId="3"/>
    <tableColumn id="17" xr3:uid="{72E5B38E-C6A9-42D0-B552-4C33735296D9}" name="Linha de serviço PPU" dataDxfId="2"/>
    <tableColumn id="18" xr3:uid="{B352EA95-A0DC-4F5D-8AE0-6B2B53C3BCC4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3B53-BBB9-48E5-B6C1-7F420F79B413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200439.55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942.4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13914.65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16.149999999999999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4933.3499999999995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60.99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1.9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1761.3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53.199999999999996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11.399999999999999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18330.107499999998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72.674999999999997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59.849999999999994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3C8E-35BD-49E9-9D1C-6F7CDFB94B64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B1DC-8C1F-4CEE-BD7B-566079F6A94A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19AA-F72A-4DA7-B3C5-E6358CDB24AF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2026-10-06T15:45:00Z</dcterms:created>
  <dcterms:modified xsi:type="dcterms:W3CDTF">2026-10-06T15:45:01Z</dcterms:modified>
</cp:coreProperties>
</file>
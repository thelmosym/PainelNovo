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D8611B71-5979-4592-914A-17EC085DDACA}" xr6:coauthVersionLast="47" xr6:coauthVersionMax="47" xr10:uidLastSave="{00000000-0000-0000-0000-000000000000}"/>
  <bookViews>
    <workbookView xWindow="-108" yWindow="-108" windowWidth="30936" windowHeight="16776" activeTab="3" xr2:uid="{C5997946-2A6D-41A6-8E10-8A18F0B30204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J38" i="1"/>
  <c r="J36" i="1"/>
  <c r="M36" i="1" s="1"/>
  <c r="J35" i="1"/>
  <c r="M35" i="1" s="1"/>
  <c r="J34" i="1"/>
  <c r="J33" i="1"/>
  <c r="J32" i="1"/>
  <c r="J31" i="1"/>
  <c r="J30" i="1"/>
  <c r="G29" i="1"/>
  <c r="F29" i="1"/>
  <c r="E29" i="1"/>
  <c r="D29" i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D14" i="1"/>
  <c r="J13" i="1"/>
  <c r="M13" i="1" s="1"/>
  <c r="M48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4" i="1"/>
  <c r="K34" i="1"/>
  <c r="M33" i="1"/>
  <c r="K33" i="1"/>
  <c r="M32" i="1"/>
  <c r="K32" i="1"/>
  <c r="M31" i="1"/>
  <c r="K31" i="1"/>
  <c r="M30" i="1"/>
  <c r="K30" i="1"/>
  <c r="H29" i="1"/>
  <c r="M28" i="1"/>
  <c r="K28" i="1"/>
  <c r="M25" i="1"/>
  <c r="K25" i="1"/>
  <c r="H23" i="1"/>
  <c r="M22" i="1"/>
  <c r="K22" i="1"/>
  <c r="M19" i="1"/>
  <c r="K19" i="1"/>
  <c r="H17" i="1"/>
  <c r="M16" i="1"/>
  <c r="K16" i="1"/>
  <c r="H14" i="1"/>
  <c r="K36" i="1" l="1"/>
  <c r="K35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3D635A66-4AA4-4949-8BD7-86C7E484544E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E0118961-5D77-42B7-8013-2636A322D953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7BB3293A-C444-4A8F-9B85-17C692F49F18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27AAC166-1A75-4DB9-809F-8487DCD3C4AA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744E11C9-B1CE-41F3-8069-14646E8B2406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C964AB14-AAD3-4226-B56C-DA98D71F5BB1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A492F0AC-C48D-4E04-920E-A816AF56485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ED4BF1BB-C5F0-4067-8BC8-07712DF3810E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F8F16542-CEFA-475B-B937-5DB04417E40A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<sst xmlns="http://schemas.openxmlformats.org/spreadsheetml/2006/main" count="471" uniqueCount="192">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</sst>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97107-B599-4AF9-AD05-DA845B1FBC0F}" name="ARM_IRON_LT1_ES" displayName="ARM_IRON_LT1_ES" ref="A1:K2" totalsRowShown="0" headerRowDxfId="40" dataDxfId="41" headerRowBorderDxfId="54" tableBorderDxfId="55" totalsRowBorderDxfId="53">
  <autoFilter ref="A1:K2" xr:uid="{20997107-B599-4AF9-AD05-DA845B1FBC0F}"/>
  <tableColumns count="11">
    <tableColumn id="1" xr3:uid="{BD1D3D83-37A4-4F06-AFB7-DEB2C35ABA78}" name="Contrato-Reg." dataDxfId="52"/>
    <tableColumn id="2" xr3:uid="{AC149E1C-826A-4C5B-96DE-F6AA96F8D57E}" name="MEDIDAS CONTRATO" dataDxfId="51"/>
    <tableColumn id="3" xr3:uid="{9BB2BED7-8B23-4A61-8B50-85A3C4A3C31F}" name="Item" dataDxfId="50"/>
    <tableColumn id="4" xr3:uid="{75D944AC-969F-4249-8014-8C31AE2795F2}" name="QUAm-1" dataDxfId="49"/>
    <tableColumn id="5" xr3:uid="{9A8C499E-8AC6-4CC6-9B12-70BEAFE8D1B8}" name="QBm" dataDxfId="48"/>
    <tableColumn id="6" xr3:uid="{1E8963D4-F02C-4239-B858-2472ECED8C86}" name="QDm" dataDxfId="47"/>
    <tableColumn id="7" xr3:uid="{5C792745-674D-4DD6-98CB-4A4D9EAF783F}" name="QNm" dataDxfId="46"/>
    <tableColumn id="8" xr3:uid="{A0B38D65-4D2E-4141-A1C4-27D4BD123D54}" name="QUAm" dataDxfId="45"/>
    <tableColumn id="9" xr3:uid="{FB5C4DD4-DFD5-4B71-9F4B-8C9ACFD5CCF6}" name="FC" dataDxfId="44"/>
    <tableColumn id="10" xr3:uid="{693DA7EC-BBA5-43B4-803A-00675513D14A}" name="QUA" dataDxfId="43"/>
    <tableColumn id="11" xr3:uid="{900D01BF-E9AC-4445-88E7-200B1C2068D3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71E9A-2819-45BE-B582-00CAAE59EBF6}" name="DADOS_IRON_LT1_ES" displayName="DADOS_IRON_LT1_ES" ref="A1:AF13" totalsRowShown="0" headerRowDxfId="4" headerRowBorderDxfId="38" tableBorderDxfId="39" totalsRowBorderDxfId="37">
  <autoFilter ref="A1:AF13" xr:uid="{34971E9A-2819-45BE-B582-00CAAE59EBF6}"/>
  <tableColumns count="32">
    <tableColumn id="1" xr3:uid="{22B2C79A-0285-4E41-9895-41986F0A2788}" name="Contrato.1" dataDxfId="36"/>
    <tableColumn id="2" xr3:uid="{8AC7755A-C0F2-4E45-926B-3139FE3D452B}" name="Descrição da atividade" dataDxfId="35"/>
    <tableColumn id="3" xr3:uid="{54CD6126-B6FC-47FF-84BB-E12E65FB096D}" name="Item" dataDxfId="34"/>
    <tableColumn id="4" xr3:uid="{F820DFE0-074E-4F41-99A2-756DCEE535C3}" name="Aplicação" dataDxfId="33"/>
    <tableColumn id="5" xr3:uid="{D7E9DABF-2727-42F8-A4AD-B0DBFEB202AD}" name="Código da_x000a_solicitação" dataDxfId="32"/>
    <tableColumn id="6" xr3:uid="{96DBD32B-ABE6-47A0-BC0C-3B7F2677A3DD}" name="Data solicitação" dataDxfId="31"/>
    <tableColumn id="7" xr3:uid="{B0572F0E-12C9-4AB8-A115-29422FE87196}" name="Gerência solicitante" dataDxfId="30"/>
    <tableColumn id="8" xr3:uid="{50DF7FA3-E0FC-4B3D-8683-0D1615E8A939}" name="Qtd._x000a_Solicitada" dataDxfId="29"/>
    <tableColumn id="9" xr3:uid="{993ED993-39CA-4EB4-B155-44A4BD0A971F}" name="Código OS" dataDxfId="28"/>
    <tableColumn id="10" xr3:uid="{E612F95B-B3E4-43D4-AC2F-7419C3DC5732}" name="D. abertura" dataDxfId="27"/>
    <tableColumn id="11" xr3:uid="{7A7F2FD5-CF38-401D-99DC-FCDF3B03DFF2}" name="D. fechamento" dataDxfId="26"/>
    <tableColumn id="12" xr3:uid="{6407D42A-7A01-4592-AAD0-729ABEC63D70}" name="Prazo combinado" dataDxfId="25"/>
    <tableColumn id="13" xr3:uid="{5F756798-1983-459C-A4C5-E44C5B6A1ACB}" name="Qtd._x000a_Atendida" dataDxfId="24"/>
    <tableColumn id="14" xr3:uid="{62BEFE79-B057-4D20-A568-2DBFDF944807}" name="Agrupamento" dataDxfId="23"/>
    <tableColumn id="15" xr3:uid="{D2ED2614-3301-44BC-8C56-B5DABF93B995}" name="Classificação" dataDxfId="22"/>
    <tableColumn id="16" xr3:uid="{17258E70-FDEB-4750-BD86-E9EE36D01438}" name="FDM" dataDxfId="21"/>
    <tableColumn id="17" xr3:uid="{4CD26ABD-A97E-46C9-9CD0-44EDAC136AFC}" name="Obs. Isenção" dataDxfId="20"/>
    <tableColumn id="18" xr3:uid="{4A0FABCD-2800-4E71-B60B-A6985C5E40DE}" name="FA" dataDxfId="19"/>
    <tableColumn id="19" xr3:uid="{D397FE5A-B342-45CC-B184-49B7BE7EF778}" name="Localidade - Origem" dataDxfId="18"/>
    <tableColumn id="20" xr3:uid="{C25DC488-F580-4498-9BB1-2263C1B4FCA5}" name="Município - Origem" dataDxfId="17"/>
    <tableColumn id="21" xr3:uid="{30445187-4500-40D8-9359-DE90723B5374}" name="UF - Origem" dataDxfId="16"/>
    <tableColumn id="22" xr3:uid="{568B6FA4-F963-445C-9A82-387444C67227}" name="Localidade - Destino" dataDxfId="15"/>
    <tableColumn id="23" xr3:uid="{20E67467-A338-4311-BC59-9D20F9F1D58C}" name="Município - Destino" dataDxfId="14"/>
    <tableColumn id="24" xr3:uid="{AA222262-FEBC-41BE-B3FD-9A684D4A77B9}" name="UF - Destino" dataDxfId="13"/>
    <tableColumn id="25" xr3:uid="{BC6B1937-97D1-4D07-A82E-94E9083038A6}" name="KM Adicional" dataDxfId="12"/>
    <tableColumn id="26" xr3:uid="{64FCC400-A65E-49DD-B48E-EE34508CA8E9}" name="FC" dataDxfId="11"/>
    <tableColumn id="27" xr3:uid="{1FF65559-BC15-49C6-8595-84D1F44C97FF}" name="Unidade" dataDxfId="10"/>
    <tableColumn id="28" xr3:uid="{C9570D7A-989B-4BC4-8360-DADEE4E48D01}" name="Centro" dataDxfId="9"/>
    <tableColumn id="29" xr3:uid="{1A1119EB-40C2-4905-8531-024B51DEC28D}" name="Código Centro" dataDxfId="8"/>
    <tableColumn id="30" xr3:uid="{FB1070DD-A107-44A1-8C89-297A9F86F636}" name="Linha de serviço PPU" dataDxfId="7"/>
    <tableColumn id="31" xr3:uid="{0C743FAF-B751-4038-9077-A309AF33BF42}" name="QExec" dataDxfId="6"/>
    <tableColumn id="32" xr3:uid="{53890EAD-3176-4047-9324-2599AF0BE93B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26FF6F-D93E-45C2-A78F-13BF11B3DF93}" name="FRETE_IRON_LT1_ES" displayName="FRETE_IRON_LT1_ES" ref="A1:R3" totalsRowShown="0" headerRowDxfId="0" headerRowBorderDxfId="2" tableBorderDxfId="3" totalsRowBorderDxfId="1">
  <autoFilter ref="A1:R3" xr:uid="{B726FF6F-D93E-45C2-A78F-13BF11B3DF93}"/>
  <tableColumns count="18">
    <tableColumn id="1" xr3:uid="{03F8B9D1-E463-4420-BFCF-5248D8B6C0BC}" name="Contrato.1"/>
    <tableColumn id="2" xr3:uid="{9D8D72C3-4C97-4613-8315-0F1DAADC494A}" name="Descrição da atividade"/>
    <tableColumn id="3" xr3:uid="{5B95E3D2-BF68-43A8-A67C-A93E5B1C11E7}" name="Item"/>
    <tableColumn id="4" xr3:uid="{CF35CAC5-0F81-4FDD-BC5A-4D3A97E93992}" name="Data solicitação"/>
    <tableColumn id="5" xr3:uid="{722B0043-6FF3-4B42-87AE-AD4CD5F180F7}" name="Gerência solicitante"/>
    <tableColumn id="6" xr3:uid="{AFD03B0A-79E2-4B68-87E6-211A113407EC}" name="Qtd._x000a_Solicitada"/>
    <tableColumn id="7" xr3:uid="{C3C6633E-339A-4126-A0F3-7AC3C50168FF}" name="D. fechamento"/>
    <tableColumn id="8" xr3:uid="{C17F7EEF-9FCD-44FA-BE5D-99EFB94EAF33}" name="Localidade - Origem"/>
    <tableColumn id="9" xr3:uid="{280CD793-D061-46A2-AB2C-7F71D0D1EEBE}" name="Município - Origem"/>
    <tableColumn id="10" xr3:uid="{0E9E73BB-0C45-49A4-A38A-B9B3BFF3A510}" name="UF - Origem"/>
    <tableColumn id="11" xr3:uid="{5A36B670-5577-4884-88ED-2CBFC81CC8E3}" name="Localidade - Destino"/>
    <tableColumn id="12" xr3:uid="{4A6567D5-BF2C-45F4-A190-953B81DC7273}" name="Município - Destino"/>
    <tableColumn id="13" xr3:uid="{8E602A21-5C60-4D65-849C-0E8D33E2F852}" name="UF - Destino"/>
    <tableColumn id="14" xr3:uid="{57B7D7A3-2D68-4E5B-84BA-145D4532ABEC}" name="KM Adicional"/>
    <tableColumn id="15" xr3:uid="{B81A8F4B-9FD7-4CE6-942D-7CF3DFA362A8}" name="Unidade"/>
    <tableColumn id="16" xr3:uid="{C0B80C13-6D1B-41A4-A845-423EDA15CF51}" name="Centro"/>
    <tableColumn id="17" xr3:uid="{94783B5C-2913-478F-863A-5E48E1E6BFDC}" name="Linha de serviço PPU"/>
    <tableColumn id="18" xr3:uid="{5FF1EA78-1A09-4FB2-80AF-82EF8F80AFBC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8A5-EB6C-46B1-A9D2-FFA73761715F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32.467532467532465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73.958333333333343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0.95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14418.15</v>
      </c>
      <c r="L13" s="74">
        <v>0.6</v>
      </c>
      <c r="M13" s="75">
        <f>J13*L13</f>
        <v>9106.1999999999989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J16*L16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0.95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2.8499999999999996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1072.55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2.8499999999999996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9351.5599999999977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0FA2-DD5A-4990-927A-6A710E5E5F37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41D8-8F47-422B-A58F-7CA99016E887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94DB-8CF7-4E01-9B65-91D5FC4912E8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2026-10-06T15:45:02Z</dcterms:created>
  <dcterms:modified xsi:type="dcterms:W3CDTF">2026-10-06T15:45:03Z</dcterms:modified>
</cp:coreProperties>
</file>
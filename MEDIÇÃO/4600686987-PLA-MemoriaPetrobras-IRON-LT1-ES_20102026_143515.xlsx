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D0475B4D-7229-4A19-B495-E7F8BC85AD43}" xr6:coauthVersionLast="47" xr6:coauthVersionMax="47" xr10:uidLastSave="{00000000-0000-0000-0000-000000000000}"/>
  <bookViews>
    <workbookView xWindow="-108" yWindow="-108" windowWidth="30936" windowHeight="16776" activeTab="3" xr2:uid="{448B67DD-4A29-4BDA-A034-B799774BEEFE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M41" i="1" s="1"/>
  <c r="J40" i="1"/>
  <c r="K40" i="1" s="1"/>
  <c r="J39" i="1"/>
  <c r="M39" i="1" s="1"/>
  <c r="J38" i="1"/>
  <c r="K38" i="1" s="1"/>
  <c r="J36" i="1"/>
  <c r="M36" i="1" s="1"/>
  <c r="J35" i="1"/>
  <c r="M35" i="1" s="1"/>
  <c r="J34" i="1"/>
  <c r="J33" i="1"/>
  <c r="J32" i="1"/>
  <c r="J31" i="1"/>
  <c r="J30" i="1"/>
  <c r="G29" i="1"/>
  <c r="F29" i="1"/>
  <c r="E29" i="1"/>
  <c r="D29" i="1"/>
  <c r="J28" i="1"/>
  <c r="K28" i="1" s="1"/>
  <c r="G26" i="1"/>
  <c r="F26" i="1"/>
  <c r="H26" i="1" s="1"/>
  <c r="E26" i="1"/>
  <c r="D26" i="1"/>
  <c r="J25" i="1"/>
  <c r="G23" i="1"/>
  <c r="F23" i="1"/>
  <c r="E23" i="1"/>
  <c r="D23" i="1"/>
  <c r="H23" i="1" s="1"/>
  <c r="J22" i="1"/>
  <c r="K22" i="1" s="1"/>
  <c r="G20" i="1"/>
  <c r="F20" i="1"/>
  <c r="E20" i="1"/>
  <c r="D20" i="1"/>
  <c r="H20" i="1" s="1"/>
  <c r="J19" i="1"/>
  <c r="G17" i="1"/>
  <c r="F17" i="1"/>
  <c r="E17" i="1"/>
  <c r="D17" i="1"/>
  <c r="J16" i="1"/>
  <c r="K16" i="1" s="1"/>
  <c r="M16" i="1" s="1"/>
  <c r="G14" i="1"/>
  <c r="F14" i="1"/>
  <c r="E14" i="1"/>
  <c r="D14" i="1"/>
  <c r="H14" i="1" s="1"/>
  <c r="J13" i="1"/>
  <c r="K13" i="1" s="1"/>
  <c r="M13" i="1" s="1"/>
  <c r="M47" i="1"/>
  <c r="K47" i="1"/>
  <c r="M46" i="1"/>
  <c r="K46" i="1"/>
  <c r="M45" i="1"/>
  <c r="K45" i="1"/>
  <c r="M44" i="1"/>
  <c r="K44" i="1"/>
  <c r="M43" i="1"/>
  <c r="K43" i="1"/>
  <c r="M42" i="1"/>
  <c r="K42" i="1"/>
  <c r="M34" i="1"/>
  <c r="K34" i="1"/>
  <c r="M33" i="1"/>
  <c r="K33" i="1"/>
  <c r="M32" i="1"/>
  <c r="K32" i="1"/>
  <c r="M31" i="1"/>
  <c r="K31" i="1"/>
  <c r="M30" i="1"/>
  <c r="K30" i="1"/>
  <c r="H29" i="1"/>
  <c r="M28" i="1"/>
  <c r="M25" i="1"/>
  <c r="K25" i="1"/>
  <c r="M19" i="1"/>
  <c r="K19" i="1"/>
  <c r="H17" i="1"/>
  <c r="K35" i="1" l="1"/>
  <c r="K36" i="1"/>
  <c r="M38" i="1"/>
  <c r="M22" i="1"/>
  <c r="M48" i="1" s="1"/>
  <c r="K39" i="1"/>
  <c r="M40" i="1"/>
  <c r="K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75F38BCD-915B-4978-8370-7F1469711A7D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BB6A155A-11F3-40EC-BECA-AA1B9626080B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B68D8FDC-1287-4B0D-940A-6B05D2C3388E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F7C57D7E-5378-488E-BEAF-7AF671D8F79E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1B0B6019-B6D1-47CE-A1CF-0B45F77423C2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3F70F01D-EB58-4136-8B1E-2AAF3776041E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7573470C-1F62-45BA-83B4-51239F71B27B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BEA68E53-C2C0-4BB3-A594-9C6E459AE3BC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9E5CEB85-A0FE-46E5-8277-2D734CF48CD8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<sst xmlns="http://schemas.openxmlformats.org/spreadsheetml/2006/main" count="471" uniqueCount="192">
  <si>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</si>
  <si>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</si>
  <si>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</si>
  <si>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</si>
  <si>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</si>
  <si>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</si>
  <si>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</si>
  <si>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</si>
  <si>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</si>
  <si>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</si>
  <si>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</si>
  <si>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</si>
  <si>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</si>
  <si>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</si>
  <si>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</si>
  <si>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</si>
  <si>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</si>
  <si>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</si>
  <si>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</si>
  <si>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</si>
  <si>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</si>
  <si>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</si>
  <si>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</si>
  <si>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</si>
  <si>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</si>
  <si>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</si>
  <si>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</si>
  <si>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</si>
  <si>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</si>
  <si>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</si>
  <si>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</si>
  <si>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</si>
  <si>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</si>
  <si>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</si>
  <si>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</si>
  <si>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</si>
  <si>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</si>
  <si>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</si>
  <si>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</si>
  <si>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</si>
  <si>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</si>
  <si>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</si>
  <si>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</si>
  <si>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</si>
  <si>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</si>
  <si>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</si>
  <si>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</si>
  <si>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</si>
  <si>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</si>
  <si>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</si>
  <si>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</si>
  <si>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</si>
  <si>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</si>
  <si>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</si>
  <si>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</si>
  <si>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</si>
  <si>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</si>
  <si>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</si>
  <si>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</si>
  <si>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</si>
  <si>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</si>
  <si>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</si>
  <si>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</si>
  <si>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</si>
  <si>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</si>
  <si>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</si>
  <si>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</si>
  <si>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</si>
  <si>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</si>
  <si>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</si>
  <si>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</si>
  <si>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</si>
  <si>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</si>
  <si>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</si>
  <si>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</si>
  <si>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</si>
  <si>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</si>
  <si>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</si>
  <si>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</si>
  <si>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</si>
  <si>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</si>
  <si>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</si>
  <si>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</si>
  <si>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</si>
  <si>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</si>
  <si>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</si>
  <si>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</si>
  <si>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</si>
  <si>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</si>
  <si>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</si>
  <si>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</si>
  <si>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</si>
  <si>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</si>
  <si>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</si>
  <si>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</si>
  <si>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</si>
  <si>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</si>
  <si>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</si>
  <si>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</si>
  <si>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</si>
  <si>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</si>
  <si>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</si>
  <si>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</si>
  <si>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</si>
  <si>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</si>
  <si>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</si>
  <si>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</si>
  <si>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</si>
  <si>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</si>
  <si>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</si>
  <si>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</si>
  <si>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</si>
  <si>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</si>
  <si>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</si>
  <si>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</si>
  <si>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</si>
  <si>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</si>
  <si>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</si>
  <si>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</si>
  <si>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</si>
  <si>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</si>
  <si>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</si>
  <si>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</si>
  <si>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</si>
  <si>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</si>
  <si>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</si>
  <si>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</si>
  <si>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</si>
  <si>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</si>
  <si>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</si>
  <si>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</si>
  <si>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</si>
  <si>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</si>
  <si>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</si>
  <si>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</si>
  <si>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</si>
  <si>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</si>
  <si>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</si>
  <si>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</si>
  <si>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</si>
  <si>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</si>
  <si>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</si>
  <si>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</si>
  <si>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</si>
  <si>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</si>
  <si>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</si>
  <si>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</si>
  <si>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</si>
  <si>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</si>
  <si>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</si>
  <si>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</si>
  <si>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</si>
  <si>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</si>
  <si>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</si>
  <si>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</si>
  <si>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</si>
  <si>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</si>
  <si>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MATERIAL PARA ARQUIVAMENTO</t>
  </si>
  <si>
    <t>Kit de material</t>
  </si>
  <si>
    <t>ServiceNow</t>
  </si>
  <si>
    <t>CSC0868350</t>
  </si>
  <si>
    <t>ES/SMS/SEG</t>
  </si>
  <si>
    <t>306603818</t>
  </si>
  <si>
    <t>Normal</t>
  </si>
  <si>
    <t>FP</t>
  </si>
  <si>
    <t>EDIVIT</t>
  </si>
  <si>
    <t>Vitória</t>
  </si>
  <si>
    <t>ES</t>
  </si>
  <si>
    <t>N/A</t>
  </si>
  <si>
    <t>kit de material</t>
  </si>
  <si>
    <t>COLETA DE EMBALAGEM</t>
  </si>
  <si>
    <t>CSC0891454</t>
  </si>
  <si>
    <t>307139969</t>
  </si>
  <si>
    <t>Viana</t>
  </si>
  <si>
    <t>CSC0891120</t>
  </si>
  <si>
    <t>307139928</t>
  </si>
  <si>
    <t>INDEXACAO DE DOCUMENTO</t>
  </si>
  <si>
    <t>Documentação administrativa</t>
  </si>
  <si>
    <t>CSC0894185</t>
  </si>
  <si>
    <t>SMS/SA/SAO/STO</t>
  </si>
  <si>
    <t>307255856</t>
  </si>
  <si>
    <t>NP</t>
  </si>
  <si>
    <t>Indexação</t>
  </si>
  <si>
    <t>DIGITALIZACAO DE DOCUMENTO ADMINISTRATIVO</t>
  </si>
  <si>
    <t>Documento - Formato A4</t>
  </si>
  <si>
    <t>PESQUISA DE ITEM AVULSO NORMAL</t>
  </si>
  <si>
    <t>Item documental em caixa</t>
  </si>
  <si>
    <t>Item avulso</t>
  </si>
  <si>
    <t>CSC0877582</t>
  </si>
  <si>
    <t>306766515</t>
  </si>
  <si>
    <t>CSC0872087</t>
  </si>
  <si>
    <t>306647391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</si>
</sst>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0" fontId="0" fillId="0" borderId="30" xfId="0" applyBorder="1"/>
    <xf numFmtId="22" fontId="0" fillId="0" borderId="30" xfId="0" applyNumberFormat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DA77F-C45A-4DD2-94E1-EA7EE7AC106B}" name="ARM_IRON_LT1_ES" displayName="ARM_IRON_LT1_ES" ref="A1:K2" totalsRowShown="0" headerRowDxfId="40" dataDxfId="41" headerRowBorderDxfId="54" tableBorderDxfId="55" totalsRowBorderDxfId="53">
  <autoFilter ref="A1:K2" xr:uid="{C70DA77F-C45A-4DD2-94E1-EA7EE7AC106B}"/>
  <tableColumns count="11">
    <tableColumn id="1" xr3:uid="{7249562D-14D6-4351-90E3-CA520C08824A}" name="Contrato-Reg." dataDxfId="52"/>
    <tableColumn id="2" xr3:uid="{2D5DA521-BFA4-43A2-983C-EFA4E46141A4}" name="MEDIDAS CONTRATO" dataDxfId="51"/>
    <tableColumn id="3" xr3:uid="{2EB6C312-DF44-463F-B280-102B3F2D2CA6}" name="Item" dataDxfId="50"/>
    <tableColumn id="4" xr3:uid="{DE896580-448F-4951-B07E-1E639BD13184}" name="QUAm-1" dataDxfId="49"/>
    <tableColumn id="5" xr3:uid="{633CD75D-9620-4C84-8074-EDCB777FFA9C}" name="QBm" dataDxfId="48"/>
    <tableColumn id="6" xr3:uid="{81B3BAE3-822B-45E5-8633-2DA5DA1CF870}" name="QDm" dataDxfId="47"/>
    <tableColumn id="7" xr3:uid="{886E5EA6-F0E3-4704-A9DD-13BB054C59CA}" name="QNm" dataDxfId="46"/>
    <tableColumn id="8" xr3:uid="{298A2720-DB9C-4486-A33D-832526BF692B}" name="QUAm" dataDxfId="45"/>
    <tableColumn id="9" xr3:uid="{3D9FBDC3-BE59-4E27-9711-E1C50E26E68E}" name="FC" dataDxfId="44"/>
    <tableColumn id="10" xr3:uid="{A3DA119D-131E-4937-8EF5-E20A0A3652B3}" name="QUA" dataDxfId="43"/>
    <tableColumn id="11" xr3:uid="{4ECBB2C7-20A6-4BCA-B4B5-47B9690E476E}" name="Linha de serviço PPU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CE1C04-9610-4AE9-B239-ED520E77CA0B}" name="DADOS_IRON_LT1_ES" displayName="DADOS_IRON_LT1_ES" ref="A1:AF13" totalsRowShown="0" headerRowDxfId="4" headerRowBorderDxfId="38" tableBorderDxfId="39" totalsRowBorderDxfId="37">
  <autoFilter ref="A1:AF13" xr:uid="{6DCE1C04-9610-4AE9-B239-ED520E77CA0B}"/>
  <tableColumns count="32">
    <tableColumn id="1" xr3:uid="{6A4CA21C-1943-4A52-879F-A27C4F19F70F}" name="Contrato.1" dataDxfId="36"/>
    <tableColumn id="2" xr3:uid="{AF43F1E4-657D-4D07-A80F-F01B91F195B7}" name="Descrição da atividade" dataDxfId="35"/>
    <tableColumn id="3" xr3:uid="{B900C984-ECC5-431A-8BD4-928DD3391C6D}" name="Item" dataDxfId="34"/>
    <tableColumn id="4" xr3:uid="{19FA994C-048C-4794-9177-0478C7D4EF85}" name="Aplicação" dataDxfId="33"/>
    <tableColumn id="5" xr3:uid="{711C0AD7-5099-4854-8DB1-DDA2159C162B}" name="Código da_x000a_solicitação" dataDxfId="32"/>
    <tableColumn id="6" xr3:uid="{3701D447-F658-4899-AD4F-A0D1AD9DE9D7}" name="Data solicitação" dataDxfId="31"/>
    <tableColumn id="7" xr3:uid="{A55BBE4C-5AB5-4466-84EB-3060872CD587}" name="Gerência solicitante" dataDxfId="30"/>
    <tableColumn id="8" xr3:uid="{E643EF3E-0BD0-4C1F-A1AA-5CDF52A57E0B}" name="Qtd._x000a_Solicitada" dataDxfId="29"/>
    <tableColumn id="9" xr3:uid="{6DF48215-B3DD-4284-9B39-3A1FE21A6C0C}" name="Código OS" dataDxfId="28"/>
    <tableColumn id="10" xr3:uid="{A804288E-6C54-45CF-8BB8-9A2502FAA386}" name="D. abertura" dataDxfId="27"/>
    <tableColumn id="11" xr3:uid="{79007899-9FD0-4F74-99A4-27E9E8021881}" name="D. fechamento" dataDxfId="26"/>
    <tableColumn id="12" xr3:uid="{6CE24A1F-32B2-47D5-9DC3-FEFFDB581525}" name="Prazo combinado" dataDxfId="25"/>
    <tableColumn id="13" xr3:uid="{4395A74B-3DAF-4E92-B2B5-F0A2769A7406}" name="Qtd._x000a_Atendida" dataDxfId="24"/>
    <tableColumn id="14" xr3:uid="{AC095BA3-1EDE-4C59-B238-CCF39046CF39}" name="Agrupamento" dataDxfId="23"/>
    <tableColumn id="15" xr3:uid="{7E438B03-58E5-4DC2-AF02-C5462F077B60}" name="Classificação" dataDxfId="22"/>
    <tableColumn id="16" xr3:uid="{CA7FBCA1-F4D4-4AF9-A91C-E48DAFC6234E}" name="FDM" dataDxfId="21"/>
    <tableColumn id="17" xr3:uid="{5A6028F8-6EFA-470A-B680-44597B6BC1C5}" name="Obs. Isenção" dataDxfId="20"/>
    <tableColumn id="18" xr3:uid="{72135839-3E55-4678-8DCB-C4A2B6176089}" name="FA" dataDxfId="19"/>
    <tableColumn id="19" xr3:uid="{8466D947-35DE-47D5-A573-9E7E71555130}" name="Localidade - Origem" dataDxfId="18"/>
    <tableColumn id="20" xr3:uid="{1BCEFF33-D55B-4FA2-99B4-DBCCB6609A95}" name="Município - Origem" dataDxfId="17"/>
    <tableColumn id="21" xr3:uid="{32FA2447-C452-473E-83AF-663FBABD0924}" name="UF - Origem" dataDxfId="16"/>
    <tableColumn id="22" xr3:uid="{ECD1947E-3CE9-4F4E-97A8-66E4C0B0E487}" name="Localidade - Destino" dataDxfId="15"/>
    <tableColumn id="23" xr3:uid="{84130262-B7A3-41A0-8DE5-E5CB3B0892F7}" name="Município - Destino" dataDxfId="14"/>
    <tableColumn id="24" xr3:uid="{1E0C3F4D-7A04-4054-921C-F4D9235C9AE5}" name="UF - Destino" dataDxfId="13"/>
    <tableColumn id="25" xr3:uid="{A5A1ED5F-0F4C-4884-9285-F37E38B93D5F}" name="KM Adicional" dataDxfId="12"/>
    <tableColumn id="26" xr3:uid="{626651B0-B951-463D-A565-3D0C281FDE44}" name="FC" dataDxfId="11"/>
    <tableColumn id="27" xr3:uid="{E6E27C16-86D0-4328-955D-C5ADF395A421}" name="Unidade" dataDxfId="10"/>
    <tableColumn id="28" xr3:uid="{AE7E4757-DE37-48BE-9B28-886512A8D26D}" name="Centro" dataDxfId="9"/>
    <tableColumn id="29" xr3:uid="{F8EEF6E3-7640-43B6-9031-B53AE76E52E3}" name="Código Centro" dataDxfId="8"/>
    <tableColumn id="30" xr3:uid="{8C557EDE-E578-4EC7-AEB8-1344F5BB83B6}" name="Linha de serviço PPU" dataDxfId="7"/>
    <tableColumn id="31" xr3:uid="{B882F535-176D-4655-B3F5-6096B1B7CC64}" name="QExec" dataDxfId="6"/>
    <tableColumn id="32" xr3:uid="{FFC7DC21-5EAC-4D1B-B498-503E190BF9F4}" name="QExecAgrupado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8B5207-0DAF-4D04-93C0-E2A9B4CFA0B7}" name="FRETE_IRON_LT1_ES" displayName="FRETE_IRON_LT1_ES" ref="A1:R3" totalsRowShown="0" headerRowDxfId="0" headerRowBorderDxfId="2" tableBorderDxfId="3" totalsRowBorderDxfId="1">
  <autoFilter ref="A1:R3" xr:uid="{DC8B5207-0DAF-4D04-93C0-E2A9B4CFA0B7}"/>
  <tableColumns count="18">
    <tableColumn id="1" xr3:uid="{9F18F09D-7228-4BA0-A0AE-0AC26356E675}" name="Contrato.1"/>
    <tableColumn id="2" xr3:uid="{311A1CC9-B1CD-4E6D-B92B-B17AA8838DA3}" name="Descrição da atividade"/>
    <tableColumn id="3" xr3:uid="{B7587BA7-57F9-439E-B65C-21988D2EF09F}" name="Item"/>
    <tableColumn id="4" xr3:uid="{D808F1CA-C2DB-4D25-819E-B931F8006C1B}" name="Data solicitação"/>
    <tableColumn id="5" xr3:uid="{A628140D-A31F-4AE3-9941-B6D5C9289ABF}" name="Gerência solicitante"/>
    <tableColumn id="6" xr3:uid="{DDE914F9-CCCA-4099-BD69-43B1ADEFD93A}" name="Qtd._x000a_Solicitada"/>
    <tableColumn id="7" xr3:uid="{F7866B9C-8DBB-45E1-A04B-F2FF17D3344D}" name="D. fechamento"/>
    <tableColumn id="8" xr3:uid="{49E0E1F4-84AB-4671-AF7C-4CD74618ABC7}" name="Localidade - Origem"/>
    <tableColumn id="9" xr3:uid="{967EEFA1-4008-458A-86F8-0497F52CF25E}" name="Município - Origem"/>
    <tableColumn id="10" xr3:uid="{F6F6A5B7-1D61-4442-8BAC-6BB8D708975E}" name="UF - Origem"/>
    <tableColumn id="11" xr3:uid="{01EE44E7-90FC-43DF-9B9C-7231B0CCF255}" name="Localidade - Destino"/>
    <tableColumn id="12" xr3:uid="{0E06542E-9029-4A6A-BC9C-FDB2841A6FF1}" name="Município - Destino"/>
    <tableColumn id="13" xr3:uid="{F9896618-C53F-474E-A39F-B6EE0AC81C59}" name="UF - Destino"/>
    <tableColumn id="14" xr3:uid="{1B4B7605-E11F-4FF0-9714-3ED884EBAD4E}" name="KM Adicional"/>
    <tableColumn id="15" xr3:uid="{B1E4E4A2-1E2B-4FD8-8A0F-10A1FBD7841C}" name="Unidade"/>
    <tableColumn id="16" xr3:uid="{9A65658A-9CD1-4459-9BE7-F78F3C5AB06E}" name="Centro"/>
    <tableColumn id="17" xr3:uid="{5DDA5040-DCA6-4191-A7C3-37F9F122C830}" name="Linha de serviço PPU"/>
    <tableColumn id="18" xr3:uid="{63CAFBFC-F156-49AE-98BD-8729D8134096}" name="QExecAgrup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A632-2906-4D6F-9584-979738E69B29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0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0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 t="s">
        <v>30</v>
      </c>
      <c r="D13" s="69" t="s">
        <v>31</v>
      </c>
      <c r="E13" s="69" t="s">
        <v>32</v>
      </c>
      <c r="F13" s="69" t="s">
        <v>33</v>
      </c>
      <c r="G13" s="69" t="s">
        <v>34</v>
      </c>
      <c r="H13" s="70" t="s">
        <v>35</v>
      </c>
      <c r="I13" s="71" t="s">
        <v>36</v>
      </c>
      <c r="J13" s="72">
        <f>SUMIF(ARM_IRON_LT1_ES[Linha de serviço PPU], D12, ARM_IRON_LT1_ES[QUA])</f>
        <v>15177</v>
      </c>
      <c r="K13" s="73">
        <f>J13*$N$5</f>
        <v>0</v>
      </c>
      <c r="L13" s="74">
        <v>0.6</v>
      </c>
      <c r="M13" s="75">
        <f>K13*L13</f>
        <v>0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f>SUMIF(  ARM_IRON_LT1_ES[Linha de serviço PPU], D12, ARM_IRON_LT1_ES[QUAm-1])</f>
        <v>15167</v>
      </c>
      <c r="E14" s="79">
        <f>SUMIF(  ARM_IRON_LT1_ES[Linha de serviço PPU], D12, ARM_IRON_LT1_ES[QBm])</f>
        <v>0</v>
      </c>
      <c r="F14" s="79">
        <f>SUMIF(  ARM_IRON_LT1_ES[Linha de serviço PPU], D12, ARM_IRON_LT1_ES[QDm])</f>
        <v>0</v>
      </c>
      <c r="G14" s="80">
        <f>SUMIF(  ARM_IRON_LT1_ES[Linha de serviço PPU], D12, ARM_IRON_LT1_ES[QNm])</f>
        <v>10</v>
      </c>
      <c r="H14" s="81">
        <f>(D14-E14-F14)+G14</f>
        <v>15177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37</v>
      </c>
      <c r="E15" s="60" t="s">
        <v>38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 t="s">
        <v>39</v>
      </c>
      <c r="D16" s="69" t="s">
        <v>31</v>
      </c>
      <c r="E16" s="69" t="s">
        <v>32</v>
      </c>
      <c r="F16" s="69" t="s">
        <v>33</v>
      </c>
      <c r="G16" s="69" t="s">
        <v>34</v>
      </c>
      <c r="H16" s="70" t="s">
        <v>35</v>
      </c>
      <c r="I16" s="71" t="s">
        <v>36</v>
      </c>
      <c r="J16" s="72">
        <f>SUMIF(ARM_IRON_LT1_ES[Linha de serviço PPU], D15, ARM_IRON_LT1_ES[QUA])</f>
        <v>0</v>
      </c>
      <c r="K16" s="73">
        <f>J16*N5</f>
        <v>0</v>
      </c>
      <c r="L16" s="74">
        <v>3.55</v>
      </c>
      <c r="M16" s="75">
        <f>K16*L16</f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f>SUMIF(  ARM_IRON_LT1_ES[Linha de serviço PPU], D15, ARM_IRON_LT1_ES[QUAm-1])</f>
        <v>0</v>
      </c>
      <c r="E17" s="79">
        <f>SUMIF(  ARM_IRON_LT1_ES[Linha de serviço PPU], D15, ARM_IRON_LT1_ES[QBm])</f>
        <v>0</v>
      </c>
      <c r="F17" s="79">
        <f>SUMIF(  ARM_IRON_LT1_ES[Linha de serviço PPU], D15, ARM_IRON_LT1_ES[QDm])</f>
        <v>0</v>
      </c>
      <c r="G17" s="80">
        <f>SUMIF(  ARM_IRON_LT1_ES[Linha de serviço PPU], D15, ARM_IRON_LT1_ES[QNm])</f>
        <v>0</v>
      </c>
      <c r="H17" s="81">
        <f>(D17-E17-F17)+G17</f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40</v>
      </c>
      <c r="E18" s="60" t="s">
        <v>41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 t="s">
        <v>42</v>
      </c>
      <c r="D19" s="69" t="s">
        <v>31</v>
      </c>
      <c r="E19" s="69" t="s">
        <v>32</v>
      </c>
      <c r="F19" s="69" t="s">
        <v>33</v>
      </c>
      <c r="G19" s="69" t="s">
        <v>34</v>
      </c>
      <c r="H19" s="70" t="s">
        <v>35</v>
      </c>
      <c r="I19" s="71" t="s">
        <v>36</v>
      </c>
      <c r="J19" s="72">
        <f>SUMIF(ARM_IRON_LT1_ES[Linha de serviço PPU], D18, ARM_IRON_LT1_ES[QUA])</f>
        <v>0</v>
      </c>
      <c r="K19" s="73">
        <f>J19*N5</f>
        <v>0</v>
      </c>
      <c r="L19" s="74">
        <v>0.74</v>
      </c>
      <c r="M19" s="75">
        <f>J19*L19</f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f>SUMIF(  ARM_IRON_LT1_ES[Linha de serviço PPU], D18, ARM_IRON_LT1_ES[QUAm-1])</f>
        <v>0</v>
      </c>
      <c r="E20" s="79">
        <f>SUMIF(  ARM_IRON_LT1_ES[Linha de serviço PPU], D18, ARM_IRON_LT1_ES[QBm])</f>
        <v>0</v>
      </c>
      <c r="F20" s="79">
        <f>SUMIF(  ARM_IRON_LT1_ES[Linha de serviço PPU], D18, ARM_IRON_LT1_ES[QDm])</f>
        <v>0</v>
      </c>
      <c r="G20" s="80">
        <f>SUMIF(  ARM_IRON_LT1_ES[Linha de serviço PPU], D18, ARM_IRON_LT1_ES[QNm])</f>
        <v>0</v>
      </c>
      <c r="H20" s="81">
        <f>(D20-E20-F20)+G20</f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43</v>
      </c>
      <c r="E21" s="60" t="s">
        <v>44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 t="s">
        <v>45</v>
      </c>
      <c r="D22" s="69" t="s">
        <v>31</v>
      </c>
      <c r="E22" s="69" t="s">
        <v>32</v>
      </c>
      <c r="F22" s="69" t="s">
        <v>33</v>
      </c>
      <c r="G22" s="69" t="s">
        <v>34</v>
      </c>
      <c r="H22" s="70" t="s">
        <v>35</v>
      </c>
      <c r="I22" s="71" t="s">
        <v>36</v>
      </c>
      <c r="J22" s="72">
        <f>SUMIF(ARM_IRON_LT1_ES[Linha de serviço PPU], D21, ARM_IRON_LT1_ES[QUA])</f>
        <v>0</v>
      </c>
      <c r="K22" s="73">
        <f>J22*N5</f>
        <v>0</v>
      </c>
      <c r="L22" s="74">
        <v>56.11</v>
      </c>
      <c r="M22" s="75">
        <f>J22*L22</f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f>SUMIF(  ARM_IRON_LT1_ES[Linha de serviço PPU], D21, ARM_IRON_LT1_ES[QUAm-1])</f>
        <v>0</v>
      </c>
      <c r="E23" s="79">
        <f>SUMIF(  ARM_IRON_LT1_ES[Linha de serviço PPU], D21, ARM_IRON_LT1_ES[QBm])</f>
        <v>0</v>
      </c>
      <c r="F23" s="79">
        <f>SUMIF(  ARM_IRON_LT1_ES[Linha de serviço PPU], D21, ARM_IRON_LT1_ES[QDm])</f>
        <v>0</v>
      </c>
      <c r="G23" s="80">
        <f>SUMIF(  ARM_IRON_LT1_ES[Linha de serviço PPU], D21, ARM_IRON_LT1_ES[QNm])</f>
        <v>0</v>
      </c>
      <c r="H23" s="81">
        <f>(D23-E23-F23)+G23</f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46</v>
      </c>
      <c r="E24" s="60" t="s">
        <v>47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 t="s">
        <v>48</v>
      </c>
      <c r="D25" s="69" t="s">
        <v>31</v>
      </c>
      <c r="E25" s="69" t="s">
        <v>32</v>
      </c>
      <c r="F25" s="69" t="s">
        <v>33</v>
      </c>
      <c r="G25" s="69" t="s">
        <v>34</v>
      </c>
      <c r="H25" s="70" t="s">
        <v>35</v>
      </c>
      <c r="I25" s="71" t="s">
        <v>36</v>
      </c>
      <c r="J25" s="72">
        <f>SUMIF(ARM_IRON_LT1_ES[Linha de serviço PPU], D24, ARM_IRON_LT1_ES[QUA])</f>
        <v>0</v>
      </c>
      <c r="K25" s="73">
        <f>J25*N5</f>
        <v>0</v>
      </c>
      <c r="L25" s="74">
        <v>0.08</v>
      </c>
      <c r="M25" s="75">
        <f>J25*L25</f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f>SUMIF(  ARM_IRON_LT1_ES[Linha de serviço PPU], D24, ARM_IRON_LT1_ES[QUAm-1])</f>
        <v>0</v>
      </c>
      <c r="E26" s="79">
        <f>SUMIF(  ARM_IRON_LT1_ES[Linha de serviço PPU], D24, ARM_IRON_LT1_ES[QBm])</f>
        <v>0</v>
      </c>
      <c r="F26" s="79">
        <f>SUMIF(  ARM_IRON_LT1_ES[Linha de serviço PPU], D24, ARM_IRON_LT1_ES[QDm])</f>
        <v>0</v>
      </c>
      <c r="G26" s="80">
        <f>SUMIF(  ARM_IRON_LT1_ES[Linha de serviço PPU], D24, ARM_IRON_LT1_ES[QNm])</f>
        <v>0</v>
      </c>
      <c r="H26" s="81">
        <f>(D26-E26-F26)+G26</f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49</v>
      </c>
      <c r="E27" s="60" t="s">
        <v>50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 t="s">
        <v>51</v>
      </c>
      <c r="D28" s="69" t="s">
        <v>31</v>
      </c>
      <c r="E28" s="69" t="s">
        <v>32</v>
      </c>
      <c r="F28" s="69" t="s">
        <v>33</v>
      </c>
      <c r="G28" s="69" t="s">
        <v>34</v>
      </c>
      <c r="H28" s="70" t="s">
        <v>35</v>
      </c>
      <c r="I28" s="71" t="s">
        <v>36</v>
      </c>
      <c r="J28" s="72">
        <f>SUMIF(ARM_IRON_LT1_ES[Linha de serviço PPU], D27, ARM_IRON_LT1_ES[QUA])</f>
        <v>0</v>
      </c>
      <c r="K28" s="73">
        <f>J28*N5</f>
        <v>0</v>
      </c>
      <c r="L28" s="74">
        <v>0.08</v>
      </c>
      <c r="M28" s="75">
        <f>J28*L28</f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f>SUMIF(  ARM_IRON_LT1_ES[Linha de serviço PPU], D27, ARM_IRON_LT1_ES[QUAm-1])</f>
        <v>0</v>
      </c>
      <c r="E29" s="79">
        <f>SUMIF(  ARM_IRON_LT1_ES[Linha de serviço PPU], D27, ARM_IRON_LT1_ES[QBm])</f>
        <v>0</v>
      </c>
      <c r="F29" s="79">
        <f>SUMIF(  ARM_IRON_LT1_ES[Linha de serviço PPU], D27, ARM_IRON_LT1_ES[QDm])</f>
        <v>0</v>
      </c>
      <c r="G29" s="80">
        <f>SUMIF(  ARM_IRON_LT1_ES[Linha de serviço PPU], D27, ARM_IRON_LT1_ES[QNm])</f>
        <v>0</v>
      </c>
      <c r="H29" s="81">
        <f>(D29-E29-F29)+G29</f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 t="s">
        <v>52</v>
      </c>
      <c r="D30" s="93" t="s">
        <v>53</v>
      </c>
      <c r="E30" s="94" t="s">
        <v>54</v>
      </c>
      <c r="F30" s="94"/>
      <c r="G30" s="94"/>
      <c r="H30" s="95"/>
      <c r="I30" s="96" t="s">
        <v>55</v>
      </c>
      <c r="J30" s="97">
        <f>SUMIF( DADOS_IRON_LT1_ES[Linha de serviço PPU], D30, DADOS_IRON_LT1_ES[QExecAgrupado])</f>
        <v>1</v>
      </c>
      <c r="K30" s="83">
        <f>J30*N5</f>
        <v>0</v>
      </c>
      <c r="L30" s="98">
        <v>125.89</v>
      </c>
      <c r="M30" s="99">
        <f t="shared" ref="M30:M36" si="0">L30*J30</f>
        <v>125.89</v>
      </c>
      <c r="N30" s="100"/>
      <c r="Q30" s="5"/>
    </row>
    <row r="31" spans="1:17" ht="15" customHeight="1" x14ac:dyDescent="0.3">
      <c r="A31" s="1"/>
      <c r="B31" s="1"/>
      <c r="C31" s="101" t="s">
        <v>56</v>
      </c>
      <c r="D31" s="59" t="s">
        <v>57</v>
      </c>
      <c r="E31" s="61" t="s">
        <v>58</v>
      </c>
      <c r="F31" s="61"/>
      <c r="G31" s="61"/>
      <c r="H31" s="61"/>
      <c r="I31" s="102" t="s">
        <v>55</v>
      </c>
      <c r="J31" s="97">
        <f>SUMIF( DADOS_IRON_LT1_ES[Linha de serviço PPU], D31, DADOS_IRON_LT1_ES[QExecAgrupado])</f>
        <v>0</v>
      </c>
      <c r="K31" s="83">
        <f>J31*N5</f>
        <v>0</v>
      </c>
      <c r="L31" s="98">
        <v>200</v>
      </c>
      <c r="M31" s="99">
        <f t="shared" si="0"/>
        <v>0</v>
      </c>
      <c r="N31" s="100"/>
      <c r="Q31" s="5"/>
    </row>
    <row r="32" spans="1:17" ht="15" customHeight="1" x14ac:dyDescent="0.3">
      <c r="A32" s="1"/>
      <c r="B32" s="1"/>
      <c r="C32" s="101" t="s">
        <v>59</v>
      </c>
      <c r="D32" s="59" t="s">
        <v>60</v>
      </c>
      <c r="E32" s="61" t="s">
        <v>61</v>
      </c>
      <c r="F32" s="61"/>
      <c r="G32" s="61"/>
      <c r="H32" s="61"/>
      <c r="I32" s="102" t="s">
        <v>62</v>
      </c>
      <c r="J32" s="97">
        <f>SUM(DADOS_IRON_LT1_ES[KM Adicional])</f>
        <v>0</v>
      </c>
      <c r="K32" s="83">
        <f>J32*N5</f>
        <v>0</v>
      </c>
      <c r="L32" s="98">
        <v>0.5</v>
      </c>
      <c r="M32" s="99">
        <f t="shared" si="0"/>
        <v>0</v>
      </c>
      <c r="N32" s="100"/>
      <c r="Q32" s="5"/>
    </row>
    <row r="33" spans="1:17" ht="15" customHeight="1" x14ac:dyDescent="0.3">
      <c r="A33" s="1"/>
      <c r="B33" s="1"/>
      <c r="C33" s="101" t="s">
        <v>63</v>
      </c>
      <c r="D33" s="59" t="s">
        <v>64</v>
      </c>
      <c r="E33" s="103" t="s">
        <v>65</v>
      </c>
      <c r="F33" s="104"/>
      <c r="G33" s="104"/>
      <c r="H33" s="105"/>
      <c r="I33" s="102" t="s">
        <v>66</v>
      </c>
      <c r="J33" s="97">
        <f>SUMIF( DADOS_IRON_LT1_ES[Linha de serviço PPU], D33, DADOS_IRON_LT1_ES[QExecAgrupado])</f>
        <v>3</v>
      </c>
      <c r="K33" s="83">
        <f>J33*N5</f>
        <v>0</v>
      </c>
      <c r="L33" s="98">
        <v>1.96</v>
      </c>
      <c r="M33" s="99">
        <f t="shared" si="0"/>
        <v>5.88</v>
      </c>
      <c r="N33" s="100"/>
      <c r="Q33" s="5"/>
    </row>
    <row r="34" spans="1:17" ht="15" customHeight="1" x14ac:dyDescent="0.3">
      <c r="A34" s="1"/>
      <c r="B34" s="1"/>
      <c r="C34" s="101" t="s">
        <v>67</v>
      </c>
      <c r="D34" s="59" t="s">
        <v>68</v>
      </c>
      <c r="E34" s="103" t="s">
        <v>69</v>
      </c>
      <c r="F34" s="104"/>
      <c r="G34" s="104"/>
      <c r="H34" s="105"/>
      <c r="I34" s="102" t="s">
        <v>66</v>
      </c>
      <c r="J34" s="97">
        <f>SUMIF( DADOS_IRON_LT1_ES[Linha de serviço PPU], D34, DADOS_IRON_LT1_ES[QExecAgrupado])</f>
        <v>0</v>
      </c>
      <c r="K34" s="83">
        <f>J34*N5</f>
        <v>0</v>
      </c>
      <c r="L34" s="98">
        <v>1.35</v>
      </c>
      <c r="M34" s="99">
        <f t="shared" si="0"/>
        <v>0</v>
      </c>
      <c r="N34" s="100"/>
      <c r="Q34" s="5"/>
    </row>
    <row r="35" spans="1:17" ht="15" customHeight="1" x14ac:dyDescent="0.3">
      <c r="A35" s="1"/>
      <c r="B35" s="1"/>
      <c r="C35" s="101" t="s">
        <v>70</v>
      </c>
      <c r="D35" s="59" t="s">
        <v>71</v>
      </c>
      <c r="E35" s="103" t="s">
        <v>72</v>
      </c>
      <c r="F35" s="104"/>
      <c r="G35" s="104"/>
      <c r="H35" s="105"/>
      <c r="I35" s="102" t="s">
        <v>73</v>
      </c>
      <c r="J35" s="97">
        <f>SUMIF( DADOS_IRON_LT1_ES[Linha de serviço PPU], D35, DADOS_IRON_LT1_ES[QExecAgrupado])</f>
        <v>0</v>
      </c>
      <c r="K35" s="83">
        <f>J35*N5</f>
        <v>0</v>
      </c>
      <c r="L35" s="98">
        <v>594488.34</v>
      </c>
      <c r="M35" s="99">
        <f t="shared" si="0"/>
        <v>0</v>
      </c>
      <c r="N35" s="106"/>
      <c r="Q35" s="5"/>
    </row>
    <row r="36" spans="1:17" ht="15" customHeight="1" x14ac:dyDescent="0.3">
      <c r="A36" s="1"/>
      <c r="B36" s="1"/>
      <c r="C36" s="101" t="s">
        <v>74</v>
      </c>
      <c r="D36" s="59" t="s">
        <v>75</v>
      </c>
      <c r="E36" s="103" t="s">
        <v>76</v>
      </c>
      <c r="F36" s="104"/>
      <c r="G36" s="104"/>
      <c r="H36" s="105"/>
      <c r="I36" s="102" t="s">
        <v>36</v>
      </c>
      <c r="J36" s="97">
        <f>SUMIF( DADOS_IRON_LT1_ES[Linha de serviço PPU], D36, DADOS_IRON_LT1_ES[QExecAgrupado])</f>
        <v>0</v>
      </c>
      <c r="K36" s="83">
        <f>J36*N5</f>
        <v>0</v>
      </c>
      <c r="L36" s="98">
        <v>1.01</v>
      </c>
      <c r="M36" s="99">
        <f t="shared" si="0"/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77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 t="s">
        <v>78</v>
      </c>
      <c r="D38" s="113" t="s">
        <v>79</v>
      </c>
      <c r="E38" s="61" t="s">
        <v>80</v>
      </c>
      <c r="F38" s="61"/>
      <c r="G38" s="61"/>
      <c r="H38" s="61"/>
      <c r="I38" s="102" t="s">
        <v>81</v>
      </c>
      <c r="J38" s="97">
        <f>SUMIF( DADOS_IRON_LT1_ES[Linha de serviço PPU], D38, DADOS_IRON_LT1_ES[QExec])</f>
        <v>0</v>
      </c>
      <c r="K38" s="114">
        <f>J38*N7</f>
        <v>0</v>
      </c>
      <c r="L38" s="98">
        <v>0.44</v>
      </c>
      <c r="M38" s="115">
        <f t="shared" ref="M38:M47" si="1">J38*L38</f>
        <v>0</v>
      </c>
      <c r="N38" s="100"/>
      <c r="Q38" s="5"/>
    </row>
    <row r="39" spans="1:17" ht="15" customHeight="1" x14ac:dyDescent="0.3">
      <c r="A39" s="1"/>
      <c r="B39" s="1"/>
      <c r="C39" s="101" t="s">
        <v>82</v>
      </c>
      <c r="D39" s="116" t="s">
        <v>83</v>
      </c>
      <c r="E39" s="117" t="s">
        <v>84</v>
      </c>
      <c r="F39" s="117"/>
      <c r="G39" s="117"/>
      <c r="H39" s="117"/>
      <c r="I39" s="102" t="s">
        <v>36</v>
      </c>
      <c r="J39" s="97">
        <f>SUMIF( DADOS_IRON_LT1_ES[Linha de serviço PPU], D39, DADOS_IRON_LT1_ES[QExec])</f>
        <v>0</v>
      </c>
      <c r="K39" s="114">
        <f>J39*N7</f>
        <v>0</v>
      </c>
      <c r="L39" s="98">
        <v>1.44</v>
      </c>
      <c r="M39" s="115">
        <f t="shared" si="1"/>
        <v>0</v>
      </c>
      <c r="N39" s="100"/>
      <c r="Q39" s="5"/>
    </row>
    <row r="40" spans="1:17" ht="15" customHeight="1" x14ac:dyDescent="0.3">
      <c r="A40" s="1"/>
      <c r="B40" s="1"/>
      <c r="C40" s="101" t="s">
        <v>85</v>
      </c>
      <c r="D40" s="113" t="s">
        <v>86</v>
      </c>
      <c r="E40" s="61" t="s">
        <v>87</v>
      </c>
      <c r="F40" s="61"/>
      <c r="G40" s="61"/>
      <c r="H40" s="61"/>
      <c r="I40" s="102" t="s">
        <v>88</v>
      </c>
      <c r="J40" s="97">
        <f>SUMIF( DADOS_IRON_LT1_ES[Linha de serviço PPU], D40, DADOS_IRON_LT1_ES[QExec])</f>
        <v>0</v>
      </c>
      <c r="K40" s="114">
        <f>J40*N7</f>
        <v>0</v>
      </c>
      <c r="L40" s="98">
        <v>0.05</v>
      </c>
      <c r="M40" s="115">
        <f t="shared" si="1"/>
        <v>0</v>
      </c>
      <c r="N40" s="100"/>
      <c r="Q40" s="5"/>
    </row>
    <row r="41" spans="1:17" ht="15" customHeight="1" x14ac:dyDescent="0.3">
      <c r="A41" s="1"/>
      <c r="B41" s="1"/>
      <c r="C41" s="101" t="s">
        <v>89</v>
      </c>
      <c r="D41" s="113" t="s">
        <v>90</v>
      </c>
      <c r="E41" s="61" t="s">
        <v>91</v>
      </c>
      <c r="F41" s="61"/>
      <c r="G41" s="61"/>
      <c r="H41" s="61"/>
      <c r="I41" s="102" t="s">
        <v>88</v>
      </c>
      <c r="J41" s="97">
        <f>SUMIF( DADOS_IRON_LT1_ES[Linha de serviço PPU], D41, DADOS_IRON_LT1_ES[QExec])</f>
        <v>0</v>
      </c>
      <c r="K41" s="114">
        <f>J41*N7</f>
        <v>0</v>
      </c>
      <c r="L41" s="98">
        <v>0.06</v>
      </c>
      <c r="M41" s="115">
        <f t="shared" si="1"/>
        <v>0</v>
      </c>
      <c r="N41" s="100"/>
      <c r="Q41" s="5"/>
    </row>
    <row r="42" spans="1:17" ht="15" customHeight="1" x14ac:dyDescent="0.3">
      <c r="A42" s="1"/>
      <c r="B42" s="1"/>
      <c r="C42" s="101" t="s">
        <v>92</v>
      </c>
      <c r="D42" s="113" t="s">
        <v>93</v>
      </c>
      <c r="E42" s="61" t="s">
        <v>94</v>
      </c>
      <c r="F42" s="61"/>
      <c r="G42" s="61"/>
      <c r="H42" s="61"/>
      <c r="I42" s="102" t="s">
        <v>88</v>
      </c>
      <c r="J42" s="97">
        <f>SUMIF( DADOS_IRON_LT1_ES[Linha de serviço PPU], D42, DADOS_IRON_LT1_ES[QExec])</f>
        <v>1129</v>
      </c>
      <c r="K42" s="114">
        <f>J42*N7</f>
        <v>0</v>
      </c>
      <c r="L42" s="98">
        <v>0.1</v>
      </c>
      <c r="M42" s="115">
        <f t="shared" si="1"/>
        <v>112.9</v>
      </c>
      <c r="N42" s="100"/>
      <c r="Q42" s="5"/>
    </row>
    <row r="43" spans="1:17" ht="15" customHeight="1" x14ac:dyDescent="0.3">
      <c r="A43" s="1"/>
      <c r="B43" s="1"/>
      <c r="C43" s="101" t="s">
        <v>95</v>
      </c>
      <c r="D43" s="113" t="s">
        <v>96</v>
      </c>
      <c r="E43" s="61" t="s">
        <v>97</v>
      </c>
      <c r="F43" s="61"/>
      <c r="G43" s="61"/>
      <c r="H43" s="61"/>
      <c r="I43" s="102" t="s">
        <v>98</v>
      </c>
      <c r="J43" s="97">
        <f>SUMIF( DADOS_IRON_LT1_ES[Linha de serviço PPU], D43, DADOS_IRON_LT1_ES[QExec])</f>
        <v>3</v>
      </c>
      <c r="K43" s="114">
        <f>J43*N7</f>
        <v>0</v>
      </c>
      <c r="L43" s="98">
        <v>0.23</v>
      </c>
      <c r="M43" s="115">
        <f t="shared" si="1"/>
        <v>0.69000000000000006</v>
      </c>
      <c r="N43" s="100"/>
      <c r="Q43" s="5"/>
    </row>
    <row r="44" spans="1:17" ht="15" customHeight="1" x14ac:dyDescent="0.3">
      <c r="A44" s="1"/>
      <c r="B44" s="1"/>
      <c r="C44" s="101" t="s">
        <v>99</v>
      </c>
      <c r="D44" s="113" t="s">
        <v>100</v>
      </c>
      <c r="E44" s="61" t="s">
        <v>101</v>
      </c>
      <c r="F44" s="61"/>
      <c r="G44" s="61"/>
      <c r="H44" s="61"/>
      <c r="I44" s="102" t="s">
        <v>102</v>
      </c>
      <c r="J44" s="97">
        <f>SUMIF( DADOS_IRON_LT1_ES[Linha de serviço PPU], D44, DADOS_IRON_LT1_ES[QExec])</f>
        <v>0</v>
      </c>
      <c r="K44" s="114">
        <f>J44*N7</f>
        <v>0</v>
      </c>
      <c r="L44" s="98">
        <v>68.27</v>
      </c>
      <c r="M44" s="115">
        <f t="shared" si="1"/>
        <v>0</v>
      </c>
      <c r="N44" s="100"/>
      <c r="Q44" s="5"/>
    </row>
    <row r="45" spans="1:17" ht="15" customHeight="1" x14ac:dyDescent="0.3">
      <c r="A45" s="1"/>
      <c r="B45" s="1"/>
      <c r="C45" s="101" t="s">
        <v>103</v>
      </c>
      <c r="D45" s="113" t="s">
        <v>104</v>
      </c>
      <c r="E45" s="61" t="s">
        <v>105</v>
      </c>
      <c r="F45" s="61"/>
      <c r="G45" s="61"/>
      <c r="H45" s="61"/>
      <c r="I45" s="102" t="s">
        <v>102</v>
      </c>
      <c r="J45" s="97">
        <f>SUMIF( DADOS_IRON_LT1_ES[Linha de serviço PPU], D45, DADOS_IRON_LT1_ES[QExec])</f>
        <v>0</v>
      </c>
      <c r="K45" s="114">
        <f>J45*N7</f>
        <v>0</v>
      </c>
      <c r="L45" s="98">
        <v>39</v>
      </c>
      <c r="M45" s="115">
        <f t="shared" si="1"/>
        <v>0</v>
      </c>
      <c r="N45" s="100"/>
      <c r="Q45" s="5"/>
    </row>
    <row r="46" spans="1:17" ht="15" customHeight="1" x14ac:dyDescent="0.3">
      <c r="A46" s="1"/>
      <c r="B46" s="1"/>
      <c r="C46" s="101" t="s">
        <v>106</v>
      </c>
      <c r="D46" s="113" t="s">
        <v>107</v>
      </c>
      <c r="E46" s="61" t="s">
        <v>108</v>
      </c>
      <c r="F46" s="61"/>
      <c r="G46" s="61"/>
      <c r="H46" s="61"/>
      <c r="I46" s="102" t="s">
        <v>102</v>
      </c>
      <c r="J46" s="97">
        <f>SUMIF( DADOS_IRON_LT1_ES[Linha de serviço PPU], D46, DADOS_IRON_LT1_ES[QExec])</f>
        <v>0</v>
      </c>
      <c r="K46" s="114">
        <f>J46*N7</f>
        <v>0</v>
      </c>
      <c r="L46" s="98">
        <v>11.72</v>
      </c>
      <c r="M46" s="115">
        <f t="shared" si="1"/>
        <v>0</v>
      </c>
      <c r="N46" s="100"/>
      <c r="Q46" s="5"/>
    </row>
    <row r="47" spans="1:17" ht="15" customHeight="1" x14ac:dyDescent="0.3">
      <c r="A47" s="1"/>
      <c r="B47" s="1"/>
      <c r="C47" s="101" t="s">
        <v>109</v>
      </c>
      <c r="D47" s="113" t="s">
        <v>110</v>
      </c>
      <c r="E47" s="61" t="s">
        <v>111</v>
      </c>
      <c r="F47" s="61"/>
      <c r="G47" s="61"/>
      <c r="H47" s="61"/>
      <c r="I47" s="102" t="s">
        <v>102</v>
      </c>
      <c r="J47" s="97">
        <f>SUMIF( DADOS_IRON_LT1_ES[Linha de serviço PPU], D47, DADOS_IRON_LT1_ES[QExec])</f>
        <v>0</v>
      </c>
      <c r="K47" s="114">
        <f>J47*N7</f>
        <v>0</v>
      </c>
      <c r="L47" s="98">
        <v>2.44</v>
      </c>
      <c r="M47" s="115">
        <f t="shared" si="1"/>
        <v>0</v>
      </c>
      <c r="N47" s="100"/>
      <c r="Q47" s="5"/>
    </row>
    <row r="48" spans="1:17" ht="30" customHeight="1" x14ac:dyDescent="0.3">
      <c r="A48" s="1"/>
      <c r="B48" s="1"/>
      <c r="C48" s="118" t="s">
        <v>112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f>SUM(M12:M47)</f>
        <v>245.36</v>
      </c>
      <c r="N48" s="100"/>
      <c r="Q48" s="5"/>
    </row>
    <row r="49" spans="1:17" ht="14.25" customHeight="1" x14ac:dyDescent="0.3">
      <c r="A49" s="1"/>
      <c r="B49" s="1"/>
      <c r="C49" s="123" t="s">
        <v>113</v>
      </c>
      <c r="D49" s="43"/>
      <c r="E49" s="43"/>
      <c r="F49" s="43"/>
      <c r="G49" s="43"/>
      <c r="H49" s="43"/>
      <c r="I49" s="44"/>
      <c r="J49" s="124" t="s">
        <v>114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115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116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117</v>
      </c>
      <c r="E54" s="41" t="s">
        <v>118</v>
      </c>
      <c r="F54" s="41" t="s">
        <v>119</v>
      </c>
      <c r="G54" s="41" t="s">
        <v>120</v>
      </c>
      <c r="H54" s="41"/>
      <c r="I54" s="41" t="s">
        <v>121</v>
      </c>
      <c r="J54" s="42" t="s">
        <v>122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3886-A308-4E9F-8997-9FADFC978DF9}">
  <dimension ref="A1:K2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16.7773437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5.21875" bestFit="1" customWidth="1"/>
    <col min="10" max="10" width="7.109375" bestFit="1" customWidth="1"/>
    <col min="11" max="11" width="20.88671875" bestFit="1" customWidth="1"/>
  </cols>
  <sheetData>
    <row r="1" spans="1:11" x14ac:dyDescent="0.3">
      <c r="A1" s="134" t="s">
        <v>123</v>
      </c>
      <c r="B1" s="134" t="s">
        <v>124</v>
      </c>
      <c r="C1" s="134" t="s">
        <v>19</v>
      </c>
      <c r="D1" s="134" t="s">
        <v>31</v>
      </c>
      <c r="E1" s="134" t="s">
        <v>32</v>
      </c>
      <c r="F1" s="134" t="s">
        <v>33</v>
      </c>
      <c r="G1" s="134" t="s">
        <v>34</v>
      </c>
      <c r="H1" s="134" t="s">
        <v>35</v>
      </c>
      <c r="I1" s="134" t="s">
        <v>125</v>
      </c>
      <c r="J1" s="134" t="s">
        <v>126</v>
      </c>
      <c r="K1" s="134" t="s">
        <v>127</v>
      </c>
    </row>
    <row r="2" spans="1:11" x14ac:dyDescent="0.3">
      <c r="A2" s="135" t="s">
        <v>128</v>
      </c>
      <c r="B2" s="135" t="s">
        <v>129</v>
      </c>
      <c r="C2" s="135" t="s">
        <v>130</v>
      </c>
      <c r="D2" s="135">
        <v>15167</v>
      </c>
      <c r="E2" s="135">
        <v>0</v>
      </c>
      <c r="F2" s="135">
        <v>0</v>
      </c>
      <c r="G2" s="135">
        <v>10</v>
      </c>
      <c r="H2" s="135">
        <v>15177</v>
      </c>
      <c r="I2" s="135">
        <v>1</v>
      </c>
      <c r="J2" s="135">
        <v>15177</v>
      </c>
      <c r="K2" s="135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DB9A-DA4E-4183-95B7-3E3F147EACF8}">
  <dimension ref="A1:AF1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4" t="s">
        <v>131</v>
      </c>
      <c r="B1" s="134" t="s">
        <v>20</v>
      </c>
      <c r="C1" s="134" t="s">
        <v>19</v>
      </c>
      <c r="D1" s="134" t="s">
        <v>132</v>
      </c>
      <c r="E1" s="134" t="s">
        <v>133</v>
      </c>
      <c r="F1" s="134" t="s">
        <v>134</v>
      </c>
      <c r="G1" s="134" t="s">
        <v>135</v>
      </c>
      <c r="H1" s="134" t="s">
        <v>136</v>
      </c>
      <c r="I1" s="134" t="s">
        <v>137</v>
      </c>
      <c r="J1" s="134" t="s">
        <v>138</v>
      </c>
      <c r="K1" s="134" t="s">
        <v>139</v>
      </c>
      <c r="L1" s="134" t="s">
        <v>140</v>
      </c>
      <c r="M1" s="134" t="s">
        <v>141</v>
      </c>
      <c r="N1" s="134" t="s">
        <v>142</v>
      </c>
      <c r="O1" s="134" t="s">
        <v>143</v>
      </c>
      <c r="P1" s="134" t="s">
        <v>144</v>
      </c>
      <c r="Q1" s="134" t="s">
        <v>145</v>
      </c>
      <c r="R1" s="134" t="s">
        <v>146</v>
      </c>
      <c r="S1" s="134" t="s">
        <v>147</v>
      </c>
      <c r="T1" s="134" t="s">
        <v>148</v>
      </c>
      <c r="U1" s="134" t="s">
        <v>149</v>
      </c>
      <c r="V1" s="134" t="s">
        <v>150</v>
      </c>
      <c r="W1" s="134" t="s">
        <v>151</v>
      </c>
      <c r="X1" s="134" t="s">
        <v>152</v>
      </c>
      <c r="Y1" s="134" t="s">
        <v>153</v>
      </c>
      <c r="Z1" s="134" t="s">
        <v>125</v>
      </c>
      <c r="AA1" s="134" t="s">
        <v>21</v>
      </c>
      <c r="AB1" s="134" t="s">
        <v>154</v>
      </c>
      <c r="AC1" s="134" t="s">
        <v>155</v>
      </c>
      <c r="AD1" s="134" t="s">
        <v>127</v>
      </c>
      <c r="AE1" s="134" t="s">
        <v>22</v>
      </c>
      <c r="AF1" s="134" t="s">
        <v>156</v>
      </c>
    </row>
    <row r="2" spans="1:32" x14ac:dyDescent="0.3">
      <c r="A2" s="133" t="s">
        <v>128</v>
      </c>
      <c r="B2" s="133" t="s">
        <v>157</v>
      </c>
      <c r="C2" s="133" t="s">
        <v>158</v>
      </c>
      <c r="D2" s="133" t="s">
        <v>159</v>
      </c>
      <c r="E2" s="133" t="s">
        <v>160</v>
      </c>
      <c r="F2" s="136">
        <v>46252.367824074077</v>
      </c>
      <c r="G2" s="133" t="s">
        <v>161</v>
      </c>
      <c r="H2" s="133">
        <v>150</v>
      </c>
      <c r="I2" s="133" t="s">
        <v>162</v>
      </c>
      <c r="J2" s="136">
        <v>46253.532638888886</v>
      </c>
      <c r="K2" s="136">
        <v>46255.618055555555</v>
      </c>
      <c r="L2" s="136"/>
      <c r="M2" s="133">
        <v>150</v>
      </c>
      <c r="N2" s="133"/>
      <c r="O2" s="133" t="s">
        <v>163</v>
      </c>
      <c r="P2" s="133" t="s">
        <v>164</v>
      </c>
      <c r="Q2" s="133"/>
      <c r="R2" s="133"/>
      <c r="S2" s="133" t="s">
        <v>165</v>
      </c>
      <c r="T2" s="133" t="s">
        <v>166</v>
      </c>
      <c r="U2" s="133" t="s">
        <v>167</v>
      </c>
      <c r="V2" s="133" t="s">
        <v>168</v>
      </c>
      <c r="W2" s="133" t="s">
        <v>168</v>
      </c>
      <c r="X2" s="133" t="s">
        <v>168</v>
      </c>
      <c r="Y2" s="133"/>
      <c r="Z2" s="133"/>
      <c r="AA2" s="133" t="s">
        <v>169</v>
      </c>
      <c r="AB2" s="133" t="s">
        <v>165</v>
      </c>
      <c r="AC2" s="133">
        <v>2300</v>
      </c>
      <c r="AD2" s="133" t="s">
        <v>168</v>
      </c>
      <c r="AE2" s="133"/>
      <c r="AF2" s="133">
        <v>0</v>
      </c>
    </row>
    <row r="3" spans="1:32" x14ac:dyDescent="0.3">
      <c r="A3" s="137" t="s">
        <v>128</v>
      </c>
      <c r="B3" s="137" t="s">
        <v>170</v>
      </c>
      <c r="C3" s="137" t="s">
        <v>130</v>
      </c>
      <c r="D3" s="137" t="s">
        <v>159</v>
      </c>
      <c r="E3" s="137" t="s">
        <v>171</v>
      </c>
      <c r="F3" s="138">
        <v>46282.336180555554</v>
      </c>
      <c r="G3" s="137" t="s">
        <v>161</v>
      </c>
      <c r="H3" s="137">
        <v>4</v>
      </c>
      <c r="I3" s="137" t="s">
        <v>172</v>
      </c>
      <c r="J3" s="138">
        <v>46282.35</v>
      </c>
      <c r="K3" s="138">
        <v>46287.444444444445</v>
      </c>
      <c r="L3" s="138">
        <v>46287</v>
      </c>
      <c r="M3" s="137">
        <v>4</v>
      </c>
      <c r="N3" s="137"/>
      <c r="O3" s="137" t="s">
        <v>163</v>
      </c>
      <c r="P3" s="137" t="s">
        <v>164</v>
      </c>
      <c r="Q3" s="137"/>
      <c r="R3" s="137"/>
      <c r="S3" s="137" t="s">
        <v>165</v>
      </c>
      <c r="T3" s="137" t="s">
        <v>166</v>
      </c>
      <c r="U3" s="137" t="s">
        <v>167</v>
      </c>
      <c r="V3" s="137" t="s">
        <v>128</v>
      </c>
      <c r="W3" s="137" t="s">
        <v>173</v>
      </c>
      <c r="X3" s="137" t="s">
        <v>167</v>
      </c>
      <c r="Y3" s="137">
        <v>0</v>
      </c>
      <c r="Z3" s="137"/>
      <c r="AA3" s="137" t="s">
        <v>36</v>
      </c>
      <c r="AB3" s="137" t="s">
        <v>165</v>
      </c>
      <c r="AC3" s="137">
        <v>2300</v>
      </c>
      <c r="AD3" s="137" t="s">
        <v>53</v>
      </c>
      <c r="AE3" s="137">
        <v>1</v>
      </c>
      <c r="AF3" s="137">
        <v>1</v>
      </c>
    </row>
    <row r="4" spans="1:32" x14ac:dyDescent="0.3">
      <c r="A4" s="133" t="s">
        <v>128</v>
      </c>
      <c r="B4" s="133" t="s">
        <v>170</v>
      </c>
      <c r="C4" s="133" t="s">
        <v>130</v>
      </c>
      <c r="D4" s="133" t="s">
        <v>159</v>
      </c>
      <c r="E4" s="133" t="s">
        <v>174</v>
      </c>
      <c r="F4" s="136">
        <v>46281.658784722225</v>
      </c>
      <c r="G4" s="133" t="s">
        <v>161</v>
      </c>
      <c r="H4" s="133">
        <v>6</v>
      </c>
      <c r="I4" s="133" t="s">
        <v>175</v>
      </c>
      <c r="J4" s="136">
        <v>46282.338888888888</v>
      </c>
      <c r="K4" s="136">
        <v>46287.444444444445</v>
      </c>
      <c r="L4" s="136">
        <v>46287</v>
      </c>
      <c r="M4" s="133">
        <v>6</v>
      </c>
      <c r="N4" s="133"/>
      <c r="O4" s="133" t="s">
        <v>163</v>
      </c>
      <c r="P4" s="133" t="s">
        <v>164</v>
      </c>
      <c r="Q4" s="133"/>
      <c r="R4" s="133"/>
      <c r="S4" s="133" t="s">
        <v>165</v>
      </c>
      <c r="T4" s="133" t="s">
        <v>166</v>
      </c>
      <c r="U4" s="133" t="s">
        <v>167</v>
      </c>
      <c r="V4" s="133" t="s">
        <v>128</v>
      </c>
      <c r="W4" s="133" t="s">
        <v>173</v>
      </c>
      <c r="X4" s="133" t="s">
        <v>167</v>
      </c>
      <c r="Y4" s="133"/>
      <c r="Z4" s="133"/>
      <c r="AA4" s="133" t="s">
        <v>36</v>
      </c>
      <c r="AB4" s="133" t="s">
        <v>165</v>
      </c>
      <c r="AC4" s="133">
        <v>2300</v>
      </c>
      <c r="AD4" s="133" t="s">
        <v>53</v>
      </c>
      <c r="AE4" s="133">
        <v>1</v>
      </c>
      <c r="AF4" s="133"/>
    </row>
    <row r="5" spans="1:32" x14ac:dyDescent="0.3">
      <c r="A5" s="137" t="s">
        <v>128</v>
      </c>
      <c r="B5" s="137" t="s">
        <v>176</v>
      </c>
      <c r="C5" s="137" t="s">
        <v>177</v>
      </c>
      <c r="D5" s="137" t="s">
        <v>159</v>
      </c>
      <c r="E5" s="137" t="s">
        <v>178</v>
      </c>
      <c r="F5" s="138">
        <v>46286.528935185182</v>
      </c>
      <c r="G5" s="137" t="s">
        <v>179</v>
      </c>
      <c r="H5" s="137">
        <v>1</v>
      </c>
      <c r="I5" s="137" t="s">
        <v>180</v>
      </c>
      <c r="J5" s="138">
        <v>46286.659722222219</v>
      </c>
      <c r="K5" s="138">
        <v>46290.456944444442</v>
      </c>
      <c r="L5" s="138">
        <v>46290.456944444442</v>
      </c>
      <c r="M5" s="137">
        <v>1</v>
      </c>
      <c r="N5" s="137"/>
      <c r="O5" s="137" t="s">
        <v>163</v>
      </c>
      <c r="P5" s="137" t="s">
        <v>181</v>
      </c>
      <c r="Q5" s="137"/>
      <c r="R5" s="137"/>
      <c r="S5" s="137" t="s">
        <v>165</v>
      </c>
      <c r="T5" s="137" t="s">
        <v>166</v>
      </c>
      <c r="U5" s="137" t="s">
        <v>167</v>
      </c>
      <c r="V5" s="137" t="s">
        <v>168</v>
      </c>
      <c r="W5" s="137" t="s">
        <v>168</v>
      </c>
      <c r="X5" s="137" t="s">
        <v>168</v>
      </c>
      <c r="Y5" s="137"/>
      <c r="Z5" s="137"/>
      <c r="AA5" s="137" t="s">
        <v>182</v>
      </c>
      <c r="AB5" s="137" t="s">
        <v>165</v>
      </c>
      <c r="AC5" s="137">
        <v>2300</v>
      </c>
      <c r="AD5" s="137" t="s">
        <v>96</v>
      </c>
      <c r="AE5" s="137">
        <v>1</v>
      </c>
      <c r="AF5" s="137">
        <v>1</v>
      </c>
    </row>
    <row r="6" spans="1:32" x14ac:dyDescent="0.3">
      <c r="A6" s="133" t="s">
        <v>128</v>
      </c>
      <c r="B6" s="133" t="s">
        <v>183</v>
      </c>
      <c r="C6" s="133" t="s">
        <v>184</v>
      </c>
      <c r="D6" s="133" t="s">
        <v>159</v>
      </c>
      <c r="E6" s="133" t="s">
        <v>178</v>
      </c>
      <c r="F6" s="136">
        <v>46286.528935185182</v>
      </c>
      <c r="G6" s="133" t="s">
        <v>179</v>
      </c>
      <c r="H6" s="133">
        <v>578</v>
      </c>
      <c r="I6" s="133" t="s">
        <v>180</v>
      </c>
      <c r="J6" s="136">
        <v>46286.659722222219</v>
      </c>
      <c r="K6" s="136">
        <v>46290.456944444442</v>
      </c>
      <c r="L6" s="136"/>
      <c r="M6" s="133">
        <v>578</v>
      </c>
      <c r="N6" s="133"/>
      <c r="O6" s="133" t="s">
        <v>163</v>
      </c>
      <c r="P6" s="133" t="s">
        <v>164</v>
      </c>
      <c r="Q6" s="133"/>
      <c r="R6" s="133"/>
      <c r="S6" s="133" t="s">
        <v>165</v>
      </c>
      <c r="T6" s="133" t="s">
        <v>166</v>
      </c>
      <c r="U6" s="133" t="s">
        <v>167</v>
      </c>
      <c r="V6" s="133" t="s">
        <v>168</v>
      </c>
      <c r="W6" s="133" t="s">
        <v>168</v>
      </c>
      <c r="X6" s="133" t="s">
        <v>168</v>
      </c>
      <c r="Y6" s="133"/>
      <c r="Z6" s="133">
        <v>1</v>
      </c>
      <c r="AA6" s="133" t="s">
        <v>88</v>
      </c>
      <c r="AB6" s="133" t="s">
        <v>165</v>
      </c>
      <c r="AC6" s="133">
        <v>2300</v>
      </c>
      <c r="AD6" s="133" t="s">
        <v>93</v>
      </c>
      <c r="AE6" s="133">
        <v>578</v>
      </c>
      <c r="AF6" s="133">
        <v>57.8</v>
      </c>
    </row>
    <row r="7" spans="1:32" x14ac:dyDescent="0.3">
      <c r="A7" s="137" t="s">
        <v>128</v>
      </c>
      <c r="B7" s="137" t="s">
        <v>185</v>
      </c>
      <c r="C7" s="137" t="s">
        <v>186</v>
      </c>
      <c r="D7" s="137" t="s">
        <v>159</v>
      </c>
      <c r="E7" s="137" t="s">
        <v>178</v>
      </c>
      <c r="F7" s="138">
        <v>46286.528935185182</v>
      </c>
      <c r="G7" s="137" t="s">
        <v>179</v>
      </c>
      <c r="H7" s="137">
        <v>1</v>
      </c>
      <c r="I7" s="137" t="s">
        <v>180</v>
      </c>
      <c r="J7" s="138">
        <v>46286.659722222219</v>
      </c>
      <c r="K7" s="138">
        <v>46290.456944444442</v>
      </c>
      <c r="L7" s="138"/>
      <c r="M7" s="137">
        <v>1</v>
      </c>
      <c r="N7" s="137"/>
      <c r="O7" s="137" t="s">
        <v>163</v>
      </c>
      <c r="P7" s="137" t="s">
        <v>164</v>
      </c>
      <c r="Q7" s="137"/>
      <c r="R7" s="137"/>
      <c r="S7" s="137" t="s">
        <v>165</v>
      </c>
      <c r="T7" s="137" t="s">
        <v>166</v>
      </c>
      <c r="U7" s="137" t="s">
        <v>167</v>
      </c>
      <c r="V7" s="137" t="s">
        <v>168</v>
      </c>
      <c r="W7" s="137" t="s">
        <v>168</v>
      </c>
      <c r="X7" s="137" t="s">
        <v>168</v>
      </c>
      <c r="Y7" s="137"/>
      <c r="Z7" s="137"/>
      <c r="AA7" s="137" t="s">
        <v>187</v>
      </c>
      <c r="AB7" s="137" t="s">
        <v>165</v>
      </c>
      <c r="AC7" s="137">
        <v>2300</v>
      </c>
      <c r="AD7" s="137" t="s">
        <v>64</v>
      </c>
      <c r="AE7" s="137">
        <v>1</v>
      </c>
      <c r="AF7" s="137">
        <v>1</v>
      </c>
    </row>
    <row r="8" spans="1:32" x14ac:dyDescent="0.3">
      <c r="A8" s="133" t="s">
        <v>128</v>
      </c>
      <c r="B8" s="133" t="s">
        <v>185</v>
      </c>
      <c r="C8" s="133" t="s">
        <v>186</v>
      </c>
      <c r="D8" s="133" t="s">
        <v>159</v>
      </c>
      <c r="E8" s="133" t="s">
        <v>188</v>
      </c>
      <c r="F8" s="136">
        <v>46262.495011574072</v>
      </c>
      <c r="G8" s="133" t="s">
        <v>179</v>
      </c>
      <c r="H8" s="133">
        <v>1</v>
      </c>
      <c r="I8" s="133" t="s">
        <v>189</v>
      </c>
      <c r="J8" s="136">
        <v>46262.686562499999</v>
      </c>
      <c r="K8" s="136">
        <v>46267.352777777778</v>
      </c>
      <c r="L8" s="136"/>
      <c r="M8" s="133">
        <v>1</v>
      </c>
      <c r="N8" s="133"/>
      <c r="O8" s="133" t="s">
        <v>163</v>
      </c>
      <c r="P8" s="133" t="s">
        <v>164</v>
      </c>
      <c r="Q8" s="133"/>
      <c r="R8" s="133"/>
      <c r="S8" s="133" t="s">
        <v>165</v>
      </c>
      <c r="T8" s="133" t="s">
        <v>166</v>
      </c>
      <c r="U8" s="133" t="s">
        <v>167</v>
      </c>
      <c r="V8" s="133" t="s">
        <v>168</v>
      </c>
      <c r="W8" s="133" t="s">
        <v>168</v>
      </c>
      <c r="X8" s="133" t="s">
        <v>168</v>
      </c>
      <c r="Y8" s="133"/>
      <c r="Z8" s="133"/>
      <c r="AA8" s="133" t="s">
        <v>187</v>
      </c>
      <c r="AB8" s="133" t="s">
        <v>165</v>
      </c>
      <c r="AC8" s="133">
        <v>2300</v>
      </c>
      <c r="AD8" s="133" t="s">
        <v>64</v>
      </c>
      <c r="AE8" s="133">
        <v>1</v>
      </c>
      <c r="AF8" s="133">
        <v>1</v>
      </c>
    </row>
    <row r="9" spans="1:32" x14ac:dyDescent="0.3">
      <c r="A9" s="137" t="s">
        <v>128</v>
      </c>
      <c r="B9" s="137" t="s">
        <v>176</v>
      </c>
      <c r="C9" s="137" t="s">
        <v>177</v>
      </c>
      <c r="D9" s="137" t="s">
        <v>159</v>
      </c>
      <c r="E9" s="137" t="s">
        <v>188</v>
      </c>
      <c r="F9" s="138">
        <v>46262.495011574072</v>
      </c>
      <c r="G9" s="137" t="s">
        <v>179</v>
      </c>
      <c r="H9" s="137">
        <v>1</v>
      </c>
      <c r="I9" s="137" t="s">
        <v>189</v>
      </c>
      <c r="J9" s="138">
        <v>46262.686562499999</v>
      </c>
      <c r="K9" s="138">
        <v>46267.352777777778</v>
      </c>
      <c r="L9" s="138">
        <v>46267.352777777778</v>
      </c>
      <c r="M9" s="137">
        <v>1</v>
      </c>
      <c r="N9" s="137"/>
      <c r="O9" s="137" t="s">
        <v>163</v>
      </c>
      <c r="P9" s="137" t="s">
        <v>181</v>
      </c>
      <c r="Q9" s="137"/>
      <c r="R9" s="137"/>
      <c r="S9" s="137" t="s">
        <v>165</v>
      </c>
      <c r="T9" s="137" t="s">
        <v>166</v>
      </c>
      <c r="U9" s="137" t="s">
        <v>167</v>
      </c>
      <c r="V9" s="137" t="s">
        <v>168</v>
      </c>
      <c r="W9" s="137" t="s">
        <v>168</v>
      </c>
      <c r="X9" s="137" t="s">
        <v>168</v>
      </c>
      <c r="Y9" s="137"/>
      <c r="Z9" s="137"/>
      <c r="AA9" s="137" t="s">
        <v>182</v>
      </c>
      <c r="AB9" s="137" t="s">
        <v>165</v>
      </c>
      <c r="AC9" s="137">
        <v>2300</v>
      </c>
      <c r="AD9" s="137" t="s">
        <v>96</v>
      </c>
      <c r="AE9" s="137">
        <v>1</v>
      </c>
      <c r="AF9" s="137">
        <v>1</v>
      </c>
    </row>
    <row r="10" spans="1:32" x14ac:dyDescent="0.3">
      <c r="A10" s="133" t="s">
        <v>128</v>
      </c>
      <c r="B10" s="133" t="s">
        <v>183</v>
      </c>
      <c r="C10" s="133" t="s">
        <v>184</v>
      </c>
      <c r="D10" s="133" t="s">
        <v>159</v>
      </c>
      <c r="E10" s="133" t="s">
        <v>188</v>
      </c>
      <c r="F10" s="136">
        <v>46262.495011574072</v>
      </c>
      <c r="G10" s="133" t="s">
        <v>179</v>
      </c>
      <c r="H10" s="133">
        <v>153</v>
      </c>
      <c r="I10" s="133" t="s">
        <v>189</v>
      </c>
      <c r="J10" s="136">
        <v>46262.686562499999</v>
      </c>
      <c r="K10" s="136">
        <v>46267.352777777778</v>
      </c>
      <c r="L10" s="136"/>
      <c r="M10" s="133">
        <v>153</v>
      </c>
      <c r="N10" s="133"/>
      <c r="O10" s="133" t="s">
        <v>163</v>
      </c>
      <c r="P10" s="133" t="s">
        <v>181</v>
      </c>
      <c r="Q10" s="133"/>
      <c r="R10" s="133"/>
      <c r="S10" s="133" t="s">
        <v>165</v>
      </c>
      <c r="T10" s="133" t="s">
        <v>166</v>
      </c>
      <c r="U10" s="133" t="s">
        <v>167</v>
      </c>
      <c r="V10" s="133" t="s">
        <v>168</v>
      </c>
      <c r="W10" s="133" t="s">
        <v>168</v>
      </c>
      <c r="X10" s="133" t="s">
        <v>168</v>
      </c>
      <c r="Y10" s="133"/>
      <c r="Z10" s="133">
        <v>1</v>
      </c>
      <c r="AA10" s="133" t="s">
        <v>88</v>
      </c>
      <c r="AB10" s="133" t="s">
        <v>165</v>
      </c>
      <c r="AC10" s="133">
        <v>2300</v>
      </c>
      <c r="AD10" s="133" t="s">
        <v>93</v>
      </c>
      <c r="AE10" s="133">
        <v>153</v>
      </c>
      <c r="AF10" s="133">
        <v>15.3</v>
      </c>
    </row>
    <row r="11" spans="1:32" x14ac:dyDescent="0.3">
      <c r="A11" s="137" t="s">
        <v>128</v>
      </c>
      <c r="B11" s="137" t="s">
        <v>183</v>
      </c>
      <c r="C11" s="137" t="s">
        <v>184</v>
      </c>
      <c r="D11" s="137" t="s">
        <v>159</v>
      </c>
      <c r="E11" s="137" t="s">
        <v>190</v>
      </c>
      <c r="F11" s="138">
        <v>46255.568541666667</v>
      </c>
      <c r="G11" s="137" t="s">
        <v>179</v>
      </c>
      <c r="H11" s="137">
        <v>398</v>
      </c>
      <c r="I11" s="137" t="s">
        <v>191</v>
      </c>
      <c r="J11" s="138">
        <v>46258.384791666664</v>
      </c>
      <c r="K11" s="138">
        <v>46265.379166666666</v>
      </c>
      <c r="L11" s="138"/>
      <c r="M11" s="137">
        <v>398</v>
      </c>
      <c r="N11" s="137"/>
      <c r="O11" s="137" t="s">
        <v>163</v>
      </c>
      <c r="P11" s="137" t="s">
        <v>164</v>
      </c>
      <c r="Q11" s="137"/>
      <c r="R11" s="137"/>
      <c r="S11" s="137" t="s">
        <v>165</v>
      </c>
      <c r="T11" s="137" t="s">
        <v>166</v>
      </c>
      <c r="U11" s="137" t="s">
        <v>167</v>
      </c>
      <c r="V11" s="137" t="s">
        <v>168</v>
      </c>
      <c r="W11" s="137" t="s">
        <v>168</v>
      </c>
      <c r="X11" s="137" t="s">
        <v>168</v>
      </c>
      <c r="Y11" s="137"/>
      <c r="Z11" s="137">
        <v>1</v>
      </c>
      <c r="AA11" s="137" t="s">
        <v>88</v>
      </c>
      <c r="AB11" s="137" t="s">
        <v>165</v>
      </c>
      <c r="AC11" s="137">
        <v>2300</v>
      </c>
      <c r="AD11" s="137" t="s">
        <v>93</v>
      </c>
      <c r="AE11" s="137">
        <v>398</v>
      </c>
      <c r="AF11" s="137">
        <v>39.799999999999997</v>
      </c>
    </row>
    <row r="12" spans="1:32" x14ac:dyDescent="0.3">
      <c r="A12" s="133" t="s">
        <v>128</v>
      </c>
      <c r="B12" s="133" t="s">
        <v>185</v>
      </c>
      <c r="C12" s="133" t="s">
        <v>186</v>
      </c>
      <c r="D12" s="133" t="s">
        <v>159</v>
      </c>
      <c r="E12" s="133" t="s">
        <v>190</v>
      </c>
      <c r="F12" s="136">
        <v>46255.568541666667</v>
      </c>
      <c r="G12" s="133" t="s">
        <v>179</v>
      </c>
      <c r="H12" s="133">
        <v>1</v>
      </c>
      <c r="I12" s="133" t="s">
        <v>191</v>
      </c>
      <c r="J12" s="136">
        <v>46258.384791666664</v>
      </c>
      <c r="K12" s="136">
        <v>46265.379166666666</v>
      </c>
      <c r="L12" s="136"/>
      <c r="M12" s="133">
        <v>1</v>
      </c>
      <c r="N12" s="133"/>
      <c r="O12" s="133" t="s">
        <v>163</v>
      </c>
      <c r="P12" s="133" t="s">
        <v>164</v>
      </c>
      <c r="Q12" s="133"/>
      <c r="R12" s="133"/>
      <c r="S12" s="133" t="s">
        <v>165</v>
      </c>
      <c r="T12" s="133" t="s">
        <v>166</v>
      </c>
      <c r="U12" s="133" t="s">
        <v>167</v>
      </c>
      <c r="V12" s="133" t="s">
        <v>168</v>
      </c>
      <c r="W12" s="133" t="s">
        <v>168</v>
      </c>
      <c r="X12" s="133" t="s">
        <v>168</v>
      </c>
      <c r="Y12" s="133"/>
      <c r="Z12" s="133"/>
      <c r="AA12" s="133" t="s">
        <v>187</v>
      </c>
      <c r="AB12" s="133" t="s">
        <v>165</v>
      </c>
      <c r="AC12" s="133">
        <v>2300</v>
      </c>
      <c r="AD12" s="133" t="s">
        <v>64</v>
      </c>
      <c r="AE12" s="133">
        <v>1</v>
      </c>
      <c r="AF12" s="133">
        <v>1</v>
      </c>
    </row>
    <row r="13" spans="1:32" x14ac:dyDescent="0.3">
      <c r="A13" s="139" t="s">
        <v>128</v>
      </c>
      <c r="B13" s="139" t="s">
        <v>176</v>
      </c>
      <c r="C13" s="139" t="s">
        <v>177</v>
      </c>
      <c r="D13" s="139" t="s">
        <v>159</v>
      </c>
      <c r="E13" s="139" t="s">
        <v>190</v>
      </c>
      <c r="F13" s="140">
        <v>46255.568541666667</v>
      </c>
      <c r="G13" s="139" t="s">
        <v>179</v>
      </c>
      <c r="H13" s="139">
        <v>1</v>
      </c>
      <c r="I13" s="139" t="s">
        <v>191</v>
      </c>
      <c r="J13" s="140">
        <v>46258.384791666664</v>
      </c>
      <c r="K13" s="140">
        <v>46265.379166666666</v>
      </c>
      <c r="L13" s="140">
        <v>46265.379166666666</v>
      </c>
      <c r="M13" s="139">
        <v>1</v>
      </c>
      <c r="N13" s="139"/>
      <c r="O13" s="139" t="s">
        <v>163</v>
      </c>
      <c r="P13" s="139" t="s">
        <v>181</v>
      </c>
      <c r="Q13" s="139"/>
      <c r="R13" s="139"/>
      <c r="S13" s="139" t="s">
        <v>165</v>
      </c>
      <c r="T13" s="139" t="s">
        <v>166</v>
      </c>
      <c r="U13" s="139" t="s">
        <v>167</v>
      </c>
      <c r="V13" s="139" t="s">
        <v>168</v>
      </c>
      <c r="W13" s="139" t="s">
        <v>168</v>
      </c>
      <c r="X13" s="139" t="s">
        <v>168</v>
      </c>
      <c r="Y13" s="139"/>
      <c r="Z13" s="139"/>
      <c r="AA13" s="139" t="s">
        <v>182</v>
      </c>
      <c r="AB13" s="139" t="s">
        <v>165</v>
      </c>
      <c r="AC13" s="139">
        <v>2300</v>
      </c>
      <c r="AD13" s="139" t="s">
        <v>96</v>
      </c>
      <c r="AE13" s="139">
        <v>1</v>
      </c>
      <c r="AF13" s="139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2251-FE8E-4EFF-9FC6-C09F5F3C03DB}">
  <dimension ref="A1:R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4" t="s">
        <v>131</v>
      </c>
      <c r="B1" s="134" t="s">
        <v>20</v>
      </c>
      <c r="C1" s="134" t="s">
        <v>19</v>
      </c>
      <c r="D1" s="134" t="s">
        <v>134</v>
      </c>
      <c r="E1" s="134" t="s">
        <v>135</v>
      </c>
      <c r="F1" s="134" t="s">
        <v>136</v>
      </c>
      <c r="G1" s="134" t="s">
        <v>139</v>
      </c>
      <c r="H1" s="134" t="s">
        <v>147</v>
      </c>
      <c r="I1" s="134" t="s">
        <v>148</v>
      </c>
      <c r="J1" s="134" t="s">
        <v>149</v>
      </c>
      <c r="K1" s="134" t="s">
        <v>150</v>
      </c>
      <c r="L1" s="134" t="s">
        <v>151</v>
      </c>
      <c r="M1" s="134" t="s">
        <v>152</v>
      </c>
      <c r="N1" s="134" t="s">
        <v>153</v>
      </c>
      <c r="O1" s="134" t="s">
        <v>21</v>
      </c>
      <c r="P1" s="134" t="s">
        <v>154</v>
      </c>
      <c r="Q1" s="134" t="s">
        <v>127</v>
      </c>
      <c r="R1" s="134" t="s">
        <v>156</v>
      </c>
    </row>
    <row r="2" spans="1:18" x14ac:dyDescent="0.3">
      <c r="A2" s="133" t="s">
        <v>128</v>
      </c>
      <c r="B2" s="133" t="s">
        <v>170</v>
      </c>
      <c r="C2" s="133" t="s">
        <v>130</v>
      </c>
      <c r="D2" s="136">
        <v>46282.336180555554</v>
      </c>
      <c r="E2" s="133" t="s">
        <v>161</v>
      </c>
      <c r="F2" s="133">
        <v>4</v>
      </c>
      <c r="G2" s="136">
        <v>46287.444444444445</v>
      </c>
      <c r="H2" s="133" t="s">
        <v>165</v>
      </c>
      <c r="I2" s="133" t="s">
        <v>166</v>
      </c>
      <c r="J2" s="133" t="s">
        <v>167</v>
      </c>
      <c r="K2" s="133" t="s">
        <v>128</v>
      </c>
      <c r="L2" s="133" t="s">
        <v>173</v>
      </c>
      <c r="M2" s="133" t="s">
        <v>167</v>
      </c>
      <c r="N2" s="133">
        <v>0</v>
      </c>
      <c r="O2" s="133" t="s">
        <v>36</v>
      </c>
      <c r="P2" s="133" t="s">
        <v>165</v>
      </c>
      <c r="Q2" s="133" t="s">
        <v>53</v>
      </c>
      <c r="R2" s="133">
        <v>1</v>
      </c>
    </row>
    <row r="3" spans="1:18" x14ac:dyDescent="0.3">
      <c r="A3" s="139" t="s">
        <v>128</v>
      </c>
      <c r="B3" s="139" t="s">
        <v>170</v>
      </c>
      <c r="C3" s="139" t="s">
        <v>130</v>
      </c>
      <c r="D3" s="140">
        <v>46281.658784722225</v>
      </c>
      <c r="E3" s="139" t="s">
        <v>161</v>
      </c>
      <c r="F3" s="139">
        <v>6</v>
      </c>
      <c r="G3" s="140">
        <v>46287.444444444445</v>
      </c>
      <c r="H3" s="139" t="s">
        <v>165</v>
      </c>
      <c r="I3" s="139" t="s">
        <v>166</v>
      </c>
      <c r="J3" s="139" t="s">
        <v>167</v>
      </c>
      <c r="K3" s="139" t="s">
        <v>128</v>
      </c>
      <c r="L3" s="139" t="s">
        <v>173</v>
      </c>
      <c r="M3" s="139" t="s">
        <v>167</v>
      </c>
      <c r="N3" s="139"/>
      <c r="O3" s="139" t="s">
        <v>36</v>
      </c>
      <c r="P3" s="139" t="s">
        <v>165</v>
      </c>
      <c r="Q3" s="139" t="s">
        <v>53</v>
      </c>
      <c r="R3" s="13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2026-10-20T17:35:14Z</dcterms:created>
  <dcterms:modified xsi:type="dcterms:W3CDTF">2026-10-20T17:35:15Z</dcterms:modified>
</cp:coreProperties>
</file>
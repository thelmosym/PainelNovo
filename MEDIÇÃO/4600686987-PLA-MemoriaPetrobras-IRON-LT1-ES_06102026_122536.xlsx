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4F20E5A6-28C2-4483-9DF6-B75E9C9FDD8C}" xr6:coauthVersionLast="47" xr6:coauthVersionMax="47" xr10:uidLastSave="{00000000-0000-0000-0000-000000000000}"/>
  <bookViews>
    <workbookView xWindow="-108" yWindow="-108" windowWidth="30936" windowHeight="16776" activeTab="3" xr2:uid="{5704CA77-6126-4CC7-8F43-6FC79CD88925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J35" i="1"/>
  <c r="J34" i="1"/>
  <c r="J33" i="1"/>
  <c r="J32" i="1"/>
  <c r="J31" i="1"/>
  <c r="J30" i="1"/>
  <c r="G29" i="1"/>
  <c r="F29" i="1"/>
  <c r="E29" i="1"/>
  <c r="D29" i="1"/>
  <c r="H29" i="1" s="1"/>
  <c r="J28" i="1"/>
  <c r="G26" i="1"/>
  <c r="F26" i="1"/>
  <c r="E26" i="1"/>
  <c r="D26" i="1"/>
  <c r="J25" i="1"/>
  <c r="G23" i="1"/>
  <c r="F23" i="1"/>
  <c r="E23" i="1"/>
  <c r="D23" i="1"/>
  <c r="J22" i="1"/>
  <c r="G20" i="1"/>
  <c r="H20" i="1" s="1"/>
  <c r="F20" i="1"/>
  <c r="E20" i="1"/>
  <c r="D20" i="1"/>
  <c r="J19" i="1"/>
  <c r="G17" i="1"/>
  <c r="F17" i="1"/>
  <c r="E17" i="1"/>
  <c r="D17" i="1"/>
  <c r="J16" i="1"/>
  <c r="G14" i="1"/>
  <c r="F14" i="1"/>
  <c r="E14" i="1"/>
  <c r="H14" i="1" s="1"/>
  <c r="D14" i="1"/>
  <c r="J13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8" i="1"/>
  <c r="K28" i="1"/>
  <c r="H26" i="1"/>
  <c r="M25" i="1"/>
  <c r="K25" i="1"/>
  <c r="H23" i="1"/>
  <c r="M22" i="1"/>
  <c r="K22" i="1"/>
  <c r="M19" i="1"/>
  <c r="K19" i="1"/>
  <c r="H17" i="1"/>
  <c r="M16" i="1"/>
  <c r="K16" i="1"/>
  <c r="M13" i="1"/>
  <c r="M48" i="1" s="1"/>
  <c r="K13" i="1"/>
  <c r="K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AE4F80C9-6F4A-4041-971C-83F142BC7A2B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6448851A-BC50-409C-8CDF-09365F7BC38B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23F79042-7A9F-496E-B3FA-776A2577CED0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60CA2C9B-B07D-434C-BA64-5CC0EE788BCF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C72586A9-67E7-46F0-A14A-4B60D5FB678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B0E568F1-5216-4EB6-9185-CFDF1DF06954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1B821FAD-394F-46A4-BE42-B9A47A3832DE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3B3492A4-9970-4891-9C8D-1B80F9DD4A2A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B0C5A58D-E4E9-4A02-BECB-A28BA3A4D11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<sst xmlns="http://schemas.openxmlformats.org/spreadsheetml/2006/main" count="471" uniqueCount="192">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</sst>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12EEE-F430-405D-AA70-8E8EAF012907}" name="ARM_IRON_LT1_ES" displayName="ARM_IRON_LT1_ES" ref="A1:K2" totalsRowShown="0" headerRowDxfId="40" dataDxfId="41" headerRowBorderDxfId="54" tableBorderDxfId="55" totalsRowBorderDxfId="53">
  <autoFilter ref="A1:K2" xr:uid="{A4712EEE-F430-405D-AA70-8E8EAF012907}"/>
  <tableColumns count="11">
    <tableColumn id="1" xr3:uid="{B111EC79-EB69-4E87-9AA2-0154ADA35404}" name="Contrato-Reg." dataDxfId="52"/>
    <tableColumn id="2" xr3:uid="{E1D0EE88-EC41-4F2D-800B-2ADDF4184D01}" name="MEDIDAS CONTRATO" dataDxfId="51"/>
    <tableColumn id="3" xr3:uid="{9B89221B-3C93-4061-92B1-4CE9B7C0EACF}" name="Item" dataDxfId="50"/>
    <tableColumn id="4" xr3:uid="{B0F1EFDC-C4EC-4A4B-BAA9-8844291229D7}" name="QUAm-1" dataDxfId="49"/>
    <tableColumn id="5" xr3:uid="{5CC2BAC4-13F2-455F-8647-9E4F57CA0AB6}" name="QBm" dataDxfId="48"/>
    <tableColumn id="6" xr3:uid="{F7ACC318-FE39-4D35-AAD1-AEE3665FED31}" name="QDm" dataDxfId="47"/>
    <tableColumn id="7" xr3:uid="{FB984CD8-3CB1-47BA-8AB6-3B7FC88B8BF2}" name="QNm" dataDxfId="46"/>
    <tableColumn id="8" xr3:uid="{EF315CFF-2B44-472F-B15E-A0A7D72D8E3C}" name="QUAm" dataDxfId="45"/>
    <tableColumn id="9" xr3:uid="{14EF476F-160E-4CF6-A2D5-4BCA036F4538}" name="FC" dataDxfId="44"/>
    <tableColumn id="10" xr3:uid="{0E75027B-9691-4CB5-8B72-F0FF13007489}" name="QUA" dataDxfId="43"/>
    <tableColumn id="11" xr3:uid="{B8027D95-C9DD-40FE-9C35-95248F3BB33C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36749F-425D-48FF-9418-B5DC6571365C}" name="DADOS_IRON_LT1_ES" displayName="DADOS_IRON_LT1_ES" ref="A1:AF13" totalsRowShown="0" headerRowDxfId="4" headerRowBorderDxfId="38" tableBorderDxfId="39" totalsRowBorderDxfId="37">
  <autoFilter ref="A1:AF13" xr:uid="{7336749F-425D-48FF-9418-B5DC6571365C}"/>
  <tableColumns count="32">
    <tableColumn id="1" xr3:uid="{BDC5610B-5E25-43B7-A423-6C3F813F6AB8}" name="Contrato.1" dataDxfId="36"/>
    <tableColumn id="2" xr3:uid="{322E3B01-DC61-4CEF-86EA-EC45BE44E602}" name="Descrição da atividade" dataDxfId="35"/>
    <tableColumn id="3" xr3:uid="{D214D513-744B-4C6D-B98E-D6239900A0DD}" name="Item" dataDxfId="34"/>
    <tableColumn id="4" xr3:uid="{CC8F69D3-33FF-473F-B240-ACA587729245}" name="Aplicação" dataDxfId="33"/>
    <tableColumn id="5" xr3:uid="{F134637F-759F-4156-988B-FAEE7B47E9AB}" name="Código da_x000a_solicitação" dataDxfId="32"/>
    <tableColumn id="6" xr3:uid="{E7BAA83D-1F8C-43AB-B001-C4797068E949}" name="Data solicitação" dataDxfId="31"/>
    <tableColumn id="7" xr3:uid="{720A5453-E471-4CFC-8E60-AFC7D2A2336D}" name="Gerência solicitante" dataDxfId="30"/>
    <tableColumn id="8" xr3:uid="{6A6A6A77-77F7-4918-910C-C40F6C9D3072}" name="Qtd._x000a_Solicitada" dataDxfId="29"/>
    <tableColumn id="9" xr3:uid="{42F1AF3B-1D8B-4331-8807-6DDB75924D30}" name="Código OS" dataDxfId="28"/>
    <tableColumn id="10" xr3:uid="{EE9DD198-851C-4EEF-B874-64255626FC87}" name="D. abertura" dataDxfId="27"/>
    <tableColumn id="11" xr3:uid="{0A097D94-4F07-4C50-94E1-00B07459AF13}" name="D. fechamento" dataDxfId="26"/>
    <tableColumn id="12" xr3:uid="{BEA282FA-96BE-43F7-AD80-E5CB85C0B169}" name="Prazo combinado" dataDxfId="25"/>
    <tableColumn id="13" xr3:uid="{A4CC4DA0-68FD-4214-AAD8-C610BCB1609C}" name="Qtd._x000a_Atendida" dataDxfId="24"/>
    <tableColumn id="14" xr3:uid="{DE28B2D1-3869-4E0D-BFAE-749CB180914F}" name="Agrupamento" dataDxfId="23"/>
    <tableColumn id="15" xr3:uid="{0DC5622D-93CE-4F8D-BA1F-EE47D4D3CFFE}" name="Classificação" dataDxfId="22"/>
    <tableColumn id="16" xr3:uid="{27DE0301-5499-4DBE-A98E-3B450C736A46}" name="FDM" dataDxfId="21"/>
    <tableColumn id="17" xr3:uid="{1E66B70A-5C25-489C-A6FF-82BA14234806}" name="Obs. Isenção" dataDxfId="20"/>
    <tableColumn id="18" xr3:uid="{08214606-A83A-4CD8-909D-E592B9EF3554}" name="FA" dataDxfId="19"/>
    <tableColumn id="19" xr3:uid="{39D06792-BF35-4BC9-A079-41D0D98BC56C}" name="Localidade - Origem" dataDxfId="18"/>
    <tableColumn id="20" xr3:uid="{EB66F8E7-EB99-4516-8BF8-000943C9CEFF}" name="Município - Origem" dataDxfId="17"/>
    <tableColumn id="21" xr3:uid="{2EE11EFC-7C76-4C7E-98C9-AB238235B6A8}" name="UF - Origem" dataDxfId="16"/>
    <tableColumn id="22" xr3:uid="{218E3229-14D6-4F79-A9BF-BD30C84551B1}" name="Localidade - Destino" dataDxfId="15"/>
    <tableColumn id="23" xr3:uid="{0075CFDD-8A1C-415B-9A1E-EEC95971AA05}" name="Município - Destino" dataDxfId="14"/>
    <tableColumn id="24" xr3:uid="{37F7C70D-20C0-4739-B247-5B638B71BF35}" name="UF - Destino" dataDxfId="13"/>
    <tableColumn id="25" xr3:uid="{E2281ECE-C472-4377-9C86-13BDE919A0FC}" name="KM Adicional" dataDxfId="12"/>
    <tableColumn id="26" xr3:uid="{1A5A0A9E-2A92-476E-AC36-07239852EB10}" name="FC" dataDxfId="11"/>
    <tableColumn id="27" xr3:uid="{4ADD3E4B-CBE9-4D6D-AE62-76E3CDD0510F}" name="Unidade" dataDxfId="10"/>
    <tableColumn id="28" xr3:uid="{5CD8C3CA-A402-4127-96BF-9A363AC7DB7C}" name="Centro" dataDxfId="9"/>
    <tableColumn id="29" xr3:uid="{3B66D8E1-A3FE-40E6-A025-6EBCF7145436}" name="Código Centro" dataDxfId="8"/>
    <tableColumn id="30" xr3:uid="{6CA8F0C5-D9E2-4CDF-92F1-C450C25E8471}" name="Linha de serviço PPU" dataDxfId="7"/>
    <tableColumn id="31" xr3:uid="{61076C17-4949-4DAE-BA95-17F4A1C41DD9}" name="QExec" dataDxfId="6"/>
    <tableColumn id="32" xr3:uid="{4AE37DCD-02AE-4D06-B8EA-EEA52C99605F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B4C108-0639-4314-9141-C69E94555CC3}" name="FRETE_IRON_LT1_ES" displayName="FRETE_IRON_LT1_ES" ref="A1:R3" totalsRowShown="0" headerRowDxfId="0" headerRowBorderDxfId="2" tableBorderDxfId="3" totalsRowBorderDxfId="1">
  <autoFilter ref="A1:R3" xr:uid="{92B4C108-0639-4314-9141-C69E94555CC3}"/>
  <tableColumns count="18">
    <tableColumn id="1" xr3:uid="{61453974-D355-41E4-8D2A-E17ABC5F323F}" name="Contrato.1"/>
    <tableColumn id="2" xr3:uid="{AC9AB571-CCBC-4535-854B-70ACE660B0EE}" name="Descrição da atividade"/>
    <tableColumn id="3" xr3:uid="{D5CBC269-FF99-4799-A3FF-63809AA6CB4B}" name="Item"/>
    <tableColumn id="4" xr3:uid="{B04F2C4A-EF13-488B-9825-498073567762}" name="Data solicitação"/>
    <tableColumn id="5" xr3:uid="{364CE564-6A2D-411A-A2A4-339BB6B11CA6}" name="Gerência solicitante"/>
    <tableColumn id="6" xr3:uid="{88F97952-FB80-4710-A2A4-AF2D6872FE69}" name="Qtd._x000a_Solicitada"/>
    <tableColumn id="7" xr3:uid="{B46E9C9A-1A3C-442A-A7DC-969987025291}" name="D. fechamento"/>
    <tableColumn id="8" xr3:uid="{42FDC637-7917-4AD6-983C-DD90FF12164C}" name="Localidade - Origem"/>
    <tableColumn id="9" xr3:uid="{2640DDAD-5E5F-4568-891C-6A181842DE74}" name="Município - Origem"/>
    <tableColumn id="10" xr3:uid="{CD869144-7DF1-4EFD-8DEC-838BC87D0B3D}" name="UF - Origem"/>
    <tableColumn id="11" xr3:uid="{49154A52-887A-4B04-B277-ADAB2318124D}" name="Localidade - Destino"/>
    <tableColumn id="12" xr3:uid="{61830034-2445-4D6B-ACEE-CE472143F51C}" name="Município - Destino"/>
    <tableColumn id="13" xr3:uid="{F0291C79-B020-4740-BFAD-0A578152201C}" name="UF - Destino"/>
    <tableColumn id="14" xr3:uid="{D5606762-5010-4567-9CD6-260BC9769DE0}" name="KM Adicional"/>
    <tableColumn id="15" xr3:uid="{5CEB2D61-5F98-400D-AC78-04ECBCC6E938}" name="Unidade"/>
    <tableColumn id="16" xr3:uid="{BAC61F4A-E578-40CD-8CF8-E239F8145B59}" name="Centro"/>
    <tableColumn id="17" xr3:uid="{E30F4C10-E0C1-4085-8C0B-BD39E8830E9C}" name="Linha de serviço PPU"/>
    <tableColumn id="18" xr3:uid="{3800D444-FE4E-47EA-B9F5-CEE0652BEFB8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B25E-6C16-4909-A09D-6161E27FE14E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32.467532467532465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73.958333333333343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0</v>
      </c>
      <c r="L13" s="74">
        <v>0.6</v>
      </c>
      <c r="M13" s="75">
        <f>J13*L13</f>
        <v>9106.1999999999989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J16*L16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0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0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0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9351.5599999999977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0CE7-ECA9-4A12-8D32-CC617F137C5F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A855-D9EC-4471-AC14-DFC0D1F8AEC1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9A9B-1DFF-4C7E-BB5E-7E72198CEB9B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2026-10-06T15:25:35Z</dcterms:created>
  <dcterms:modified xsi:type="dcterms:W3CDTF">2026-10-06T15:25:36Z</dcterms:modified>
</cp:coreProperties>
</file>
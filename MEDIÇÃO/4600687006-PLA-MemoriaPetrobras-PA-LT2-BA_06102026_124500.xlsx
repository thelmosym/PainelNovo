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21C812EE-6762-48BA-8E1D-747614F23C71}" xr6:coauthVersionLast="47" xr6:coauthVersionMax="47" xr10:uidLastSave="{00000000-0000-0000-0000-000000000000}"/>
  <bookViews>
    <workbookView xWindow="-108" yWindow="-108" windowWidth="30936" windowHeight="16776" activeTab="3" xr2:uid="{98698765-B453-417C-9099-8E07DBFCAACA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6" i="1" l="1"/>
  <c r="J45" i="1"/>
  <c r="J44" i="1"/>
  <c r="J43" i="1"/>
  <c r="J42" i="1"/>
  <c r="J41" i="1"/>
  <c r="J40" i="1"/>
  <c r="J39" i="1"/>
  <c r="J38" i="1"/>
  <c r="J36" i="1"/>
  <c r="J35" i="1"/>
  <c r="K35" i="1" s="1"/>
  <c r="J34" i="1"/>
  <c r="J33" i="1"/>
  <c r="J32" i="1"/>
  <c r="J31" i="1"/>
  <c r="J30" i="1"/>
  <c r="G29" i="1"/>
  <c r="F29" i="1"/>
  <c r="E29" i="1"/>
  <c r="D29" i="1"/>
  <c r="J28" i="1"/>
  <c r="G26" i="1"/>
  <c r="F26" i="1"/>
  <c r="H26" i="1" s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G17" i="1"/>
  <c r="F17" i="1"/>
  <c r="E17" i="1"/>
  <c r="D17" i="1"/>
  <c r="H17" i="1" s="1"/>
  <c r="J16" i="1"/>
  <c r="G14" i="1"/>
  <c r="F14" i="1"/>
  <c r="E14" i="1"/>
  <c r="D14" i="1"/>
  <c r="J13" i="1"/>
  <c r="K46" i="1"/>
  <c r="M46" i="1" s="1"/>
  <c r="K45" i="1"/>
  <c r="M45" i="1" s="1"/>
  <c r="M44" i="1"/>
  <c r="K44" i="1"/>
  <c r="K43" i="1"/>
  <c r="M43" i="1" s="1"/>
  <c r="K42" i="1"/>
  <c r="M42" i="1" s="1"/>
  <c r="K41" i="1"/>
  <c r="M41" i="1" s="1"/>
  <c r="M40" i="1"/>
  <c r="K40" i="1"/>
  <c r="M39" i="1"/>
  <c r="K39" i="1"/>
  <c r="M38" i="1"/>
  <c r="K38" i="1"/>
  <c r="M36" i="1"/>
  <c r="K36" i="1"/>
  <c r="K34" i="1"/>
  <c r="M34" i="1" s="1"/>
  <c r="K33" i="1"/>
  <c r="M33" i="1" s="1"/>
  <c r="K32" i="1"/>
  <c r="M32" i="1" s="1"/>
  <c r="K31" i="1"/>
  <c r="M31" i="1" s="1"/>
  <c r="K30" i="1"/>
  <c r="M30" i="1" s="1"/>
  <c r="H29" i="1"/>
  <c r="K28" i="1"/>
  <c r="M28" i="1" s="1"/>
  <c r="K25" i="1"/>
  <c r="M25" i="1" s="1"/>
  <c r="H23" i="1"/>
  <c r="K22" i="1"/>
  <c r="M22" i="1" s="1"/>
  <c r="K19" i="1"/>
  <c r="M19" i="1" s="1"/>
  <c r="K16" i="1"/>
  <c r="M16" i="1" s="1"/>
  <c r="H14" i="1"/>
  <c r="K13" i="1"/>
  <c r="M13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EB263959-E921-4D02-AE2F-90B143B2120A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A493C52D-3819-4D8C-AD63-E45C6083F8DC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883D9C66-2DEC-4AB9-B36E-300FB55E33EB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AB614456-AFC8-4751-9E68-5817385C891C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7F1989DB-0376-403C-A2A2-672B7BE0C3B3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<sst xmlns="http://schemas.openxmlformats.org/spreadsheetml/2006/main" count="3879" uniqueCount="373">
  <si>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</si>
  <si>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</si>
  <si>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</si>
  <si>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t>PA ARQUIVOS LTDA</t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</si>
  <si>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</si>
  <si>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34.409.656/0001-84</t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</si>
  <si>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</si>
  <si>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</si>
  <si>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</si>
  <si>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</si>
  <si>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Lote 2</t>
  </si>
  <si>
    <t>FDM:</t>
  </si>
  <si>
    <r>
      <rPr>
        <b/>
        <sz val="11"/>
        <color theme="1"/>
        <rFont val="Calibri"/>
        <family val="2"/>
      </rPr>
      <t>Objeto:</t>
    </r>
  </si>
  <si>
    <t>SERVIÇO DE GUARDA E GERENCIAMENTO DE
DOCUMENTOS E INFORMAÇÕES DO ACERVO DA PETROBRAS</t>
  </si>
  <si>
    <t>Instr. contratual:</t>
  </si>
  <si>
    <t>5900.0133214.25.2</t>
  </si>
  <si>
    <t>Item 2 PPU</t>
  </si>
  <si>
    <t>Período:</t>
  </si>
  <si>
    <t>26/06/2026 à 25/07/2026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</si>
  <si>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</si>
  <si>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</si>
  <si>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</si>
  <si>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</si>
  <si>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</si>
  <si>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</si>
  <si>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</si>
  <si>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</si>
  <si>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</si>
  <si>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</si>
  <si>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</si>
  <si>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</si>
  <si>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</si>
  <si>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</si>
  <si>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</si>
  <si>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</si>
  <si>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</si>
  <si>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</si>
  <si>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</si>
  <si>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</si>
  <si>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</si>
  <si>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</si>
  <si>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</si>
  <si>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</si>
  <si>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</si>
  <si>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</si>
  <si>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</si>
  <si>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</si>
  <si>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</si>
  <si>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</si>
  <si>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</si>
  <si>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</si>
  <si>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</si>
  <si>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</si>
  <si>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</si>
  <si>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</si>
  <si>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</si>
  <si>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</si>
  <si>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</si>
  <si>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</si>
  <si>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</si>
  <si>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</si>
  <si>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</si>
  <si>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</si>
  <si>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</si>
  <si>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</si>
  <si>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</si>
  <si>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</si>
  <si>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</si>
  <si>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</si>
  <si>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</si>
  <si>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</si>
  <si>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</si>
  <si>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</si>
  <si>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</si>
  <si>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</si>
  <si>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</si>
  <si>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</si>
  <si>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</si>
  <si>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</si>
  <si>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</si>
  <si>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</si>
  <si>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</si>
  <si>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</si>
  <si>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</si>
  <si>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</si>
  <si>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</si>
  <si>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</si>
  <si>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</si>
  <si>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</si>
  <si>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</si>
  <si>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</si>
  <si>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</si>
  <si>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</si>
  <si>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</si>
  <si>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</si>
  <si>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</si>
  <si>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</si>
  <si>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</si>
  <si>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</si>
  <si>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</si>
  <si>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</si>
  <si>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</si>
  <si>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</si>
  <si>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</si>
  <si>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</si>
  <si>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</si>
  <si>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</si>
  <si>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</si>
  <si>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</si>
  <si>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TOTAL DO RM</t>
  </si>
  <si>
    <t>REPRESENTANTE DA PETROBRAS</t>
  </si>
  <si>
    <t>REPRESENTANTE DA CONTRATADA</t>
  </si>
  <si>
    <t>Rafael Mello Pimentel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</si>
  <si>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</si>
  <si>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</si>
  <si>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</si>
  <si>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</si>
  <si>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</si>
  <si>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</si>
  <si>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</si>
  <si>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</si>
  <si>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</si>
  <si>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</si>
  <si>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</si>
  <si>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26,0 X L 39,5 X P 48,5</t>
  </si>
  <si>
    <t>Caixa 20 kg - Tipo 1</t>
  </si>
  <si>
    <t>A 26,5 X L 38,5 X P 46,5</t>
  </si>
  <si>
    <t>A 26,5 X L 40,0 X P 49,0</t>
  </si>
  <si>
    <t>A 28,0 X L 37,5 X P 47,5</t>
  </si>
  <si>
    <t>A 28,0 X L 39,0 X P 46,0</t>
  </si>
  <si>
    <t>A 29,0 X L 37,0 X P 43,0</t>
  </si>
  <si>
    <t>A 29,5 X L 39,0 X P 46,0</t>
  </si>
  <si>
    <t xml:space="preserve">A 12,0 X L 34,0 X P 37,0 </t>
  </si>
  <si>
    <t>Caixa para mídias - Tipo 1</t>
  </si>
  <si>
    <t>A 11,5 X L 37,0 X P 33,0</t>
  </si>
  <si>
    <t>L 10 x P 30</t>
  </si>
  <si>
    <t>Tubo de engenharia</t>
  </si>
  <si>
    <t>L 0,11 X C 1,20</t>
  </si>
  <si>
    <t>L 0,11 X C 1,23</t>
  </si>
  <si>
    <t>L 0,11 X C 1,30</t>
  </si>
  <si>
    <t>L 0,11 X C 1,26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</si>
  <si>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</si>
  <si>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</si>
  <si>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</si>
  <si>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</si>
  <si>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</si>
  <si>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</si>
  <si>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</si>
  <si>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</si>
  <si>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</si>
  <si>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</si>
  <si>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</si>
  <si>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</si>
  <si>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</si>
  <si>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</si>
  <si>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</si>
  <si>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</si>
  <si>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</si>
  <si>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</si>
  <si>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</si>
  <si>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</si>
  <si>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</si>
  <si>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</si>
  <si>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</si>
  <si>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</si>
  <si>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</si>
  <si>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</si>
  <si>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PA-LT2-BA</t>
  </si>
  <si>
    <t>DIGITALIZACAO DE DOCUMENTO ADMINISTRATIVO</t>
  </si>
  <si>
    <t>Documento - Formato A4</t>
  </si>
  <si>
    <t>ServiceNow</t>
  </si>
  <si>
    <t>CSC0783748</t>
  </si>
  <si>
    <t>JURIDICO/EJ/OJ</t>
  </si>
  <si>
    <t>0074-2026</t>
  </si>
  <si>
    <t>Normal</t>
  </si>
  <si>
    <t>NP</t>
  </si>
  <si>
    <t>TERMINAL ARACAJU</t>
  </si>
  <si>
    <t>Aracaju</t>
  </si>
  <si>
    <t>SE</t>
  </si>
  <si>
    <t>N/A</t>
  </si>
  <si>
    <t>EDISER</t>
  </si>
  <si>
    <t>INDEXACAO DE DOCUMENTO</t>
  </si>
  <si>
    <t>Documentação administrativa</t>
  </si>
  <si>
    <t>CSC0884843</t>
  </si>
  <si>
    <t>RH/RBO/COA/CB</t>
  </si>
  <si>
    <t>0089-2026</t>
  </si>
  <si>
    <t>TAQUIPE</t>
  </si>
  <si>
    <t>Salvador</t>
  </si>
  <si>
    <t>BA</t>
  </si>
  <si>
    <t>Indexação</t>
  </si>
  <si>
    <t>C.T. SSEBPASSÉ</t>
  </si>
  <si>
    <t>PESQUISA DE ITEM AVULSO NORMAL</t>
  </si>
  <si>
    <t>Item documental em caixa</t>
  </si>
  <si>
    <t>Item avulso</t>
  </si>
  <si>
    <t>MATERIAL PARA ARQUIVAMENTO</t>
  </si>
  <si>
    <t>Kit de material</t>
  </si>
  <si>
    <t>CSC0765368</t>
  </si>
  <si>
    <t>SMS/SA/SAO/STO</t>
  </si>
  <si>
    <t>000010/2026</t>
  </si>
  <si>
    <t>UN-AM SEDE</t>
  </si>
  <si>
    <t>Manaus</t>
  </si>
  <si>
    <t>AM</t>
  </si>
  <si>
    <t>kit de material</t>
  </si>
  <si>
    <t>EDIMAN 1</t>
  </si>
  <si>
    <t>CSC0793814</t>
  </si>
  <si>
    <t>BA/ATP/OP-BA-C</t>
  </si>
  <si>
    <t>000017/2026</t>
  </si>
  <si>
    <t>FP</t>
  </si>
  <si>
    <t>COLETA DE EMBALAGEM</t>
  </si>
  <si>
    <t>CSC0788223</t>
  </si>
  <si>
    <t>BA/SOP/ARM</t>
  </si>
  <si>
    <t>ARQ-00004-2026</t>
  </si>
  <si>
    <t>Camaçari</t>
  </si>
  <si>
    <t>CSC0788221</t>
  </si>
  <si>
    <t>CSC0788212</t>
  </si>
  <si>
    <t>CSC0787582</t>
  </si>
  <si>
    <t>JURIDICO/GG-CRC/JCIVEL/CCIVEL-NNE</t>
  </si>
  <si>
    <t>ARQ-00044-2026</t>
  </si>
  <si>
    <t>RNEST</t>
  </si>
  <si>
    <t>Ipojuca</t>
  </si>
  <si>
    <t>PE</t>
  </si>
  <si>
    <t>CSC0787580</t>
  </si>
  <si>
    <t>CSC0787571</t>
  </si>
  <si>
    <t>ARQ-00043-2026</t>
  </si>
  <si>
    <t>CSC0888343</t>
  </si>
  <si>
    <t>SMS/SA/SAO/DENGE-DPI-DLCM-DTEN</t>
  </si>
  <si>
    <t>0090-2026</t>
  </si>
  <si>
    <t>CSC0860157</t>
  </si>
  <si>
    <t>0051-2026</t>
  </si>
  <si>
    <t>CSC0787557</t>
  </si>
  <si>
    <t>CSC0765361</t>
  </si>
  <si>
    <t>000012/2026</t>
  </si>
  <si>
    <t>CSC0765352</t>
  </si>
  <si>
    <t>CSC0852828</t>
  </si>
  <si>
    <t>0044-2026</t>
  </si>
  <si>
    <t>CSC0755608</t>
  </si>
  <si>
    <t>COMPARTILHADO/SC/SID</t>
  </si>
  <si>
    <t>000003/2026</t>
  </si>
  <si>
    <t>CSC0787587</t>
  </si>
  <si>
    <t>ARQ-00045-2026</t>
  </si>
  <si>
    <t>EDIRN</t>
  </si>
  <si>
    <t>Natal</t>
  </si>
  <si>
    <t>RN</t>
  </si>
  <si>
    <t>CSC0788291</t>
  </si>
  <si>
    <t>ARQ-00046-2026</t>
  </si>
  <si>
    <t>CSC0788286</t>
  </si>
  <si>
    <t>CSC0788289</t>
  </si>
  <si>
    <t>CATALOGACAO DE ITEM AVULSO</t>
  </si>
  <si>
    <t>CSC0889250</t>
  </si>
  <si>
    <t>INP/PRI/SIP</t>
  </si>
  <si>
    <t>0092-2026</t>
  </si>
  <si>
    <t>FDM definido</t>
  </si>
  <si>
    <t>CSC0788276</t>
  </si>
  <si>
    <t>CSC0788275</t>
  </si>
  <si>
    <t>CSC0788272</t>
  </si>
  <si>
    <t>CSC0788270</t>
  </si>
  <si>
    <t>CSC0788268</t>
  </si>
  <si>
    <t>CSC0788267</t>
  </si>
  <si>
    <t>CSC0788263</t>
  </si>
  <si>
    <t>CSC0788262</t>
  </si>
  <si>
    <t>CSC0788259</t>
  </si>
  <si>
    <t>CSC0891864</t>
  </si>
  <si>
    <t>0096-2026</t>
  </si>
  <si>
    <t>CSC0788257</t>
  </si>
  <si>
    <t>CSC0788253</t>
  </si>
  <si>
    <t>CSC0896432</t>
  </si>
  <si>
    <t>0098-2026</t>
  </si>
  <si>
    <t>CSC0897055</t>
  </si>
  <si>
    <t>0099-2026</t>
  </si>
  <si>
    <t>CSC0788251</t>
  </si>
  <si>
    <t>CSC0788250</t>
  </si>
  <si>
    <t>CSC0788248</t>
  </si>
  <si>
    <t>CSC0788247</t>
  </si>
  <si>
    <t>CSC0788255</t>
  </si>
  <si>
    <t>CSC0891829</t>
  </si>
  <si>
    <t>0095-2026</t>
  </si>
  <si>
    <t>CSC0788285</t>
  </si>
  <si>
    <t>CSC0788283</t>
  </si>
  <si>
    <t>CSC0788281</t>
  </si>
  <si>
    <t>CSC0884035</t>
  </si>
  <si>
    <t>0088-2026</t>
  </si>
  <si>
    <t>CSC0897322</t>
  </si>
  <si>
    <t>0100-2026</t>
  </si>
  <si>
    <t>CSC0882093</t>
  </si>
  <si>
    <t>TAR/PC/REC</t>
  </si>
  <si>
    <t>ARQ-00038-2026</t>
  </si>
  <si>
    <t>CSC0882520</t>
  </si>
  <si>
    <t>ARQ-00042-2026</t>
  </si>
  <si>
    <t>CSC0883875</t>
  </si>
  <si>
    <t>0087-2026</t>
  </si>
  <si>
    <t>CSC0889165</t>
  </si>
  <si>
    <t>ARQ-00047-2026</t>
  </si>
  <si>
    <t>CSC0889171</t>
  </si>
  <si>
    <t>CSC0882059</t>
  </si>
  <si>
    <t>SMS/LMA/GAE&amp;P/AM-RN-CE</t>
  </si>
  <si>
    <t>ARQ-00041-2026</t>
  </si>
  <si>
    <t>CSC0879759</t>
  </si>
  <si>
    <t>0084-2026</t>
  </si>
  <si>
    <t>CSC0878570</t>
  </si>
  <si>
    <t>0081-2026</t>
  </si>
  <si>
    <t>CSC0866243</t>
  </si>
  <si>
    <t>000029/2026</t>
  </si>
  <si>
    <t>CSC0882952</t>
  </si>
  <si>
    <t>BA/SOP/OM</t>
  </si>
  <si>
    <t>000032/2026</t>
  </si>
  <si>
    <t>CSC0886976</t>
  </si>
  <si>
    <t>BA/ATP/MI-PCN</t>
  </si>
  <si>
    <t>000033/2026</t>
  </si>
  <si>
    <t>TORRE PITUBA</t>
  </si>
  <si>
    <t>C.T. ENTRE RIOS</t>
  </si>
  <si>
    <t>CSC0882072</t>
  </si>
  <si>
    <t>ARQ-00040-2026</t>
  </si>
  <si>
    <t>CSC0882084</t>
  </si>
  <si>
    <t>ARQ-00039-2026</t>
  </si>
  <si>
    <t>CSC0891417</t>
  </si>
  <si>
    <t>0093-2026</t>
  </si>
  <si>
    <t>CSC0866383</t>
  </si>
  <si>
    <t>BA/SOP/SG</t>
  </si>
  <si>
    <t>ARQ-00032-2026</t>
  </si>
  <si>
    <t>CSC0866379</t>
  </si>
  <si>
    <t>CSC0866372</t>
  </si>
  <si>
    <t>CSC0866376</t>
  </si>
  <si>
    <t>CSC0866382</t>
  </si>
  <si>
    <t>CSC0867187</t>
  </si>
  <si>
    <t>ARQ-00033-2026</t>
  </si>
  <si>
    <t>CSC0868712</t>
  </si>
  <si>
    <t>ARQ-00034-2026</t>
  </si>
  <si>
    <t>CSC0868713</t>
  </si>
  <si>
    <t>ARQ-00035-2026</t>
  </si>
  <si>
    <t>CSC0869073</t>
  </si>
  <si>
    <t>ARQ-00036-2026</t>
  </si>
  <si>
    <t>CSC0896426</t>
  </si>
  <si>
    <t>0097-2026</t>
  </si>
  <si>
    <t>CSC0891847</t>
  </si>
  <si>
    <t>0094-2026</t>
  </si>
  <si>
    <t>ENTREGA DE EMBALAGEM NORMAL</t>
  </si>
  <si>
    <t>CSC0866327</t>
  </si>
  <si>
    <t>0064-2026</t>
  </si>
  <si>
    <t>0083-2026</t>
  </si>
  <si>
    <t>CSC0875535</t>
  </si>
  <si>
    <t>POCOS/CAMAP-T-AB/PROJ/PROJ-I</t>
  </si>
  <si>
    <t>0078-2026</t>
  </si>
  <si>
    <t>CSC0878214</t>
  </si>
  <si>
    <t>0079-2026</t>
  </si>
  <si>
    <t>CSC0878228</t>
  </si>
  <si>
    <t>0080-2026</t>
  </si>
  <si>
    <t>CSC0843282</t>
  </si>
  <si>
    <t>0038-2026</t>
  </si>
  <si>
    <t>Documento - Formato A3</t>
  </si>
  <si>
    <t>CSC0788245</t>
  </si>
  <si>
    <t>CSC0788240</t>
  </si>
  <si>
    <t>CSC0788239</t>
  </si>
  <si>
    <t>CSC0788236</t>
  </si>
  <si>
    <t>CSC0788232</t>
  </si>
  <si>
    <t>CSC0788229</t>
  </si>
  <si>
    <t>CSC0788225</t>
  </si>
  <si>
    <t>CSC0869412</t>
  </si>
  <si>
    <t>0067-2026</t>
  </si>
  <si>
    <t>CSC0875532</t>
  </si>
  <si>
    <t>0077-2026</t>
  </si>
  <si>
    <t>0085-2026</t>
  </si>
  <si>
    <t>CSC0874099</t>
  </si>
  <si>
    <t>0075-2026</t>
  </si>
  <si>
    <t>CSC0874117</t>
  </si>
  <si>
    <t>0076-2026</t>
  </si>
  <si>
    <t>CSC0869892</t>
  </si>
  <si>
    <t>0082-2026</t>
  </si>
  <si>
    <t>CSC0863759</t>
  </si>
  <si>
    <t>0057-2026</t>
  </si>
  <si>
    <t>CSC0869505</t>
  </si>
  <si>
    <t>SMS/DPI-DTEN-DLCM/HO</t>
  </si>
  <si>
    <t>0071-2026</t>
  </si>
  <si>
    <t>CSC0788246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</si>
</sst>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"/>
    <numFmt numFmtId="165" formatCode="0.000"/>
    <numFmt numFmtId="166" formatCode="#,##0;[Red]#,##0"/>
    <numFmt numFmtId="167" formatCode="0.0"/>
    <numFmt numFmtId="168" formatCode="&quot;R$&quot;\ #,##0.00"/>
  </numFmts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theme="4" tint="-0.499984740745262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 tint="-0.14999847407452621"/>
        <bgColor theme="0" tint="-0.14999847407452621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7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2" fontId="0" fillId="0" borderId="6" xfId="0" applyNumberFormat="1" applyBorder="1"/>
    <xf numFmtId="9" fontId="9" fillId="0" borderId="7" xfId="0" applyNumberFormat="1" applyFont="1" applyBorder="1" applyAlignment="1">
      <alignment vertical="center"/>
    </xf>
    <xf numFmtId="0" fontId="0" fillId="0" borderId="8" xfId="0" applyBorder="1" applyAlignment="1">
      <alignment horizontal="left"/>
    </xf>
    <xf numFmtId="0" fontId="0" fillId="0" borderId="0" xfId="0"/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2" fontId="0" fillId="0" borderId="0" xfId="0" applyNumberFormat="1"/>
    <xf numFmtId="0" fontId="7" fillId="0" borderId="9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9" fontId="9" fillId="0" borderId="9" xfId="0" applyNumberFormat="1" applyFont="1" applyBorder="1" applyAlignment="1">
      <alignment vertical="center"/>
    </xf>
    <xf numFmtId="0" fontId="0" fillId="0" borderId="10" xfId="0" applyBorder="1" applyAlignment="1">
      <alignment horizontal="left"/>
    </xf>
    <xf numFmtId="0" fontId="4" fillId="0" borderId="11" xfId="0" applyFont="1" applyBorder="1"/>
    <xf numFmtId="0" fontId="5" fillId="0" borderId="11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2" fontId="0" fillId="0" borderId="12" xfId="0" applyNumberFormat="1" applyBorder="1"/>
    <xf numFmtId="0" fontId="10" fillId="0" borderId="13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7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5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/>
    </xf>
    <xf numFmtId="0" fontId="13" fillId="0" borderId="18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center" vertical="center"/>
    </xf>
    <xf numFmtId="164" fontId="13" fillId="0" borderId="18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5" fontId="13" fillId="3" borderId="22" xfId="0" applyNumberFormat="1" applyFont="1" applyFill="1" applyBorder="1" applyAlignment="1">
      <alignment horizontal="center" vertical="center"/>
    </xf>
    <xf numFmtId="164" fontId="13" fillId="0" borderId="0" xfId="0" applyNumberFormat="1" applyFont="1" applyAlignment="1">
      <alignment horizontal="right" vertical="center"/>
    </xf>
    <xf numFmtId="164" fontId="13" fillId="0" borderId="22" xfId="0" applyNumberFormat="1" applyFont="1" applyBorder="1" applyAlignment="1">
      <alignment horizontal="right" vertical="center"/>
    </xf>
    <xf numFmtId="0" fontId="4" fillId="0" borderId="25" xfId="0" applyFont="1" applyBorder="1"/>
    <xf numFmtId="0" fontId="11" fillId="0" borderId="0" xfId="0" applyFont="1"/>
    <xf numFmtId="0" fontId="0" fillId="0" borderId="23" xfId="0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6" fontId="7" fillId="0" borderId="18" xfId="0" applyNumberFormat="1" applyFont="1" applyBorder="1" applyAlignment="1">
      <alignment horizontal="center" vertical="center"/>
    </xf>
    <xf numFmtId="3" fontId="7" fillId="0" borderId="26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165" fontId="13" fillId="0" borderId="27" xfId="0" applyNumberFormat="1" applyFont="1" applyBorder="1" applyAlignment="1">
      <alignment horizontal="center" vertical="center"/>
    </xf>
    <xf numFmtId="165" fontId="13" fillId="3" borderId="23" xfId="0" applyNumberFormat="1" applyFont="1" applyFill="1" applyBorder="1" applyAlignment="1">
      <alignment horizontal="center" vertical="center"/>
    </xf>
    <xf numFmtId="164" fontId="13" fillId="0" borderId="27" xfId="0" applyNumberFormat="1" applyFont="1" applyBorder="1" applyAlignment="1">
      <alignment horizontal="right" vertical="center"/>
    </xf>
    <xf numFmtId="164" fontId="13" fillId="0" borderId="23" xfId="0" applyNumberFormat="1" applyFont="1" applyBorder="1" applyAlignment="1">
      <alignment horizontal="right" vertical="center"/>
    </xf>
    <xf numFmtId="0" fontId="4" fillId="0" borderId="28" xfId="0" applyFont="1" applyBorder="1"/>
    <xf numFmtId="0" fontId="13" fillId="0" borderId="18" xfId="0" applyFont="1" applyBorder="1" applyAlignment="1">
      <alignment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3" borderId="18" xfId="0" applyNumberFormat="1" applyFont="1" applyFill="1" applyBorder="1" applyAlignment="1">
      <alignment horizontal="center" vertical="center"/>
    </xf>
    <xf numFmtId="164" fontId="13" fillId="0" borderId="20" xfId="0" applyNumberFormat="1" applyFont="1" applyBorder="1" applyAlignment="1">
      <alignment horizontal="right" vertical="center"/>
    </xf>
    <xf numFmtId="164" fontId="13" fillId="0" borderId="18" xfId="0" applyNumberFormat="1" applyFont="1" applyBorder="1" applyAlignment="1">
      <alignment horizontal="right" vertical="center"/>
    </xf>
    <xf numFmtId="0" fontId="13" fillId="0" borderId="22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6" fillId="0" borderId="26" xfId="0" applyFont="1" applyBorder="1" applyAlignment="1">
      <alignment vertical="center" wrapText="1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167" fontId="13" fillId="0" borderId="23" xfId="0" applyNumberFormat="1" applyFont="1" applyBorder="1" applyAlignment="1">
      <alignment horizontal="center" vertical="center"/>
    </xf>
    <xf numFmtId="164" fontId="13" fillId="0" borderId="27" xfId="0" applyNumberFormat="1" applyFon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164" fontId="13" fillId="0" borderId="14" xfId="0" applyNumberFormat="1" applyFont="1" applyBorder="1" applyAlignment="1">
      <alignment horizontal="right" vertical="center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11" fillId="0" borderId="17" xfId="0" applyFont="1" applyBorder="1" applyAlignment="1">
      <alignment vertical="center"/>
    </xf>
    <xf numFmtId="0" fontId="5" fillId="2" borderId="16" xfId="0" applyFont="1" applyFill="1" applyBorder="1" applyAlignment="1">
      <alignment horizontal="left" vertical="center"/>
    </xf>
    <xf numFmtId="0" fontId="14" fillId="2" borderId="16" xfId="0" applyFont="1" applyFill="1" applyBorder="1" applyAlignment="1">
      <alignment horizontal="center" vertical="center"/>
    </xf>
    <xf numFmtId="0" fontId="6" fillId="0" borderId="19" xfId="0" applyFont="1" applyBorder="1" applyAlignment="1">
      <alignment vertical="center" wrapText="1"/>
    </xf>
    <xf numFmtId="165" fontId="13" fillId="3" borderId="14" xfId="0" applyNumberFormat="1" applyFont="1" applyFill="1" applyBorder="1" applyAlignment="1">
      <alignment horizontal="center" vertical="center"/>
    </xf>
    <xf numFmtId="0" fontId="6" fillId="0" borderId="19" xfId="0" applyFont="1" applyBorder="1"/>
    <xf numFmtId="0" fontId="6" fillId="0" borderId="19" xfId="0" applyFont="1" applyBorder="1" applyAlignment="1">
      <alignment horizontal="left" vertical="center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164" fontId="16" fillId="0" borderId="27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6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168" fontId="0" fillId="0" borderId="0" xfId="0" applyNumberFormat="1" applyAlignment="1">
      <alignment horizontal="center" vertical="center"/>
    </xf>
    <xf numFmtId="0" fontId="5" fillId="0" borderId="14" xfId="0" applyFont="1" applyBorder="1" applyAlignment="1">
      <alignment vertical="center"/>
    </xf>
    <xf numFmtId="164" fontId="5" fillId="0" borderId="14" xfId="0" applyNumberFormat="1" applyFont="1" applyBorder="1" applyAlignment="1">
      <alignment vertical="center"/>
    </xf>
    <xf numFmtId="164" fontId="0" fillId="0" borderId="0" xfId="0" applyNumberFormat="1" applyAlignment="1">
      <alignment horizontal="center" vertical="center"/>
    </xf>
    <xf numFmtId="0" fontId="0" fillId="5" borderId="0" xfId="0" applyFill="1"/>
    <xf numFmtId="2" fontId="0" fillId="5" borderId="0" xfId="0" applyNumberFormat="1" applyFill="1"/>
    <xf numFmtId="0" fontId="1" fillId="4" borderId="32" xfId="0" applyFont="1" applyFill="1" applyBorder="1"/>
    <xf numFmtId="0" fontId="0" fillId="0" borderId="0" xfId="0" applyBorder="1"/>
    <xf numFmtId="2" fontId="0" fillId="0" borderId="0" xfId="0" applyNumberFormat="1" applyBorder="1"/>
    <xf numFmtId="22" fontId="0" fillId="5" borderId="0" xfId="0" applyNumberFormat="1" applyFill="1"/>
    <xf numFmtId="22" fontId="0" fillId="0" borderId="0" xfId="0" applyNumberFormat="1"/>
    <xf numFmtId="22" fontId="0" fillId="0" borderId="0" xfId="0" applyNumberFormat="1" applyBorder="1"/>
    <xf numFmtId="0" fontId="0" fillId="5" borderId="0" xfId="0" applyFill="1" applyBorder="1"/>
    <xf numFmtId="22" fontId="0" fillId="5" borderId="0" xfId="0" applyNumberFormat="1" applyFill="1" applyBorder="1"/>
  </cellXfs>
  <cellStyles count="1">
    <cellStyle name="Normal" xfId="0" builtinId="0"/>
  </cellStyles>
  <dxfs count="3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numFmt numFmtId="27" formatCode="m/d/yyyy\ h:mm"/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5"/>
          <bgColor theme="5"/>
        </patternFill>
      </fill>
    </dxf>
    <dxf>
      <numFmt numFmtId="2" formatCode="0.00"/>
    </dxf>
    <dxf>
      <border outline="0">
        <bottom style="medium">
          <color theme="1"/>
        </bottom>
      </border>
    </dxf>
    <dxf>
      <border outline="0">
        <top style="medium">
          <color theme="1"/>
        </top>
        <bottom style="medium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EEAA1-0B36-4EC4-B9B8-52CEC67730F7}" name="ARM_PA_LT2" displayName="ARM_PA_LT2" ref="A1:J15" totalsRowShown="0" headerRowDxfId="29" headerRowBorderDxfId="31" tableBorderDxfId="32">
  <autoFilter ref="A1:J15" xr:uid="{7C0EEAA1-0B36-4EC4-B9B8-52CEC67730F7}"/>
  <tableColumns count="10">
    <tableColumn id="1" xr3:uid="{DAA42881-1095-45AF-9CD0-77B5E5203460}" name="MEDIDAS CONTRATO"/>
    <tableColumn id="2" xr3:uid="{38C37A7F-6842-44FD-B8FF-D2ABB113F0D9}" name="Item"/>
    <tableColumn id="3" xr3:uid="{08DA42FD-984C-4BCD-B471-2524E63E4942}" name="QUAm-1"/>
    <tableColumn id="4" xr3:uid="{C25B4DE3-C75A-47FA-B1ED-59DFAFEABCD0}" name="QBm"/>
    <tableColumn id="5" xr3:uid="{71F2CDF5-B641-4AB8-9429-E88F0B7712E6}" name="QDm"/>
    <tableColumn id="6" xr3:uid="{C7D8159C-3D3A-4C8F-8EF2-04C3526A2541}" name="QNm"/>
    <tableColumn id="7" xr3:uid="{D49B88B6-39EE-4EBA-AF8A-582417FEEFBA}" name="QUAm"/>
    <tableColumn id="8" xr3:uid="{0BE6A1D7-351D-4491-9E60-AF0DA8132209}" name="FC" dataDxfId="30"/>
    <tableColumn id="9" xr3:uid="{53F77C26-75EA-4635-842C-9EFCA11291B9}" name="QUA"/>
    <tableColumn id="10" xr3:uid="{164B3A22-843D-498B-80E9-FD4266FAC9F4}" name="Linha de serviço PPU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64989F-45FC-411F-9EC1-8941D97447C0}" name="DADOS_PA_LT2" displayName="DADOS_PA_LT2" ref="A1:AF163" totalsRowShown="0" headerRowDxfId="22" headerRowBorderDxfId="27" tableBorderDxfId="28">
  <autoFilter ref="A1:AF163" xr:uid="{DD64989F-45FC-411F-9EC1-8941D97447C0}"/>
  <tableColumns count="32">
    <tableColumn id="1" xr3:uid="{9D1322EC-64D1-4BBC-A965-C43D6C21E6C6}" name="Contrato.1"/>
    <tableColumn id="2" xr3:uid="{BBF1498F-41DC-4F77-B4AB-770264D4EE14}" name="Descrição da atividade"/>
    <tableColumn id="3" xr3:uid="{3CD73896-45D1-434B-A911-85DFEC4D38CE}" name="Item"/>
    <tableColumn id="4" xr3:uid="{6484F43E-9B4E-492A-A1C8-B44D5AF7B7E5}" name="Aplicação"/>
    <tableColumn id="5" xr3:uid="{CC99F2F8-9F35-46C8-8F00-0C00611E6E8E}" name="Código da_x000a_solicitação"/>
    <tableColumn id="6" xr3:uid="{096FB6AD-FC13-410B-A737-4CD3966F8682}" name="Data solicitação" dataDxfId="26"/>
    <tableColumn id="7" xr3:uid="{38E78EE9-3669-4940-944B-8A8DD4917C8B}" name="Gerência solicitante"/>
    <tableColumn id="8" xr3:uid="{6CDD8D43-4377-4880-82FE-B59E765EE59D}" name="Qtd._x000a_Solicitada"/>
    <tableColumn id="9" xr3:uid="{AD7CB23E-E08F-41DF-A757-7094CBC7AE8E}" name="Código OS"/>
    <tableColumn id="10" xr3:uid="{CF518D97-BA40-4528-B41E-6D2E2608F50D}" name="D. abertura" dataDxfId="25"/>
    <tableColumn id="11" xr3:uid="{76B39945-DC02-4E8B-BA09-77907BAB3A36}" name="D. fechamento" dataDxfId="24"/>
    <tableColumn id="12" xr3:uid="{1BD4885F-4ACF-479C-90A4-7A1AB0D006A3}" name="Prazo combinado" dataDxfId="23"/>
    <tableColumn id="13" xr3:uid="{321EB886-8ED9-491C-BA19-8EE3FA511D04}" name="Qtd._x000a_Atendida"/>
    <tableColumn id="14" xr3:uid="{7837B07D-09CB-4397-B47E-F18B7DE5EEF3}" name="Agrupamento"/>
    <tableColumn id="15" xr3:uid="{343BD28F-F683-47F6-93D4-9DA9AB9BC476}" name="Classificação"/>
    <tableColumn id="16" xr3:uid="{2F3D6E06-80C8-4097-BEEA-821B0F6A38AA}" name="FDM"/>
    <tableColumn id="17" xr3:uid="{02B54E08-1194-460E-A62C-658BFB50733D}" name="Obs. Isenção"/>
    <tableColumn id="18" xr3:uid="{9378256B-7197-4119-90FA-6699BE0B6664}" name="FA"/>
    <tableColumn id="19" xr3:uid="{678AD884-D73D-48C1-A30B-0D678A7352F2}" name="Localidade - Origem"/>
    <tableColumn id="20" xr3:uid="{FC6F3C71-4315-4A73-B504-CAA9FED9DD90}" name="Município - Origem"/>
    <tableColumn id="21" xr3:uid="{00B7ABE9-4F60-4FA7-8CA2-34891DE00A38}" name="UF - Origem"/>
    <tableColumn id="22" xr3:uid="{BC486E87-6590-46BA-B194-130423841AE1}" name="Localidade - Destino"/>
    <tableColumn id="23" xr3:uid="{6E08F222-BE73-49A2-A856-886B45D996F9}" name="Município - Destino"/>
    <tableColumn id="24" xr3:uid="{9DE893B4-E308-4EA2-BE88-D7C315ED6A15}" name="UF - Destino"/>
    <tableColumn id="25" xr3:uid="{60F41406-BD46-4A98-8281-D1B45499F819}" name="KM Adicional"/>
    <tableColumn id="26" xr3:uid="{C79449D7-2A56-41B0-99E9-38C9A21513FD}" name="FC"/>
    <tableColumn id="27" xr3:uid="{B9BCC226-7655-4894-92D2-65A7BD6B1D5A}" name="Unidade"/>
    <tableColumn id="28" xr3:uid="{DA9510FD-F471-4C48-B653-75ACDE52EF0D}" name="Centro"/>
    <tableColumn id="29" xr3:uid="{1FE2FD36-BBF0-43B2-A83B-891C99197FA8}" name="Código Centro"/>
    <tableColumn id="30" xr3:uid="{C9BF95CE-07F5-43C7-9FC3-333C7200B270}" name="Linha de serviço PPU"/>
    <tableColumn id="31" xr3:uid="{C6201749-25A2-4BAC-89A4-C7874756FD1A}" name="QExec"/>
    <tableColumn id="32" xr3:uid="{3DD7AB24-341A-44D8-8159-DBD522E969AA}" name="QExecAgrupado"/>
  </tableColumns>
  <tableStyleInfo name="TableStyleMedium1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06A170B-7D18-4A1E-A6D9-95FB7B733E75}" name="FRETE_PA_LT2" displayName="FRETE_PA_LT2" ref="A1:R58" totalsRowShown="0" headerRowDxfId="0" dataDxfId="1" headerRowBorderDxfId="20" tableBorderDxfId="21">
  <autoFilter ref="A1:R58" xr:uid="{606A170B-7D18-4A1E-A6D9-95FB7B733E75}"/>
  <tableColumns count="18">
    <tableColumn id="1" xr3:uid="{27B1B2C0-114A-4286-BCBA-7781CA8C2B9E}" name="Contrato.1" dataDxfId="19"/>
    <tableColumn id="2" xr3:uid="{EBABF777-5BDC-4BC5-A735-A23B6DA94ACE}" name="Descrição da atividade" dataDxfId="18"/>
    <tableColumn id="3" xr3:uid="{AD5E4864-1784-4FBA-BDEF-2A4A944FDFAE}" name="Item" dataDxfId="17"/>
    <tableColumn id="4" xr3:uid="{D277E8CB-F1D9-40AB-8515-5EEBABFFA250}" name="Data solicitação" dataDxfId="16"/>
    <tableColumn id="5" xr3:uid="{2F704C43-0AF6-451D-8591-8106B78D48AE}" name="Gerência solicitante" dataDxfId="15"/>
    <tableColumn id="6" xr3:uid="{87995D84-7F78-4FDB-B900-589EC6C16E68}" name="Qtd._x000a_Solicitada" dataDxfId="14"/>
    <tableColumn id="7" xr3:uid="{7EB2CE4F-B00A-406C-B088-10EADB555F18}" name="D. fechamento" dataDxfId="13"/>
    <tableColumn id="8" xr3:uid="{D1A1904A-7E0E-4E42-8D31-789178D3954E}" name="Localidade - Origem" dataDxfId="12"/>
    <tableColumn id="9" xr3:uid="{8F570E28-AFBA-441C-9621-49F032AE6C5F}" name="Município - Origem" dataDxfId="11"/>
    <tableColumn id="10" xr3:uid="{AD11B10E-8991-4861-B5F7-B4839987DB2F}" name="UF - Origem" dataDxfId="10"/>
    <tableColumn id="11" xr3:uid="{D1C66491-CB9A-418F-B61C-BE882E5B13C4}" name="Localidade - Destino" dataDxfId="9"/>
    <tableColumn id="12" xr3:uid="{7BE1CB6C-EFC3-44DE-AE04-6F06EFB74AE6}" name="Município - Destino" dataDxfId="8"/>
    <tableColumn id="13" xr3:uid="{8D3A5BBA-EC8C-4AC1-9697-328517B946C5}" name="UF - Destino" dataDxfId="7"/>
    <tableColumn id="14" xr3:uid="{141DC0CE-AA9F-4822-A5CD-EF4712EC2440}" name="KM Adicional" dataDxfId="6"/>
    <tableColumn id="15" xr3:uid="{2319F2A3-D9C3-40D8-8661-A0B1414225A0}" name="Unidade" dataDxfId="5"/>
    <tableColumn id="16" xr3:uid="{905AD38F-B350-4DB9-BB47-C4DD1DAC1E9C}" name="Centro" dataDxfId="4"/>
    <tableColumn id="17" xr3:uid="{0B66CFAC-FE03-45F6-8AC6-0C7E2E40D393}" name="Linha de serviço PPU" dataDxfId="3"/>
    <tableColumn id="18" xr3:uid="{9330582C-BF6E-4BAF-806A-8093B3D3236E}" name="QExecAgrupad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CD5A-C6AC-4401-8117-7AABB51667E1}">
  <dimension ref="A1:Z995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5.6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"/>
      <c r="O3" s="7"/>
      <c r="Q3" s="10"/>
      <c r="R3" s="4"/>
    </row>
    <row r="4" spans="1:26" ht="15" customHeight="1" thickTop="1" x14ac:dyDescent="0.3">
      <c r="B4" s="11" t="s">
        <v>2</v>
      </c>
      <c r="C4" s="9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59.036144578313255</v>
      </c>
      <c r="O4" s="17"/>
      <c r="Q4" s="10"/>
      <c r="R4" s="4"/>
    </row>
    <row r="5" spans="1:26" ht="14.4" customHeight="1" x14ac:dyDescent="0.3">
      <c r="B5" s="18" t="s">
        <v>8</v>
      </c>
      <c r="C5" s="19"/>
      <c r="D5" s="20">
        <v>4600687006</v>
      </c>
      <c r="E5" s="21"/>
      <c r="F5" s="3"/>
      <c r="G5" s="3"/>
      <c r="H5" s="2"/>
      <c r="I5" s="22" t="s">
        <v>9</v>
      </c>
      <c r="J5" s="21" t="s">
        <v>10</v>
      </c>
      <c r="K5" s="23"/>
      <c r="L5" s="19"/>
      <c r="M5" s="24" t="s">
        <v>11</v>
      </c>
      <c r="N5" s="25">
        <v>0.95</v>
      </c>
      <c r="O5" s="26"/>
      <c r="Q5" s="10"/>
      <c r="R5" s="4"/>
    </row>
    <row r="6" spans="1:26" ht="14.4" customHeight="1" x14ac:dyDescent="0.3">
      <c r="B6" s="18" t="s">
        <v>12</v>
      </c>
      <c r="C6" s="19"/>
      <c r="D6" s="27" t="s">
        <v>13</v>
      </c>
      <c r="E6" s="19"/>
      <c r="F6" s="19"/>
      <c r="G6" s="19"/>
      <c r="H6" s="19"/>
      <c r="I6" s="22" t="s">
        <v>14</v>
      </c>
      <c r="J6" s="12" t="s">
        <v>15</v>
      </c>
      <c r="K6" s="21"/>
      <c r="L6" s="28" t="s">
        <v>16</v>
      </c>
      <c r="M6" s="24" t="s">
        <v>7</v>
      </c>
      <c r="N6" s="25">
        <v>86.274509803921575</v>
      </c>
      <c r="O6" s="29"/>
      <c r="Q6" s="10"/>
      <c r="R6" s="4"/>
    </row>
    <row r="7" spans="1:26" ht="15" customHeight="1" thickBot="1" x14ac:dyDescent="0.35">
      <c r="B7" s="30"/>
      <c r="C7" s="31"/>
      <c r="D7" s="31"/>
      <c r="E7" s="31"/>
      <c r="F7" s="31"/>
      <c r="G7" s="31"/>
      <c r="H7" s="31"/>
      <c r="I7" s="32" t="s">
        <v>17</v>
      </c>
      <c r="J7" s="33" t="s">
        <v>18</v>
      </c>
      <c r="K7" s="33"/>
      <c r="L7" s="31"/>
      <c r="M7" s="34" t="s">
        <v>11</v>
      </c>
      <c r="N7" s="35">
        <v>0</v>
      </c>
      <c r="O7" s="36"/>
      <c r="Q7" s="4"/>
      <c r="R7" s="4"/>
    </row>
    <row r="8" spans="1:26" ht="1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2"/>
      <c r="N8" s="37"/>
      <c r="Q8" s="4"/>
      <c r="R8" s="4"/>
    </row>
    <row r="9" spans="1:26" ht="8.25" customHeight="1" x14ac:dyDescent="0.3">
      <c r="H9" s="38"/>
      <c r="I9" s="4"/>
      <c r="J9" s="12"/>
      <c r="K9" s="12"/>
      <c r="L9" s="12"/>
      <c r="M9" s="12"/>
      <c r="Q9" s="4"/>
      <c r="R9" s="4"/>
    </row>
    <row r="10" spans="1:26" ht="14.4" customHeight="1" x14ac:dyDescent="0.3">
      <c r="A10" s="1"/>
      <c r="B10" s="1"/>
      <c r="C10" s="39" t="s">
        <v>19</v>
      </c>
      <c r="D10" s="40" t="s">
        <v>20</v>
      </c>
      <c r="E10" s="41"/>
      <c r="F10" s="41"/>
      <c r="G10" s="41"/>
      <c r="H10" s="42"/>
      <c r="I10" s="43" t="s">
        <v>21</v>
      </c>
      <c r="J10" s="44" t="s">
        <v>22</v>
      </c>
      <c r="K10" s="44" t="s">
        <v>23</v>
      </c>
      <c r="L10" s="44" t="s">
        <v>24</v>
      </c>
      <c r="M10" s="45" t="s">
        <v>25</v>
      </c>
      <c r="N10" s="46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customHeight="1" x14ac:dyDescent="0.3">
      <c r="A11" s="1"/>
      <c r="B11" s="1"/>
      <c r="C11" s="47">
        <v>1</v>
      </c>
      <c r="D11" s="48" t="s">
        <v>27</v>
      </c>
      <c r="E11" s="49"/>
      <c r="F11" s="49"/>
      <c r="G11" s="49"/>
      <c r="H11" s="50"/>
      <c r="I11" s="49"/>
      <c r="J11" s="49"/>
      <c r="K11" s="49"/>
      <c r="L11" s="49"/>
      <c r="M11" s="50"/>
      <c r="N11" s="5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2"/>
      <c r="D12" s="53" t="s">
        <v>28</v>
      </c>
      <c r="E12" s="54" t="s">
        <v>29</v>
      </c>
      <c r="F12" s="55"/>
      <c r="G12" s="55"/>
      <c r="H12" s="55"/>
      <c r="I12" s="56"/>
      <c r="J12" s="57"/>
      <c r="K12" s="58"/>
      <c r="L12" s="59"/>
      <c r="M12" s="60"/>
      <c r="N12" s="61"/>
      <c r="Q12" s="4"/>
    </row>
    <row r="13" spans="1:26" ht="14.4" customHeight="1" x14ac:dyDescent="0.3">
      <c r="A13" s="1"/>
      <c r="B13" s="1"/>
      <c r="C13" s="62" t="s">
        <v>30</v>
      </c>
      <c r="D13" s="63" t="s">
        <v>31</v>
      </c>
      <c r="E13" s="63" t="s">
        <v>32</v>
      </c>
      <c r="F13" s="63" t="s">
        <v>33</v>
      </c>
      <c r="G13" s="63" t="s">
        <v>34</v>
      </c>
      <c r="H13" s="64" t="s">
        <v>35</v>
      </c>
      <c r="I13" s="65" t="s">
        <v>36</v>
      </c>
      <c r="J13" s="66">
        <f>SUMIF(ARM_PA_LT2[Linha de serviço PPU], $D$12,ARM_PA_LT2[QUA])</f>
        <v>103486</v>
      </c>
      <c r="K13" s="67">
        <f>J13*$N$5</f>
        <v>98311.7</v>
      </c>
      <c r="L13" s="68">
        <v>0.9</v>
      </c>
      <c r="M13" s="69">
        <f>K13*L13</f>
        <v>88480.53</v>
      </c>
      <c r="N13" s="70"/>
      <c r="P13" s="71"/>
      <c r="Q13" s="4"/>
    </row>
    <row r="14" spans="1:26" ht="14.4" customHeight="1" x14ac:dyDescent="0.3">
      <c r="A14" s="1"/>
      <c r="B14" s="1"/>
      <c r="C14" s="72"/>
      <c r="D14" s="73">
        <f>SUMIF(ARM_PA_LT2[Linha de serviço PPU], $D$12, ARM_PA_LT2[QUAm-1])</f>
        <v>102168</v>
      </c>
      <c r="E14" s="74">
        <f>SUMIF(ARM_PA_LT2[Linha de serviço PPU], $D$12, ARM_PA_LT2[QBm])</f>
        <v>0</v>
      </c>
      <c r="F14" s="74">
        <f>SUMIF(ARM_PA_LT2[Linha de serviço PPU], $D$12, ARM_PA_LT2[QDm])</f>
        <v>0</v>
      </c>
      <c r="G14" s="75">
        <f>SUMIF(ARM_PA_LT2[Linha de serviço PPU], $D$12, ARM_PA_LT2[QNm])</f>
        <v>1318</v>
      </c>
      <c r="H14" s="76">
        <f>(D14-E14-F14)+G14</f>
        <v>103486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2"/>
      <c r="D15" s="53" t="s">
        <v>37</v>
      </c>
      <c r="E15" s="54" t="s">
        <v>38</v>
      </c>
      <c r="F15" s="55"/>
      <c r="G15" s="55"/>
      <c r="H15" s="55"/>
      <c r="I15" s="83"/>
      <c r="J15" s="84"/>
      <c r="K15" s="85"/>
      <c r="L15" s="86"/>
      <c r="M15" s="87"/>
      <c r="N15" s="61"/>
      <c r="Q15" s="4"/>
    </row>
    <row r="16" spans="1:26" ht="14.4" customHeight="1" x14ac:dyDescent="0.3">
      <c r="A16" s="1"/>
      <c r="B16" s="1"/>
      <c r="C16" s="62" t="s">
        <v>39</v>
      </c>
      <c r="D16" s="63" t="s">
        <v>31</v>
      </c>
      <c r="E16" s="63" t="s">
        <v>32</v>
      </c>
      <c r="F16" s="63" t="s">
        <v>33</v>
      </c>
      <c r="G16" s="63" t="s">
        <v>34</v>
      </c>
      <c r="H16" s="64" t="s">
        <v>35</v>
      </c>
      <c r="I16" s="65" t="s">
        <v>36</v>
      </c>
      <c r="J16" s="66">
        <f>SUMIF(ARM_PA_LT2[Linha de serviço PPU], D15,ARM_PA_LT2[QUA])</f>
        <v>630</v>
      </c>
      <c r="K16" s="67">
        <f>J16*$N$5</f>
        <v>598.5</v>
      </c>
      <c r="L16" s="68">
        <v>0.9</v>
      </c>
      <c r="M16" s="69">
        <f>K16*L16</f>
        <v>538.65</v>
      </c>
      <c r="N16" s="70"/>
      <c r="Q16" s="4"/>
    </row>
    <row r="17" spans="1:17" ht="14.4" customHeight="1" x14ac:dyDescent="0.3">
      <c r="A17" s="1"/>
      <c r="B17" s="1"/>
      <c r="C17" s="72"/>
      <c r="D17" s="73">
        <f>SUMIF(ARM_PA_LT2[Linha de serviço PPU], $D$15, ARM_PA_LT2[QUAm-1])</f>
        <v>0</v>
      </c>
      <c r="E17" s="74">
        <f>SUMIF(ARM_PA_LT2[Linha de serviço PPU], $D$15, ARM_PA_LT2[QBm])</f>
        <v>0</v>
      </c>
      <c r="F17" s="74">
        <f>SUMIF(ARM_PA_LT2[Linha de serviço PPU], $D$15, ARM_PA_LT2[QDm])</f>
        <v>0</v>
      </c>
      <c r="G17" s="75">
        <f>SUMIF(ARM_PA_LT2[Linha de serviço PPU], $D$15, ARM_PA_LT2[QNm])</f>
        <v>630</v>
      </c>
      <c r="H17" s="76">
        <f>(D17-E17-F17)+G17</f>
        <v>630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2"/>
      <c r="D18" s="53" t="s">
        <v>40</v>
      </c>
      <c r="E18" s="54" t="s">
        <v>41</v>
      </c>
      <c r="F18" s="55"/>
      <c r="G18" s="55"/>
      <c r="H18" s="55"/>
      <c r="I18" s="83"/>
      <c r="J18" s="84"/>
      <c r="K18" s="85"/>
      <c r="L18" s="86"/>
      <c r="M18" s="87"/>
      <c r="N18" s="61"/>
      <c r="Q18" s="4"/>
    </row>
    <row r="19" spans="1:17" ht="14.4" customHeight="1" x14ac:dyDescent="0.3">
      <c r="A19" s="1"/>
      <c r="B19" s="1"/>
      <c r="C19" s="62" t="s">
        <v>42</v>
      </c>
      <c r="D19" s="63" t="s">
        <v>31</v>
      </c>
      <c r="E19" s="63" t="s">
        <v>32</v>
      </c>
      <c r="F19" s="63" t="s">
        <v>33</v>
      </c>
      <c r="G19" s="63" t="s">
        <v>34</v>
      </c>
      <c r="H19" s="64" t="s">
        <v>35</v>
      </c>
      <c r="I19" s="65" t="s">
        <v>36</v>
      </c>
      <c r="J19" s="66">
        <f>SUMIF(ARM_PA_LT2[Linha de serviço PPU], D18,ARM_PA_LT2[QUA])</f>
        <v>2131</v>
      </c>
      <c r="K19" s="67">
        <f>J19*$N$5</f>
        <v>2024.4499999999998</v>
      </c>
      <c r="L19" s="68">
        <v>0.9</v>
      </c>
      <c r="M19" s="69">
        <f>K19*L19</f>
        <v>1822.0049999999999</v>
      </c>
      <c r="N19" s="70"/>
      <c r="Q19" s="4"/>
    </row>
    <row r="20" spans="1:17" ht="14.4" customHeight="1" x14ac:dyDescent="0.3">
      <c r="A20" s="1"/>
      <c r="B20" s="1"/>
      <c r="C20" s="72"/>
      <c r="D20" s="73">
        <f>SUMIF(ARM_PA_LT2[Linha de serviço PPU], D18, ARM_PA_LT2[QUAm-1])</f>
        <v>2</v>
      </c>
      <c r="E20" s="74">
        <f>SUMIF(ARM_PA_LT2[Linha de serviço PPU], D18, ARM_PA_LT2[QBm])</f>
        <v>0</v>
      </c>
      <c r="F20" s="74">
        <f>SUMIF(ARM_PA_LT2[Linha de serviço PPU], D18, ARM_PA_LT2[QDm])</f>
        <v>0</v>
      </c>
      <c r="G20" s="75">
        <f>SUMIF(ARM_PA_LT2[Linha de serviço PPU], D18, ARM_PA_LT2[QNm])</f>
        <v>2129</v>
      </c>
      <c r="H20" s="76">
        <f>(D20-E20-F20)+G20</f>
        <v>2131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2"/>
      <c r="D21" s="53" t="s">
        <v>43</v>
      </c>
      <c r="E21" s="54" t="s">
        <v>44</v>
      </c>
      <c r="F21" s="55"/>
      <c r="G21" s="55"/>
      <c r="H21" s="55"/>
      <c r="I21" s="83"/>
      <c r="J21" s="84"/>
      <c r="K21" s="85"/>
      <c r="L21" s="86"/>
      <c r="M21" s="87"/>
      <c r="N21" s="61"/>
      <c r="Q21" s="4"/>
    </row>
    <row r="22" spans="1:17" ht="15.75" customHeight="1" x14ac:dyDescent="0.3">
      <c r="A22" s="1"/>
      <c r="B22" s="1"/>
      <c r="C22" s="62" t="s">
        <v>45</v>
      </c>
      <c r="D22" s="63" t="s">
        <v>31</v>
      </c>
      <c r="E22" s="63" t="s">
        <v>32</v>
      </c>
      <c r="F22" s="63" t="s">
        <v>33</v>
      </c>
      <c r="G22" s="63" t="s">
        <v>34</v>
      </c>
      <c r="H22" s="64" t="s">
        <v>35</v>
      </c>
      <c r="I22" s="65" t="s">
        <v>36</v>
      </c>
      <c r="J22" s="66">
        <f>SUMIF(ARM_PA_LT2[Linha de serviço PPU], D21,ARM_PA_LT2[QUA])</f>
        <v>0</v>
      </c>
      <c r="K22" s="67">
        <f>J22*$N$5</f>
        <v>0</v>
      </c>
      <c r="L22" s="68">
        <v>70</v>
      </c>
      <c r="M22" s="69">
        <f>K22*L22</f>
        <v>0</v>
      </c>
      <c r="N22" s="70"/>
      <c r="Q22" s="4"/>
    </row>
    <row r="23" spans="1:17" ht="15.75" customHeight="1" x14ac:dyDescent="0.3">
      <c r="A23" s="1"/>
      <c r="B23" s="1"/>
      <c r="C23" s="72"/>
      <c r="D23" s="73">
        <f>SUMIF(ARM_PA_LT2[Linha de serviço PPU], D21, ARM_PA_LT2[QUAm-1])</f>
        <v>0</v>
      </c>
      <c r="E23" s="74">
        <f>SUMIF(ARM_PA_LT2[Linha de serviço PPU], D21, ARM_PA_LT2[QBm])</f>
        <v>0</v>
      </c>
      <c r="F23" s="74">
        <f>SUMIF(ARM_PA_LT2[Linha de serviço PPU], D21, ARM_PA_LT2[QDm])</f>
        <v>0</v>
      </c>
      <c r="G23" s="75">
        <f>SUMIF(ARM_PA_LT2[Linha de serviço PPU], D21, ARM_PA_LT2[QNm])</f>
        <v>0</v>
      </c>
      <c r="H23" s="76">
        <f>(D23-E23-F23)+G23</f>
        <v>0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2"/>
      <c r="D24" s="53" t="s">
        <v>46</v>
      </c>
      <c r="E24" s="54" t="s">
        <v>47</v>
      </c>
      <c r="F24" s="55"/>
      <c r="G24" s="55"/>
      <c r="H24" s="55"/>
      <c r="I24" s="83"/>
      <c r="J24" s="84"/>
      <c r="K24" s="85"/>
      <c r="L24" s="86"/>
      <c r="M24" s="87"/>
      <c r="N24" s="61"/>
      <c r="Q24" s="4"/>
    </row>
    <row r="25" spans="1:17" ht="15.75" customHeight="1" x14ac:dyDescent="0.3">
      <c r="A25" s="1"/>
      <c r="B25" s="1"/>
      <c r="C25" s="62" t="s">
        <v>48</v>
      </c>
      <c r="D25" s="63" t="s">
        <v>31</v>
      </c>
      <c r="E25" s="63" t="s">
        <v>32</v>
      </c>
      <c r="F25" s="63" t="s">
        <v>33</v>
      </c>
      <c r="G25" s="63" t="s">
        <v>34</v>
      </c>
      <c r="H25" s="64" t="s">
        <v>35</v>
      </c>
      <c r="I25" s="65" t="s">
        <v>36</v>
      </c>
      <c r="J25" s="66">
        <f>SUMIF(ARM_PA_LT2[Linha de serviço PPU], D24,ARM_PA_LT2[QUA])</f>
        <v>0</v>
      </c>
      <c r="K25" s="67">
        <f>J25*$N$5</f>
        <v>0</v>
      </c>
      <c r="L25" s="68">
        <v>0.1</v>
      </c>
      <c r="M25" s="69">
        <f>K25*L25</f>
        <v>0</v>
      </c>
      <c r="N25" s="70"/>
      <c r="Q25" s="4"/>
    </row>
    <row r="26" spans="1:17" ht="15.75" customHeight="1" x14ac:dyDescent="0.3">
      <c r="A26" s="1"/>
      <c r="B26" s="1"/>
      <c r="C26" s="72"/>
      <c r="D26" s="73">
        <f>SUMIF(ARM_PA_LT2[Linha de serviço PPU], D24, ARM_PA_LT2[QUAm-1])</f>
        <v>0</v>
      </c>
      <c r="E26" s="74">
        <f>SUMIF(ARM_PA_LT2[Linha de serviço PPU], D24, ARM_PA_LT2[QBm])</f>
        <v>0</v>
      </c>
      <c r="F26" s="74">
        <f>SUMIF(ARM_PA_LT2[Linha de serviço PPU], D24, ARM_PA_LT2[QDm])</f>
        <v>0</v>
      </c>
      <c r="G26" s="75">
        <f>SUMIF(ARM_PA_LT2[Linha de serviço PPU], D24, ARM_PA_LT2[QNm])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2"/>
      <c r="D27" s="53" t="s">
        <v>49</v>
      </c>
      <c r="E27" s="54" t="s">
        <v>50</v>
      </c>
      <c r="F27" s="55"/>
      <c r="G27" s="55"/>
      <c r="H27" s="55"/>
      <c r="I27" s="88"/>
      <c r="J27" s="66"/>
      <c r="K27" s="67"/>
      <c r="L27" s="68"/>
      <c r="M27" s="69"/>
      <c r="N27" s="61"/>
      <c r="Q27" s="4"/>
    </row>
    <row r="28" spans="1:17" ht="15.75" customHeight="1" x14ac:dyDescent="0.3">
      <c r="A28" s="1"/>
      <c r="B28" s="1"/>
      <c r="C28" s="62" t="s">
        <v>51</v>
      </c>
      <c r="D28" s="63" t="s">
        <v>31</v>
      </c>
      <c r="E28" s="63" t="s">
        <v>32</v>
      </c>
      <c r="F28" s="63" t="s">
        <v>33</v>
      </c>
      <c r="G28" s="63" t="s">
        <v>34</v>
      </c>
      <c r="H28" s="64" t="s">
        <v>35</v>
      </c>
      <c r="I28" s="65" t="s">
        <v>36</v>
      </c>
      <c r="J28" s="66">
        <f>SUMIF(ARM_PA_LT2[Linha de serviço PPU], D27,ARM_PA_LT2[QUA])</f>
        <v>0</v>
      </c>
      <c r="K28" s="67">
        <f>J28*$N$5</f>
        <v>0</v>
      </c>
      <c r="L28" s="68">
        <v>0.1</v>
      </c>
      <c r="M28" s="69">
        <f>K28*L28</f>
        <v>0</v>
      </c>
      <c r="N28" s="70"/>
      <c r="Q28" s="4"/>
    </row>
    <row r="29" spans="1:17" ht="15.75" customHeight="1" x14ac:dyDescent="0.3">
      <c r="A29" s="1"/>
      <c r="B29" s="1"/>
      <c r="C29" s="72"/>
      <c r="D29" s="73">
        <f>SUMIF(ARM_PA_LT2[Linha de serviço PPU], D27, ARM_PA_LT2[QUAm-1])</f>
        <v>0</v>
      </c>
      <c r="E29" s="74">
        <f>SUMIF(ARM_PA_LT2[Linha de serviço PPU], D27, ARM_PA_LT2[QBm])</f>
        <v>0</v>
      </c>
      <c r="F29" s="74">
        <f>SUMIF(ARM_PA_LT2[Linha de serviço PPU], D27, ARM_PA_LT2[QDm])</f>
        <v>0</v>
      </c>
      <c r="G29" s="75">
        <f>SUMIF(ARM_PA_LT2[Linha de serviço PPU], D27, ARM_PA_LT2[QNm])</f>
        <v>0</v>
      </c>
      <c r="H29" s="76">
        <f>(D29-E29-F29)+G29</f>
        <v>0</v>
      </c>
      <c r="I29" s="77"/>
      <c r="J29" s="78"/>
      <c r="K29" s="79"/>
      <c r="L29" s="80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77" t="s">
        <v>55</v>
      </c>
      <c r="J30" s="93">
        <f>SUMIF(DADOS_PA_LT2[Linha de serviço PPU],D30,DADOS_PA_LT2[QExecAgrupado])</f>
        <v>11.3</v>
      </c>
      <c r="K30" s="79">
        <f>J30*$N$5</f>
        <v>10.734999999999999</v>
      </c>
      <c r="L30" s="94">
        <v>50</v>
      </c>
      <c r="M30" s="81">
        <f t="shared" ref="M30:M36" si="0">K30*L30</f>
        <v>536.75</v>
      </c>
      <c r="N30" s="95"/>
      <c r="Q30" s="4"/>
    </row>
    <row r="31" spans="1:17" ht="15" customHeight="1" x14ac:dyDescent="0.3">
      <c r="A31" s="1"/>
      <c r="B31" s="1"/>
      <c r="C31" s="96" t="s">
        <v>56</v>
      </c>
      <c r="D31" s="53" t="s">
        <v>57</v>
      </c>
      <c r="E31" s="55" t="s">
        <v>58</v>
      </c>
      <c r="F31" s="55"/>
      <c r="G31" s="55"/>
      <c r="H31" s="55"/>
      <c r="I31" s="97" t="s">
        <v>55</v>
      </c>
      <c r="J31" s="93">
        <f>SUMIF(DADOS_PA_LT2[Linha de serviço PPU],D31,DADOS_PA_LT2[QExecAgrupado])</f>
        <v>0</v>
      </c>
      <c r="K31" s="79">
        <f t="shared" ref="K31:K35" si="1">J31*$N$5</f>
        <v>0</v>
      </c>
      <c r="L31" s="94">
        <v>100</v>
      </c>
      <c r="M31" s="98">
        <f t="shared" si="0"/>
        <v>0</v>
      </c>
      <c r="N31" s="95"/>
      <c r="Q31" s="4"/>
    </row>
    <row r="32" spans="1:17" ht="15" customHeight="1" x14ac:dyDescent="0.3">
      <c r="A32" s="1"/>
      <c r="B32" s="1"/>
      <c r="C32" s="96" t="s">
        <v>59</v>
      </c>
      <c r="D32" s="53" t="s">
        <v>60</v>
      </c>
      <c r="E32" s="55" t="s">
        <v>61</v>
      </c>
      <c r="F32" s="55"/>
      <c r="G32" s="55"/>
      <c r="H32" s="55"/>
      <c r="I32" s="97" t="s">
        <v>62</v>
      </c>
      <c r="J32" s="93">
        <f>SUM(DADOS_PA_LT2[KM Adicional])</f>
        <v>678</v>
      </c>
      <c r="K32" s="79">
        <f t="shared" si="1"/>
        <v>644.1</v>
      </c>
      <c r="L32" s="94">
        <v>1</v>
      </c>
      <c r="M32" s="98">
        <f t="shared" si="0"/>
        <v>644.1</v>
      </c>
      <c r="N32" s="95"/>
      <c r="Q32" s="4"/>
    </row>
    <row r="33" spans="1:17" ht="15" customHeight="1" x14ac:dyDescent="0.3">
      <c r="A33" s="1"/>
      <c r="B33" s="1"/>
      <c r="C33" s="96" t="s">
        <v>63</v>
      </c>
      <c r="D33" s="53" t="s">
        <v>64</v>
      </c>
      <c r="E33" s="99" t="s">
        <v>65</v>
      </c>
      <c r="F33" s="100"/>
      <c r="G33" s="100"/>
      <c r="H33" s="101"/>
      <c r="I33" s="97" t="s">
        <v>66</v>
      </c>
      <c r="J33" s="93">
        <f>SUMIF(DADOS_PA_LT2[Linha de serviço PPU],D33,DADOS_PA_LT2[QExecAgrupado])</f>
        <v>116.9</v>
      </c>
      <c r="K33" s="79">
        <f t="shared" si="1"/>
        <v>111.05500000000001</v>
      </c>
      <c r="L33" s="94">
        <v>3</v>
      </c>
      <c r="M33" s="98">
        <f t="shared" si="0"/>
        <v>333.16500000000002</v>
      </c>
      <c r="N33" s="95"/>
      <c r="Q33" s="4"/>
    </row>
    <row r="34" spans="1:17" ht="15" customHeight="1" x14ac:dyDescent="0.3">
      <c r="A34" s="1"/>
      <c r="B34" s="1"/>
      <c r="C34" s="96" t="s">
        <v>67</v>
      </c>
      <c r="D34" s="53" t="s">
        <v>68</v>
      </c>
      <c r="E34" s="99" t="s">
        <v>69</v>
      </c>
      <c r="F34" s="100"/>
      <c r="G34" s="100"/>
      <c r="H34" s="101"/>
      <c r="I34" s="97" t="s">
        <v>66</v>
      </c>
      <c r="J34" s="93">
        <f>SUMIF(DADOS_PA_LT2[Linha de serviço PPU],D34,DADOS_PA_LT2[QExecAgrupado])</f>
        <v>0</v>
      </c>
      <c r="K34" s="79">
        <f t="shared" si="1"/>
        <v>0</v>
      </c>
      <c r="L34" s="94">
        <v>3</v>
      </c>
      <c r="M34" s="98">
        <f>K34*L35</f>
        <v>0</v>
      </c>
      <c r="N34" s="102"/>
      <c r="Q34" s="4"/>
    </row>
    <row r="35" spans="1:17" ht="15" customHeight="1" x14ac:dyDescent="0.3">
      <c r="A35" s="1"/>
      <c r="B35" s="1"/>
      <c r="C35" s="96" t="s">
        <v>70</v>
      </c>
      <c r="D35" s="53" t="s">
        <v>71</v>
      </c>
      <c r="E35" s="99" t="s">
        <v>72</v>
      </c>
      <c r="F35" s="100"/>
      <c r="G35" s="100"/>
      <c r="H35" s="101"/>
      <c r="I35" s="97" t="s">
        <v>73</v>
      </c>
      <c r="J35" s="93">
        <f>SUMIF(DADOS_PA_LT2[Linha de serviço PPU],D35,DADOS_PA_LT2[QExecAgrupado])</f>
        <v>0</v>
      </c>
      <c r="K35" s="79">
        <f t="shared" si="1"/>
        <v>0</v>
      </c>
      <c r="L35" s="94">
        <v>100000</v>
      </c>
      <c r="M35" s="98">
        <v>0</v>
      </c>
      <c r="N35" s="95"/>
      <c r="Q35" s="4"/>
    </row>
    <row r="36" spans="1:17" ht="15" customHeight="1" x14ac:dyDescent="0.3">
      <c r="A36" s="1"/>
      <c r="B36" s="1"/>
      <c r="C36" s="96" t="s">
        <v>74</v>
      </c>
      <c r="D36" s="53" t="s">
        <v>75</v>
      </c>
      <c r="E36" s="99" t="s">
        <v>76</v>
      </c>
      <c r="F36" s="100"/>
      <c r="G36" s="100"/>
      <c r="H36" s="101"/>
      <c r="I36" s="97" t="s">
        <v>36</v>
      </c>
      <c r="J36" s="93">
        <f>SUMIF(DADOS_PA_LT2[Linha de serviço PPU],D36,DADOS_PA_LT2[QExecAgrupado])</f>
        <v>0</v>
      </c>
      <c r="K36" s="79">
        <f>J36*$N$5</f>
        <v>0</v>
      </c>
      <c r="L36" s="94">
        <v>7.5</v>
      </c>
      <c r="M36" s="98">
        <f t="shared" si="0"/>
        <v>0</v>
      </c>
      <c r="N36" s="95"/>
      <c r="Q36" s="4"/>
    </row>
    <row r="37" spans="1:17" ht="15" customHeight="1" x14ac:dyDescent="0.3">
      <c r="A37" s="1"/>
      <c r="B37" s="1"/>
      <c r="C37" s="47">
        <v>2</v>
      </c>
      <c r="D37" s="103" t="s">
        <v>77</v>
      </c>
      <c r="E37" s="41"/>
      <c r="F37" s="41"/>
      <c r="G37" s="41"/>
      <c r="H37" s="41"/>
      <c r="I37" s="104"/>
      <c r="J37" s="104"/>
      <c r="K37" s="104"/>
      <c r="L37" s="104"/>
      <c r="M37" s="104"/>
      <c r="N37" s="50"/>
      <c r="Q37" s="4"/>
    </row>
    <row r="38" spans="1:17" ht="15" customHeight="1" x14ac:dyDescent="0.3">
      <c r="A38" s="1"/>
      <c r="B38" s="1"/>
      <c r="C38" s="96" t="s">
        <v>78</v>
      </c>
      <c r="D38" s="105" t="s">
        <v>79</v>
      </c>
      <c r="E38" s="55" t="s">
        <v>80</v>
      </c>
      <c r="F38" s="55"/>
      <c r="G38" s="55"/>
      <c r="H38" s="55"/>
      <c r="I38" s="97" t="s">
        <v>81</v>
      </c>
      <c r="J38" s="93">
        <f>SUMIF(DADOS_PA_LT2[Linha de serviço PPU],D38,DADOS_PA_LT2[QExec])</f>
        <v>8</v>
      </c>
      <c r="K38" s="106">
        <f t="shared" ref="K38:K45" si="2">J38*$N$7</f>
        <v>0</v>
      </c>
      <c r="L38" s="94">
        <v>0.2</v>
      </c>
      <c r="M38" s="98">
        <f t="shared" ref="M38:M46" si="3">K38*L38</f>
        <v>0</v>
      </c>
      <c r="N38" s="95"/>
      <c r="Q38" s="4"/>
    </row>
    <row r="39" spans="1:17" ht="15" customHeight="1" x14ac:dyDescent="0.3">
      <c r="A39" s="1"/>
      <c r="B39" s="1"/>
      <c r="C39" s="96" t="s">
        <v>82</v>
      </c>
      <c r="D39" s="107" t="s">
        <v>83</v>
      </c>
      <c r="E39" s="108" t="s">
        <v>84</v>
      </c>
      <c r="F39" s="108"/>
      <c r="G39" s="108"/>
      <c r="H39" s="108"/>
      <c r="I39" s="97" t="s">
        <v>36</v>
      </c>
      <c r="J39" s="93">
        <f>SUMIF(DADOS_PA_LT2[Linha de serviço PPU],D39,DADOS_PA_LT2[QExec])</f>
        <v>0</v>
      </c>
      <c r="K39" s="106">
        <f t="shared" si="2"/>
        <v>0</v>
      </c>
      <c r="L39" s="94">
        <v>10</v>
      </c>
      <c r="M39" s="98">
        <f t="shared" si="3"/>
        <v>0</v>
      </c>
      <c r="N39" s="95"/>
      <c r="Q39" s="4"/>
    </row>
    <row r="40" spans="1:17" ht="15" customHeight="1" x14ac:dyDescent="0.3">
      <c r="A40" s="1"/>
      <c r="B40" s="1"/>
      <c r="C40" s="96" t="s">
        <v>85</v>
      </c>
      <c r="D40" s="105" t="s">
        <v>86</v>
      </c>
      <c r="E40" s="55" t="s">
        <v>87</v>
      </c>
      <c r="F40" s="55"/>
      <c r="G40" s="55"/>
      <c r="H40" s="55"/>
      <c r="I40" s="97" t="s">
        <v>88</v>
      </c>
      <c r="J40" s="93">
        <f>SUMIF(DADOS_PA_LT2[Linha de serviço PPU],D40,DADOS_PA_LT2[QExec])</f>
        <v>0</v>
      </c>
      <c r="K40" s="106">
        <f t="shared" si="2"/>
        <v>0</v>
      </c>
      <c r="L40" s="94">
        <v>0.05</v>
      </c>
      <c r="M40" s="98">
        <f t="shared" si="3"/>
        <v>0</v>
      </c>
      <c r="N40" s="95"/>
      <c r="Q40" s="4"/>
    </row>
    <row r="41" spans="1:17" ht="15" customHeight="1" x14ac:dyDescent="0.3">
      <c r="A41" s="1"/>
      <c r="B41" s="1"/>
      <c r="C41" s="96" t="s">
        <v>89</v>
      </c>
      <c r="D41" s="105" t="s">
        <v>90</v>
      </c>
      <c r="E41" s="55" t="s">
        <v>91</v>
      </c>
      <c r="F41" s="55"/>
      <c r="G41" s="55"/>
      <c r="H41" s="55"/>
      <c r="I41" s="97" t="s">
        <v>88</v>
      </c>
      <c r="J41" s="93">
        <f>SUMIF(DADOS_PA_LT2[Linha de serviço PPU],D41,DADOS_PA_LT2[QExec])</f>
        <v>0</v>
      </c>
      <c r="K41" s="106">
        <f t="shared" si="2"/>
        <v>0</v>
      </c>
      <c r="L41" s="94">
        <v>0.05</v>
      </c>
      <c r="M41" s="98">
        <f t="shared" si="3"/>
        <v>0</v>
      </c>
      <c r="N41" s="95"/>
      <c r="Q41" s="4"/>
    </row>
    <row r="42" spans="1:17" ht="15" customHeight="1" x14ac:dyDescent="0.3">
      <c r="A42" s="1"/>
      <c r="B42" s="1"/>
      <c r="C42" s="96" t="s">
        <v>92</v>
      </c>
      <c r="D42" s="105" t="s">
        <v>93</v>
      </c>
      <c r="E42" s="55" t="s">
        <v>94</v>
      </c>
      <c r="F42" s="55"/>
      <c r="G42" s="55"/>
      <c r="H42" s="55"/>
      <c r="I42" s="97" t="s">
        <v>88</v>
      </c>
      <c r="J42" s="93">
        <f>SUMIF(DADOS_PA_LT2[Linha de serviço PPU],D42,DADOS_PA_LT2[QExec])</f>
        <v>67691</v>
      </c>
      <c r="K42" s="106">
        <f t="shared" si="2"/>
        <v>0</v>
      </c>
      <c r="L42" s="94">
        <v>0.11</v>
      </c>
      <c r="M42" s="98">
        <f t="shared" si="3"/>
        <v>0</v>
      </c>
      <c r="N42" s="95"/>
      <c r="Q42" s="4"/>
    </row>
    <row r="43" spans="1:17" ht="15" customHeight="1" x14ac:dyDescent="0.3">
      <c r="A43" s="1"/>
      <c r="B43" s="1"/>
      <c r="C43" s="96" t="s">
        <v>95</v>
      </c>
      <c r="D43" s="105" t="s">
        <v>96</v>
      </c>
      <c r="E43" s="55" t="s">
        <v>97</v>
      </c>
      <c r="F43" s="55"/>
      <c r="G43" s="55"/>
      <c r="H43" s="55"/>
      <c r="I43" s="97" t="s">
        <v>98</v>
      </c>
      <c r="J43" s="93">
        <f>SUMIF(DADOS_PA_LT2[Linha de serviço PPU],D43,DADOS_PA_LT2[QExec])</f>
        <v>120.49999999999999</v>
      </c>
      <c r="K43" s="106">
        <f t="shared" si="2"/>
        <v>0</v>
      </c>
      <c r="L43" s="94">
        <v>0.1</v>
      </c>
      <c r="M43" s="98">
        <f t="shared" si="3"/>
        <v>0</v>
      </c>
      <c r="N43" s="95"/>
      <c r="Q43" s="4"/>
    </row>
    <row r="44" spans="1:17" ht="15" customHeight="1" x14ac:dyDescent="0.3">
      <c r="A44" s="1"/>
      <c r="B44" s="1"/>
      <c r="C44" s="96" t="s">
        <v>99</v>
      </c>
      <c r="D44" s="105" t="s">
        <v>100</v>
      </c>
      <c r="E44" s="55" t="s">
        <v>101</v>
      </c>
      <c r="F44" s="55"/>
      <c r="G44" s="55"/>
      <c r="H44" s="55"/>
      <c r="I44" s="97" t="s">
        <v>102</v>
      </c>
      <c r="J44" s="93">
        <f>SUMIF(DADOS_PA_LT2[Linha de serviço PPU],D44,DADOS_PA_LT2[QExec])</f>
        <v>0</v>
      </c>
      <c r="K44" s="106">
        <f t="shared" si="2"/>
        <v>0</v>
      </c>
      <c r="L44" s="94">
        <v>40</v>
      </c>
      <c r="M44" s="98">
        <f t="shared" si="3"/>
        <v>0</v>
      </c>
      <c r="N44" s="95"/>
      <c r="Q44" s="4"/>
    </row>
    <row r="45" spans="1:17" ht="15" customHeight="1" x14ac:dyDescent="0.3">
      <c r="A45" s="1"/>
      <c r="B45" s="1"/>
      <c r="C45" s="96" t="s">
        <v>103</v>
      </c>
      <c r="D45" s="105" t="s">
        <v>104</v>
      </c>
      <c r="E45" s="55" t="s">
        <v>105</v>
      </c>
      <c r="F45" s="55"/>
      <c r="G45" s="55"/>
      <c r="H45" s="55"/>
      <c r="I45" s="97" t="s">
        <v>102</v>
      </c>
      <c r="J45" s="93">
        <f>SUMIF(DADOS_PA_LT2[Linha de serviço PPU],D45,DADOS_PA_LT2[QExec])</f>
        <v>0</v>
      </c>
      <c r="K45" s="106">
        <f t="shared" si="2"/>
        <v>0</v>
      </c>
      <c r="L45" s="94">
        <v>40</v>
      </c>
      <c r="M45" s="98">
        <f t="shared" si="3"/>
        <v>0</v>
      </c>
      <c r="N45" s="95"/>
      <c r="Q45" s="4"/>
    </row>
    <row r="46" spans="1:17" ht="15" customHeight="1" x14ac:dyDescent="0.3">
      <c r="A46" s="1"/>
      <c r="B46" s="1"/>
      <c r="C46" s="96" t="s">
        <v>106</v>
      </c>
      <c r="D46" s="105" t="s">
        <v>107</v>
      </c>
      <c r="E46" s="55" t="s">
        <v>108</v>
      </c>
      <c r="F46" s="55"/>
      <c r="G46" s="55"/>
      <c r="H46" s="55"/>
      <c r="I46" s="97" t="s">
        <v>102</v>
      </c>
      <c r="J46" s="93">
        <f>SUMIF(DADOS_PA_LT2[Linha de serviço PPU],D46,DADOS_PA_LT2[QExec])</f>
        <v>0</v>
      </c>
      <c r="K46" s="106">
        <f>J46*$N$7</f>
        <v>0</v>
      </c>
      <c r="L46" s="94">
        <v>5</v>
      </c>
      <c r="M46" s="98">
        <f t="shared" si="3"/>
        <v>0</v>
      </c>
      <c r="N46" s="95"/>
      <c r="Q46" s="4"/>
    </row>
    <row r="47" spans="1:17" ht="30" customHeight="1" x14ac:dyDescent="0.3">
      <c r="A47" s="1"/>
      <c r="B47" s="1"/>
      <c r="C47" s="109" t="s">
        <v>109</v>
      </c>
      <c r="D47" s="110"/>
      <c r="E47" s="110"/>
      <c r="F47" s="110"/>
      <c r="G47" s="110"/>
      <c r="H47" s="110"/>
      <c r="I47" s="111"/>
      <c r="J47" s="112"/>
      <c r="K47" s="112"/>
      <c r="L47" s="112"/>
      <c r="M47" s="113">
        <f>SUM(M12:M46)</f>
        <v>92355.199999999997</v>
      </c>
      <c r="N47" s="95"/>
      <c r="Q47" s="4"/>
    </row>
    <row r="48" spans="1:17" ht="14.25" customHeight="1" x14ac:dyDescent="0.3">
      <c r="A48" s="1"/>
      <c r="B48" s="1"/>
      <c r="C48" s="114" t="s">
        <v>110</v>
      </c>
      <c r="D48" s="41"/>
      <c r="E48" s="41"/>
      <c r="F48" s="41"/>
      <c r="G48" s="41"/>
      <c r="H48" s="41"/>
      <c r="I48" s="42"/>
      <c r="J48" s="115" t="s">
        <v>111</v>
      </c>
      <c r="K48" s="41"/>
      <c r="L48" s="41"/>
      <c r="M48" s="41"/>
      <c r="N48" s="42"/>
      <c r="Q48" s="4"/>
    </row>
    <row r="49" spans="1:17" ht="45" customHeight="1" x14ac:dyDescent="0.3">
      <c r="A49" s="1"/>
      <c r="B49" s="1"/>
      <c r="C49" s="116"/>
      <c r="D49" s="117"/>
      <c r="E49" s="117"/>
      <c r="F49" s="117"/>
      <c r="G49" s="117"/>
      <c r="H49" s="118"/>
      <c r="I49" s="119"/>
      <c r="J49" s="120" t="s">
        <v>112</v>
      </c>
      <c r="K49" s="41"/>
      <c r="L49" s="41"/>
      <c r="M49" s="41"/>
      <c r="N49" s="42"/>
      <c r="Q49" s="4"/>
    </row>
    <row r="50" spans="1:17" ht="16.5" customHeight="1" x14ac:dyDescent="0.3">
      <c r="A50" s="1"/>
      <c r="B50" s="1"/>
      <c r="C50" s="121" t="s">
        <v>113</v>
      </c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2"/>
      <c r="Q50" s="4"/>
    </row>
    <row r="51" spans="1:17" ht="60" customHeight="1" x14ac:dyDescent="0.3">
      <c r="A51" s="1"/>
      <c r="B51" s="1"/>
      <c r="C51" s="12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2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123"/>
      <c r="N52" s="3"/>
      <c r="Q52" s="4"/>
    </row>
    <row r="53" spans="1:17" ht="15.75" customHeight="1" x14ac:dyDescent="0.3">
      <c r="A53" s="1"/>
      <c r="B53" s="1"/>
      <c r="C53" s="2"/>
      <c r="D53" s="39" t="s">
        <v>114</v>
      </c>
      <c r="E53" s="39" t="s">
        <v>115</v>
      </c>
      <c r="F53" s="39" t="s">
        <v>116</v>
      </c>
      <c r="G53" s="39" t="s">
        <v>117</v>
      </c>
      <c r="H53" s="39"/>
      <c r="I53" s="39" t="s">
        <v>118</v>
      </c>
      <c r="J53" s="40" t="s">
        <v>119</v>
      </c>
      <c r="K53" s="42"/>
      <c r="L53" s="124"/>
      <c r="M53" s="125"/>
      <c r="N53" s="124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123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126"/>
      <c r="M55" s="123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3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3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3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3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3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3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3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3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3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3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3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3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3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3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3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3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3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3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3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3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3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3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3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3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3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3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3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3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3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3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3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3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3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3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3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3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3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3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3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3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3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3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3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3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C48:I48"/>
    <mergeCell ref="J48:N48"/>
    <mergeCell ref="J49:N49"/>
    <mergeCell ref="C50:N50"/>
    <mergeCell ref="C51:N51"/>
    <mergeCell ref="J53:K53"/>
    <mergeCell ref="E42:H42"/>
    <mergeCell ref="E43:H43"/>
    <mergeCell ref="E44:H44"/>
    <mergeCell ref="E45:H45"/>
    <mergeCell ref="E46:H46"/>
    <mergeCell ref="C47:I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A4FD2-A1DB-48B9-836E-59985CF892C7}">
  <dimension ref="A1:J15"/>
  <sheetViews>
    <sheetView workbookViewId="0">
      <selection sqref="A1:J1"/>
    </sheetView>
  </sheetViews>
  <sheetFormatPr defaultRowHeight="14.4" x14ac:dyDescent="0.3"/>
  <cols>
    <col min="1" max="1" width="21.3320312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5.21875" bestFit="1" customWidth="1"/>
    <col min="9" max="9" width="7.109375" bestFit="1" customWidth="1"/>
    <col min="10" max="10" width="20.88671875" bestFit="1" customWidth="1"/>
  </cols>
  <sheetData>
    <row r="1" spans="1:10" ht="15" thickBot="1" x14ac:dyDescent="0.35">
      <c r="A1" s="129" t="s">
        <v>120</v>
      </c>
      <c r="B1" s="129" t="s">
        <v>19</v>
      </c>
      <c r="C1" s="129" t="s">
        <v>31</v>
      </c>
      <c r="D1" s="129" t="s">
        <v>32</v>
      </c>
      <c r="E1" s="129" t="s">
        <v>33</v>
      </c>
      <c r="F1" s="129" t="s">
        <v>34</v>
      </c>
      <c r="G1" s="129" t="s">
        <v>35</v>
      </c>
      <c r="H1" s="129" t="s">
        <v>121</v>
      </c>
      <c r="I1" s="129" t="s">
        <v>122</v>
      </c>
      <c r="J1" s="129" t="s">
        <v>123</v>
      </c>
    </row>
    <row r="2" spans="1:10" x14ac:dyDescent="0.3">
      <c r="A2" s="127" t="s">
        <v>124</v>
      </c>
      <c r="B2" s="127" t="s">
        <v>125</v>
      </c>
      <c r="C2" s="127">
        <v>5</v>
      </c>
      <c r="D2" s="127">
        <v>0</v>
      </c>
      <c r="E2" s="127">
        <v>0</v>
      </c>
      <c r="F2" s="127">
        <v>0</v>
      </c>
      <c r="G2" s="127">
        <v>5</v>
      </c>
      <c r="H2" s="128">
        <v>1.1319999999999999</v>
      </c>
      <c r="I2" s="127">
        <v>5</v>
      </c>
      <c r="J2" s="127" t="s">
        <v>28</v>
      </c>
    </row>
    <row r="3" spans="1:10" x14ac:dyDescent="0.3">
      <c r="A3" t="s">
        <v>126</v>
      </c>
      <c r="B3" t="s">
        <v>125</v>
      </c>
      <c r="C3">
        <v>8</v>
      </c>
      <c r="D3">
        <v>0</v>
      </c>
      <c r="E3">
        <v>0</v>
      </c>
      <c r="F3">
        <v>1</v>
      </c>
      <c r="G3">
        <v>9</v>
      </c>
      <c r="H3" s="25">
        <v>1.0780000000000001</v>
      </c>
      <c r="I3">
        <v>9</v>
      </c>
      <c r="J3" t="s">
        <v>28</v>
      </c>
    </row>
    <row r="4" spans="1:10" x14ac:dyDescent="0.3">
      <c r="A4" s="127" t="s">
        <v>127</v>
      </c>
      <c r="B4" s="127" t="s">
        <v>125</v>
      </c>
      <c r="C4" s="127">
        <v>20</v>
      </c>
      <c r="D4" s="127">
        <v>0</v>
      </c>
      <c r="E4" s="127">
        <v>0</v>
      </c>
      <c r="F4" s="127">
        <v>0</v>
      </c>
      <c r="G4" s="127">
        <v>20</v>
      </c>
      <c r="H4" s="128">
        <v>1.181</v>
      </c>
      <c r="I4" s="127">
        <v>20</v>
      </c>
      <c r="J4" s="127" t="s">
        <v>28</v>
      </c>
    </row>
    <row r="5" spans="1:10" x14ac:dyDescent="0.3">
      <c r="A5" t="s">
        <v>128</v>
      </c>
      <c r="B5" t="s">
        <v>125</v>
      </c>
      <c r="C5">
        <v>11095</v>
      </c>
      <c r="D5">
        <v>0</v>
      </c>
      <c r="E5">
        <v>0</v>
      </c>
      <c r="F5">
        <v>25</v>
      </c>
      <c r="G5">
        <v>11120</v>
      </c>
      <c r="H5" s="25">
        <v>1.1339999999999999</v>
      </c>
      <c r="I5">
        <v>11120</v>
      </c>
      <c r="J5" t="s">
        <v>28</v>
      </c>
    </row>
    <row r="6" spans="1:10" x14ac:dyDescent="0.3">
      <c r="A6" s="127" t="s">
        <v>129</v>
      </c>
      <c r="B6" s="127" t="s">
        <v>125</v>
      </c>
      <c r="C6" s="127">
        <v>2549</v>
      </c>
      <c r="D6" s="127">
        <v>0</v>
      </c>
      <c r="E6" s="127">
        <v>0</v>
      </c>
      <c r="F6" s="127">
        <v>12</v>
      </c>
      <c r="G6" s="127">
        <v>2561</v>
      </c>
      <c r="H6" s="128">
        <v>1.1419999999999999</v>
      </c>
      <c r="I6" s="127">
        <v>2561</v>
      </c>
      <c r="J6" s="127" t="s">
        <v>28</v>
      </c>
    </row>
    <row r="7" spans="1:10" x14ac:dyDescent="0.3">
      <c r="A7" t="s">
        <v>130</v>
      </c>
      <c r="B7" t="s">
        <v>125</v>
      </c>
      <c r="C7">
        <v>88489</v>
      </c>
      <c r="D7">
        <v>0</v>
      </c>
      <c r="E7">
        <v>0</v>
      </c>
      <c r="F7">
        <v>1280</v>
      </c>
      <c r="G7">
        <v>89769</v>
      </c>
      <c r="H7" s="25">
        <v>1.2030000000000001</v>
      </c>
      <c r="I7">
        <v>89769</v>
      </c>
      <c r="J7" t="s">
        <v>28</v>
      </c>
    </row>
    <row r="8" spans="1:10" x14ac:dyDescent="0.3">
      <c r="A8" s="127" t="s">
        <v>131</v>
      </c>
      <c r="B8" s="127" t="s">
        <v>125</v>
      </c>
      <c r="C8" s="127">
        <v>2</v>
      </c>
      <c r="D8" s="127">
        <v>0</v>
      </c>
      <c r="E8" s="127">
        <v>0</v>
      </c>
      <c r="F8" s="127">
        <v>0</v>
      </c>
      <c r="G8" s="127">
        <v>2</v>
      </c>
      <c r="H8" s="128">
        <v>1.2030000000000001</v>
      </c>
      <c r="I8" s="127">
        <v>2</v>
      </c>
      <c r="J8" s="127" t="s">
        <v>28</v>
      </c>
    </row>
    <row r="9" spans="1:10" x14ac:dyDescent="0.3">
      <c r="A9" t="s">
        <v>132</v>
      </c>
      <c r="B9" t="s">
        <v>133</v>
      </c>
      <c r="C9">
        <v>0</v>
      </c>
      <c r="D9">
        <v>0</v>
      </c>
      <c r="E9">
        <v>0</v>
      </c>
      <c r="F9">
        <v>630</v>
      </c>
      <c r="G9">
        <v>630</v>
      </c>
      <c r="H9" s="25">
        <v>1</v>
      </c>
      <c r="I9">
        <v>630</v>
      </c>
      <c r="J9" t="s">
        <v>37</v>
      </c>
    </row>
    <row r="10" spans="1:10" x14ac:dyDescent="0.3">
      <c r="A10" s="127" t="s">
        <v>134</v>
      </c>
      <c r="B10" s="127" t="s">
        <v>133</v>
      </c>
      <c r="C10" s="127">
        <v>0</v>
      </c>
      <c r="D10" s="127">
        <v>0</v>
      </c>
      <c r="E10" s="127">
        <v>0</v>
      </c>
      <c r="F10" s="127">
        <v>0</v>
      </c>
      <c r="G10" s="127">
        <v>0</v>
      </c>
      <c r="H10" s="128">
        <v>0.93014705882352944</v>
      </c>
      <c r="I10" s="127">
        <v>0</v>
      </c>
      <c r="J10" s="127" t="s">
        <v>37</v>
      </c>
    </row>
    <row r="11" spans="1:10" x14ac:dyDescent="0.3">
      <c r="A11" t="s">
        <v>135</v>
      </c>
      <c r="B11" t="s">
        <v>136</v>
      </c>
      <c r="C11">
        <v>2</v>
      </c>
      <c r="D11">
        <v>0</v>
      </c>
      <c r="E11">
        <v>0</v>
      </c>
      <c r="F11">
        <v>1133</v>
      </c>
      <c r="G11">
        <v>1135</v>
      </c>
      <c r="H11" s="25">
        <v>0.24999411036523553</v>
      </c>
      <c r="I11">
        <v>1135</v>
      </c>
      <c r="J11" t="s">
        <v>40</v>
      </c>
    </row>
    <row r="12" spans="1:10" x14ac:dyDescent="0.3">
      <c r="A12" s="127" t="s">
        <v>137</v>
      </c>
      <c r="B12" s="127" t="s">
        <v>136</v>
      </c>
      <c r="C12" s="127">
        <v>0</v>
      </c>
      <c r="D12" s="127">
        <v>0</v>
      </c>
      <c r="E12" s="127">
        <v>0</v>
      </c>
      <c r="F12" s="127">
        <v>996</v>
      </c>
      <c r="G12" s="127">
        <v>996</v>
      </c>
      <c r="H12" s="128">
        <v>0.99997644146094211</v>
      </c>
      <c r="I12" s="127">
        <v>996</v>
      </c>
      <c r="J12" s="127" t="s">
        <v>40</v>
      </c>
    </row>
    <row r="13" spans="1:10" x14ac:dyDescent="0.3">
      <c r="A13" t="s">
        <v>138</v>
      </c>
      <c r="B13" t="s">
        <v>136</v>
      </c>
      <c r="C13">
        <v>0</v>
      </c>
      <c r="D13">
        <v>0</v>
      </c>
      <c r="E13">
        <v>0</v>
      </c>
      <c r="F13">
        <v>0</v>
      </c>
      <c r="G13">
        <v>0</v>
      </c>
      <c r="H13" s="25">
        <v>1.0249758524974657</v>
      </c>
      <c r="I13">
        <v>0</v>
      </c>
      <c r="J13" t="s">
        <v>40</v>
      </c>
    </row>
    <row r="14" spans="1:10" x14ac:dyDescent="0.3">
      <c r="A14" s="127" t="s">
        <v>139</v>
      </c>
      <c r="B14" s="127" t="s">
        <v>136</v>
      </c>
      <c r="C14" s="127">
        <v>0</v>
      </c>
      <c r="D14" s="127">
        <v>0</v>
      </c>
      <c r="E14" s="127">
        <v>0</v>
      </c>
      <c r="F14" s="127">
        <v>0</v>
      </c>
      <c r="G14" s="127">
        <v>0</v>
      </c>
      <c r="H14" s="128">
        <v>1.0833078115826873</v>
      </c>
      <c r="I14" s="127">
        <v>0</v>
      </c>
      <c r="J14" s="127" t="s">
        <v>40</v>
      </c>
    </row>
    <row r="15" spans="1:10" x14ac:dyDescent="0.3">
      <c r="A15" s="130" t="s">
        <v>140</v>
      </c>
      <c r="B15" s="130" t="s">
        <v>136</v>
      </c>
      <c r="C15" s="130">
        <v>0</v>
      </c>
      <c r="D15" s="130">
        <v>0</v>
      </c>
      <c r="E15" s="130">
        <v>0</v>
      </c>
      <c r="F15" s="130">
        <v>0</v>
      </c>
      <c r="G15" s="130">
        <v>0</v>
      </c>
      <c r="H15" s="131">
        <v>1.0499752635339892</v>
      </c>
      <c r="I15" s="130">
        <v>0</v>
      </c>
      <c r="J15" s="130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C38D-94DF-48D1-BC93-D7FC4CD4D0F9}">
  <dimension ref="A1:AF163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25.88671875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3.77734375" bestFit="1" customWidth="1"/>
    <col min="8" max="8" width="16.109375" bestFit="1" customWidth="1"/>
    <col min="9" max="9" width="1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5.21875" bestFit="1" customWidth="1"/>
    <col min="27" max="27" width="12.6640625" bestFit="1" customWidth="1"/>
    <col min="28" max="28" width="14.554687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ht="15" thickBot="1" x14ac:dyDescent="0.35">
      <c r="A1" s="129" t="s">
        <v>141</v>
      </c>
      <c r="B1" s="129" t="s">
        <v>20</v>
      </c>
      <c r="C1" s="129" t="s">
        <v>19</v>
      </c>
      <c r="D1" s="129" t="s">
        <v>142</v>
      </c>
      <c r="E1" s="129" t="s">
        <v>143</v>
      </c>
      <c r="F1" s="129" t="s">
        <v>144</v>
      </c>
      <c r="G1" s="129" t="s">
        <v>145</v>
      </c>
      <c r="H1" s="129" t="s">
        <v>146</v>
      </c>
      <c r="I1" s="129" t="s">
        <v>147</v>
      </c>
      <c r="J1" s="129" t="s">
        <v>148</v>
      </c>
      <c r="K1" s="129" t="s">
        <v>149</v>
      </c>
      <c r="L1" s="129" t="s">
        <v>150</v>
      </c>
      <c r="M1" s="129" t="s">
        <v>151</v>
      </c>
      <c r="N1" s="129" t="s">
        <v>152</v>
      </c>
      <c r="O1" s="129" t="s">
        <v>153</v>
      </c>
      <c r="P1" s="129" t="s">
        <v>154</v>
      </c>
      <c r="Q1" s="129" t="s">
        <v>155</v>
      </c>
      <c r="R1" s="129" t="s">
        <v>156</v>
      </c>
      <c r="S1" s="129" t="s">
        <v>157</v>
      </c>
      <c r="T1" s="129" t="s">
        <v>158</v>
      </c>
      <c r="U1" s="129" t="s">
        <v>159</v>
      </c>
      <c r="V1" s="129" t="s">
        <v>160</v>
      </c>
      <c r="W1" s="129" t="s">
        <v>161</v>
      </c>
      <c r="X1" s="129" t="s">
        <v>162</v>
      </c>
      <c r="Y1" s="129" t="s">
        <v>163</v>
      </c>
      <c r="Z1" s="129" t="s">
        <v>121</v>
      </c>
      <c r="AA1" s="129" t="s">
        <v>21</v>
      </c>
      <c r="AB1" s="129" t="s">
        <v>164</v>
      </c>
      <c r="AC1" s="129" t="s">
        <v>165</v>
      </c>
      <c r="AD1" s="129" t="s">
        <v>123</v>
      </c>
      <c r="AE1" s="129" t="s">
        <v>22</v>
      </c>
      <c r="AF1" s="129" t="s">
        <v>166</v>
      </c>
    </row>
    <row r="2" spans="1:32" x14ac:dyDescent="0.3">
      <c r="A2" s="127" t="s">
        <v>167</v>
      </c>
      <c r="B2" s="127" t="s">
        <v>168</v>
      </c>
      <c r="C2" s="127" t="s">
        <v>169</v>
      </c>
      <c r="D2" s="127" t="s">
        <v>170</v>
      </c>
      <c r="E2" s="127" t="s">
        <v>171</v>
      </c>
      <c r="F2" s="132">
        <v>46147.441388888888</v>
      </c>
      <c r="G2" s="127" t="s">
        <v>172</v>
      </c>
      <c r="H2" s="127">
        <v>24</v>
      </c>
      <c r="I2" s="127" t="s">
        <v>173</v>
      </c>
      <c r="J2" s="132">
        <v>46146.748611111114</v>
      </c>
      <c r="K2" s="132">
        <v>46147.618750000001</v>
      </c>
      <c r="L2" s="132"/>
      <c r="M2" s="127">
        <v>24</v>
      </c>
      <c r="N2" s="127"/>
      <c r="O2" s="127" t="s">
        <v>174</v>
      </c>
      <c r="P2" s="127" t="s">
        <v>175</v>
      </c>
      <c r="Q2" s="127"/>
      <c r="R2" s="127"/>
      <c r="S2" s="127" t="s">
        <v>176</v>
      </c>
      <c r="T2" s="127" t="s">
        <v>177</v>
      </c>
      <c r="U2" s="127" t="s">
        <v>178</v>
      </c>
      <c r="V2" s="127" t="s">
        <v>179</v>
      </c>
      <c r="W2" s="127" t="s">
        <v>179</v>
      </c>
      <c r="X2" s="127" t="s">
        <v>179</v>
      </c>
      <c r="Y2" s="127"/>
      <c r="Z2" s="127">
        <v>1</v>
      </c>
      <c r="AA2" s="127" t="s">
        <v>88</v>
      </c>
      <c r="AB2" s="127" t="s">
        <v>180</v>
      </c>
      <c r="AC2" s="127">
        <v>2940</v>
      </c>
      <c r="AD2" s="127" t="s">
        <v>93</v>
      </c>
      <c r="AE2" s="127">
        <v>24</v>
      </c>
      <c r="AF2" s="127">
        <v>2.4</v>
      </c>
    </row>
    <row r="3" spans="1:32" x14ac:dyDescent="0.3">
      <c r="A3" t="s">
        <v>167</v>
      </c>
      <c r="B3" t="s">
        <v>181</v>
      </c>
      <c r="C3" t="s">
        <v>182</v>
      </c>
      <c r="D3" t="s">
        <v>170</v>
      </c>
      <c r="E3" t="s">
        <v>183</v>
      </c>
      <c r="F3" s="133">
        <v>46274.399525462963</v>
      </c>
      <c r="G3" t="s">
        <v>184</v>
      </c>
      <c r="H3">
        <v>1</v>
      </c>
      <c r="I3" t="s">
        <v>185</v>
      </c>
      <c r="J3" s="133">
        <v>46274.612175925926</v>
      </c>
      <c r="K3" s="133">
        <v>46275.438888888886</v>
      </c>
      <c r="L3" s="133">
        <v>46275.438888888886</v>
      </c>
      <c r="M3">
        <v>1</v>
      </c>
      <c r="O3" t="s">
        <v>174</v>
      </c>
      <c r="P3" t="s">
        <v>175</v>
      </c>
      <c r="S3" t="s">
        <v>186</v>
      </c>
      <c r="T3" t="s">
        <v>187</v>
      </c>
      <c r="U3" t="s">
        <v>188</v>
      </c>
      <c r="V3" t="s">
        <v>179</v>
      </c>
      <c r="W3" t="s">
        <v>179</v>
      </c>
      <c r="X3" t="s">
        <v>179</v>
      </c>
      <c r="AA3" t="s">
        <v>189</v>
      </c>
      <c r="AB3" t="s">
        <v>190</v>
      </c>
      <c r="AC3">
        <v>2011</v>
      </c>
      <c r="AD3" t="s">
        <v>96</v>
      </c>
      <c r="AE3">
        <v>1</v>
      </c>
      <c r="AF3">
        <v>1</v>
      </c>
    </row>
    <row r="4" spans="1:32" x14ac:dyDescent="0.3">
      <c r="A4" s="127" t="s">
        <v>167</v>
      </c>
      <c r="B4" s="127" t="s">
        <v>191</v>
      </c>
      <c r="C4" s="127" t="s">
        <v>192</v>
      </c>
      <c r="D4" s="127" t="s">
        <v>170</v>
      </c>
      <c r="E4" s="127" t="s">
        <v>183</v>
      </c>
      <c r="F4" s="132">
        <v>46274.399525462963</v>
      </c>
      <c r="G4" s="127" t="s">
        <v>184</v>
      </c>
      <c r="H4" s="127">
        <v>1</v>
      </c>
      <c r="I4" s="127" t="s">
        <v>185</v>
      </c>
      <c r="J4" s="132">
        <v>46274.612175925926</v>
      </c>
      <c r="K4" s="132">
        <v>46275.438888888886</v>
      </c>
      <c r="L4" s="132"/>
      <c r="M4" s="127">
        <v>1</v>
      </c>
      <c r="N4" s="127"/>
      <c r="O4" s="127" t="s">
        <v>174</v>
      </c>
      <c r="P4" s="127" t="s">
        <v>175</v>
      </c>
      <c r="Q4" s="127"/>
      <c r="R4" s="127"/>
      <c r="S4" s="127" t="s">
        <v>186</v>
      </c>
      <c r="T4" s="127" t="s">
        <v>187</v>
      </c>
      <c r="U4" s="127" t="s">
        <v>188</v>
      </c>
      <c r="V4" s="127" t="s">
        <v>179</v>
      </c>
      <c r="W4" s="127" t="s">
        <v>179</v>
      </c>
      <c r="X4" s="127" t="s">
        <v>179</v>
      </c>
      <c r="Y4" s="127"/>
      <c r="Z4" s="127"/>
      <c r="AA4" s="127" t="s">
        <v>193</v>
      </c>
      <c r="AB4" s="127" t="s">
        <v>190</v>
      </c>
      <c r="AC4" s="127">
        <v>2011</v>
      </c>
      <c r="AD4" s="127" t="s">
        <v>64</v>
      </c>
      <c r="AE4" s="127">
        <v>1</v>
      </c>
      <c r="AF4" s="127">
        <v>1</v>
      </c>
    </row>
    <row r="5" spans="1:32" x14ac:dyDescent="0.3">
      <c r="A5" t="s">
        <v>167</v>
      </c>
      <c r="B5" t="s">
        <v>194</v>
      </c>
      <c r="C5" t="s">
        <v>195</v>
      </c>
      <c r="D5" t="s">
        <v>170</v>
      </c>
      <c r="E5" t="s">
        <v>196</v>
      </c>
      <c r="F5" s="133">
        <v>46122.478761574072</v>
      </c>
      <c r="G5" t="s">
        <v>197</v>
      </c>
      <c r="H5">
        <v>15</v>
      </c>
      <c r="I5" t="s">
        <v>198</v>
      </c>
      <c r="J5" s="133">
        <v>46128.366226851853</v>
      </c>
      <c r="K5" s="133">
        <v>46130.386805555558</v>
      </c>
      <c r="L5" s="133"/>
      <c r="M5">
        <v>15</v>
      </c>
      <c r="S5" t="s">
        <v>199</v>
      </c>
      <c r="T5" t="s">
        <v>200</v>
      </c>
      <c r="U5" t="s">
        <v>201</v>
      </c>
      <c r="V5" t="s">
        <v>179</v>
      </c>
      <c r="W5" t="s">
        <v>179</v>
      </c>
      <c r="X5" t="s">
        <v>179</v>
      </c>
      <c r="AA5" t="s">
        <v>202</v>
      </c>
      <c r="AB5" t="s">
        <v>203</v>
      </c>
      <c r="AC5">
        <v>2800</v>
      </c>
      <c r="AD5" t="s">
        <v>179</v>
      </c>
      <c r="AF5">
        <v>0</v>
      </c>
    </row>
    <row r="6" spans="1:32" x14ac:dyDescent="0.3">
      <c r="A6" s="127" t="s">
        <v>167</v>
      </c>
      <c r="B6" s="127" t="s">
        <v>194</v>
      </c>
      <c r="C6" s="127" t="s">
        <v>195</v>
      </c>
      <c r="D6" s="127" t="s">
        <v>170</v>
      </c>
      <c r="E6" s="127" t="s">
        <v>204</v>
      </c>
      <c r="F6" s="132">
        <v>46156.573981481481</v>
      </c>
      <c r="G6" s="127" t="s">
        <v>205</v>
      </c>
      <c r="H6" s="127">
        <v>50</v>
      </c>
      <c r="I6" s="127" t="s">
        <v>206</v>
      </c>
      <c r="J6" s="132">
        <v>46160.430034722223</v>
      </c>
      <c r="K6" s="132">
        <v>46170.450694444444</v>
      </c>
      <c r="L6" s="132"/>
      <c r="M6" s="127">
        <v>50</v>
      </c>
      <c r="N6" s="127"/>
      <c r="O6" s="127" t="s">
        <v>174</v>
      </c>
      <c r="P6" s="127" t="s">
        <v>207</v>
      </c>
      <c r="Q6" s="127"/>
      <c r="R6" s="127"/>
      <c r="S6" s="127" t="s">
        <v>186</v>
      </c>
      <c r="T6" s="127" t="s">
        <v>187</v>
      </c>
      <c r="U6" s="127" t="s">
        <v>188</v>
      </c>
      <c r="V6" s="127" t="s">
        <v>179</v>
      </c>
      <c r="W6" s="127" t="s">
        <v>179</v>
      </c>
      <c r="X6" s="127" t="s">
        <v>179</v>
      </c>
      <c r="Y6" s="127"/>
      <c r="Z6" s="127"/>
      <c r="AA6" s="127" t="s">
        <v>202</v>
      </c>
      <c r="AB6" s="127" t="s">
        <v>190</v>
      </c>
      <c r="AC6" s="127">
        <v>2011</v>
      </c>
      <c r="AD6" s="127" t="s">
        <v>179</v>
      </c>
      <c r="AE6" s="127"/>
      <c r="AF6" s="127">
        <v>0</v>
      </c>
    </row>
    <row r="7" spans="1:32" x14ac:dyDescent="0.3">
      <c r="A7" t="s">
        <v>167</v>
      </c>
      <c r="B7" t="s">
        <v>208</v>
      </c>
      <c r="C7" t="s">
        <v>125</v>
      </c>
      <c r="D7" t="s">
        <v>170</v>
      </c>
      <c r="E7" t="s">
        <v>209</v>
      </c>
      <c r="F7" s="133">
        <v>46150.614675925928</v>
      </c>
      <c r="G7" t="s">
        <v>210</v>
      </c>
      <c r="H7">
        <v>1</v>
      </c>
      <c r="I7" t="s">
        <v>211</v>
      </c>
      <c r="J7" s="133">
        <v>46153.402083333334</v>
      </c>
      <c r="K7" s="133">
        <v>46154.5</v>
      </c>
      <c r="L7" s="133"/>
      <c r="M7">
        <v>1</v>
      </c>
      <c r="O7" t="s">
        <v>174</v>
      </c>
      <c r="P7" t="s">
        <v>175</v>
      </c>
      <c r="S7" t="s">
        <v>186</v>
      </c>
      <c r="T7" t="s">
        <v>187</v>
      </c>
      <c r="U7" t="s">
        <v>188</v>
      </c>
      <c r="V7" t="s">
        <v>167</v>
      </c>
      <c r="W7" t="s">
        <v>212</v>
      </c>
      <c r="X7" t="s">
        <v>188</v>
      </c>
      <c r="Y7">
        <v>0</v>
      </c>
      <c r="AA7" t="s">
        <v>36</v>
      </c>
      <c r="AB7" t="s">
        <v>190</v>
      </c>
      <c r="AC7">
        <v>2011</v>
      </c>
      <c r="AD7" t="s">
        <v>53</v>
      </c>
      <c r="AE7">
        <v>1</v>
      </c>
      <c r="AF7">
        <v>3.3</v>
      </c>
    </row>
    <row r="8" spans="1:32" x14ac:dyDescent="0.3">
      <c r="A8" s="127" t="s">
        <v>167</v>
      </c>
      <c r="B8" s="127" t="s">
        <v>208</v>
      </c>
      <c r="C8" s="127" t="s">
        <v>125</v>
      </c>
      <c r="D8" s="127" t="s">
        <v>170</v>
      </c>
      <c r="E8" s="127" t="s">
        <v>213</v>
      </c>
      <c r="F8" s="132">
        <v>46150.614340277774</v>
      </c>
      <c r="G8" s="127" t="s">
        <v>210</v>
      </c>
      <c r="H8" s="127">
        <v>1</v>
      </c>
      <c r="I8" s="127" t="s">
        <v>211</v>
      </c>
      <c r="J8" s="132">
        <v>46153.402083333334</v>
      </c>
      <c r="K8" s="132">
        <v>46154.5</v>
      </c>
      <c r="L8" s="132"/>
      <c r="M8" s="127">
        <v>1</v>
      </c>
      <c r="N8" s="127"/>
      <c r="O8" s="127" t="s">
        <v>174</v>
      </c>
      <c r="P8" s="127" t="s">
        <v>175</v>
      </c>
      <c r="Q8" s="127"/>
      <c r="R8" s="127"/>
      <c r="S8" s="127" t="s">
        <v>186</v>
      </c>
      <c r="T8" s="127" t="s">
        <v>187</v>
      </c>
      <c r="U8" s="127" t="s">
        <v>188</v>
      </c>
      <c r="V8" s="127" t="s">
        <v>167</v>
      </c>
      <c r="W8" s="127" t="s">
        <v>212</v>
      </c>
      <c r="X8" s="127" t="s">
        <v>188</v>
      </c>
      <c r="Y8" s="127"/>
      <c r="Z8" s="127"/>
      <c r="AA8" s="127" t="s">
        <v>36</v>
      </c>
      <c r="AB8" s="127" t="s">
        <v>190</v>
      </c>
      <c r="AC8" s="127">
        <v>2011</v>
      </c>
      <c r="AD8" s="127" t="s">
        <v>53</v>
      </c>
      <c r="AE8" s="127">
        <v>1</v>
      </c>
      <c r="AF8" s="127"/>
    </row>
    <row r="9" spans="1:32" x14ac:dyDescent="0.3">
      <c r="A9" t="s">
        <v>167</v>
      </c>
      <c r="B9" t="s">
        <v>208</v>
      </c>
      <c r="C9" t="s">
        <v>125</v>
      </c>
      <c r="D9" t="s">
        <v>170</v>
      </c>
      <c r="E9" t="s">
        <v>214</v>
      </c>
      <c r="F9" s="133">
        <v>46150.611620370371</v>
      </c>
      <c r="G9" t="s">
        <v>210</v>
      </c>
      <c r="H9">
        <v>1</v>
      </c>
      <c r="I9" t="s">
        <v>211</v>
      </c>
      <c r="J9" s="133">
        <v>46153.402083333334</v>
      </c>
      <c r="K9" s="133">
        <v>46154.5</v>
      </c>
      <c r="L9" s="133"/>
      <c r="M9">
        <v>1</v>
      </c>
      <c r="O9" t="s">
        <v>174</v>
      </c>
      <c r="P9" t="s">
        <v>175</v>
      </c>
      <c r="S9" t="s">
        <v>186</v>
      </c>
      <c r="T9" t="s">
        <v>187</v>
      </c>
      <c r="U9" t="s">
        <v>188</v>
      </c>
      <c r="V9" t="s">
        <v>167</v>
      </c>
      <c r="W9" t="s">
        <v>212</v>
      </c>
      <c r="X9" t="s">
        <v>188</v>
      </c>
      <c r="AA9" t="s">
        <v>36</v>
      </c>
      <c r="AB9" t="s">
        <v>190</v>
      </c>
      <c r="AC9">
        <v>2011</v>
      </c>
      <c r="AD9" t="s">
        <v>53</v>
      </c>
      <c r="AE9">
        <v>1</v>
      </c>
    </row>
    <row r="10" spans="1:32" x14ac:dyDescent="0.3">
      <c r="A10" s="127" t="s">
        <v>167</v>
      </c>
      <c r="B10" s="127" t="s">
        <v>208</v>
      </c>
      <c r="C10" s="127" t="s">
        <v>125</v>
      </c>
      <c r="D10" s="127" t="s">
        <v>170</v>
      </c>
      <c r="E10" s="127" t="s">
        <v>215</v>
      </c>
      <c r="F10" s="132">
        <v>46150.374583333331</v>
      </c>
      <c r="G10" s="127" t="s">
        <v>216</v>
      </c>
      <c r="H10" s="127">
        <v>25</v>
      </c>
      <c r="I10" s="127" t="s">
        <v>217</v>
      </c>
      <c r="J10" s="132">
        <v>46150.60833333333</v>
      </c>
      <c r="K10" s="132">
        <v>46170.5</v>
      </c>
      <c r="L10" s="132"/>
      <c r="M10" s="127">
        <v>25</v>
      </c>
      <c r="N10" s="127"/>
      <c r="O10" s="127" t="s">
        <v>174</v>
      </c>
      <c r="P10" s="127" t="s">
        <v>207</v>
      </c>
      <c r="Q10" s="127"/>
      <c r="R10" s="127"/>
      <c r="S10" s="127" t="s">
        <v>218</v>
      </c>
      <c r="T10" s="127" t="s">
        <v>219</v>
      </c>
      <c r="U10" s="127" t="s">
        <v>220</v>
      </c>
      <c r="V10" s="127" t="s">
        <v>167</v>
      </c>
      <c r="W10" s="127" t="s">
        <v>212</v>
      </c>
      <c r="X10" s="127" t="s">
        <v>188</v>
      </c>
      <c r="Y10" s="127">
        <v>678</v>
      </c>
      <c r="Z10" s="127"/>
      <c r="AA10" s="127" t="s">
        <v>36</v>
      </c>
      <c r="AB10" s="127" t="s">
        <v>218</v>
      </c>
      <c r="AC10" s="127">
        <v>1950</v>
      </c>
      <c r="AD10" s="127" t="s">
        <v>53</v>
      </c>
      <c r="AE10" s="127">
        <v>2.5</v>
      </c>
      <c r="AF10" s="127">
        <v>1</v>
      </c>
    </row>
    <row r="11" spans="1:32" x14ac:dyDescent="0.3">
      <c r="A11" t="s">
        <v>167</v>
      </c>
      <c r="B11" t="s">
        <v>208</v>
      </c>
      <c r="C11" t="s">
        <v>125</v>
      </c>
      <c r="D11" t="s">
        <v>170</v>
      </c>
      <c r="E11" t="s">
        <v>221</v>
      </c>
      <c r="F11" s="133">
        <v>46150.373171296298</v>
      </c>
      <c r="G11" t="s">
        <v>216</v>
      </c>
      <c r="H11">
        <v>25</v>
      </c>
      <c r="I11" t="s">
        <v>217</v>
      </c>
      <c r="J11" s="133">
        <v>46150.60833333333</v>
      </c>
      <c r="K11" s="133">
        <v>46170.5</v>
      </c>
      <c r="L11" s="133"/>
      <c r="M11">
        <v>25</v>
      </c>
      <c r="O11" t="s">
        <v>174</v>
      </c>
      <c r="P11" t="s">
        <v>207</v>
      </c>
      <c r="S11" t="s">
        <v>218</v>
      </c>
      <c r="T11" t="s">
        <v>219</v>
      </c>
      <c r="U11" t="s">
        <v>220</v>
      </c>
      <c r="V11" t="s">
        <v>167</v>
      </c>
      <c r="W11" t="s">
        <v>212</v>
      </c>
      <c r="X11" t="s">
        <v>188</v>
      </c>
      <c r="AA11" t="s">
        <v>36</v>
      </c>
      <c r="AB11" t="s">
        <v>218</v>
      </c>
      <c r="AC11">
        <v>1950</v>
      </c>
      <c r="AD11" t="s">
        <v>53</v>
      </c>
      <c r="AE11">
        <v>2.5</v>
      </c>
    </row>
    <row r="12" spans="1:32" x14ac:dyDescent="0.3">
      <c r="A12" s="127" t="s">
        <v>167</v>
      </c>
      <c r="B12" s="127" t="s">
        <v>208</v>
      </c>
      <c r="C12" s="127" t="s">
        <v>125</v>
      </c>
      <c r="D12" s="127" t="s">
        <v>170</v>
      </c>
      <c r="E12" s="127" t="s">
        <v>222</v>
      </c>
      <c r="F12" s="132">
        <v>46150.369710648149</v>
      </c>
      <c r="G12" s="127" t="s">
        <v>216</v>
      </c>
      <c r="H12" s="127">
        <v>25</v>
      </c>
      <c r="I12" s="127" t="s">
        <v>223</v>
      </c>
      <c r="J12" s="132">
        <v>46150.443749999999</v>
      </c>
      <c r="K12" s="132">
        <v>46170.5</v>
      </c>
      <c r="L12" s="132"/>
      <c r="M12" s="127">
        <v>25</v>
      </c>
      <c r="N12" s="127"/>
      <c r="O12" s="127" t="s">
        <v>174</v>
      </c>
      <c r="P12" s="127" t="s">
        <v>207</v>
      </c>
      <c r="Q12" s="127"/>
      <c r="R12" s="127"/>
      <c r="S12" s="127" t="s">
        <v>218</v>
      </c>
      <c r="T12" s="127" t="s">
        <v>219</v>
      </c>
      <c r="U12" s="127" t="s">
        <v>220</v>
      </c>
      <c r="V12" s="127" t="s">
        <v>167</v>
      </c>
      <c r="W12" s="127" t="s">
        <v>212</v>
      </c>
      <c r="X12" s="127" t="s">
        <v>188</v>
      </c>
      <c r="Y12" s="127"/>
      <c r="Z12" s="127"/>
      <c r="AA12" s="127" t="s">
        <v>36</v>
      </c>
      <c r="AB12" s="127" t="s">
        <v>218</v>
      </c>
      <c r="AC12" s="127">
        <v>1950</v>
      </c>
      <c r="AD12" s="127" t="s">
        <v>53</v>
      </c>
      <c r="AE12" s="127">
        <v>2.5</v>
      </c>
      <c r="AF12" s="127"/>
    </row>
    <row r="13" spans="1:32" x14ac:dyDescent="0.3">
      <c r="A13" t="s">
        <v>167</v>
      </c>
      <c r="B13" t="s">
        <v>191</v>
      </c>
      <c r="C13" t="s">
        <v>192</v>
      </c>
      <c r="D13" t="s">
        <v>170</v>
      </c>
      <c r="E13" t="s">
        <v>224</v>
      </c>
      <c r="F13" s="133">
        <v>46279.457673611112</v>
      </c>
      <c r="G13" t="s">
        <v>225</v>
      </c>
      <c r="H13">
        <v>12</v>
      </c>
      <c r="I13" t="s">
        <v>226</v>
      </c>
      <c r="J13" s="133">
        <v>46279.712314814817</v>
      </c>
      <c r="K13" s="133">
        <v>46280.379166666666</v>
      </c>
      <c r="L13" s="133"/>
      <c r="M13">
        <v>12</v>
      </c>
      <c r="O13" t="s">
        <v>174</v>
      </c>
      <c r="P13" t="s">
        <v>175</v>
      </c>
      <c r="S13" t="s">
        <v>186</v>
      </c>
      <c r="T13" t="s">
        <v>187</v>
      </c>
      <c r="U13" t="s">
        <v>188</v>
      </c>
      <c r="V13" t="s">
        <v>179</v>
      </c>
      <c r="W13" t="s">
        <v>179</v>
      </c>
      <c r="X13" t="s">
        <v>179</v>
      </c>
      <c r="AA13" t="s">
        <v>193</v>
      </c>
      <c r="AB13" t="s">
        <v>190</v>
      </c>
      <c r="AC13">
        <v>2011</v>
      </c>
      <c r="AD13" t="s">
        <v>64</v>
      </c>
      <c r="AE13">
        <v>12</v>
      </c>
      <c r="AF13">
        <v>1.2</v>
      </c>
    </row>
    <row r="14" spans="1:32" x14ac:dyDescent="0.3">
      <c r="A14" s="127" t="s">
        <v>167</v>
      </c>
      <c r="B14" s="127" t="s">
        <v>181</v>
      </c>
      <c r="C14" s="127" t="s">
        <v>182</v>
      </c>
      <c r="D14" s="127" t="s">
        <v>170</v>
      </c>
      <c r="E14" s="127" t="s">
        <v>224</v>
      </c>
      <c r="F14" s="132">
        <v>46279.457673611112</v>
      </c>
      <c r="G14" s="127" t="s">
        <v>225</v>
      </c>
      <c r="H14" s="127">
        <v>12</v>
      </c>
      <c r="I14" s="127" t="s">
        <v>226</v>
      </c>
      <c r="J14" s="132">
        <v>46279.712314814817</v>
      </c>
      <c r="K14" s="132">
        <v>46280.379166666666</v>
      </c>
      <c r="L14" s="132">
        <v>46280.379166666666</v>
      </c>
      <c r="M14" s="127">
        <v>12</v>
      </c>
      <c r="N14" s="127"/>
      <c r="O14" s="127" t="s">
        <v>174</v>
      </c>
      <c r="P14" s="127" t="s">
        <v>175</v>
      </c>
      <c r="Q14" s="127"/>
      <c r="R14" s="127"/>
      <c r="S14" s="127" t="s">
        <v>186</v>
      </c>
      <c r="T14" s="127" t="s">
        <v>187</v>
      </c>
      <c r="U14" s="127" t="s">
        <v>188</v>
      </c>
      <c r="V14" s="127" t="s">
        <v>179</v>
      </c>
      <c r="W14" s="127" t="s">
        <v>179</v>
      </c>
      <c r="X14" s="127" t="s">
        <v>179</v>
      </c>
      <c r="Y14" s="127"/>
      <c r="Z14" s="127"/>
      <c r="AA14" s="127" t="s">
        <v>189</v>
      </c>
      <c r="AB14" s="127" t="s">
        <v>190</v>
      </c>
      <c r="AC14" s="127">
        <v>2011</v>
      </c>
      <c r="AD14" s="127" t="s">
        <v>96</v>
      </c>
      <c r="AE14" s="127">
        <v>1.2</v>
      </c>
      <c r="AF14" s="127">
        <v>1</v>
      </c>
    </row>
    <row r="15" spans="1:32" x14ac:dyDescent="0.3">
      <c r="A15" t="s">
        <v>167</v>
      </c>
      <c r="B15" t="s">
        <v>168</v>
      </c>
      <c r="C15" t="s">
        <v>169</v>
      </c>
      <c r="D15" t="s">
        <v>170</v>
      </c>
      <c r="E15" t="s">
        <v>224</v>
      </c>
      <c r="F15" s="133">
        <v>46279.457673611112</v>
      </c>
      <c r="G15" t="s">
        <v>225</v>
      </c>
      <c r="H15">
        <v>937</v>
      </c>
      <c r="I15" t="s">
        <v>226</v>
      </c>
      <c r="J15" s="133">
        <v>46279.712314814817</v>
      </c>
      <c r="K15" s="133">
        <v>46280.379166666666</v>
      </c>
      <c r="L15" s="133"/>
      <c r="M15">
        <v>937</v>
      </c>
      <c r="O15" t="s">
        <v>174</v>
      </c>
      <c r="P15" t="s">
        <v>175</v>
      </c>
      <c r="S15" t="s">
        <v>186</v>
      </c>
      <c r="T15" t="s">
        <v>187</v>
      </c>
      <c r="U15" t="s">
        <v>188</v>
      </c>
      <c r="V15" t="s">
        <v>179</v>
      </c>
      <c r="W15" t="s">
        <v>179</v>
      </c>
      <c r="X15" t="s">
        <v>179</v>
      </c>
      <c r="Z15">
        <v>1</v>
      </c>
      <c r="AA15" t="s">
        <v>88</v>
      </c>
      <c r="AB15" t="s">
        <v>190</v>
      </c>
      <c r="AC15">
        <v>2011</v>
      </c>
      <c r="AD15" t="s">
        <v>93</v>
      </c>
      <c r="AE15">
        <v>937</v>
      </c>
      <c r="AF15">
        <v>93.7</v>
      </c>
    </row>
    <row r="16" spans="1:32" x14ac:dyDescent="0.3">
      <c r="A16" s="127" t="s">
        <v>167</v>
      </c>
      <c r="B16" s="127" t="s">
        <v>181</v>
      </c>
      <c r="C16" s="127" t="s">
        <v>182</v>
      </c>
      <c r="D16" s="127" t="s">
        <v>170</v>
      </c>
      <c r="E16" s="127" t="s">
        <v>171</v>
      </c>
      <c r="F16" s="132">
        <v>46147.441388888888</v>
      </c>
      <c r="G16" s="127" t="s">
        <v>172</v>
      </c>
      <c r="H16" s="127">
        <v>1</v>
      </c>
      <c r="I16" s="127" t="s">
        <v>173</v>
      </c>
      <c r="J16" s="132">
        <v>46146.748611111114</v>
      </c>
      <c r="K16" s="132">
        <v>46147.618750000001</v>
      </c>
      <c r="L16" s="132">
        <v>46147.618750000001</v>
      </c>
      <c r="M16" s="127">
        <v>1</v>
      </c>
      <c r="N16" s="127"/>
      <c r="O16" s="127" t="s">
        <v>174</v>
      </c>
      <c r="P16" s="127" t="s">
        <v>175</v>
      </c>
      <c r="Q16" s="127"/>
      <c r="R16" s="127"/>
      <c r="S16" s="127" t="s">
        <v>176</v>
      </c>
      <c r="T16" s="127" t="s">
        <v>177</v>
      </c>
      <c r="U16" s="127" t="s">
        <v>178</v>
      </c>
      <c r="V16" s="127" t="s">
        <v>179</v>
      </c>
      <c r="W16" s="127" t="s">
        <v>179</v>
      </c>
      <c r="X16" s="127" t="s">
        <v>179</v>
      </c>
      <c r="Y16" s="127"/>
      <c r="Z16" s="127"/>
      <c r="AA16" s="127" t="s">
        <v>189</v>
      </c>
      <c r="AB16" s="127" t="s">
        <v>180</v>
      </c>
      <c r="AC16" s="127">
        <v>2940</v>
      </c>
      <c r="AD16" s="127" t="s">
        <v>96</v>
      </c>
      <c r="AE16" s="127">
        <v>1</v>
      </c>
      <c r="AF16" s="127">
        <v>1</v>
      </c>
    </row>
    <row r="17" spans="1:32" x14ac:dyDescent="0.3">
      <c r="A17" t="s">
        <v>167</v>
      </c>
      <c r="B17" t="s">
        <v>181</v>
      </c>
      <c r="C17" t="s">
        <v>182</v>
      </c>
      <c r="D17" t="s">
        <v>170</v>
      </c>
      <c r="E17" t="s">
        <v>227</v>
      </c>
      <c r="F17" s="133">
        <v>46239.600300925929</v>
      </c>
      <c r="G17" t="s">
        <v>225</v>
      </c>
      <c r="H17">
        <v>7</v>
      </c>
      <c r="I17" t="s">
        <v>228</v>
      </c>
      <c r="J17" s="133">
        <v>46239.673634259256</v>
      </c>
      <c r="K17" s="133">
        <v>46276.428472222222</v>
      </c>
      <c r="L17" s="133">
        <v>46276.428472222222</v>
      </c>
      <c r="M17">
        <v>7</v>
      </c>
      <c r="O17" t="s">
        <v>174</v>
      </c>
      <c r="P17" t="s">
        <v>175</v>
      </c>
      <c r="S17" t="s">
        <v>186</v>
      </c>
      <c r="T17" t="s">
        <v>187</v>
      </c>
      <c r="U17" t="s">
        <v>188</v>
      </c>
      <c r="V17" t="s">
        <v>179</v>
      </c>
      <c r="W17" t="s">
        <v>179</v>
      </c>
      <c r="X17" t="s">
        <v>179</v>
      </c>
      <c r="AA17" t="s">
        <v>189</v>
      </c>
      <c r="AB17" t="s">
        <v>190</v>
      </c>
      <c r="AC17">
        <v>2011</v>
      </c>
      <c r="AD17" t="s">
        <v>96</v>
      </c>
      <c r="AE17">
        <v>1</v>
      </c>
      <c r="AF17">
        <v>1</v>
      </c>
    </row>
    <row r="18" spans="1:32" x14ac:dyDescent="0.3">
      <c r="A18" s="127" t="s">
        <v>167</v>
      </c>
      <c r="B18" s="127" t="s">
        <v>208</v>
      </c>
      <c r="C18" s="127" t="s">
        <v>125</v>
      </c>
      <c r="D18" s="127" t="s">
        <v>170</v>
      </c>
      <c r="E18" s="127" t="s">
        <v>229</v>
      </c>
      <c r="F18" s="132">
        <v>46150.366493055553</v>
      </c>
      <c r="G18" s="127" t="s">
        <v>216</v>
      </c>
      <c r="H18" s="127">
        <v>25</v>
      </c>
      <c r="I18" s="127" t="s">
        <v>223</v>
      </c>
      <c r="J18" s="132">
        <v>46150.443749999999</v>
      </c>
      <c r="K18" s="132">
        <v>46170.5</v>
      </c>
      <c r="L18" s="132"/>
      <c r="M18" s="127">
        <v>25</v>
      </c>
      <c r="N18" s="127"/>
      <c r="O18" s="127" t="s">
        <v>174</v>
      </c>
      <c r="P18" s="127" t="s">
        <v>207</v>
      </c>
      <c r="Q18" s="127"/>
      <c r="R18" s="127"/>
      <c r="S18" s="127" t="s">
        <v>218</v>
      </c>
      <c r="T18" s="127" t="s">
        <v>219</v>
      </c>
      <c r="U18" s="127" t="s">
        <v>220</v>
      </c>
      <c r="V18" s="127" t="s">
        <v>167</v>
      </c>
      <c r="W18" s="127" t="s">
        <v>212</v>
      </c>
      <c r="X18" s="127" t="s">
        <v>188</v>
      </c>
      <c r="Y18" s="127"/>
      <c r="Z18" s="127"/>
      <c r="AA18" s="127" t="s">
        <v>36</v>
      </c>
      <c r="AB18" s="127" t="s">
        <v>218</v>
      </c>
      <c r="AC18" s="127">
        <v>1950</v>
      </c>
      <c r="AD18" s="127" t="s">
        <v>53</v>
      </c>
      <c r="AE18" s="127">
        <v>2.5</v>
      </c>
      <c r="AF18" s="127"/>
    </row>
    <row r="19" spans="1:32" x14ac:dyDescent="0.3">
      <c r="A19" t="s">
        <v>167</v>
      </c>
      <c r="B19" t="s">
        <v>194</v>
      </c>
      <c r="C19" t="s">
        <v>195</v>
      </c>
      <c r="D19" t="s">
        <v>170</v>
      </c>
      <c r="E19" t="s">
        <v>230</v>
      </c>
      <c r="F19" s="133">
        <v>46122.477662037039</v>
      </c>
      <c r="G19" t="s">
        <v>197</v>
      </c>
      <c r="H19">
        <v>15</v>
      </c>
      <c r="I19" t="s">
        <v>231</v>
      </c>
      <c r="J19" s="133">
        <v>46128.386111111111</v>
      </c>
      <c r="K19" s="133">
        <v>46191.386805555558</v>
      </c>
      <c r="L19" s="133"/>
      <c r="M19">
        <v>15</v>
      </c>
      <c r="S19" t="s">
        <v>199</v>
      </c>
      <c r="T19" t="s">
        <v>200</v>
      </c>
      <c r="U19" t="s">
        <v>201</v>
      </c>
      <c r="V19" t="s">
        <v>179</v>
      </c>
      <c r="W19" t="s">
        <v>179</v>
      </c>
      <c r="X19" t="s">
        <v>179</v>
      </c>
      <c r="AA19" t="s">
        <v>202</v>
      </c>
      <c r="AB19" t="s">
        <v>203</v>
      </c>
      <c r="AC19">
        <v>2800</v>
      </c>
      <c r="AD19" t="s">
        <v>179</v>
      </c>
      <c r="AF19">
        <v>0</v>
      </c>
    </row>
    <row r="20" spans="1:32" x14ac:dyDescent="0.3">
      <c r="A20" s="127" t="s">
        <v>167</v>
      </c>
      <c r="B20" s="127" t="s">
        <v>194</v>
      </c>
      <c r="C20" s="127" t="s">
        <v>195</v>
      </c>
      <c r="D20" s="127" t="s">
        <v>170</v>
      </c>
      <c r="E20" s="127" t="s">
        <v>232</v>
      </c>
      <c r="F20" s="132">
        <v>46122.476886574077</v>
      </c>
      <c r="G20" s="127" t="s">
        <v>197</v>
      </c>
      <c r="H20" s="127">
        <v>15</v>
      </c>
      <c r="I20" s="127" t="s">
        <v>231</v>
      </c>
      <c r="J20" s="132">
        <v>46128.386111111111</v>
      </c>
      <c r="K20" s="132">
        <v>46191.386805555558</v>
      </c>
      <c r="L20" s="132"/>
      <c r="M20" s="127">
        <v>15</v>
      </c>
      <c r="N20" s="127"/>
      <c r="O20" s="127"/>
      <c r="P20" s="127"/>
      <c r="Q20" s="127"/>
      <c r="R20" s="127"/>
      <c r="S20" s="127" t="s">
        <v>199</v>
      </c>
      <c r="T20" s="127" t="s">
        <v>200</v>
      </c>
      <c r="U20" s="127" t="s">
        <v>201</v>
      </c>
      <c r="V20" s="127" t="s">
        <v>179</v>
      </c>
      <c r="W20" s="127" t="s">
        <v>179</v>
      </c>
      <c r="X20" s="127" t="s">
        <v>179</v>
      </c>
      <c r="Y20" s="127"/>
      <c r="Z20" s="127"/>
      <c r="AA20" s="127" t="s">
        <v>202</v>
      </c>
      <c r="AB20" s="127" t="s">
        <v>203</v>
      </c>
      <c r="AC20" s="127">
        <v>2800</v>
      </c>
      <c r="AD20" s="127" t="s">
        <v>179</v>
      </c>
      <c r="AE20" s="127"/>
      <c r="AF20" s="127"/>
    </row>
    <row r="21" spans="1:32" x14ac:dyDescent="0.3">
      <c r="A21" t="s">
        <v>167</v>
      </c>
      <c r="B21" t="s">
        <v>181</v>
      </c>
      <c r="C21" t="s">
        <v>182</v>
      </c>
      <c r="D21" t="s">
        <v>170</v>
      </c>
      <c r="E21" t="s">
        <v>233</v>
      </c>
      <c r="F21" s="133">
        <v>46230.480439814812</v>
      </c>
      <c r="G21" t="s">
        <v>225</v>
      </c>
      <c r="H21">
        <v>1</v>
      </c>
      <c r="I21" t="s">
        <v>234</v>
      </c>
      <c r="J21" s="133">
        <v>46231.431944444441</v>
      </c>
      <c r="K21" s="133">
        <v>46269.637499999997</v>
      </c>
      <c r="L21" s="133">
        <v>46269.637499999997</v>
      </c>
      <c r="M21">
        <v>1</v>
      </c>
      <c r="O21" t="s">
        <v>174</v>
      </c>
      <c r="P21" t="s">
        <v>175</v>
      </c>
      <c r="S21" t="s">
        <v>186</v>
      </c>
      <c r="T21" t="s">
        <v>187</v>
      </c>
      <c r="U21" t="s">
        <v>188</v>
      </c>
      <c r="V21" t="s">
        <v>179</v>
      </c>
      <c r="W21" t="s">
        <v>179</v>
      </c>
      <c r="X21" t="s">
        <v>179</v>
      </c>
      <c r="AA21" t="s">
        <v>189</v>
      </c>
      <c r="AB21" t="s">
        <v>190</v>
      </c>
      <c r="AC21">
        <v>2011</v>
      </c>
      <c r="AD21" t="s">
        <v>96</v>
      </c>
      <c r="AE21">
        <v>1</v>
      </c>
      <c r="AF21">
        <v>1</v>
      </c>
    </row>
    <row r="22" spans="1:32" x14ac:dyDescent="0.3">
      <c r="A22" s="127" t="s">
        <v>167</v>
      </c>
      <c r="B22" s="127" t="s">
        <v>168</v>
      </c>
      <c r="C22" s="127" t="s">
        <v>169</v>
      </c>
      <c r="D22" s="127" t="s">
        <v>170</v>
      </c>
      <c r="E22" s="127" t="s">
        <v>227</v>
      </c>
      <c r="F22" s="132">
        <v>46239.600300925929</v>
      </c>
      <c r="G22" s="127" t="s">
        <v>225</v>
      </c>
      <c r="H22" s="127">
        <v>685</v>
      </c>
      <c r="I22" s="127" t="s">
        <v>228</v>
      </c>
      <c r="J22" s="132">
        <v>46239.673634259256</v>
      </c>
      <c r="K22" s="132">
        <v>46276.428472222222</v>
      </c>
      <c r="L22" s="132"/>
      <c r="M22" s="127">
        <v>685</v>
      </c>
      <c r="N22" s="127"/>
      <c r="O22" s="127" t="s">
        <v>174</v>
      </c>
      <c r="P22" s="127" t="s">
        <v>207</v>
      </c>
      <c r="Q22" s="127"/>
      <c r="R22" s="127"/>
      <c r="S22" s="127" t="s">
        <v>186</v>
      </c>
      <c r="T22" s="127" t="s">
        <v>187</v>
      </c>
      <c r="U22" s="127" t="s">
        <v>188</v>
      </c>
      <c r="V22" s="127" t="s">
        <v>179</v>
      </c>
      <c r="W22" s="127" t="s">
        <v>179</v>
      </c>
      <c r="X22" s="127" t="s">
        <v>179</v>
      </c>
      <c r="Y22" s="127"/>
      <c r="Z22" s="127">
        <v>1</v>
      </c>
      <c r="AA22" s="127" t="s">
        <v>88</v>
      </c>
      <c r="AB22" s="127" t="s">
        <v>190</v>
      </c>
      <c r="AC22" s="127">
        <v>2011</v>
      </c>
      <c r="AD22" s="127" t="s">
        <v>93</v>
      </c>
      <c r="AE22" s="127">
        <v>685</v>
      </c>
      <c r="AF22" s="127">
        <v>68.5</v>
      </c>
    </row>
    <row r="23" spans="1:32" x14ac:dyDescent="0.3">
      <c r="A23" t="s">
        <v>167</v>
      </c>
      <c r="B23" t="s">
        <v>191</v>
      </c>
      <c r="C23" t="s">
        <v>192</v>
      </c>
      <c r="D23" t="s">
        <v>170</v>
      </c>
      <c r="E23" t="s">
        <v>171</v>
      </c>
      <c r="F23" s="133">
        <v>46147.441388888888</v>
      </c>
      <c r="G23" t="s">
        <v>172</v>
      </c>
      <c r="H23">
        <v>1</v>
      </c>
      <c r="I23" t="s">
        <v>173</v>
      </c>
      <c r="J23" s="133">
        <v>46146.748611111114</v>
      </c>
      <c r="K23" s="133">
        <v>46147.618750000001</v>
      </c>
      <c r="L23" s="133"/>
      <c r="M23">
        <v>1</v>
      </c>
      <c r="O23" t="s">
        <v>174</v>
      </c>
      <c r="P23" t="s">
        <v>175</v>
      </c>
      <c r="S23" t="s">
        <v>176</v>
      </c>
      <c r="T23" t="s">
        <v>177</v>
      </c>
      <c r="U23" t="s">
        <v>178</v>
      </c>
      <c r="V23" t="s">
        <v>179</v>
      </c>
      <c r="W23" t="s">
        <v>179</v>
      </c>
      <c r="X23" t="s">
        <v>179</v>
      </c>
      <c r="AA23" t="s">
        <v>193</v>
      </c>
      <c r="AB23" t="s">
        <v>180</v>
      </c>
      <c r="AC23">
        <v>2940</v>
      </c>
      <c r="AD23" t="s">
        <v>64</v>
      </c>
      <c r="AE23">
        <v>1</v>
      </c>
      <c r="AF23">
        <v>1</v>
      </c>
    </row>
    <row r="24" spans="1:32" x14ac:dyDescent="0.3">
      <c r="A24" s="127" t="s">
        <v>167</v>
      </c>
      <c r="B24" s="127" t="s">
        <v>168</v>
      </c>
      <c r="C24" s="127" t="s">
        <v>169</v>
      </c>
      <c r="D24" s="127" t="s">
        <v>170</v>
      </c>
      <c r="E24" s="127" t="s">
        <v>233</v>
      </c>
      <c r="F24" s="132">
        <v>46230.480439814812</v>
      </c>
      <c r="G24" s="127" t="s">
        <v>225</v>
      </c>
      <c r="H24" s="127">
        <v>4</v>
      </c>
      <c r="I24" s="127" t="s">
        <v>234</v>
      </c>
      <c r="J24" s="132">
        <v>46231.431944444441</v>
      </c>
      <c r="K24" s="132">
        <v>46269.637499999997</v>
      </c>
      <c r="L24" s="132"/>
      <c r="M24" s="127">
        <v>4</v>
      </c>
      <c r="N24" s="127"/>
      <c r="O24" s="127" t="s">
        <v>174</v>
      </c>
      <c r="P24" s="127" t="s">
        <v>207</v>
      </c>
      <c r="Q24" s="127"/>
      <c r="R24" s="127"/>
      <c r="S24" s="127" t="s">
        <v>186</v>
      </c>
      <c r="T24" s="127" t="s">
        <v>187</v>
      </c>
      <c r="U24" s="127" t="s">
        <v>188</v>
      </c>
      <c r="V24" s="127" t="s">
        <v>179</v>
      </c>
      <c r="W24" s="127" t="s">
        <v>179</v>
      </c>
      <c r="X24" s="127" t="s">
        <v>179</v>
      </c>
      <c r="Y24" s="127"/>
      <c r="Z24" s="127">
        <v>1</v>
      </c>
      <c r="AA24" s="127" t="s">
        <v>88</v>
      </c>
      <c r="AB24" s="127" t="s">
        <v>190</v>
      </c>
      <c r="AC24" s="127">
        <v>2011</v>
      </c>
      <c r="AD24" s="127" t="s">
        <v>93</v>
      </c>
      <c r="AE24" s="127">
        <v>4</v>
      </c>
      <c r="AF24" s="127">
        <v>6.7</v>
      </c>
    </row>
    <row r="25" spans="1:32" x14ac:dyDescent="0.3">
      <c r="A25" t="s">
        <v>167</v>
      </c>
      <c r="B25" t="s">
        <v>194</v>
      </c>
      <c r="C25" t="s">
        <v>195</v>
      </c>
      <c r="D25" t="s">
        <v>170</v>
      </c>
      <c r="E25" t="s">
        <v>235</v>
      </c>
      <c r="F25" s="133">
        <v>46111.597430555557</v>
      </c>
      <c r="G25" t="s">
        <v>236</v>
      </c>
      <c r="H25">
        <v>100</v>
      </c>
      <c r="I25" t="s">
        <v>237</v>
      </c>
      <c r="J25" s="133">
        <v>46111.680555555555</v>
      </c>
      <c r="K25" s="133">
        <v>46252.409201388888</v>
      </c>
      <c r="L25" s="133"/>
      <c r="M25">
        <v>100</v>
      </c>
      <c r="O25" t="s">
        <v>174</v>
      </c>
      <c r="P25" t="s">
        <v>207</v>
      </c>
      <c r="S25" t="s">
        <v>186</v>
      </c>
      <c r="T25" t="s">
        <v>187</v>
      </c>
      <c r="U25" t="s">
        <v>188</v>
      </c>
      <c r="V25" t="s">
        <v>179</v>
      </c>
      <c r="W25" t="s">
        <v>179</v>
      </c>
      <c r="X25" t="s">
        <v>179</v>
      </c>
      <c r="AA25" t="s">
        <v>202</v>
      </c>
      <c r="AB25" t="s">
        <v>190</v>
      </c>
      <c r="AC25">
        <v>2011</v>
      </c>
      <c r="AD25" t="s">
        <v>179</v>
      </c>
      <c r="AF25">
        <v>0</v>
      </c>
    </row>
    <row r="26" spans="1:32" x14ac:dyDescent="0.3">
      <c r="A26" s="127" t="s">
        <v>167</v>
      </c>
      <c r="B26" s="127" t="s">
        <v>208</v>
      </c>
      <c r="C26" s="127" t="s">
        <v>125</v>
      </c>
      <c r="D26" s="127" t="s">
        <v>170</v>
      </c>
      <c r="E26" s="127" t="s">
        <v>238</v>
      </c>
      <c r="F26" s="132">
        <v>46150.375937500001</v>
      </c>
      <c r="G26" s="127" t="s">
        <v>216</v>
      </c>
      <c r="H26" s="127">
        <v>28</v>
      </c>
      <c r="I26" s="127" t="s">
        <v>239</v>
      </c>
      <c r="J26" s="132">
        <v>46154.466666666667</v>
      </c>
      <c r="K26" s="132">
        <v>46170.708333333336</v>
      </c>
      <c r="L26" s="132"/>
      <c r="M26" s="127">
        <v>28</v>
      </c>
      <c r="N26" s="127"/>
      <c r="O26" s="127" t="s">
        <v>174</v>
      </c>
      <c r="P26" s="127" t="s">
        <v>207</v>
      </c>
      <c r="Q26" s="127"/>
      <c r="R26" s="127"/>
      <c r="S26" s="127" t="s">
        <v>240</v>
      </c>
      <c r="T26" s="127" t="s">
        <v>241</v>
      </c>
      <c r="U26" s="127" t="s">
        <v>242</v>
      </c>
      <c r="V26" s="127" t="s">
        <v>167</v>
      </c>
      <c r="W26" s="127" t="s">
        <v>212</v>
      </c>
      <c r="X26" s="127" t="s">
        <v>188</v>
      </c>
      <c r="Y26" s="127"/>
      <c r="Z26" s="127"/>
      <c r="AA26" s="127" t="s">
        <v>36</v>
      </c>
      <c r="AB26" s="127" t="s">
        <v>240</v>
      </c>
      <c r="AC26" s="127"/>
      <c r="AD26" s="127" t="s">
        <v>53</v>
      </c>
      <c r="AE26" s="127">
        <v>2.8</v>
      </c>
      <c r="AF26" s="127">
        <v>1</v>
      </c>
    </row>
    <row r="27" spans="1:32" x14ac:dyDescent="0.3">
      <c r="A27" t="s">
        <v>167</v>
      </c>
      <c r="B27" t="s">
        <v>208</v>
      </c>
      <c r="C27" t="s">
        <v>125</v>
      </c>
      <c r="D27" t="s">
        <v>170</v>
      </c>
      <c r="E27" t="s">
        <v>243</v>
      </c>
      <c r="F27" s="133">
        <v>46150.626539351855</v>
      </c>
      <c r="G27" t="s">
        <v>210</v>
      </c>
      <c r="H27">
        <v>1</v>
      </c>
      <c r="I27" t="s">
        <v>244</v>
      </c>
      <c r="J27" s="133">
        <v>46153.365277777775</v>
      </c>
      <c r="K27" s="133">
        <v>46154.5</v>
      </c>
      <c r="L27" s="133"/>
      <c r="M27">
        <v>1</v>
      </c>
      <c r="O27" t="s">
        <v>174</v>
      </c>
      <c r="P27" t="s">
        <v>175</v>
      </c>
      <c r="S27" t="s">
        <v>186</v>
      </c>
      <c r="T27" t="s">
        <v>187</v>
      </c>
      <c r="U27" t="s">
        <v>188</v>
      </c>
      <c r="V27" t="s">
        <v>167</v>
      </c>
      <c r="W27" t="s">
        <v>212</v>
      </c>
      <c r="X27" t="s">
        <v>188</v>
      </c>
      <c r="AA27" t="s">
        <v>36</v>
      </c>
      <c r="AB27" t="s">
        <v>190</v>
      </c>
      <c r="AC27">
        <v>2011</v>
      </c>
      <c r="AD27" t="s">
        <v>53</v>
      </c>
      <c r="AE27">
        <v>1</v>
      </c>
    </row>
    <row r="28" spans="1:32" x14ac:dyDescent="0.3">
      <c r="A28" s="127" t="s">
        <v>167</v>
      </c>
      <c r="B28" s="127" t="s">
        <v>208</v>
      </c>
      <c r="C28" s="127" t="s">
        <v>125</v>
      </c>
      <c r="D28" s="127" t="s">
        <v>170</v>
      </c>
      <c r="E28" s="127" t="s">
        <v>245</v>
      </c>
      <c r="F28" s="132">
        <v>46150.625891203701</v>
      </c>
      <c r="G28" s="127" t="s">
        <v>210</v>
      </c>
      <c r="H28" s="127">
        <v>1</v>
      </c>
      <c r="I28" s="127" t="s">
        <v>244</v>
      </c>
      <c r="J28" s="132">
        <v>46153.365277777775</v>
      </c>
      <c r="K28" s="132">
        <v>46154.5</v>
      </c>
      <c r="L28" s="132"/>
      <c r="M28" s="127">
        <v>1</v>
      </c>
      <c r="N28" s="127"/>
      <c r="O28" s="127" t="s">
        <v>174</v>
      </c>
      <c r="P28" s="127" t="s">
        <v>175</v>
      </c>
      <c r="Q28" s="127"/>
      <c r="R28" s="127"/>
      <c r="S28" s="127" t="s">
        <v>186</v>
      </c>
      <c r="T28" s="127" t="s">
        <v>187</v>
      </c>
      <c r="U28" s="127" t="s">
        <v>188</v>
      </c>
      <c r="V28" s="127" t="s">
        <v>167</v>
      </c>
      <c r="W28" s="127" t="s">
        <v>212</v>
      </c>
      <c r="X28" s="127" t="s">
        <v>188</v>
      </c>
      <c r="Y28" s="127"/>
      <c r="Z28" s="127"/>
      <c r="AA28" s="127" t="s">
        <v>36</v>
      </c>
      <c r="AB28" s="127" t="s">
        <v>190</v>
      </c>
      <c r="AC28" s="127">
        <v>2011</v>
      </c>
      <c r="AD28" s="127" t="s">
        <v>53</v>
      </c>
      <c r="AE28" s="127">
        <v>1</v>
      </c>
      <c r="AF28" s="127"/>
    </row>
    <row r="29" spans="1:32" x14ac:dyDescent="0.3">
      <c r="A29" t="s">
        <v>167</v>
      </c>
      <c r="B29" t="s">
        <v>208</v>
      </c>
      <c r="C29" t="s">
        <v>125</v>
      </c>
      <c r="D29" t="s">
        <v>170</v>
      </c>
      <c r="E29" t="s">
        <v>246</v>
      </c>
      <c r="F29" s="133">
        <v>46150.626261574071</v>
      </c>
      <c r="G29" t="s">
        <v>210</v>
      </c>
      <c r="H29">
        <v>1</v>
      </c>
      <c r="I29" t="s">
        <v>244</v>
      </c>
      <c r="J29" s="133">
        <v>46153.365277777775</v>
      </c>
      <c r="K29" s="133">
        <v>46154.5</v>
      </c>
      <c r="L29" s="133"/>
      <c r="M29">
        <v>1</v>
      </c>
      <c r="O29" t="s">
        <v>174</v>
      </c>
      <c r="P29" t="s">
        <v>175</v>
      </c>
      <c r="S29" t="s">
        <v>186</v>
      </c>
      <c r="T29" t="s">
        <v>187</v>
      </c>
      <c r="U29" t="s">
        <v>188</v>
      </c>
      <c r="V29" t="s">
        <v>167</v>
      </c>
      <c r="W29" t="s">
        <v>212</v>
      </c>
      <c r="X29" t="s">
        <v>188</v>
      </c>
      <c r="AA29" t="s">
        <v>36</v>
      </c>
      <c r="AB29" t="s">
        <v>190</v>
      </c>
      <c r="AC29">
        <v>2011</v>
      </c>
      <c r="AD29" t="s">
        <v>53</v>
      </c>
      <c r="AE29">
        <v>1</v>
      </c>
    </row>
    <row r="30" spans="1:32" x14ac:dyDescent="0.3">
      <c r="A30" s="127" t="s">
        <v>167</v>
      </c>
      <c r="B30" s="127" t="s">
        <v>247</v>
      </c>
      <c r="C30" s="127" t="s">
        <v>192</v>
      </c>
      <c r="D30" s="127" t="s">
        <v>170</v>
      </c>
      <c r="E30" s="127" t="s">
        <v>227</v>
      </c>
      <c r="F30" s="132">
        <v>46239.600300925929</v>
      </c>
      <c r="G30" s="127" t="s">
        <v>225</v>
      </c>
      <c r="H30" s="127">
        <v>7</v>
      </c>
      <c r="I30" s="127" t="s">
        <v>228</v>
      </c>
      <c r="J30" s="132">
        <v>46239.673634259256</v>
      </c>
      <c r="K30" s="132">
        <v>46276.428472222222</v>
      </c>
      <c r="L30" s="132">
        <v>46276.428472222222</v>
      </c>
      <c r="M30" s="127">
        <v>7</v>
      </c>
      <c r="N30" s="127"/>
      <c r="O30" s="127" t="s">
        <v>174</v>
      </c>
      <c r="P30" s="127" t="s">
        <v>175</v>
      </c>
      <c r="Q30" s="127"/>
      <c r="R30" s="127"/>
      <c r="S30" s="127" t="s">
        <v>186</v>
      </c>
      <c r="T30" s="127" t="s">
        <v>187</v>
      </c>
      <c r="U30" s="127" t="s">
        <v>188</v>
      </c>
      <c r="V30" s="127" t="s">
        <v>179</v>
      </c>
      <c r="W30" s="127" t="s">
        <v>179</v>
      </c>
      <c r="X30" s="127" t="s">
        <v>179</v>
      </c>
      <c r="Y30" s="127"/>
      <c r="Z30" s="127"/>
      <c r="AA30" s="127" t="s">
        <v>193</v>
      </c>
      <c r="AB30" s="127" t="s">
        <v>190</v>
      </c>
      <c r="AC30" s="127">
        <v>2011</v>
      </c>
      <c r="AD30" s="127" t="s">
        <v>79</v>
      </c>
      <c r="AE30" s="127">
        <v>7</v>
      </c>
      <c r="AF30" s="127">
        <v>1</v>
      </c>
    </row>
    <row r="31" spans="1:32" x14ac:dyDescent="0.3">
      <c r="A31" t="s">
        <v>167</v>
      </c>
      <c r="B31" t="s">
        <v>247</v>
      </c>
      <c r="C31" t="s">
        <v>192</v>
      </c>
      <c r="D31" t="s">
        <v>170</v>
      </c>
      <c r="E31" t="s">
        <v>233</v>
      </c>
      <c r="F31" s="133">
        <v>46230.480439814812</v>
      </c>
      <c r="G31" t="s">
        <v>225</v>
      </c>
      <c r="H31">
        <v>1</v>
      </c>
      <c r="I31" t="s">
        <v>234</v>
      </c>
      <c r="J31" s="133">
        <v>46231.431944444441</v>
      </c>
      <c r="K31" s="133">
        <v>46269.637499999997</v>
      </c>
      <c r="L31" s="133">
        <v>46269.637499999997</v>
      </c>
      <c r="M31">
        <v>1</v>
      </c>
      <c r="O31" t="s">
        <v>174</v>
      </c>
      <c r="P31" t="s">
        <v>175</v>
      </c>
      <c r="S31" t="s">
        <v>186</v>
      </c>
      <c r="T31" t="s">
        <v>187</v>
      </c>
      <c r="U31" t="s">
        <v>188</v>
      </c>
      <c r="V31" t="s">
        <v>179</v>
      </c>
      <c r="W31" t="s">
        <v>179</v>
      </c>
      <c r="X31" t="s">
        <v>179</v>
      </c>
      <c r="AA31" t="s">
        <v>193</v>
      </c>
      <c r="AB31" t="s">
        <v>190</v>
      </c>
      <c r="AC31">
        <v>2011</v>
      </c>
      <c r="AD31" t="s">
        <v>79</v>
      </c>
      <c r="AE31">
        <v>1</v>
      </c>
      <c r="AF31">
        <v>1</v>
      </c>
    </row>
    <row r="32" spans="1:32" x14ac:dyDescent="0.3">
      <c r="A32" s="127" t="s">
        <v>167</v>
      </c>
      <c r="B32" s="127" t="s">
        <v>181</v>
      </c>
      <c r="C32" s="127" t="s">
        <v>182</v>
      </c>
      <c r="D32" s="127" t="s">
        <v>170</v>
      </c>
      <c r="E32" s="127" t="s">
        <v>248</v>
      </c>
      <c r="F32" s="132">
        <v>46280.403831018521</v>
      </c>
      <c r="G32" s="127" t="s">
        <v>249</v>
      </c>
      <c r="H32" s="127">
        <v>57</v>
      </c>
      <c r="I32" s="127" t="s">
        <v>250</v>
      </c>
      <c r="J32" s="132">
        <v>46280.579479166663</v>
      </c>
      <c r="K32" s="132">
        <v>46288.575694444444</v>
      </c>
      <c r="L32" s="132">
        <v>46288.575694444444</v>
      </c>
      <c r="M32" s="127">
        <v>57</v>
      </c>
      <c r="N32" s="127"/>
      <c r="O32" s="127" t="s">
        <v>174</v>
      </c>
      <c r="P32" s="127" t="s">
        <v>175</v>
      </c>
      <c r="Q32" s="127"/>
      <c r="R32" s="127"/>
      <c r="S32" s="127" t="s">
        <v>186</v>
      </c>
      <c r="T32" s="127" t="s">
        <v>187</v>
      </c>
      <c r="U32" s="127" t="s">
        <v>188</v>
      </c>
      <c r="V32" s="127" t="s">
        <v>179</v>
      </c>
      <c r="W32" s="127" t="s">
        <v>179</v>
      </c>
      <c r="X32" s="127" t="s">
        <v>179</v>
      </c>
      <c r="Y32" s="127"/>
      <c r="Z32" s="127"/>
      <c r="AA32" s="127" t="s">
        <v>189</v>
      </c>
      <c r="AB32" s="127" t="s">
        <v>190</v>
      </c>
      <c r="AC32" s="127">
        <v>2011</v>
      </c>
      <c r="AD32" s="127" t="s">
        <v>96</v>
      </c>
      <c r="AE32" s="127">
        <v>5.7</v>
      </c>
      <c r="AF32" s="127">
        <v>2.17</v>
      </c>
    </row>
    <row r="33" spans="1:32" x14ac:dyDescent="0.3">
      <c r="A33" t="s">
        <v>167</v>
      </c>
      <c r="B33" t="s">
        <v>181</v>
      </c>
      <c r="C33" t="s">
        <v>182</v>
      </c>
      <c r="D33" t="s">
        <v>170</v>
      </c>
      <c r="E33" t="s">
        <v>248</v>
      </c>
      <c r="F33" s="133">
        <v>46280.403831018521</v>
      </c>
      <c r="G33" t="s">
        <v>249</v>
      </c>
      <c r="H33">
        <v>21</v>
      </c>
      <c r="I33" t="s">
        <v>250</v>
      </c>
      <c r="J33" s="133">
        <v>46280.579479166663</v>
      </c>
      <c r="K33" s="133">
        <v>46282.38958333333</v>
      </c>
      <c r="L33" s="133">
        <v>46282.38958333333</v>
      </c>
      <c r="M33">
        <v>21</v>
      </c>
      <c r="O33" t="s">
        <v>251</v>
      </c>
      <c r="S33" t="s">
        <v>186</v>
      </c>
      <c r="T33" t="s">
        <v>187</v>
      </c>
      <c r="U33" t="s">
        <v>188</v>
      </c>
      <c r="V33" t="s">
        <v>179</v>
      </c>
      <c r="W33" t="s">
        <v>179</v>
      </c>
      <c r="X33" t="s">
        <v>179</v>
      </c>
      <c r="AA33" t="s">
        <v>189</v>
      </c>
      <c r="AB33" t="s">
        <v>190</v>
      </c>
      <c r="AC33">
        <v>2011</v>
      </c>
      <c r="AD33" t="s">
        <v>96</v>
      </c>
      <c r="AE33">
        <v>2.1</v>
      </c>
      <c r="AF33">
        <v>1</v>
      </c>
    </row>
    <row r="34" spans="1:32" x14ac:dyDescent="0.3">
      <c r="A34" s="127" t="s">
        <v>167</v>
      </c>
      <c r="B34" s="127" t="s">
        <v>181</v>
      </c>
      <c r="C34" s="127" t="s">
        <v>182</v>
      </c>
      <c r="D34" s="127" t="s">
        <v>170</v>
      </c>
      <c r="E34" s="127" t="s">
        <v>248</v>
      </c>
      <c r="F34" s="132">
        <v>46280.403831018521</v>
      </c>
      <c r="G34" s="127" t="s">
        <v>249</v>
      </c>
      <c r="H34" s="127">
        <v>33</v>
      </c>
      <c r="I34" s="127" t="s">
        <v>250</v>
      </c>
      <c r="J34" s="132">
        <v>46280.579479166663</v>
      </c>
      <c r="K34" s="132">
        <v>46288.575694444444</v>
      </c>
      <c r="L34" s="132">
        <v>46288.575694444444</v>
      </c>
      <c r="M34" s="127">
        <v>33</v>
      </c>
      <c r="N34" s="127"/>
      <c r="O34" s="127" t="s">
        <v>251</v>
      </c>
      <c r="P34" s="127"/>
      <c r="Q34" s="127"/>
      <c r="R34" s="127"/>
      <c r="S34" s="127" t="s">
        <v>186</v>
      </c>
      <c r="T34" s="127" t="s">
        <v>187</v>
      </c>
      <c r="U34" s="127" t="s">
        <v>188</v>
      </c>
      <c r="V34" s="127" t="s">
        <v>179</v>
      </c>
      <c r="W34" s="127" t="s">
        <v>179</v>
      </c>
      <c r="X34" s="127" t="s">
        <v>179</v>
      </c>
      <c r="Y34" s="127"/>
      <c r="Z34" s="127"/>
      <c r="AA34" s="127" t="s">
        <v>189</v>
      </c>
      <c r="AB34" s="127" t="s">
        <v>190</v>
      </c>
      <c r="AC34" s="127">
        <v>2011</v>
      </c>
      <c r="AD34" s="127" t="s">
        <v>96</v>
      </c>
      <c r="AE34" s="127">
        <v>3.3</v>
      </c>
      <c r="AF34" s="127"/>
    </row>
    <row r="35" spans="1:32" x14ac:dyDescent="0.3">
      <c r="A35" t="s">
        <v>167</v>
      </c>
      <c r="B35" t="s">
        <v>181</v>
      </c>
      <c r="C35" t="s">
        <v>182</v>
      </c>
      <c r="D35" t="s">
        <v>170</v>
      </c>
      <c r="E35" t="s">
        <v>248</v>
      </c>
      <c r="F35" s="133">
        <v>46280.403831018521</v>
      </c>
      <c r="G35" t="s">
        <v>249</v>
      </c>
      <c r="H35">
        <v>20</v>
      </c>
      <c r="I35" t="s">
        <v>250</v>
      </c>
      <c r="J35" s="133">
        <v>46280.579479166663</v>
      </c>
      <c r="K35" s="133">
        <v>46288.575694444444</v>
      </c>
      <c r="L35" s="133">
        <v>46288.575694444444</v>
      </c>
      <c r="M35">
        <v>20</v>
      </c>
      <c r="O35" t="s">
        <v>251</v>
      </c>
      <c r="S35" t="s">
        <v>186</v>
      </c>
      <c r="T35" t="s">
        <v>187</v>
      </c>
      <c r="U35" t="s">
        <v>188</v>
      </c>
      <c r="V35" t="s">
        <v>179</v>
      </c>
      <c r="W35" t="s">
        <v>179</v>
      </c>
      <c r="X35" t="s">
        <v>179</v>
      </c>
      <c r="AA35" t="s">
        <v>189</v>
      </c>
      <c r="AB35" t="s">
        <v>190</v>
      </c>
      <c r="AC35">
        <v>2011</v>
      </c>
      <c r="AD35" t="s">
        <v>96</v>
      </c>
      <c r="AE35">
        <v>2</v>
      </c>
    </row>
    <row r="36" spans="1:32" x14ac:dyDescent="0.3">
      <c r="A36" s="127" t="s">
        <v>167</v>
      </c>
      <c r="B36" s="127" t="s">
        <v>181</v>
      </c>
      <c r="C36" s="127" t="s">
        <v>182</v>
      </c>
      <c r="D36" s="127" t="s">
        <v>170</v>
      </c>
      <c r="E36" s="127" t="s">
        <v>248</v>
      </c>
      <c r="F36" s="132">
        <v>46280.403831018521</v>
      </c>
      <c r="G36" s="127" t="s">
        <v>249</v>
      </c>
      <c r="H36" s="127">
        <v>67</v>
      </c>
      <c r="I36" s="127" t="s">
        <v>250</v>
      </c>
      <c r="J36" s="132">
        <v>46280.579479166663</v>
      </c>
      <c r="K36" s="132">
        <v>46288.575694444444</v>
      </c>
      <c r="L36" s="132">
        <v>46288.575694444444</v>
      </c>
      <c r="M36" s="127">
        <v>67</v>
      </c>
      <c r="N36" s="127"/>
      <c r="O36" s="127" t="s">
        <v>251</v>
      </c>
      <c r="P36" s="127"/>
      <c r="Q36" s="127"/>
      <c r="R36" s="127"/>
      <c r="S36" s="127" t="s">
        <v>186</v>
      </c>
      <c r="T36" s="127" t="s">
        <v>187</v>
      </c>
      <c r="U36" s="127" t="s">
        <v>188</v>
      </c>
      <c r="V36" s="127" t="s">
        <v>179</v>
      </c>
      <c r="W36" s="127" t="s">
        <v>179</v>
      </c>
      <c r="X36" s="127" t="s">
        <v>179</v>
      </c>
      <c r="Y36" s="127"/>
      <c r="Z36" s="127"/>
      <c r="AA36" s="127" t="s">
        <v>189</v>
      </c>
      <c r="AB36" s="127" t="s">
        <v>190</v>
      </c>
      <c r="AC36" s="127">
        <v>2011</v>
      </c>
      <c r="AD36" s="127" t="s">
        <v>96</v>
      </c>
      <c r="AE36" s="127">
        <v>6.7</v>
      </c>
      <c r="AF36" s="127"/>
    </row>
    <row r="37" spans="1:32" x14ac:dyDescent="0.3">
      <c r="A37" t="s">
        <v>167</v>
      </c>
      <c r="B37" t="s">
        <v>181</v>
      </c>
      <c r="C37" t="s">
        <v>182</v>
      </c>
      <c r="D37" t="s">
        <v>170</v>
      </c>
      <c r="E37" t="s">
        <v>248</v>
      </c>
      <c r="F37" s="133">
        <v>46280.403831018521</v>
      </c>
      <c r="G37" t="s">
        <v>249</v>
      </c>
      <c r="H37">
        <v>30</v>
      </c>
      <c r="I37" t="s">
        <v>250</v>
      </c>
      <c r="J37" s="133">
        <v>46280.579479166663</v>
      </c>
      <c r="K37" s="133">
        <v>46288.575694444444</v>
      </c>
      <c r="L37" s="133">
        <v>46288.575694444444</v>
      </c>
      <c r="M37">
        <v>30</v>
      </c>
      <c r="O37" t="s">
        <v>251</v>
      </c>
      <c r="S37" t="s">
        <v>186</v>
      </c>
      <c r="T37" t="s">
        <v>187</v>
      </c>
      <c r="U37" t="s">
        <v>188</v>
      </c>
      <c r="V37" t="s">
        <v>179</v>
      </c>
      <c r="W37" t="s">
        <v>179</v>
      </c>
      <c r="X37" t="s">
        <v>179</v>
      </c>
      <c r="AA37" t="s">
        <v>189</v>
      </c>
      <c r="AB37" t="s">
        <v>190</v>
      </c>
      <c r="AC37">
        <v>2011</v>
      </c>
      <c r="AD37" t="s">
        <v>96</v>
      </c>
      <c r="AE37">
        <v>3</v>
      </c>
    </row>
    <row r="38" spans="1:32" x14ac:dyDescent="0.3">
      <c r="A38" s="127" t="s">
        <v>167</v>
      </c>
      <c r="B38" s="127" t="s">
        <v>208</v>
      </c>
      <c r="C38" s="127" t="s">
        <v>125</v>
      </c>
      <c r="D38" s="127" t="s">
        <v>170</v>
      </c>
      <c r="E38" s="127" t="s">
        <v>252</v>
      </c>
      <c r="F38" s="132">
        <v>46150.624224537038</v>
      </c>
      <c r="G38" s="127" t="s">
        <v>210</v>
      </c>
      <c r="H38" s="127">
        <v>1</v>
      </c>
      <c r="I38" s="127" t="s">
        <v>244</v>
      </c>
      <c r="J38" s="132">
        <v>46153.365277777775</v>
      </c>
      <c r="K38" s="132">
        <v>46154.5</v>
      </c>
      <c r="L38" s="132"/>
      <c r="M38" s="127">
        <v>1</v>
      </c>
      <c r="N38" s="127"/>
      <c r="O38" s="127" t="s">
        <v>174</v>
      </c>
      <c r="P38" s="127" t="s">
        <v>175</v>
      </c>
      <c r="Q38" s="127"/>
      <c r="R38" s="127"/>
      <c r="S38" s="127" t="s">
        <v>186</v>
      </c>
      <c r="T38" s="127" t="s">
        <v>187</v>
      </c>
      <c r="U38" s="127" t="s">
        <v>188</v>
      </c>
      <c r="V38" s="127" t="s">
        <v>167</v>
      </c>
      <c r="W38" s="127" t="s">
        <v>212</v>
      </c>
      <c r="X38" s="127" t="s">
        <v>188</v>
      </c>
      <c r="Y38" s="127"/>
      <c r="Z38" s="127"/>
      <c r="AA38" s="127" t="s">
        <v>36</v>
      </c>
      <c r="AB38" s="127" t="s">
        <v>190</v>
      </c>
      <c r="AC38" s="127">
        <v>2011</v>
      </c>
      <c r="AD38" s="127" t="s">
        <v>53</v>
      </c>
      <c r="AE38" s="127">
        <v>1</v>
      </c>
      <c r="AF38" s="127"/>
    </row>
    <row r="39" spans="1:32" x14ac:dyDescent="0.3">
      <c r="A39" t="s">
        <v>167</v>
      </c>
      <c r="B39" t="s">
        <v>208</v>
      </c>
      <c r="C39" t="s">
        <v>125</v>
      </c>
      <c r="D39" t="s">
        <v>170</v>
      </c>
      <c r="E39" t="s">
        <v>253</v>
      </c>
      <c r="F39" s="133">
        <v>46150.623888888891</v>
      </c>
      <c r="G39" t="s">
        <v>210</v>
      </c>
      <c r="H39">
        <v>1</v>
      </c>
      <c r="I39" t="s">
        <v>244</v>
      </c>
      <c r="J39" s="133">
        <v>46153.365277777775</v>
      </c>
      <c r="K39" s="133">
        <v>46154.5</v>
      </c>
      <c r="L39" s="133"/>
      <c r="M39">
        <v>1</v>
      </c>
      <c r="O39" t="s">
        <v>174</v>
      </c>
      <c r="P39" t="s">
        <v>175</v>
      </c>
      <c r="S39" t="s">
        <v>186</v>
      </c>
      <c r="T39" t="s">
        <v>187</v>
      </c>
      <c r="U39" t="s">
        <v>188</v>
      </c>
      <c r="V39" t="s">
        <v>167</v>
      </c>
      <c r="W39" t="s">
        <v>212</v>
      </c>
      <c r="X39" t="s">
        <v>188</v>
      </c>
      <c r="AA39" t="s">
        <v>36</v>
      </c>
      <c r="AB39" t="s">
        <v>190</v>
      </c>
      <c r="AC39">
        <v>2011</v>
      </c>
      <c r="AD39" t="s">
        <v>53</v>
      </c>
      <c r="AE39">
        <v>1</v>
      </c>
    </row>
    <row r="40" spans="1:32" x14ac:dyDescent="0.3">
      <c r="A40" s="127" t="s">
        <v>167</v>
      </c>
      <c r="B40" s="127" t="s">
        <v>208</v>
      </c>
      <c r="C40" s="127" t="s">
        <v>125</v>
      </c>
      <c r="D40" s="127" t="s">
        <v>170</v>
      </c>
      <c r="E40" s="127" t="s">
        <v>254</v>
      </c>
      <c r="F40" s="132">
        <v>46150.623541666668</v>
      </c>
      <c r="G40" s="127" t="s">
        <v>210</v>
      </c>
      <c r="H40" s="127">
        <v>1</v>
      </c>
      <c r="I40" s="127" t="s">
        <v>244</v>
      </c>
      <c r="J40" s="132">
        <v>46153.365277777775</v>
      </c>
      <c r="K40" s="132">
        <v>46154.5</v>
      </c>
      <c r="L40" s="132"/>
      <c r="M40" s="127">
        <v>1</v>
      </c>
      <c r="N40" s="127"/>
      <c r="O40" s="127" t="s">
        <v>174</v>
      </c>
      <c r="P40" s="127" t="s">
        <v>175</v>
      </c>
      <c r="Q40" s="127"/>
      <c r="R40" s="127"/>
      <c r="S40" s="127" t="s">
        <v>186</v>
      </c>
      <c r="T40" s="127" t="s">
        <v>187</v>
      </c>
      <c r="U40" s="127" t="s">
        <v>188</v>
      </c>
      <c r="V40" s="127" t="s">
        <v>167</v>
      </c>
      <c r="W40" s="127" t="s">
        <v>212</v>
      </c>
      <c r="X40" s="127" t="s">
        <v>188</v>
      </c>
      <c r="Y40" s="127"/>
      <c r="Z40" s="127"/>
      <c r="AA40" s="127" t="s">
        <v>36</v>
      </c>
      <c r="AB40" s="127" t="s">
        <v>190</v>
      </c>
      <c r="AC40" s="127">
        <v>2011</v>
      </c>
      <c r="AD40" s="127" t="s">
        <v>53</v>
      </c>
      <c r="AE40" s="127">
        <v>1</v>
      </c>
      <c r="AF40" s="127"/>
    </row>
    <row r="41" spans="1:32" x14ac:dyDescent="0.3">
      <c r="A41" t="s">
        <v>167</v>
      </c>
      <c r="B41" t="s">
        <v>208</v>
      </c>
      <c r="C41" t="s">
        <v>125</v>
      </c>
      <c r="D41" t="s">
        <v>170</v>
      </c>
      <c r="E41" t="s">
        <v>255</v>
      </c>
      <c r="F41" s="133">
        <v>46150.623194444444</v>
      </c>
      <c r="G41" t="s">
        <v>210</v>
      </c>
      <c r="H41">
        <v>1</v>
      </c>
      <c r="I41" t="s">
        <v>244</v>
      </c>
      <c r="J41" s="133">
        <v>46153.365277777775</v>
      </c>
      <c r="K41" s="133">
        <v>46154.5</v>
      </c>
      <c r="L41" s="133"/>
      <c r="M41">
        <v>1</v>
      </c>
      <c r="O41" t="s">
        <v>174</v>
      </c>
      <c r="P41" t="s">
        <v>175</v>
      </c>
      <c r="S41" t="s">
        <v>186</v>
      </c>
      <c r="T41" t="s">
        <v>187</v>
      </c>
      <c r="U41" t="s">
        <v>188</v>
      </c>
      <c r="V41" t="s">
        <v>167</v>
      </c>
      <c r="W41" t="s">
        <v>212</v>
      </c>
      <c r="X41" t="s">
        <v>188</v>
      </c>
      <c r="AA41" t="s">
        <v>36</v>
      </c>
      <c r="AB41" t="s">
        <v>190</v>
      </c>
      <c r="AC41">
        <v>2011</v>
      </c>
      <c r="AD41" t="s">
        <v>53</v>
      </c>
      <c r="AE41">
        <v>1</v>
      </c>
    </row>
    <row r="42" spans="1:32" x14ac:dyDescent="0.3">
      <c r="A42" s="127" t="s">
        <v>167</v>
      </c>
      <c r="B42" s="127" t="s">
        <v>208</v>
      </c>
      <c r="C42" s="127" t="s">
        <v>125</v>
      </c>
      <c r="D42" s="127" t="s">
        <v>170</v>
      </c>
      <c r="E42" s="127" t="s">
        <v>256</v>
      </c>
      <c r="F42" s="132">
        <v>46150.622893518521</v>
      </c>
      <c r="G42" s="127" t="s">
        <v>210</v>
      </c>
      <c r="H42" s="127">
        <v>1</v>
      </c>
      <c r="I42" s="127" t="s">
        <v>244</v>
      </c>
      <c r="J42" s="132">
        <v>46153.365277777775</v>
      </c>
      <c r="K42" s="132">
        <v>46154.5</v>
      </c>
      <c r="L42" s="132"/>
      <c r="M42" s="127">
        <v>1</v>
      </c>
      <c r="N42" s="127"/>
      <c r="O42" s="127" t="s">
        <v>174</v>
      </c>
      <c r="P42" s="127" t="s">
        <v>175</v>
      </c>
      <c r="Q42" s="127"/>
      <c r="R42" s="127"/>
      <c r="S42" s="127" t="s">
        <v>186</v>
      </c>
      <c r="T42" s="127" t="s">
        <v>187</v>
      </c>
      <c r="U42" s="127" t="s">
        <v>188</v>
      </c>
      <c r="V42" s="127" t="s">
        <v>167</v>
      </c>
      <c r="W42" s="127" t="s">
        <v>212</v>
      </c>
      <c r="X42" s="127" t="s">
        <v>188</v>
      </c>
      <c r="Y42" s="127"/>
      <c r="Z42" s="127"/>
      <c r="AA42" s="127" t="s">
        <v>36</v>
      </c>
      <c r="AB42" s="127" t="s">
        <v>190</v>
      </c>
      <c r="AC42" s="127">
        <v>2011</v>
      </c>
      <c r="AD42" s="127" t="s">
        <v>53</v>
      </c>
      <c r="AE42" s="127">
        <v>1</v>
      </c>
      <c r="AF42" s="127"/>
    </row>
    <row r="43" spans="1:32" x14ac:dyDescent="0.3">
      <c r="A43" t="s">
        <v>167</v>
      </c>
      <c r="B43" t="s">
        <v>208</v>
      </c>
      <c r="C43" t="s">
        <v>125</v>
      </c>
      <c r="D43" t="s">
        <v>170</v>
      </c>
      <c r="E43" t="s">
        <v>257</v>
      </c>
      <c r="F43" s="133">
        <v>46150.622569444444</v>
      </c>
      <c r="G43" t="s">
        <v>210</v>
      </c>
      <c r="H43">
        <v>1</v>
      </c>
      <c r="I43" t="s">
        <v>244</v>
      </c>
      <c r="J43" s="133">
        <v>46153.365277777775</v>
      </c>
      <c r="K43" s="133">
        <v>46154.5</v>
      </c>
      <c r="L43" s="133"/>
      <c r="M43">
        <v>1</v>
      </c>
      <c r="O43" t="s">
        <v>174</v>
      </c>
      <c r="P43" t="s">
        <v>175</v>
      </c>
      <c r="S43" t="s">
        <v>186</v>
      </c>
      <c r="T43" t="s">
        <v>187</v>
      </c>
      <c r="U43" t="s">
        <v>188</v>
      </c>
      <c r="V43" t="s">
        <v>167</v>
      </c>
      <c r="W43" t="s">
        <v>212</v>
      </c>
      <c r="X43" t="s">
        <v>188</v>
      </c>
      <c r="AA43" t="s">
        <v>36</v>
      </c>
      <c r="AB43" t="s">
        <v>190</v>
      </c>
      <c r="AC43">
        <v>2011</v>
      </c>
      <c r="AD43" t="s">
        <v>53</v>
      </c>
      <c r="AE43">
        <v>1</v>
      </c>
    </row>
    <row r="44" spans="1:32" x14ac:dyDescent="0.3">
      <c r="A44" s="127" t="s">
        <v>167</v>
      </c>
      <c r="B44" s="127" t="s">
        <v>208</v>
      </c>
      <c r="C44" s="127" t="s">
        <v>125</v>
      </c>
      <c r="D44" s="127" t="s">
        <v>170</v>
      </c>
      <c r="E44" s="127" t="s">
        <v>258</v>
      </c>
      <c r="F44" s="132">
        <v>46150.622256944444</v>
      </c>
      <c r="G44" s="127" t="s">
        <v>210</v>
      </c>
      <c r="H44" s="127">
        <v>1</v>
      </c>
      <c r="I44" s="127" t="s">
        <v>244</v>
      </c>
      <c r="J44" s="132">
        <v>46153.365277777775</v>
      </c>
      <c r="K44" s="132">
        <v>46154.5</v>
      </c>
      <c r="L44" s="132"/>
      <c r="M44" s="127">
        <v>1</v>
      </c>
      <c r="N44" s="127"/>
      <c r="O44" s="127" t="s">
        <v>174</v>
      </c>
      <c r="P44" s="127" t="s">
        <v>175</v>
      </c>
      <c r="Q44" s="127"/>
      <c r="R44" s="127"/>
      <c r="S44" s="127" t="s">
        <v>186</v>
      </c>
      <c r="T44" s="127" t="s">
        <v>187</v>
      </c>
      <c r="U44" s="127" t="s">
        <v>188</v>
      </c>
      <c r="V44" s="127" t="s">
        <v>167</v>
      </c>
      <c r="W44" s="127" t="s">
        <v>212</v>
      </c>
      <c r="X44" s="127" t="s">
        <v>188</v>
      </c>
      <c r="Y44" s="127"/>
      <c r="Z44" s="127"/>
      <c r="AA44" s="127" t="s">
        <v>36</v>
      </c>
      <c r="AB44" s="127" t="s">
        <v>190</v>
      </c>
      <c r="AC44" s="127">
        <v>2011</v>
      </c>
      <c r="AD44" s="127" t="s">
        <v>53</v>
      </c>
      <c r="AE44" s="127">
        <v>1</v>
      </c>
      <c r="AF44" s="127"/>
    </row>
    <row r="45" spans="1:32" x14ac:dyDescent="0.3">
      <c r="A45" t="s">
        <v>167</v>
      </c>
      <c r="B45" t="s">
        <v>208</v>
      </c>
      <c r="C45" t="s">
        <v>125</v>
      </c>
      <c r="D45" t="s">
        <v>170</v>
      </c>
      <c r="E45" t="s">
        <v>259</v>
      </c>
      <c r="F45" s="133">
        <v>46150.621886574074</v>
      </c>
      <c r="G45" t="s">
        <v>210</v>
      </c>
      <c r="H45">
        <v>1</v>
      </c>
      <c r="I45" t="s">
        <v>244</v>
      </c>
      <c r="J45" s="133">
        <v>46153.365277777775</v>
      </c>
      <c r="K45" s="133">
        <v>46154.5</v>
      </c>
      <c r="L45" s="133"/>
      <c r="M45">
        <v>1</v>
      </c>
      <c r="O45" t="s">
        <v>174</v>
      </c>
      <c r="P45" t="s">
        <v>175</v>
      </c>
      <c r="S45" t="s">
        <v>186</v>
      </c>
      <c r="T45" t="s">
        <v>187</v>
      </c>
      <c r="U45" t="s">
        <v>188</v>
      </c>
      <c r="V45" t="s">
        <v>167</v>
      </c>
      <c r="W45" t="s">
        <v>212</v>
      </c>
      <c r="X45" t="s">
        <v>188</v>
      </c>
      <c r="AA45" t="s">
        <v>36</v>
      </c>
      <c r="AB45" t="s">
        <v>190</v>
      </c>
      <c r="AC45">
        <v>2011</v>
      </c>
      <c r="AD45" t="s">
        <v>53</v>
      </c>
      <c r="AE45">
        <v>1</v>
      </c>
    </row>
    <row r="46" spans="1:32" x14ac:dyDescent="0.3">
      <c r="A46" s="127" t="s">
        <v>167</v>
      </c>
      <c r="B46" s="127" t="s">
        <v>208</v>
      </c>
      <c r="C46" s="127" t="s">
        <v>125</v>
      </c>
      <c r="D46" s="127" t="s">
        <v>170</v>
      </c>
      <c r="E46" s="127" t="s">
        <v>260</v>
      </c>
      <c r="F46" s="132">
        <v>46150.621620370373</v>
      </c>
      <c r="G46" s="127" t="s">
        <v>210</v>
      </c>
      <c r="H46" s="127">
        <v>1</v>
      </c>
      <c r="I46" s="127" t="s">
        <v>244</v>
      </c>
      <c r="J46" s="132">
        <v>46153.365277777775</v>
      </c>
      <c r="K46" s="132">
        <v>46154.5</v>
      </c>
      <c r="L46" s="132"/>
      <c r="M46" s="127">
        <v>1</v>
      </c>
      <c r="N46" s="127"/>
      <c r="O46" s="127" t="s">
        <v>174</v>
      </c>
      <c r="P46" s="127" t="s">
        <v>175</v>
      </c>
      <c r="Q46" s="127"/>
      <c r="R46" s="127"/>
      <c r="S46" s="127" t="s">
        <v>186</v>
      </c>
      <c r="T46" s="127" t="s">
        <v>187</v>
      </c>
      <c r="U46" s="127" t="s">
        <v>188</v>
      </c>
      <c r="V46" s="127" t="s">
        <v>167</v>
      </c>
      <c r="W46" s="127" t="s">
        <v>212</v>
      </c>
      <c r="X46" s="127" t="s">
        <v>188</v>
      </c>
      <c r="Y46" s="127"/>
      <c r="Z46" s="127"/>
      <c r="AA46" s="127" t="s">
        <v>36</v>
      </c>
      <c r="AB46" s="127" t="s">
        <v>190</v>
      </c>
      <c r="AC46" s="127">
        <v>2011</v>
      </c>
      <c r="AD46" s="127" t="s">
        <v>53</v>
      </c>
      <c r="AE46" s="127">
        <v>1</v>
      </c>
      <c r="AF46" s="127"/>
    </row>
    <row r="47" spans="1:32" x14ac:dyDescent="0.3">
      <c r="A47" t="s">
        <v>167</v>
      </c>
      <c r="B47" t="s">
        <v>191</v>
      </c>
      <c r="C47" t="s">
        <v>192</v>
      </c>
      <c r="D47" t="s">
        <v>170</v>
      </c>
      <c r="E47" t="s">
        <v>261</v>
      </c>
      <c r="F47" s="133">
        <v>46282.477280092593</v>
      </c>
      <c r="G47" t="s">
        <v>225</v>
      </c>
      <c r="H47">
        <v>10</v>
      </c>
      <c r="I47" t="s">
        <v>262</v>
      </c>
      <c r="J47" s="133">
        <v>46282.612800925926</v>
      </c>
      <c r="K47" s="133">
        <v>46283.492361111108</v>
      </c>
      <c r="L47" s="133"/>
      <c r="M47">
        <v>10</v>
      </c>
      <c r="O47" t="s">
        <v>174</v>
      </c>
      <c r="P47" t="s">
        <v>175</v>
      </c>
      <c r="S47" t="s">
        <v>186</v>
      </c>
      <c r="T47" t="s">
        <v>187</v>
      </c>
      <c r="U47" t="s">
        <v>188</v>
      </c>
      <c r="V47" t="s">
        <v>179</v>
      </c>
      <c r="W47" t="s">
        <v>179</v>
      </c>
      <c r="X47" t="s">
        <v>179</v>
      </c>
      <c r="AA47" t="s">
        <v>193</v>
      </c>
      <c r="AB47" t="s">
        <v>190</v>
      </c>
      <c r="AC47">
        <v>2011</v>
      </c>
      <c r="AD47" t="s">
        <v>64</v>
      </c>
      <c r="AE47">
        <v>10</v>
      </c>
      <c r="AF47">
        <v>1.7</v>
      </c>
    </row>
    <row r="48" spans="1:32" x14ac:dyDescent="0.3">
      <c r="A48" s="127" t="s">
        <v>167</v>
      </c>
      <c r="B48" s="127" t="s">
        <v>208</v>
      </c>
      <c r="C48" s="127" t="s">
        <v>125</v>
      </c>
      <c r="D48" s="127" t="s">
        <v>170</v>
      </c>
      <c r="E48" s="127" t="s">
        <v>263</v>
      </c>
      <c r="F48" s="132">
        <v>46150.621168981481</v>
      </c>
      <c r="G48" s="127" t="s">
        <v>210</v>
      </c>
      <c r="H48" s="127">
        <v>1</v>
      </c>
      <c r="I48" s="127" t="s">
        <v>244</v>
      </c>
      <c r="J48" s="132">
        <v>46153.365277777775</v>
      </c>
      <c r="K48" s="132">
        <v>46154.5</v>
      </c>
      <c r="L48" s="132"/>
      <c r="M48" s="127">
        <v>1</v>
      </c>
      <c r="N48" s="127"/>
      <c r="O48" s="127" t="s">
        <v>174</v>
      </c>
      <c r="P48" s="127" t="s">
        <v>175</v>
      </c>
      <c r="Q48" s="127"/>
      <c r="R48" s="127"/>
      <c r="S48" s="127" t="s">
        <v>186</v>
      </c>
      <c r="T48" s="127" t="s">
        <v>187</v>
      </c>
      <c r="U48" s="127" t="s">
        <v>188</v>
      </c>
      <c r="V48" s="127" t="s">
        <v>167</v>
      </c>
      <c r="W48" s="127" t="s">
        <v>212</v>
      </c>
      <c r="X48" s="127" t="s">
        <v>188</v>
      </c>
      <c r="Y48" s="127"/>
      <c r="Z48" s="127"/>
      <c r="AA48" s="127" t="s">
        <v>36</v>
      </c>
      <c r="AB48" s="127" t="s">
        <v>190</v>
      </c>
      <c r="AC48" s="127">
        <v>2011</v>
      </c>
      <c r="AD48" s="127" t="s">
        <v>53</v>
      </c>
      <c r="AE48" s="127">
        <v>1</v>
      </c>
      <c r="AF48" s="127"/>
    </row>
    <row r="49" spans="1:32" x14ac:dyDescent="0.3">
      <c r="A49" t="s">
        <v>167</v>
      </c>
      <c r="B49" t="s">
        <v>208</v>
      </c>
      <c r="C49" t="s">
        <v>125</v>
      </c>
      <c r="D49" t="s">
        <v>170</v>
      </c>
      <c r="E49" t="s">
        <v>264</v>
      </c>
      <c r="F49" s="133">
        <v>46150.620439814818</v>
      </c>
      <c r="G49" t="s">
        <v>210</v>
      </c>
      <c r="H49">
        <v>1</v>
      </c>
      <c r="I49" t="s">
        <v>244</v>
      </c>
      <c r="J49" s="133">
        <v>46153.365277777775</v>
      </c>
      <c r="K49" s="133">
        <v>46154.5</v>
      </c>
      <c r="L49" s="133"/>
      <c r="M49">
        <v>1</v>
      </c>
      <c r="O49" t="s">
        <v>174</v>
      </c>
      <c r="P49" t="s">
        <v>175</v>
      </c>
      <c r="S49" t="s">
        <v>186</v>
      </c>
      <c r="T49" t="s">
        <v>187</v>
      </c>
      <c r="U49" t="s">
        <v>188</v>
      </c>
      <c r="V49" t="s">
        <v>167</v>
      </c>
      <c r="W49" t="s">
        <v>212</v>
      </c>
      <c r="X49" t="s">
        <v>188</v>
      </c>
      <c r="AA49" t="s">
        <v>36</v>
      </c>
      <c r="AB49" t="s">
        <v>190</v>
      </c>
      <c r="AC49">
        <v>2011</v>
      </c>
      <c r="AD49" t="s">
        <v>53</v>
      </c>
      <c r="AE49">
        <v>1</v>
      </c>
    </row>
    <row r="50" spans="1:32" x14ac:dyDescent="0.3">
      <c r="A50" s="127" t="s">
        <v>167</v>
      </c>
      <c r="B50" s="127" t="s">
        <v>168</v>
      </c>
      <c r="C50" s="127" t="s">
        <v>169</v>
      </c>
      <c r="D50" s="127" t="s">
        <v>170</v>
      </c>
      <c r="E50" s="127" t="s">
        <v>265</v>
      </c>
      <c r="F50" s="132">
        <v>46288.575868055559</v>
      </c>
      <c r="G50" s="127" t="s">
        <v>225</v>
      </c>
      <c r="H50" s="127">
        <v>313</v>
      </c>
      <c r="I50" s="127" t="s">
        <v>266</v>
      </c>
      <c r="J50" s="132">
        <v>46288.687557870369</v>
      </c>
      <c r="K50" s="132">
        <v>46289.348611111112</v>
      </c>
      <c r="L50" s="132"/>
      <c r="M50" s="127">
        <v>313</v>
      </c>
      <c r="N50" s="127"/>
      <c r="O50" s="127" t="s">
        <v>174</v>
      </c>
      <c r="P50" s="127" t="s">
        <v>175</v>
      </c>
      <c r="Q50" s="127"/>
      <c r="R50" s="127"/>
      <c r="S50" s="127" t="s">
        <v>186</v>
      </c>
      <c r="T50" s="127" t="s">
        <v>187</v>
      </c>
      <c r="U50" s="127" t="s">
        <v>188</v>
      </c>
      <c r="V50" s="127" t="s">
        <v>179</v>
      </c>
      <c r="W50" s="127" t="s">
        <v>179</v>
      </c>
      <c r="X50" s="127" t="s">
        <v>179</v>
      </c>
      <c r="Y50" s="127"/>
      <c r="Z50" s="127">
        <v>1</v>
      </c>
      <c r="AA50" s="127" t="s">
        <v>88</v>
      </c>
      <c r="AB50" s="127" t="s">
        <v>190</v>
      </c>
      <c r="AC50" s="127">
        <v>2011</v>
      </c>
      <c r="AD50" s="127" t="s">
        <v>93</v>
      </c>
      <c r="AE50" s="127">
        <v>313</v>
      </c>
      <c r="AF50" s="127">
        <v>114.2</v>
      </c>
    </row>
    <row r="51" spans="1:32" x14ac:dyDescent="0.3">
      <c r="A51" t="s">
        <v>167</v>
      </c>
      <c r="B51" t="s">
        <v>181</v>
      </c>
      <c r="C51" t="s">
        <v>182</v>
      </c>
      <c r="D51" t="s">
        <v>170</v>
      </c>
      <c r="E51" t="s">
        <v>265</v>
      </c>
      <c r="F51" s="133">
        <v>46288.575868055559</v>
      </c>
      <c r="G51" t="s">
        <v>225</v>
      </c>
      <c r="H51">
        <v>4</v>
      </c>
      <c r="I51" t="s">
        <v>266</v>
      </c>
      <c r="J51" s="133">
        <v>46288.687557870369</v>
      </c>
      <c r="K51" s="133">
        <v>46289.348611111112</v>
      </c>
      <c r="L51" s="133">
        <v>46289.348611111112</v>
      </c>
      <c r="M51">
        <v>4</v>
      </c>
      <c r="O51" t="s">
        <v>174</v>
      </c>
      <c r="P51" t="s">
        <v>175</v>
      </c>
      <c r="S51" t="s">
        <v>186</v>
      </c>
      <c r="T51" t="s">
        <v>187</v>
      </c>
      <c r="U51" t="s">
        <v>188</v>
      </c>
      <c r="V51" t="s">
        <v>179</v>
      </c>
      <c r="W51" t="s">
        <v>179</v>
      </c>
      <c r="X51" t="s">
        <v>179</v>
      </c>
      <c r="AA51" t="s">
        <v>189</v>
      </c>
      <c r="AB51" t="s">
        <v>190</v>
      </c>
      <c r="AC51">
        <v>2011</v>
      </c>
      <c r="AD51" t="s">
        <v>96</v>
      </c>
      <c r="AE51">
        <v>1</v>
      </c>
      <c r="AF51">
        <v>1</v>
      </c>
    </row>
    <row r="52" spans="1:32" x14ac:dyDescent="0.3">
      <c r="A52" s="127" t="s">
        <v>167</v>
      </c>
      <c r="B52" s="127" t="s">
        <v>191</v>
      </c>
      <c r="C52" s="127" t="s">
        <v>192</v>
      </c>
      <c r="D52" s="127" t="s">
        <v>170</v>
      </c>
      <c r="E52" s="127" t="s">
        <v>265</v>
      </c>
      <c r="F52" s="132">
        <v>46288.575868055559</v>
      </c>
      <c r="G52" s="127" t="s">
        <v>225</v>
      </c>
      <c r="H52" s="127">
        <v>4</v>
      </c>
      <c r="I52" s="127" t="s">
        <v>266</v>
      </c>
      <c r="J52" s="132">
        <v>46288.687557870369</v>
      </c>
      <c r="K52" s="132">
        <v>46289.348611111112</v>
      </c>
      <c r="L52" s="132"/>
      <c r="M52" s="127">
        <v>4</v>
      </c>
      <c r="N52" s="127"/>
      <c r="O52" s="127" t="s">
        <v>174</v>
      </c>
      <c r="P52" s="127" t="s">
        <v>175</v>
      </c>
      <c r="Q52" s="127"/>
      <c r="R52" s="127"/>
      <c r="S52" s="127" t="s">
        <v>186</v>
      </c>
      <c r="T52" s="127" t="s">
        <v>187</v>
      </c>
      <c r="U52" s="127" t="s">
        <v>188</v>
      </c>
      <c r="V52" s="127" t="s">
        <v>179</v>
      </c>
      <c r="W52" s="127" t="s">
        <v>179</v>
      </c>
      <c r="X52" s="127" t="s">
        <v>179</v>
      </c>
      <c r="Y52" s="127"/>
      <c r="Z52" s="127"/>
      <c r="AA52" s="127" t="s">
        <v>193</v>
      </c>
      <c r="AB52" s="127" t="s">
        <v>190</v>
      </c>
      <c r="AC52" s="127">
        <v>2011</v>
      </c>
      <c r="AD52" s="127" t="s">
        <v>64</v>
      </c>
      <c r="AE52" s="127">
        <v>4</v>
      </c>
      <c r="AF52" s="127">
        <v>1.5</v>
      </c>
    </row>
    <row r="53" spans="1:32" x14ac:dyDescent="0.3">
      <c r="A53" t="s">
        <v>167</v>
      </c>
      <c r="B53" t="s">
        <v>191</v>
      </c>
      <c r="C53" t="s">
        <v>192</v>
      </c>
      <c r="D53" t="s">
        <v>170</v>
      </c>
      <c r="E53" t="s">
        <v>267</v>
      </c>
      <c r="F53" s="133">
        <v>46289.352500000001</v>
      </c>
      <c r="G53" t="s">
        <v>225</v>
      </c>
      <c r="H53">
        <v>1</v>
      </c>
      <c r="I53" t="s">
        <v>268</v>
      </c>
      <c r="J53" s="133">
        <v>46289.427025462966</v>
      </c>
      <c r="K53" s="133">
        <v>46289.449305555558</v>
      </c>
      <c r="L53" s="133"/>
      <c r="M53">
        <v>1</v>
      </c>
      <c r="O53" t="s">
        <v>174</v>
      </c>
      <c r="P53" t="s">
        <v>175</v>
      </c>
      <c r="S53" t="s">
        <v>186</v>
      </c>
      <c r="T53" t="s">
        <v>187</v>
      </c>
      <c r="U53" t="s">
        <v>188</v>
      </c>
      <c r="V53" t="s">
        <v>179</v>
      </c>
      <c r="W53" t="s">
        <v>179</v>
      </c>
      <c r="X53" t="s">
        <v>179</v>
      </c>
      <c r="AA53" t="s">
        <v>193</v>
      </c>
      <c r="AB53" t="s">
        <v>190</v>
      </c>
      <c r="AC53">
        <v>2011</v>
      </c>
      <c r="AD53" t="s">
        <v>64</v>
      </c>
      <c r="AE53">
        <v>1</v>
      </c>
    </row>
    <row r="54" spans="1:32" x14ac:dyDescent="0.3">
      <c r="A54" s="127" t="s">
        <v>167</v>
      </c>
      <c r="B54" s="127" t="s">
        <v>208</v>
      </c>
      <c r="C54" s="127" t="s">
        <v>125</v>
      </c>
      <c r="D54" s="127" t="s">
        <v>170</v>
      </c>
      <c r="E54" s="127" t="s">
        <v>269</v>
      </c>
      <c r="F54" s="132">
        <v>46150.620092592595</v>
      </c>
      <c r="G54" s="127" t="s">
        <v>210</v>
      </c>
      <c r="H54" s="127">
        <v>1</v>
      </c>
      <c r="I54" s="127" t="s">
        <v>244</v>
      </c>
      <c r="J54" s="132">
        <v>46153.365277777775</v>
      </c>
      <c r="K54" s="132">
        <v>46154.5</v>
      </c>
      <c r="L54" s="132"/>
      <c r="M54" s="127">
        <v>1</v>
      </c>
      <c r="N54" s="127"/>
      <c r="O54" s="127" t="s">
        <v>174</v>
      </c>
      <c r="P54" s="127" t="s">
        <v>175</v>
      </c>
      <c r="Q54" s="127"/>
      <c r="R54" s="127"/>
      <c r="S54" s="127" t="s">
        <v>186</v>
      </c>
      <c r="T54" s="127" t="s">
        <v>187</v>
      </c>
      <c r="U54" s="127" t="s">
        <v>188</v>
      </c>
      <c r="V54" s="127" t="s">
        <v>167</v>
      </c>
      <c r="W54" s="127" t="s">
        <v>212</v>
      </c>
      <c r="X54" s="127" t="s">
        <v>188</v>
      </c>
      <c r="Y54" s="127"/>
      <c r="Z54" s="127"/>
      <c r="AA54" s="127" t="s">
        <v>36</v>
      </c>
      <c r="AB54" s="127" t="s">
        <v>190</v>
      </c>
      <c r="AC54" s="127">
        <v>2011</v>
      </c>
      <c r="AD54" s="127" t="s">
        <v>53</v>
      </c>
      <c r="AE54" s="127">
        <v>1</v>
      </c>
      <c r="AF54" s="127"/>
    </row>
    <row r="55" spans="1:32" x14ac:dyDescent="0.3">
      <c r="A55" t="s">
        <v>167</v>
      </c>
      <c r="B55" t="s">
        <v>208</v>
      </c>
      <c r="C55" t="s">
        <v>125</v>
      </c>
      <c r="D55" t="s">
        <v>170</v>
      </c>
      <c r="E55" t="s">
        <v>270</v>
      </c>
      <c r="F55" s="133">
        <v>46150.619780092595</v>
      </c>
      <c r="G55" t="s">
        <v>210</v>
      </c>
      <c r="H55">
        <v>1</v>
      </c>
      <c r="I55" t="s">
        <v>244</v>
      </c>
      <c r="J55" s="133">
        <v>46153.365277777775</v>
      </c>
      <c r="K55" s="133">
        <v>46154.5</v>
      </c>
      <c r="L55" s="133"/>
      <c r="M55">
        <v>1</v>
      </c>
      <c r="O55" t="s">
        <v>174</v>
      </c>
      <c r="P55" t="s">
        <v>175</v>
      </c>
      <c r="S55" t="s">
        <v>186</v>
      </c>
      <c r="T55" t="s">
        <v>187</v>
      </c>
      <c r="U55" t="s">
        <v>188</v>
      </c>
      <c r="V55" t="s">
        <v>167</v>
      </c>
      <c r="W55" t="s">
        <v>212</v>
      </c>
      <c r="X55" t="s">
        <v>188</v>
      </c>
      <c r="AA55" t="s">
        <v>36</v>
      </c>
      <c r="AB55" t="s">
        <v>190</v>
      </c>
      <c r="AC55">
        <v>2011</v>
      </c>
      <c r="AD55" t="s">
        <v>53</v>
      </c>
      <c r="AE55">
        <v>1</v>
      </c>
    </row>
    <row r="56" spans="1:32" x14ac:dyDescent="0.3">
      <c r="A56" s="127" t="s">
        <v>167</v>
      </c>
      <c r="B56" s="127" t="s">
        <v>208</v>
      </c>
      <c r="C56" s="127" t="s">
        <v>125</v>
      </c>
      <c r="D56" s="127" t="s">
        <v>170</v>
      </c>
      <c r="E56" s="127" t="s">
        <v>271</v>
      </c>
      <c r="F56" s="132">
        <v>46150.619444444441</v>
      </c>
      <c r="G56" s="127" t="s">
        <v>210</v>
      </c>
      <c r="H56" s="127">
        <v>1</v>
      </c>
      <c r="I56" s="127" t="s">
        <v>244</v>
      </c>
      <c r="J56" s="132">
        <v>46153.365277777775</v>
      </c>
      <c r="K56" s="132">
        <v>46154.5</v>
      </c>
      <c r="L56" s="132"/>
      <c r="M56" s="127">
        <v>1</v>
      </c>
      <c r="N56" s="127"/>
      <c r="O56" s="127" t="s">
        <v>174</v>
      </c>
      <c r="P56" s="127" t="s">
        <v>175</v>
      </c>
      <c r="Q56" s="127"/>
      <c r="R56" s="127"/>
      <c r="S56" s="127" t="s">
        <v>186</v>
      </c>
      <c r="T56" s="127" t="s">
        <v>187</v>
      </c>
      <c r="U56" s="127" t="s">
        <v>188</v>
      </c>
      <c r="V56" s="127" t="s">
        <v>167</v>
      </c>
      <c r="W56" s="127" t="s">
        <v>212</v>
      </c>
      <c r="X56" s="127" t="s">
        <v>188</v>
      </c>
      <c r="Y56" s="127"/>
      <c r="Z56" s="127"/>
      <c r="AA56" s="127" t="s">
        <v>36</v>
      </c>
      <c r="AB56" s="127" t="s">
        <v>190</v>
      </c>
      <c r="AC56" s="127">
        <v>2011</v>
      </c>
      <c r="AD56" s="127" t="s">
        <v>53</v>
      </c>
      <c r="AE56" s="127">
        <v>1</v>
      </c>
      <c r="AF56" s="127"/>
    </row>
    <row r="57" spans="1:32" x14ac:dyDescent="0.3">
      <c r="A57" t="s">
        <v>167</v>
      </c>
      <c r="B57" t="s">
        <v>208</v>
      </c>
      <c r="C57" t="s">
        <v>125</v>
      </c>
      <c r="D57" t="s">
        <v>170</v>
      </c>
      <c r="E57" t="s">
        <v>272</v>
      </c>
      <c r="F57" s="133">
        <v>46150.619085648148</v>
      </c>
      <c r="G57" t="s">
        <v>210</v>
      </c>
      <c r="H57">
        <v>1</v>
      </c>
      <c r="I57" t="s">
        <v>244</v>
      </c>
      <c r="J57" s="133">
        <v>46153.365277777775</v>
      </c>
      <c r="K57" s="133">
        <v>46154.5</v>
      </c>
      <c r="L57" s="133"/>
      <c r="M57">
        <v>1</v>
      </c>
      <c r="O57" t="s">
        <v>174</v>
      </c>
      <c r="P57" t="s">
        <v>175</v>
      </c>
      <c r="S57" t="s">
        <v>186</v>
      </c>
      <c r="T57" t="s">
        <v>187</v>
      </c>
      <c r="U57" t="s">
        <v>188</v>
      </c>
      <c r="V57" t="s">
        <v>167</v>
      </c>
      <c r="W57" t="s">
        <v>212</v>
      </c>
      <c r="X57" t="s">
        <v>188</v>
      </c>
      <c r="AA57" t="s">
        <v>36</v>
      </c>
      <c r="AB57" t="s">
        <v>190</v>
      </c>
      <c r="AC57">
        <v>2011</v>
      </c>
      <c r="AD57" t="s">
        <v>53</v>
      </c>
      <c r="AE57">
        <v>1</v>
      </c>
    </row>
    <row r="58" spans="1:32" x14ac:dyDescent="0.3">
      <c r="A58" s="127" t="s">
        <v>167</v>
      </c>
      <c r="B58" s="127" t="s">
        <v>208</v>
      </c>
      <c r="C58" s="127" t="s">
        <v>125</v>
      </c>
      <c r="D58" s="127" t="s">
        <v>170</v>
      </c>
      <c r="E58" s="127" t="s">
        <v>273</v>
      </c>
      <c r="F58" s="132">
        <v>46150.620810185188</v>
      </c>
      <c r="G58" s="127" t="s">
        <v>210</v>
      </c>
      <c r="H58" s="127">
        <v>1</v>
      </c>
      <c r="I58" s="127" t="s">
        <v>244</v>
      </c>
      <c r="J58" s="132">
        <v>46153.365277777775</v>
      </c>
      <c r="K58" s="132">
        <v>46154.5</v>
      </c>
      <c r="L58" s="132"/>
      <c r="M58" s="127">
        <v>1</v>
      </c>
      <c r="N58" s="127"/>
      <c r="O58" s="127" t="s">
        <v>174</v>
      </c>
      <c r="P58" s="127" t="s">
        <v>175</v>
      </c>
      <c r="Q58" s="127"/>
      <c r="R58" s="127"/>
      <c r="S58" s="127" t="s">
        <v>186</v>
      </c>
      <c r="T58" s="127" t="s">
        <v>187</v>
      </c>
      <c r="U58" s="127" t="s">
        <v>188</v>
      </c>
      <c r="V58" s="127" t="s">
        <v>167</v>
      </c>
      <c r="W58" s="127" t="s">
        <v>212</v>
      </c>
      <c r="X58" s="127" t="s">
        <v>188</v>
      </c>
      <c r="Y58" s="127"/>
      <c r="Z58" s="127"/>
      <c r="AA58" s="127" t="s">
        <v>36</v>
      </c>
      <c r="AB58" s="127" t="s">
        <v>190</v>
      </c>
      <c r="AC58" s="127">
        <v>2011</v>
      </c>
      <c r="AD58" s="127" t="s">
        <v>53</v>
      </c>
      <c r="AE58" s="127">
        <v>1</v>
      </c>
      <c r="AF58" s="127"/>
    </row>
    <row r="59" spans="1:32" x14ac:dyDescent="0.3">
      <c r="A59" t="s">
        <v>167</v>
      </c>
      <c r="B59" t="s">
        <v>181</v>
      </c>
      <c r="C59" t="s">
        <v>182</v>
      </c>
      <c r="D59" t="s">
        <v>170</v>
      </c>
      <c r="E59" t="s">
        <v>261</v>
      </c>
      <c r="F59" s="133">
        <v>46282.477280092593</v>
      </c>
      <c r="G59" t="s">
        <v>225</v>
      </c>
      <c r="H59">
        <v>10</v>
      </c>
      <c r="I59" t="s">
        <v>262</v>
      </c>
      <c r="J59" s="133">
        <v>46282.612800925926</v>
      </c>
      <c r="K59" s="133">
        <v>46283.492361111108</v>
      </c>
      <c r="L59" s="133">
        <v>46283.492361111108</v>
      </c>
      <c r="M59">
        <v>10</v>
      </c>
      <c r="O59" t="s">
        <v>174</v>
      </c>
      <c r="P59" t="s">
        <v>175</v>
      </c>
      <c r="S59" t="s">
        <v>186</v>
      </c>
      <c r="T59" t="s">
        <v>187</v>
      </c>
      <c r="U59" t="s">
        <v>188</v>
      </c>
      <c r="V59" t="s">
        <v>179</v>
      </c>
      <c r="W59" t="s">
        <v>179</v>
      </c>
      <c r="X59" t="s">
        <v>179</v>
      </c>
      <c r="AA59" t="s">
        <v>189</v>
      </c>
      <c r="AB59" t="s">
        <v>190</v>
      </c>
      <c r="AC59">
        <v>2011</v>
      </c>
      <c r="AD59" t="s">
        <v>96</v>
      </c>
      <c r="AE59">
        <v>1</v>
      </c>
      <c r="AF59">
        <v>1</v>
      </c>
    </row>
    <row r="60" spans="1:32" x14ac:dyDescent="0.3">
      <c r="A60" s="127" t="s">
        <v>167</v>
      </c>
      <c r="B60" s="127" t="s">
        <v>168</v>
      </c>
      <c r="C60" s="127" t="s">
        <v>169</v>
      </c>
      <c r="D60" s="127" t="s">
        <v>170</v>
      </c>
      <c r="E60" s="127" t="s">
        <v>261</v>
      </c>
      <c r="F60" s="132">
        <v>46282.477280092593</v>
      </c>
      <c r="G60" s="127" t="s">
        <v>225</v>
      </c>
      <c r="H60" s="127">
        <v>786</v>
      </c>
      <c r="I60" s="127" t="s">
        <v>262</v>
      </c>
      <c r="J60" s="132">
        <v>46282.612800925926</v>
      </c>
      <c r="K60" s="132">
        <v>46283.492361111108</v>
      </c>
      <c r="L60" s="132"/>
      <c r="M60" s="127">
        <v>786</v>
      </c>
      <c r="N60" s="127"/>
      <c r="O60" s="127" t="s">
        <v>174</v>
      </c>
      <c r="P60" s="127" t="s">
        <v>175</v>
      </c>
      <c r="Q60" s="127"/>
      <c r="R60" s="127"/>
      <c r="S60" s="127" t="s">
        <v>186</v>
      </c>
      <c r="T60" s="127" t="s">
        <v>187</v>
      </c>
      <c r="U60" s="127" t="s">
        <v>188</v>
      </c>
      <c r="V60" s="127" t="s">
        <v>179</v>
      </c>
      <c r="W60" s="127" t="s">
        <v>179</v>
      </c>
      <c r="X60" s="127" t="s">
        <v>179</v>
      </c>
      <c r="Y60" s="127"/>
      <c r="Z60" s="127">
        <v>1</v>
      </c>
      <c r="AA60" s="127" t="s">
        <v>88</v>
      </c>
      <c r="AB60" s="127" t="s">
        <v>190</v>
      </c>
      <c r="AC60" s="127">
        <v>2011</v>
      </c>
      <c r="AD60" s="127" t="s">
        <v>93</v>
      </c>
      <c r="AE60" s="127">
        <v>786</v>
      </c>
      <c r="AF60" s="127">
        <v>127.3</v>
      </c>
    </row>
    <row r="61" spans="1:32" x14ac:dyDescent="0.3">
      <c r="A61" t="s">
        <v>167</v>
      </c>
      <c r="B61" t="s">
        <v>191</v>
      </c>
      <c r="C61" t="s">
        <v>192</v>
      </c>
      <c r="D61" t="s">
        <v>170</v>
      </c>
      <c r="E61" t="s">
        <v>274</v>
      </c>
      <c r="F61" s="133">
        <v>46282.462465277778</v>
      </c>
      <c r="G61" t="s">
        <v>225</v>
      </c>
      <c r="H61">
        <v>7</v>
      </c>
      <c r="I61" t="s">
        <v>275</v>
      </c>
      <c r="J61" s="133">
        <v>46282.608240740738</v>
      </c>
      <c r="K61" s="133">
        <v>46283.65</v>
      </c>
      <c r="L61" s="133"/>
      <c r="M61">
        <v>7</v>
      </c>
      <c r="O61" t="s">
        <v>174</v>
      </c>
      <c r="P61" t="s">
        <v>207</v>
      </c>
      <c r="S61" t="s">
        <v>186</v>
      </c>
      <c r="T61" t="s">
        <v>187</v>
      </c>
      <c r="U61" t="s">
        <v>188</v>
      </c>
      <c r="V61" t="s">
        <v>179</v>
      </c>
      <c r="W61" t="s">
        <v>179</v>
      </c>
      <c r="X61" t="s">
        <v>179</v>
      </c>
      <c r="AA61" t="s">
        <v>193</v>
      </c>
      <c r="AB61" t="s">
        <v>190</v>
      </c>
      <c r="AC61">
        <v>2011</v>
      </c>
      <c r="AD61" t="s">
        <v>64</v>
      </c>
      <c r="AE61">
        <v>7</v>
      </c>
    </row>
    <row r="62" spans="1:32" x14ac:dyDescent="0.3">
      <c r="A62" s="127" t="s">
        <v>167</v>
      </c>
      <c r="B62" s="127" t="s">
        <v>191</v>
      </c>
      <c r="C62" s="127" t="s">
        <v>192</v>
      </c>
      <c r="D62" s="127" t="s">
        <v>170</v>
      </c>
      <c r="E62" s="127" t="s">
        <v>248</v>
      </c>
      <c r="F62" s="132">
        <v>46280.403831018521</v>
      </c>
      <c r="G62" s="127" t="s">
        <v>249</v>
      </c>
      <c r="H62" s="127">
        <v>21</v>
      </c>
      <c r="I62" s="127" t="s">
        <v>250</v>
      </c>
      <c r="J62" s="132">
        <v>46280.579479166663</v>
      </c>
      <c r="K62" s="132">
        <v>46282.38958333333</v>
      </c>
      <c r="L62" s="132"/>
      <c r="M62" s="127">
        <v>21</v>
      </c>
      <c r="N62" s="127"/>
      <c r="O62" s="127" t="s">
        <v>174</v>
      </c>
      <c r="P62" s="127" t="s">
        <v>207</v>
      </c>
      <c r="Q62" s="127"/>
      <c r="R62" s="127"/>
      <c r="S62" s="127" t="s">
        <v>186</v>
      </c>
      <c r="T62" s="127" t="s">
        <v>187</v>
      </c>
      <c r="U62" s="127" t="s">
        <v>188</v>
      </c>
      <c r="V62" s="127" t="s">
        <v>179</v>
      </c>
      <c r="W62" s="127" t="s">
        <v>179</v>
      </c>
      <c r="X62" s="127" t="s">
        <v>179</v>
      </c>
      <c r="Y62" s="127"/>
      <c r="Z62" s="127"/>
      <c r="AA62" s="127" t="s">
        <v>193</v>
      </c>
      <c r="AB62" s="127" t="s">
        <v>190</v>
      </c>
      <c r="AC62" s="127">
        <v>2011</v>
      </c>
      <c r="AD62" s="127" t="s">
        <v>64</v>
      </c>
      <c r="AE62" s="127">
        <v>21</v>
      </c>
      <c r="AF62" s="127">
        <v>3.2</v>
      </c>
    </row>
    <row r="63" spans="1:32" x14ac:dyDescent="0.3">
      <c r="A63" t="s">
        <v>167</v>
      </c>
      <c r="B63" t="s">
        <v>191</v>
      </c>
      <c r="C63" t="s">
        <v>192</v>
      </c>
      <c r="D63" t="s">
        <v>170</v>
      </c>
      <c r="E63" t="s">
        <v>248</v>
      </c>
      <c r="F63" s="133">
        <v>46280.403831018521</v>
      </c>
      <c r="G63" t="s">
        <v>249</v>
      </c>
      <c r="H63">
        <v>33</v>
      </c>
      <c r="I63" t="s">
        <v>250</v>
      </c>
      <c r="J63" s="133">
        <v>46280.579479166663</v>
      </c>
      <c r="K63" s="133">
        <v>46288.575694444444</v>
      </c>
      <c r="L63" s="133"/>
      <c r="M63">
        <v>33</v>
      </c>
      <c r="O63" t="s">
        <v>251</v>
      </c>
      <c r="S63" t="s">
        <v>186</v>
      </c>
      <c r="T63" t="s">
        <v>187</v>
      </c>
      <c r="U63" t="s">
        <v>188</v>
      </c>
      <c r="V63" t="s">
        <v>179</v>
      </c>
      <c r="W63" t="s">
        <v>179</v>
      </c>
      <c r="X63" t="s">
        <v>179</v>
      </c>
      <c r="AA63" t="s">
        <v>193</v>
      </c>
      <c r="AB63" t="s">
        <v>190</v>
      </c>
      <c r="AC63">
        <v>2011</v>
      </c>
      <c r="AD63" t="s">
        <v>64</v>
      </c>
      <c r="AE63">
        <v>33</v>
      </c>
      <c r="AF63">
        <v>21.7</v>
      </c>
    </row>
    <row r="64" spans="1:32" x14ac:dyDescent="0.3">
      <c r="A64" s="127" t="s">
        <v>167</v>
      </c>
      <c r="B64" s="127" t="s">
        <v>191</v>
      </c>
      <c r="C64" s="127" t="s">
        <v>192</v>
      </c>
      <c r="D64" s="127" t="s">
        <v>170</v>
      </c>
      <c r="E64" s="127" t="s">
        <v>248</v>
      </c>
      <c r="F64" s="132">
        <v>46280.403831018521</v>
      </c>
      <c r="G64" s="127" t="s">
        <v>249</v>
      </c>
      <c r="H64" s="127">
        <v>20</v>
      </c>
      <c r="I64" s="127" t="s">
        <v>250</v>
      </c>
      <c r="J64" s="132">
        <v>46280.579479166663</v>
      </c>
      <c r="K64" s="132">
        <v>46288.575694444444</v>
      </c>
      <c r="L64" s="132"/>
      <c r="M64" s="127">
        <v>20</v>
      </c>
      <c r="N64" s="127"/>
      <c r="O64" s="127" t="s">
        <v>251</v>
      </c>
      <c r="P64" s="127"/>
      <c r="Q64" s="127"/>
      <c r="R64" s="127"/>
      <c r="S64" s="127" t="s">
        <v>186</v>
      </c>
      <c r="T64" s="127" t="s">
        <v>187</v>
      </c>
      <c r="U64" s="127" t="s">
        <v>188</v>
      </c>
      <c r="V64" s="127" t="s">
        <v>179</v>
      </c>
      <c r="W64" s="127" t="s">
        <v>179</v>
      </c>
      <c r="X64" s="127" t="s">
        <v>179</v>
      </c>
      <c r="Y64" s="127"/>
      <c r="Z64" s="127"/>
      <c r="AA64" s="127" t="s">
        <v>193</v>
      </c>
      <c r="AB64" s="127" t="s">
        <v>190</v>
      </c>
      <c r="AC64" s="127">
        <v>2011</v>
      </c>
      <c r="AD64" s="127" t="s">
        <v>64</v>
      </c>
      <c r="AE64" s="127">
        <v>20</v>
      </c>
      <c r="AF64" s="127"/>
    </row>
    <row r="65" spans="1:32" x14ac:dyDescent="0.3">
      <c r="A65" t="s">
        <v>167</v>
      </c>
      <c r="B65" t="s">
        <v>191</v>
      </c>
      <c r="C65" t="s">
        <v>192</v>
      </c>
      <c r="D65" t="s">
        <v>170</v>
      </c>
      <c r="E65" t="s">
        <v>248</v>
      </c>
      <c r="F65" s="133">
        <v>46280.403831018521</v>
      </c>
      <c r="G65" t="s">
        <v>249</v>
      </c>
      <c r="H65">
        <v>57</v>
      </c>
      <c r="I65" t="s">
        <v>250</v>
      </c>
      <c r="J65" s="133">
        <v>46280.579479166663</v>
      </c>
      <c r="K65" s="133">
        <v>46288.575694444444</v>
      </c>
      <c r="L65" s="133"/>
      <c r="M65">
        <v>57</v>
      </c>
      <c r="O65" t="s">
        <v>251</v>
      </c>
      <c r="S65" t="s">
        <v>186</v>
      </c>
      <c r="T65" t="s">
        <v>187</v>
      </c>
      <c r="U65" t="s">
        <v>188</v>
      </c>
      <c r="V65" t="s">
        <v>179</v>
      </c>
      <c r="W65" t="s">
        <v>179</v>
      </c>
      <c r="X65" t="s">
        <v>179</v>
      </c>
      <c r="AA65" t="s">
        <v>193</v>
      </c>
      <c r="AB65" t="s">
        <v>190</v>
      </c>
      <c r="AC65">
        <v>2011</v>
      </c>
      <c r="AD65" t="s">
        <v>64</v>
      </c>
      <c r="AE65">
        <v>57</v>
      </c>
    </row>
    <row r="66" spans="1:32" x14ac:dyDescent="0.3">
      <c r="A66" s="127" t="s">
        <v>167</v>
      </c>
      <c r="B66" s="127" t="s">
        <v>191</v>
      </c>
      <c r="C66" s="127" t="s">
        <v>192</v>
      </c>
      <c r="D66" s="127" t="s">
        <v>170</v>
      </c>
      <c r="E66" s="127" t="s">
        <v>248</v>
      </c>
      <c r="F66" s="132">
        <v>46280.403831018521</v>
      </c>
      <c r="G66" s="127" t="s">
        <v>249</v>
      </c>
      <c r="H66" s="127">
        <v>67</v>
      </c>
      <c r="I66" s="127" t="s">
        <v>250</v>
      </c>
      <c r="J66" s="132">
        <v>46280.579479166663</v>
      </c>
      <c r="K66" s="132">
        <v>46288.575694444444</v>
      </c>
      <c r="L66" s="132"/>
      <c r="M66" s="127">
        <v>67</v>
      </c>
      <c r="N66" s="127"/>
      <c r="O66" s="127" t="s">
        <v>251</v>
      </c>
      <c r="P66" s="127"/>
      <c r="Q66" s="127"/>
      <c r="R66" s="127"/>
      <c r="S66" s="127" t="s">
        <v>186</v>
      </c>
      <c r="T66" s="127" t="s">
        <v>187</v>
      </c>
      <c r="U66" s="127" t="s">
        <v>188</v>
      </c>
      <c r="V66" s="127" t="s">
        <v>179</v>
      </c>
      <c r="W66" s="127" t="s">
        <v>179</v>
      </c>
      <c r="X66" s="127" t="s">
        <v>179</v>
      </c>
      <c r="Y66" s="127"/>
      <c r="Z66" s="127"/>
      <c r="AA66" s="127" t="s">
        <v>193</v>
      </c>
      <c r="AB66" s="127" t="s">
        <v>190</v>
      </c>
      <c r="AC66" s="127">
        <v>2011</v>
      </c>
      <c r="AD66" s="127" t="s">
        <v>64</v>
      </c>
      <c r="AE66" s="127">
        <v>67</v>
      </c>
      <c r="AF66" s="127"/>
    </row>
    <row r="67" spans="1:32" x14ac:dyDescent="0.3">
      <c r="A67" t="s">
        <v>167</v>
      </c>
      <c r="B67" t="s">
        <v>191</v>
      </c>
      <c r="C67" t="s">
        <v>192</v>
      </c>
      <c r="D67" t="s">
        <v>170</v>
      </c>
      <c r="E67" t="s">
        <v>248</v>
      </c>
      <c r="F67" s="133">
        <v>46280.403831018521</v>
      </c>
      <c r="G67" t="s">
        <v>249</v>
      </c>
      <c r="H67">
        <v>30</v>
      </c>
      <c r="I67" t="s">
        <v>250</v>
      </c>
      <c r="J67" s="133">
        <v>46280.579479166663</v>
      </c>
      <c r="K67" s="133">
        <v>46288.575694444444</v>
      </c>
      <c r="L67" s="133"/>
      <c r="M67">
        <v>30</v>
      </c>
      <c r="O67" t="s">
        <v>251</v>
      </c>
      <c r="S67" t="s">
        <v>186</v>
      </c>
      <c r="T67" t="s">
        <v>187</v>
      </c>
      <c r="U67" t="s">
        <v>188</v>
      </c>
      <c r="V67" t="s">
        <v>179</v>
      </c>
      <c r="W67" t="s">
        <v>179</v>
      </c>
      <c r="X67" t="s">
        <v>179</v>
      </c>
      <c r="AA67" t="s">
        <v>193</v>
      </c>
      <c r="AB67" t="s">
        <v>190</v>
      </c>
      <c r="AC67">
        <v>2011</v>
      </c>
      <c r="AD67" t="s">
        <v>64</v>
      </c>
      <c r="AE67">
        <v>30</v>
      </c>
    </row>
    <row r="68" spans="1:32" x14ac:dyDescent="0.3">
      <c r="A68" s="127" t="s">
        <v>167</v>
      </c>
      <c r="B68" s="127" t="s">
        <v>168</v>
      </c>
      <c r="C68" s="127" t="s">
        <v>169</v>
      </c>
      <c r="D68" s="127" t="s">
        <v>170</v>
      </c>
      <c r="E68" s="127" t="s">
        <v>248</v>
      </c>
      <c r="F68" s="132">
        <v>46280.403831018521</v>
      </c>
      <c r="G68" s="127" t="s">
        <v>249</v>
      </c>
      <c r="H68" s="127">
        <v>2713</v>
      </c>
      <c r="I68" s="127" t="s">
        <v>250</v>
      </c>
      <c r="J68" s="132">
        <v>46280.579479166663</v>
      </c>
      <c r="K68" s="132">
        <v>46288.575694444444</v>
      </c>
      <c r="L68" s="132"/>
      <c r="M68" s="127">
        <v>2713</v>
      </c>
      <c r="N68" s="127"/>
      <c r="O68" s="127" t="s">
        <v>174</v>
      </c>
      <c r="P68" s="127" t="s">
        <v>207</v>
      </c>
      <c r="Q68" s="127"/>
      <c r="R68" s="127"/>
      <c r="S68" s="127" t="s">
        <v>186</v>
      </c>
      <c r="T68" s="127" t="s">
        <v>187</v>
      </c>
      <c r="U68" s="127" t="s">
        <v>188</v>
      </c>
      <c r="V68" s="127" t="s">
        <v>179</v>
      </c>
      <c r="W68" s="127" t="s">
        <v>179</v>
      </c>
      <c r="X68" s="127" t="s">
        <v>179</v>
      </c>
      <c r="Y68" s="127"/>
      <c r="Z68" s="127">
        <v>1</v>
      </c>
      <c r="AA68" s="127" t="s">
        <v>88</v>
      </c>
      <c r="AB68" s="127" t="s">
        <v>190</v>
      </c>
      <c r="AC68" s="127">
        <v>2011</v>
      </c>
      <c r="AD68" s="127" t="s">
        <v>93</v>
      </c>
      <c r="AE68" s="127">
        <v>2713</v>
      </c>
      <c r="AF68" s="127">
        <v>2064.6</v>
      </c>
    </row>
    <row r="69" spans="1:32" x14ac:dyDescent="0.3">
      <c r="A69" t="s">
        <v>167</v>
      </c>
      <c r="B69" t="s">
        <v>168</v>
      </c>
      <c r="C69" t="s">
        <v>169</v>
      </c>
      <c r="D69" t="s">
        <v>170</v>
      </c>
      <c r="E69" t="s">
        <v>248</v>
      </c>
      <c r="F69" s="133">
        <v>46280.403831018521</v>
      </c>
      <c r="G69" t="s">
        <v>249</v>
      </c>
      <c r="H69">
        <v>1346</v>
      </c>
      <c r="I69" t="s">
        <v>250</v>
      </c>
      <c r="J69" s="133">
        <v>46280.579479166663</v>
      </c>
      <c r="K69" s="133">
        <v>46288.575694444444</v>
      </c>
      <c r="L69" s="133"/>
      <c r="M69">
        <v>1346</v>
      </c>
      <c r="O69" t="s">
        <v>251</v>
      </c>
      <c r="S69" t="s">
        <v>186</v>
      </c>
      <c r="T69" t="s">
        <v>187</v>
      </c>
      <c r="U69" t="s">
        <v>188</v>
      </c>
      <c r="V69" t="s">
        <v>179</v>
      </c>
      <c r="W69" t="s">
        <v>179</v>
      </c>
      <c r="X69" t="s">
        <v>179</v>
      </c>
      <c r="Z69">
        <v>1</v>
      </c>
      <c r="AA69" t="s">
        <v>88</v>
      </c>
      <c r="AB69" t="s">
        <v>190</v>
      </c>
      <c r="AC69">
        <v>2011</v>
      </c>
      <c r="AD69" t="s">
        <v>93</v>
      </c>
      <c r="AE69">
        <v>1346</v>
      </c>
    </row>
    <row r="70" spans="1:32" x14ac:dyDescent="0.3">
      <c r="A70" s="127" t="s">
        <v>167</v>
      </c>
      <c r="B70" s="127" t="s">
        <v>168</v>
      </c>
      <c r="C70" s="127" t="s">
        <v>169</v>
      </c>
      <c r="D70" s="127" t="s">
        <v>170</v>
      </c>
      <c r="E70" s="127" t="s">
        <v>248</v>
      </c>
      <c r="F70" s="132">
        <v>46280.403831018521</v>
      </c>
      <c r="G70" s="127" t="s">
        <v>249</v>
      </c>
      <c r="H70" s="127">
        <v>7161</v>
      </c>
      <c r="I70" s="127" t="s">
        <v>250</v>
      </c>
      <c r="J70" s="132">
        <v>46280.579479166663</v>
      </c>
      <c r="K70" s="132">
        <v>46288.575694444444</v>
      </c>
      <c r="L70" s="132"/>
      <c r="M70" s="127">
        <v>7161</v>
      </c>
      <c r="N70" s="127"/>
      <c r="O70" s="127" t="s">
        <v>251</v>
      </c>
      <c r="P70" s="127"/>
      <c r="Q70" s="127"/>
      <c r="R70" s="127"/>
      <c r="S70" s="127" t="s">
        <v>186</v>
      </c>
      <c r="T70" s="127" t="s">
        <v>187</v>
      </c>
      <c r="U70" s="127" t="s">
        <v>188</v>
      </c>
      <c r="V70" s="127" t="s">
        <v>179</v>
      </c>
      <c r="W70" s="127" t="s">
        <v>179</v>
      </c>
      <c r="X70" s="127" t="s">
        <v>179</v>
      </c>
      <c r="Y70" s="127"/>
      <c r="Z70" s="127">
        <v>1</v>
      </c>
      <c r="AA70" s="127" t="s">
        <v>88</v>
      </c>
      <c r="AB70" s="127" t="s">
        <v>190</v>
      </c>
      <c r="AC70" s="127">
        <v>2011</v>
      </c>
      <c r="AD70" s="127" t="s">
        <v>93</v>
      </c>
      <c r="AE70" s="127">
        <v>7161</v>
      </c>
      <c r="AF70" s="127"/>
    </row>
    <row r="71" spans="1:32" x14ac:dyDescent="0.3">
      <c r="A71" t="s">
        <v>167</v>
      </c>
      <c r="B71" t="s">
        <v>168</v>
      </c>
      <c r="C71" t="s">
        <v>169</v>
      </c>
      <c r="D71" t="s">
        <v>170</v>
      </c>
      <c r="E71" t="s">
        <v>248</v>
      </c>
      <c r="F71" s="133">
        <v>46280.403831018521</v>
      </c>
      <c r="G71" t="s">
        <v>249</v>
      </c>
      <c r="H71">
        <v>6606</v>
      </c>
      <c r="I71" t="s">
        <v>250</v>
      </c>
      <c r="J71" s="133">
        <v>46280.579479166663</v>
      </c>
      <c r="K71" s="133">
        <v>46288.575694444444</v>
      </c>
      <c r="L71" s="133"/>
      <c r="M71">
        <v>6606</v>
      </c>
      <c r="O71" t="s">
        <v>251</v>
      </c>
      <c r="S71" t="s">
        <v>186</v>
      </c>
      <c r="T71" t="s">
        <v>187</v>
      </c>
      <c r="U71" t="s">
        <v>188</v>
      </c>
      <c r="V71" t="s">
        <v>179</v>
      </c>
      <c r="W71" t="s">
        <v>179</v>
      </c>
      <c r="X71" t="s">
        <v>179</v>
      </c>
      <c r="Z71">
        <v>1</v>
      </c>
      <c r="AA71" t="s">
        <v>88</v>
      </c>
      <c r="AB71" t="s">
        <v>190</v>
      </c>
      <c r="AC71">
        <v>2011</v>
      </c>
      <c r="AD71" t="s">
        <v>93</v>
      </c>
      <c r="AE71">
        <v>6606</v>
      </c>
    </row>
    <row r="72" spans="1:32" x14ac:dyDescent="0.3">
      <c r="A72" s="127" t="s">
        <v>167</v>
      </c>
      <c r="B72" s="127" t="s">
        <v>168</v>
      </c>
      <c r="C72" s="127" t="s">
        <v>169</v>
      </c>
      <c r="D72" s="127" t="s">
        <v>170</v>
      </c>
      <c r="E72" s="127" t="s">
        <v>248</v>
      </c>
      <c r="F72" s="132">
        <v>46280.403831018521</v>
      </c>
      <c r="G72" s="127" t="s">
        <v>249</v>
      </c>
      <c r="H72" s="127">
        <v>1989</v>
      </c>
      <c r="I72" s="127" t="s">
        <v>250</v>
      </c>
      <c r="J72" s="132">
        <v>46280.579479166663</v>
      </c>
      <c r="K72" s="132">
        <v>46288.575694444444</v>
      </c>
      <c r="L72" s="132"/>
      <c r="M72" s="127">
        <v>1989</v>
      </c>
      <c r="N72" s="127"/>
      <c r="O72" s="127" t="s">
        <v>251</v>
      </c>
      <c r="P72" s="127"/>
      <c r="Q72" s="127"/>
      <c r="R72" s="127"/>
      <c r="S72" s="127" t="s">
        <v>186</v>
      </c>
      <c r="T72" s="127" t="s">
        <v>187</v>
      </c>
      <c r="U72" s="127" t="s">
        <v>188</v>
      </c>
      <c r="V72" s="127" t="s">
        <v>179</v>
      </c>
      <c r="W72" s="127" t="s">
        <v>179</v>
      </c>
      <c r="X72" s="127" t="s">
        <v>179</v>
      </c>
      <c r="Y72" s="127"/>
      <c r="Z72" s="127">
        <v>1</v>
      </c>
      <c r="AA72" s="127" t="s">
        <v>88</v>
      </c>
      <c r="AB72" s="127" t="s">
        <v>190</v>
      </c>
      <c r="AC72" s="127">
        <v>2011</v>
      </c>
      <c r="AD72" s="127" t="s">
        <v>93</v>
      </c>
      <c r="AE72" s="127">
        <v>1989</v>
      </c>
      <c r="AF72" s="127"/>
    </row>
    <row r="73" spans="1:32" x14ac:dyDescent="0.3">
      <c r="A73" t="s">
        <v>167</v>
      </c>
      <c r="B73" t="s">
        <v>168</v>
      </c>
      <c r="C73" t="s">
        <v>169</v>
      </c>
      <c r="D73" t="s">
        <v>170</v>
      </c>
      <c r="E73" t="s">
        <v>248</v>
      </c>
      <c r="F73" s="133">
        <v>46280.403831018521</v>
      </c>
      <c r="G73" t="s">
        <v>249</v>
      </c>
      <c r="H73">
        <v>1539</v>
      </c>
      <c r="I73" t="s">
        <v>250</v>
      </c>
      <c r="J73" s="133">
        <v>46280.579479166663</v>
      </c>
      <c r="K73" s="133">
        <v>46282.38958333333</v>
      </c>
      <c r="L73" s="133"/>
      <c r="M73">
        <v>1539</v>
      </c>
      <c r="O73" t="s">
        <v>251</v>
      </c>
      <c r="S73" t="s">
        <v>186</v>
      </c>
      <c r="T73" t="s">
        <v>187</v>
      </c>
      <c r="U73" t="s">
        <v>188</v>
      </c>
      <c r="V73" t="s">
        <v>179</v>
      </c>
      <c r="W73" t="s">
        <v>179</v>
      </c>
      <c r="X73" t="s">
        <v>179</v>
      </c>
      <c r="Z73">
        <v>1</v>
      </c>
      <c r="AA73" t="s">
        <v>88</v>
      </c>
      <c r="AB73" t="s">
        <v>190</v>
      </c>
      <c r="AC73">
        <v>2011</v>
      </c>
      <c r="AD73" t="s">
        <v>93</v>
      </c>
      <c r="AE73">
        <v>1539</v>
      </c>
      <c r="AF73">
        <v>229.2</v>
      </c>
    </row>
    <row r="74" spans="1:32" x14ac:dyDescent="0.3">
      <c r="A74" s="127" t="s">
        <v>167</v>
      </c>
      <c r="B74" s="127" t="s">
        <v>168</v>
      </c>
      <c r="C74" s="127" t="s">
        <v>169</v>
      </c>
      <c r="D74" s="127" t="s">
        <v>170</v>
      </c>
      <c r="E74" s="127" t="s">
        <v>183</v>
      </c>
      <c r="F74" s="132">
        <v>46274.399525462963</v>
      </c>
      <c r="G74" s="127" t="s">
        <v>184</v>
      </c>
      <c r="H74" s="127">
        <v>13</v>
      </c>
      <c r="I74" s="127" t="s">
        <v>185</v>
      </c>
      <c r="J74" s="132">
        <v>46274.612175925926</v>
      </c>
      <c r="K74" s="132">
        <v>46275.438888888886</v>
      </c>
      <c r="L74" s="132"/>
      <c r="M74" s="127">
        <v>13</v>
      </c>
      <c r="N74" s="127"/>
      <c r="O74" s="127" t="s">
        <v>174</v>
      </c>
      <c r="P74" s="127" t="s">
        <v>175</v>
      </c>
      <c r="Q74" s="127"/>
      <c r="R74" s="127"/>
      <c r="S74" s="127" t="s">
        <v>186</v>
      </c>
      <c r="T74" s="127" t="s">
        <v>187</v>
      </c>
      <c r="U74" s="127" t="s">
        <v>188</v>
      </c>
      <c r="V74" s="127" t="s">
        <v>179</v>
      </c>
      <c r="W74" s="127" t="s">
        <v>179</v>
      </c>
      <c r="X74" s="127" t="s">
        <v>179</v>
      </c>
      <c r="Y74" s="127"/>
      <c r="Z74" s="127">
        <v>1</v>
      </c>
      <c r="AA74" s="127" t="s">
        <v>88</v>
      </c>
      <c r="AB74" s="127" t="s">
        <v>190</v>
      </c>
      <c r="AC74" s="127">
        <v>2011</v>
      </c>
      <c r="AD74" s="127" t="s">
        <v>93</v>
      </c>
      <c r="AE74" s="127">
        <v>13</v>
      </c>
      <c r="AF74" s="127">
        <v>1.3</v>
      </c>
    </row>
    <row r="75" spans="1:32" x14ac:dyDescent="0.3">
      <c r="A75" t="s">
        <v>167</v>
      </c>
      <c r="B75" t="s">
        <v>208</v>
      </c>
      <c r="C75" t="s">
        <v>125</v>
      </c>
      <c r="D75" t="s">
        <v>170</v>
      </c>
      <c r="E75" t="s">
        <v>276</v>
      </c>
      <c r="F75" s="133">
        <v>46150.625439814816</v>
      </c>
      <c r="G75" t="s">
        <v>210</v>
      </c>
      <c r="H75">
        <v>1</v>
      </c>
      <c r="I75" t="s">
        <v>244</v>
      </c>
      <c r="J75" s="133">
        <v>46153.365277777775</v>
      </c>
      <c r="K75" s="133">
        <v>46154.5</v>
      </c>
      <c r="L75" s="133"/>
      <c r="M75">
        <v>1</v>
      </c>
      <c r="O75" t="s">
        <v>174</v>
      </c>
      <c r="P75" t="s">
        <v>175</v>
      </c>
      <c r="S75" t="s">
        <v>186</v>
      </c>
      <c r="T75" t="s">
        <v>187</v>
      </c>
      <c r="U75" t="s">
        <v>188</v>
      </c>
      <c r="V75" t="s">
        <v>167</v>
      </c>
      <c r="W75" t="s">
        <v>212</v>
      </c>
      <c r="X75" t="s">
        <v>188</v>
      </c>
      <c r="AA75" t="s">
        <v>36</v>
      </c>
      <c r="AB75" t="s">
        <v>190</v>
      </c>
      <c r="AC75">
        <v>2011</v>
      </c>
      <c r="AD75" t="s">
        <v>53</v>
      </c>
      <c r="AE75">
        <v>1</v>
      </c>
    </row>
    <row r="76" spans="1:32" x14ac:dyDescent="0.3">
      <c r="A76" s="127" t="s">
        <v>167</v>
      </c>
      <c r="B76" s="127" t="s">
        <v>208</v>
      </c>
      <c r="C76" s="127" t="s">
        <v>125</v>
      </c>
      <c r="D76" s="127" t="s">
        <v>170</v>
      </c>
      <c r="E76" s="127" t="s">
        <v>277</v>
      </c>
      <c r="F76" s="132">
        <v>46150.625069444446</v>
      </c>
      <c r="G76" s="127" t="s">
        <v>210</v>
      </c>
      <c r="H76" s="127">
        <v>1</v>
      </c>
      <c r="I76" s="127" t="s">
        <v>244</v>
      </c>
      <c r="J76" s="132">
        <v>46153.365277777775</v>
      </c>
      <c r="K76" s="132">
        <v>46154.5</v>
      </c>
      <c r="L76" s="132"/>
      <c r="M76" s="127">
        <v>1</v>
      </c>
      <c r="N76" s="127"/>
      <c r="O76" s="127" t="s">
        <v>174</v>
      </c>
      <c r="P76" s="127" t="s">
        <v>175</v>
      </c>
      <c r="Q76" s="127"/>
      <c r="R76" s="127"/>
      <c r="S76" s="127" t="s">
        <v>186</v>
      </c>
      <c r="T76" s="127" t="s">
        <v>187</v>
      </c>
      <c r="U76" s="127" t="s">
        <v>188</v>
      </c>
      <c r="V76" s="127" t="s">
        <v>167</v>
      </c>
      <c r="W76" s="127" t="s">
        <v>212</v>
      </c>
      <c r="X76" s="127" t="s">
        <v>188</v>
      </c>
      <c r="Y76" s="127"/>
      <c r="Z76" s="127"/>
      <c r="AA76" s="127" t="s">
        <v>36</v>
      </c>
      <c r="AB76" s="127" t="s">
        <v>190</v>
      </c>
      <c r="AC76" s="127">
        <v>2011</v>
      </c>
      <c r="AD76" s="127" t="s">
        <v>53</v>
      </c>
      <c r="AE76" s="127">
        <v>1</v>
      </c>
      <c r="AF76" s="127"/>
    </row>
    <row r="77" spans="1:32" x14ac:dyDescent="0.3">
      <c r="A77" t="s">
        <v>167</v>
      </c>
      <c r="B77" t="s">
        <v>208</v>
      </c>
      <c r="C77" t="s">
        <v>125</v>
      </c>
      <c r="D77" t="s">
        <v>170</v>
      </c>
      <c r="E77" t="s">
        <v>278</v>
      </c>
      <c r="F77" s="133">
        <v>46150.624583333331</v>
      </c>
      <c r="G77" t="s">
        <v>210</v>
      </c>
      <c r="H77">
        <v>1</v>
      </c>
      <c r="I77" t="s">
        <v>244</v>
      </c>
      <c r="J77" s="133">
        <v>46153.365277777775</v>
      </c>
      <c r="K77" s="133">
        <v>46154.5</v>
      </c>
      <c r="L77" s="133"/>
      <c r="M77">
        <v>1</v>
      </c>
      <c r="O77" t="s">
        <v>174</v>
      </c>
      <c r="P77" t="s">
        <v>175</v>
      </c>
      <c r="S77" t="s">
        <v>186</v>
      </c>
      <c r="T77" t="s">
        <v>187</v>
      </c>
      <c r="U77" t="s">
        <v>188</v>
      </c>
      <c r="V77" t="s">
        <v>167</v>
      </c>
      <c r="W77" t="s">
        <v>212</v>
      </c>
      <c r="X77" t="s">
        <v>188</v>
      </c>
      <c r="AA77" t="s">
        <v>36</v>
      </c>
      <c r="AB77" t="s">
        <v>190</v>
      </c>
      <c r="AC77">
        <v>2011</v>
      </c>
      <c r="AD77" t="s">
        <v>53</v>
      </c>
      <c r="AE77">
        <v>1</v>
      </c>
    </row>
    <row r="78" spans="1:32" x14ac:dyDescent="0.3">
      <c r="A78" s="127" t="s">
        <v>167</v>
      </c>
      <c r="B78" s="127" t="s">
        <v>168</v>
      </c>
      <c r="C78" s="127" t="s">
        <v>169</v>
      </c>
      <c r="D78" s="127" t="s">
        <v>170</v>
      </c>
      <c r="E78" s="127" t="s">
        <v>274</v>
      </c>
      <c r="F78" s="132">
        <v>46282.462465277778</v>
      </c>
      <c r="G78" s="127" t="s">
        <v>225</v>
      </c>
      <c r="H78" s="127">
        <v>487</v>
      </c>
      <c r="I78" s="127" t="s">
        <v>275</v>
      </c>
      <c r="J78" s="132">
        <v>46282.608240740738</v>
      </c>
      <c r="K78" s="132">
        <v>46283.65</v>
      </c>
      <c r="L78" s="132"/>
      <c r="M78" s="127">
        <v>487</v>
      </c>
      <c r="N78" s="127"/>
      <c r="O78" s="127" t="s">
        <v>174</v>
      </c>
      <c r="P78" s="127" t="s">
        <v>175</v>
      </c>
      <c r="Q78" s="127"/>
      <c r="R78" s="127"/>
      <c r="S78" s="127" t="s">
        <v>186</v>
      </c>
      <c r="T78" s="127" t="s">
        <v>187</v>
      </c>
      <c r="U78" s="127" t="s">
        <v>188</v>
      </c>
      <c r="V78" s="127" t="s">
        <v>179</v>
      </c>
      <c r="W78" s="127" t="s">
        <v>179</v>
      </c>
      <c r="X78" s="127" t="s">
        <v>179</v>
      </c>
      <c r="Y78" s="127"/>
      <c r="Z78" s="127">
        <v>1</v>
      </c>
      <c r="AA78" s="127" t="s">
        <v>88</v>
      </c>
      <c r="AB78" s="127" t="s">
        <v>190</v>
      </c>
      <c r="AC78" s="127">
        <v>2011</v>
      </c>
      <c r="AD78" s="127" t="s">
        <v>93</v>
      </c>
      <c r="AE78" s="127">
        <v>487</v>
      </c>
      <c r="AF78" s="127"/>
    </row>
    <row r="79" spans="1:32" x14ac:dyDescent="0.3">
      <c r="A79" t="s">
        <v>167</v>
      </c>
      <c r="B79" t="s">
        <v>181</v>
      </c>
      <c r="C79" t="s">
        <v>182</v>
      </c>
      <c r="D79" t="s">
        <v>170</v>
      </c>
      <c r="E79" t="s">
        <v>274</v>
      </c>
      <c r="F79" s="133">
        <v>46282.462465277778</v>
      </c>
      <c r="G79" t="s">
        <v>225</v>
      </c>
      <c r="H79">
        <v>7</v>
      </c>
      <c r="I79" t="s">
        <v>275</v>
      </c>
      <c r="J79" s="133">
        <v>46282.608240740738</v>
      </c>
      <c r="K79" s="133">
        <v>46283.65</v>
      </c>
      <c r="L79" s="133">
        <v>46283.65</v>
      </c>
      <c r="M79">
        <v>7</v>
      </c>
      <c r="O79" t="s">
        <v>174</v>
      </c>
      <c r="P79" t="s">
        <v>175</v>
      </c>
      <c r="S79" t="s">
        <v>186</v>
      </c>
      <c r="T79" t="s">
        <v>187</v>
      </c>
      <c r="U79" t="s">
        <v>188</v>
      </c>
      <c r="V79" t="s">
        <v>179</v>
      </c>
      <c r="W79" t="s">
        <v>179</v>
      </c>
      <c r="X79" t="s">
        <v>179</v>
      </c>
      <c r="AA79" t="s">
        <v>189</v>
      </c>
      <c r="AB79" t="s">
        <v>190</v>
      </c>
      <c r="AC79">
        <v>2011</v>
      </c>
      <c r="AD79" t="s">
        <v>96</v>
      </c>
      <c r="AE79">
        <v>1</v>
      </c>
    </row>
    <row r="80" spans="1:32" x14ac:dyDescent="0.3">
      <c r="A80" s="127" t="s">
        <v>167</v>
      </c>
      <c r="B80" s="127" t="s">
        <v>191</v>
      </c>
      <c r="C80" s="127" t="s">
        <v>192</v>
      </c>
      <c r="D80" s="127" t="s">
        <v>170</v>
      </c>
      <c r="E80" s="127" t="s">
        <v>279</v>
      </c>
      <c r="F80" s="132">
        <v>46273.474027777775</v>
      </c>
      <c r="G80" s="127" t="s">
        <v>225</v>
      </c>
      <c r="H80" s="127">
        <v>10</v>
      </c>
      <c r="I80" s="127" t="s">
        <v>280</v>
      </c>
      <c r="J80" s="132">
        <v>46274.372916666667</v>
      </c>
      <c r="K80" s="132">
        <v>46274.615277777775</v>
      </c>
      <c r="L80" s="132"/>
      <c r="M80" s="127">
        <v>10</v>
      </c>
      <c r="N80" s="127"/>
      <c r="O80" s="127" t="s">
        <v>174</v>
      </c>
      <c r="P80" s="127" t="s">
        <v>175</v>
      </c>
      <c r="Q80" s="127"/>
      <c r="R80" s="127"/>
      <c r="S80" s="127" t="s">
        <v>186</v>
      </c>
      <c r="T80" s="127" t="s">
        <v>187</v>
      </c>
      <c r="U80" s="127" t="s">
        <v>188</v>
      </c>
      <c r="V80" s="127" t="s">
        <v>179</v>
      </c>
      <c r="W80" s="127" t="s">
        <v>179</v>
      </c>
      <c r="X80" s="127" t="s">
        <v>179</v>
      </c>
      <c r="Y80" s="127"/>
      <c r="Z80" s="127"/>
      <c r="AA80" s="127" t="s">
        <v>193</v>
      </c>
      <c r="AB80" s="127" t="s">
        <v>190</v>
      </c>
      <c r="AC80" s="127">
        <v>2011</v>
      </c>
      <c r="AD80" s="127" t="s">
        <v>64</v>
      </c>
      <c r="AE80" s="127">
        <v>10</v>
      </c>
      <c r="AF80" s="127">
        <v>2.1</v>
      </c>
    </row>
    <row r="81" spans="1:32" x14ac:dyDescent="0.3">
      <c r="A81" t="s">
        <v>167</v>
      </c>
      <c r="B81" t="s">
        <v>168</v>
      </c>
      <c r="C81" t="s">
        <v>169</v>
      </c>
      <c r="D81" t="s">
        <v>170</v>
      </c>
      <c r="E81" t="s">
        <v>281</v>
      </c>
      <c r="F81" s="133">
        <v>46289.436851851853</v>
      </c>
      <c r="G81" t="s">
        <v>225</v>
      </c>
      <c r="H81">
        <v>829</v>
      </c>
      <c r="I81" t="s">
        <v>282</v>
      </c>
      <c r="J81" s="133">
        <v>46289.489583333336</v>
      </c>
      <c r="K81" s="133">
        <v>46289.677777777775</v>
      </c>
      <c r="L81" s="133"/>
      <c r="M81">
        <v>829</v>
      </c>
      <c r="O81" t="s">
        <v>174</v>
      </c>
      <c r="P81" t="s">
        <v>175</v>
      </c>
      <c r="S81" t="s">
        <v>186</v>
      </c>
      <c r="T81" t="s">
        <v>187</v>
      </c>
      <c r="U81" t="s">
        <v>188</v>
      </c>
      <c r="V81" t="s">
        <v>179</v>
      </c>
      <c r="W81" t="s">
        <v>179</v>
      </c>
      <c r="X81" t="s">
        <v>179</v>
      </c>
      <c r="Z81">
        <v>1</v>
      </c>
      <c r="AA81" t="s">
        <v>88</v>
      </c>
      <c r="AB81" t="s">
        <v>190</v>
      </c>
      <c r="AC81">
        <v>2011</v>
      </c>
      <c r="AD81" t="s">
        <v>93</v>
      </c>
      <c r="AE81">
        <v>829</v>
      </c>
    </row>
    <row r="82" spans="1:32" x14ac:dyDescent="0.3">
      <c r="A82" s="127" t="s">
        <v>167</v>
      </c>
      <c r="B82" s="127" t="s">
        <v>168</v>
      </c>
      <c r="C82" s="127" t="s">
        <v>169</v>
      </c>
      <c r="D82" s="127" t="s">
        <v>170</v>
      </c>
      <c r="E82" s="127" t="s">
        <v>279</v>
      </c>
      <c r="F82" s="132">
        <v>46273.474027777775</v>
      </c>
      <c r="G82" s="127" t="s">
        <v>225</v>
      </c>
      <c r="H82" s="127">
        <v>740</v>
      </c>
      <c r="I82" s="127" t="s">
        <v>280</v>
      </c>
      <c r="J82" s="132">
        <v>46274.372916666667</v>
      </c>
      <c r="K82" s="132">
        <v>46274.615277777775</v>
      </c>
      <c r="L82" s="132"/>
      <c r="M82" s="127">
        <v>740</v>
      </c>
      <c r="N82" s="127"/>
      <c r="O82" s="127" t="s">
        <v>174</v>
      </c>
      <c r="P82" s="127" t="s">
        <v>175</v>
      </c>
      <c r="Q82" s="127"/>
      <c r="R82" s="127"/>
      <c r="S82" s="127" t="s">
        <v>186</v>
      </c>
      <c r="T82" s="127" t="s">
        <v>187</v>
      </c>
      <c r="U82" s="127" t="s">
        <v>188</v>
      </c>
      <c r="V82" s="127" t="s">
        <v>179</v>
      </c>
      <c r="W82" s="127" t="s">
        <v>179</v>
      </c>
      <c r="X82" s="127" t="s">
        <v>179</v>
      </c>
      <c r="Y82" s="127"/>
      <c r="Z82" s="127">
        <v>1</v>
      </c>
      <c r="AA82" s="127" t="s">
        <v>88</v>
      </c>
      <c r="AB82" s="127" t="s">
        <v>190</v>
      </c>
      <c r="AC82" s="127">
        <v>2011</v>
      </c>
      <c r="AD82" s="127" t="s">
        <v>93</v>
      </c>
      <c r="AE82" s="127">
        <v>740</v>
      </c>
      <c r="AF82" s="127">
        <v>170.9</v>
      </c>
    </row>
    <row r="83" spans="1:32" x14ac:dyDescent="0.3">
      <c r="A83" t="s">
        <v>167</v>
      </c>
      <c r="B83" t="s">
        <v>208</v>
      </c>
      <c r="C83" t="s">
        <v>133</v>
      </c>
      <c r="D83" t="s">
        <v>170</v>
      </c>
      <c r="E83" t="s">
        <v>283</v>
      </c>
      <c r="F83" s="133">
        <v>46268.602071759262</v>
      </c>
      <c r="G83" t="s">
        <v>284</v>
      </c>
      <c r="H83">
        <v>10</v>
      </c>
      <c r="I83" t="s">
        <v>285</v>
      </c>
      <c r="J83" s="133">
        <v>46268.677777777775</v>
      </c>
      <c r="K83" s="133">
        <v>46274.496527777781</v>
      </c>
      <c r="L83" s="133"/>
      <c r="M83">
        <v>10</v>
      </c>
      <c r="S83" t="s">
        <v>240</v>
      </c>
      <c r="T83" t="s">
        <v>241</v>
      </c>
      <c r="U83" t="s">
        <v>242</v>
      </c>
      <c r="V83" t="s">
        <v>167</v>
      </c>
      <c r="W83" t="s">
        <v>212</v>
      </c>
      <c r="X83" t="s">
        <v>188</v>
      </c>
      <c r="AA83" t="s">
        <v>36</v>
      </c>
      <c r="AB83" t="s">
        <v>240</v>
      </c>
      <c r="AD83" t="s">
        <v>53</v>
      </c>
      <c r="AE83">
        <v>1</v>
      </c>
      <c r="AF83">
        <v>1</v>
      </c>
    </row>
    <row r="84" spans="1:32" x14ac:dyDescent="0.3">
      <c r="A84" s="127" t="s">
        <v>167</v>
      </c>
      <c r="B84" s="127" t="s">
        <v>208</v>
      </c>
      <c r="C84" s="127" t="s">
        <v>125</v>
      </c>
      <c r="D84" s="127" t="s">
        <v>170</v>
      </c>
      <c r="E84" s="127" t="s">
        <v>286</v>
      </c>
      <c r="F84" s="132">
        <v>46269.339016203703</v>
      </c>
      <c r="G84" s="127" t="s">
        <v>284</v>
      </c>
      <c r="H84" s="127">
        <v>3</v>
      </c>
      <c r="I84" s="127" t="s">
        <v>287</v>
      </c>
      <c r="J84" s="132">
        <v>46269.463194444441</v>
      </c>
      <c r="K84" s="132">
        <v>46274.496527777781</v>
      </c>
      <c r="L84" s="132"/>
      <c r="M84" s="127">
        <v>3</v>
      </c>
      <c r="N84" s="127"/>
      <c r="O84" s="127"/>
      <c r="P84" s="127"/>
      <c r="Q84" s="127"/>
      <c r="R84" s="127"/>
      <c r="S84" s="127" t="s">
        <v>240</v>
      </c>
      <c r="T84" s="127" t="s">
        <v>241</v>
      </c>
      <c r="U84" s="127" t="s">
        <v>242</v>
      </c>
      <c r="V84" s="127" t="s">
        <v>167</v>
      </c>
      <c r="W84" s="127" t="s">
        <v>212</v>
      </c>
      <c r="X84" s="127" t="s">
        <v>188</v>
      </c>
      <c r="Y84" s="127"/>
      <c r="Z84" s="127"/>
      <c r="AA84" s="127" t="s">
        <v>36</v>
      </c>
      <c r="AB84" s="127" t="s">
        <v>240</v>
      </c>
      <c r="AC84" s="127"/>
      <c r="AD84" s="127" t="s">
        <v>53</v>
      </c>
      <c r="AE84" s="127">
        <v>1</v>
      </c>
      <c r="AF84" s="127"/>
    </row>
    <row r="85" spans="1:32" x14ac:dyDescent="0.3">
      <c r="A85" t="s">
        <v>167</v>
      </c>
      <c r="B85" t="s">
        <v>191</v>
      </c>
      <c r="C85" t="s">
        <v>192</v>
      </c>
      <c r="D85" t="s">
        <v>170</v>
      </c>
      <c r="E85" t="s">
        <v>288</v>
      </c>
      <c r="F85" s="133">
        <v>46273.411585648151</v>
      </c>
      <c r="G85" t="s">
        <v>225</v>
      </c>
      <c r="H85">
        <v>11</v>
      </c>
      <c r="I85" t="s">
        <v>289</v>
      </c>
      <c r="J85" s="133">
        <v>46274.352777777778</v>
      </c>
      <c r="K85" s="133">
        <v>46274.527083333334</v>
      </c>
      <c r="L85" s="133"/>
      <c r="M85">
        <v>11</v>
      </c>
      <c r="O85" t="s">
        <v>174</v>
      </c>
      <c r="P85" t="s">
        <v>175</v>
      </c>
      <c r="S85" t="s">
        <v>186</v>
      </c>
      <c r="T85" t="s">
        <v>187</v>
      </c>
      <c r="U85" t="s">
        <v>188</v>
      </c>
      <c r="V85" t="s">
        <v>179</v>
      </c>
      <c r="W85" t="s">
        <v>179</v>
      </c>
      <c r="X85" t="s">
        <v>179</v>
      </c>
      <c r="AA85" t="s">
        <v>193</v>
      </c>
      <c r="AB85" t="s">
        <v>190</v>
      </c>
      <c r="AC85">
        <v>2011</v>
      </c>
      <c r="AD85" t="s">
        <v>64</v>
      </c>
      <c r="AE85">
        <v>11</v>
      </c>
    </row>
    <row r="86" spans="1:32" x14ac:dyDescent="0.3">
      <c r="A86" s="127" t="s">
        <v>167</v>
      </c>
      <c r="B86" s="127" t="s">
        <v>208</v>
      </c>
      <c r="C86" s="127" t="s">
        <v>125</v>
      </c>
      <c r="D86" s="127" t="s">
        <v>170</v>
      </c>
      <c r="E86" s="127" t="s">
        <v>290</v>
      </c>
      <c r="F86" s="132">
        <v>46280.376238425924</v>
      </c>
      <c r="G86" s="127" t="s">
        <v>236</v>
      </c>
      <c r="H86" s="127">
        <v>22</v>
      </c>
      <c r="I86" s="127" t="s">
        <v>291</v>
      </c>
      <c r="J86" s="132">
        <v>46280.425000000003</v>
      </c>
      <c r="K86" s="132">
        <v>46286.542361111111</v>
      </c>
      <c r="L86" s="132"/>
      <c r="M86" s="127">
        <v>22</v>
      </c>
      <c r="N86" s="127"/>
      <c r="O86" s="127" t="s">
        <v>174</v>
      </c>
      <c r="P86" s="127" t="s">
        <v>207</v>
      </c>
      <c r="Q86" s="127"/>
      <c r="R86" s="127"/>
      <c r="S86" s="127" t="s">
        <v>186</v>
      </c>
      <c r="T86" s="127" t="s">
        <v>187</v>
      </c>
      <c r="U86" s="127" t="s">
        <v>188</v>
      </c>
      <c r="V86" s="127" t="s">
        <v>167</v>
      </c>
      <c r="W86" s="127" t="s">
        <v>212</v>
      </c>
      <c r="X86" s="127" t="s">
        <v>188</v>
      </c>
      <c r="Y86" s="127">
        <v>0</v>
      </c>
      <c r="Z86" s="127"/>
      <c r="AA86" s="127" t="s">
        <v>36</v>
      </c>
      <c r="AB86" s="127" t="s">
        <v>190</v>
      </c>
      <c r="AC86" s="127">
        <v>2011</v>
      </c>
      <c r="AD86" s="127" t="s">
        <v>53</v>
      </c>
      <c r="AE86" s="127">
        <v>2.2000000000000002</v>
      </c>
      <c r="AF86" s="127">
        <v>1</v>
      </c>
    </row>
    <row r="87" spans="1:32" x14ac:dyDescent="0.3">
      <c r="A87" t="s">
        <v>167</v>
      </c>
      <c r="B87" t="s">
        <v>208</v>
      </c>
      <c r="C87" t="s">
        <v>125</v>
      </c>
      <c r="D87" t="s">
        <v>170</v>
      </c>
      <c r="E87" t="s">
        <v>292</v>
      </c>
      <c r="F87" s="133">
        <v>46280.379675925928</v>
      </c>
      <c r="G87" t="s">
        <v>236</v>
      </c>
      <c r="H87">
        <v>14</v>
      </c>
      <c r="I87" t="s">
        <v>291</v>
      </c>
      <c r="J87" s="133">
        <v>46280.425000000003</v>
      </c>
      <c r="K87" s="133">
        <v>46286.542361111111</v>
      </c>
      <c r="L87" s="133"/>
      <c r="M87">
        <v>14</v>
      </c>
      <c r="O87" t="s">
        <v>174</v>
      </c>
      <c r="P87" t="s">
        <v>207</v>
      </c>
      <c r="S87" t="s">
        <v>186</v>
      </c>
      <c r="T87" t="s">
        <v>187</v>
      </c>
      <c r="U87" t="s">
        <v>188</v>
      </c>
      <c r="V87" t="s">
        <v>167</v>
      </c>
      <c r="W87" t="s">
        <v>212</v>
      </c>
      <c r="X87" t="s">
        <v>188</v>
      </c>
      <c r="AA87" t="s">
        <v>36</v>
      </c>
      <c r="AB87" t="s">
        <v>190</v>
      </c>
      <c r="AC87">
        <v>2011</v>
      </c>
      <c r="AD87" t="s">
        <v>53</v>
      </c>
      <c r="AE87">
        <v>1.4</v>
      </c>
    </row>
    <row r="88" spans="1:32" x14ac:dyDescent="0.3">
      <c r="A88" s="127" t="s">
        <v>167</v>
      </c>
      <c r="B88" s="127" t="s">
        <v>181</v>
      </c>
      <c r="C88" s="127" t="s">
        <v>182</v>
      </c>
      <c r="D88" s="127" t="s">
        <v>170</v>
      </c>
      <c r="E88" s="127" t="s">
        <v>288</v>
      </c>
      <c r="F88" s="132">
        <v>46273.411585648151</v>
      </c>
      <c r="G88" s="127" t="s">
        <v>225</v>
      </c>
      <c r="H88" s="127">
        <v>11</v>
      </c>
      <c r="I88" s="127" t="s">
        <v>289</v>
      </c>
      <c r="J88" s="132">
        <v>46274.352777777778</v>
      </c>
      <c r="K88" s="132">
        <v>46274.527083333334</v>
      </c>
      <c r="L88" s="132">
        <v>46274.527083333334</v>
      </c>
      <c r="M88" s="127">
        <v>11</v>
      </c>
      <c r="N88" s="127"/>
      <c r="O88" s="127" t="s">
        <v>174</v>
      </c>
      <c r="P88" s="127" t="s">
        <v>175</v>
      </c>
      <c r="Q88" s="127"/>
      <c r="R88" s="127"/>
      <c r="S88" s="127" t="s">
        <v>186</v>
      </c>
      <c r="T88" s="127" t="s">
        <v>187</v>
      </c>
      <c r="U88" s="127" t="s">
        <v>188</v>
      </c>
      <c r="V88" s="127" t="s">
        <v>179</v>
      </c>
      <c r="W88" s="127" t="s">
        <v>179</v>
      </c>
      <c r="X88" s="127" t="s">
        <v>179</v>
      </c>
      <c r="Y88" s="127"/>
      <c r="Z88" s="127"/>
      <c r="AA88" s="127" t="s">
        <v>189</v>
      </c>
      <c r="AB88" s="127" t="s">
        <v>190</v>
      </c>
      <c r="AC88" s="127">
        <v>2011</v>
      </c>
      <c r="AD88" s="127" t="s">
        <v>96</v>
      </c>
      <c r="AE88" s="127">
        <v>1.1000000000000001</v>
      </c>
      <c r="AF88" s="127">
        <v>1</v>
      </c>
    </row>
    <row r="89" spans="1:32" x14ac:dyDescent="0.3">
      <c r="A89" t="s">
        <v>167</v>
      </c>
      <c r="B89" t="s">
        <v>168</v>
      </c>
      <c r="C89" t="s">
        <v>169</v>
      </c>
      <c r="D89" t="s">
        <v>170</v>
      </c>
      <c r="E89" t="s">
        <v>288</v>
      </c>
      <c r="F89" s="133">
        <v>46273.411585648151</v>
      </c>
      <c r="G89" t="s">
        <v>225</v>
      </c>
      <c r="H89">
        <v>969</v>
      </c>
      <c r="I89" t="s">
        <v>289</v>
      </c>
      <c r="J89" s="133">
        <v>46274.352777777778</v>
      </c>
      <c r="K89" s="133">
        <v>46274.527083333334</v>
      </c>
      <c r="L89" s="133"/>
      <c r="M89">
        <v>969</v>
      </c>
      <c r="O89" t="s">
        <v>174</v>
      </c>
      <c r="P89" t="s">
        <v>175</v>
      </c>
      <c r="S89" t="s">
        <v>186</v>
      </c>
      <c r="T89" t="s">
        <v>187</v>
      </c>
      <c r="U89" t="s">
        <v>188</v>
      </c>
      <c r="V89" t="s">
        <v>179</v>
      </c>
      <c r="W89" t="s">
        <v>179</v>
      </c>
      <c r="X89" t="s">
        <v>179</v>
      </c>
      <c r="Z89">
        <v>1</v>
      </c>
      <c r="AA89" t="s">
        <v>88</v>
      </c>
      <c r="AB89" t="s">
        <v>190</v>
      </c>
      <c r="AC89">
        <v>2011</v>
      </c>
      <c r="AD89" t="s">
        <v>93</v>
      </c>
      <c r="AE89">
        <v>969</v>
      </c>
    </row>
    <row r="90" spans="1:32" x14ac:dyDescent="0.3">
      <c r="A90" s="127" t="s">
        <v>167</v>
      </c>
      <c r="B90" s="127" t="s">
        <v>208</v>
      </c>
      <c r="C90" s="127" t="s">
        <v>125</v>
      </c>
      <c r="D90" s="127" t="s">
        <v>170</v>
      </c>
      <c r="E90" s="127" t="s">
        <v>293</v>
      </c>
      <c r="F90" s="132">
        <v>46268.592581018522</v>
      </c>
      <c r="G90" s="127" t="s">
        <v>294</v>
      </c>
      <c r="H90" s="127">
        <v>8</v>
      </c>
      <c r="I90" s="127" t="s">
        <v>295</v>
      </c>
      <c r="J90" s="132">
        <v>46268.691666666666</v>
      </c>
      <c r="K90" s="132">
        <v>46274.496527777781</v>
      </c>
      <c r="L90" s="132"/>
      <c r="M90" s="127">
        <v>8</v>
      </c>
      <c r="N90" s="127"/>
      <c r="O90" s="127"/>
      <c r="P90" s="127"/>
      <c r="Q90" s="127"/>
      <c r="R90" s="127"/>
      <c r="S90" s="127" t="s">
        <v>240</v>
      </c>
      <c r="T90" s="127" t="s">
        <v>241</v>
      </c>
      <c r="U90" s="127" t="s">
        <v>242</v>
      </c>
      <c r="V90" s="127" t="s">
        <v>167</v>
      </c>
      <c r="W90" s="127" t="s">
        <v>212</v>
      </c>
      <c r="X90" s="127" t="s">
        <v>188</v>
      </c>
      <c r="Y90" s="127"/>
      <c r="Z90" s="127"/>
      <c r="AA90" s="127" t="s">
        <v>36</v>
      </c>
      <c r="AB90" s="127" t="s">
        <v>240</v>
      </c>
      <c r="AC90" s="127"/>
      <c r="AD90" s="127" t="s">
        <v>53</v>
      </c>
      <c r="AE90" s="127">
        <v>1</v>
      </c>
      <c r="AF90" s="127"/>
    </row>
    <row r="91" spans="1:32" x14ac:dyDescent="0.3">
      <c r="A91" t="s">
        <v>167</v>
      </c>
      <c r="B91" t="s">
        <v>191</v>
      </c>
      <c r="C91" t="s">
        <v>192</v>
      </c>
      <c r="D91" t="s">
        <v>170</v>
      </c>
      <c r="E91" t="s">
        <v>296</v>
      </c>
      <c r="F91" s="133">
        <v>46266.545393518521</v>
      </c>
      <c r="G91" t="s">
        <v>225</v>
      </c>
      <c r="H91">
        <v>5</v>
      </c>
      <c r="I91" t="s">
        <v>297</v>
      </c>
      <c r="J91" s="133">
        <v>46267.376886574071</v>
      </c>
      <c r="K91" s="133">
        <v>46267.5</v>
      </c>
      <c r="L91" s="133"/>
      <c r="M91">
        <v>5</v>
      </c>
      <c r="O91" t="s">
        <v>174</v>
      </c>
      <c r="P91" t="s">
        <v>175</v>
      </c>
      <c r="S91" t="s">
        <v>240</v>
      </c>
      <c r="T91" t="s">
        <v>241</v>
      </c>
      <c r="U91" t="s">
        <v>242</v>
      </c>
      <c r="V91" t="s">
        <v>179</v>
      </c>
      <c r="W91" t="s">
        <v>179</v>
      </c>
      <c r="X91" t="s">
        <v>179</v>
      </c>
      <c r="AA91" t="s">
        <v>193</v>
      </c>
      <c r="AB91" t="s">
        <v>240</v>
      </c>
      <c r="AD91" t="s">
        <v>64</v>
      </c>
      <c r="AE91">
        <v>5</v>
      </c>
      <c r="AF91">
        <v>1</v>
      </c>
    </row>
    <row r="92" spans="1:32" x14ac:dyDescent="0.3">
      <c r="A92" s="127" t="s">
        <v>167</v>
      </c>
      <c r="B92" s="127" t="s">
        <v>168</v>
      </c>
      <c r="C92" s="127" t="s">
        <v>169</v>
      </c>
      <c r="D92" s="127" t="s">
        <v>170</v>
      </c>
      <c r="E92" s="127" t="s">
        <v>296</v>
      </c>
      <c r="F92" s="132">
        <v>46266.545393518521</v>
      </c>
      <c r="G92" s="127" t="s">
        <v>225</v>
      </c>
      <c r="H92" s="127">
        <v>393</v>
      </c>
      <c r="I92" s="127" t="s">
        <v>297</v>
      </c>
      <c r="J92" s="132">
        <v>46267.376886574071</v>
      </c>
      <c r="K92" s="132">
        <v>46267.5</v>
      </c>
      <c r="L92" s="132"/>
      <c r="M92" s="127">
        <v>393</v>
      </c>
      <c r="N92" s="127"/>
      <c r="O92" s="127"/>
      <c r="P92" s="127"/>
      <c r="Q92" s="127"/>
      <c r="R92" s="127"/>
      <c r="S92" s="127" t="s">
        <v>240</v>
      </c>
      <c r="T92" s="127" t="s">
        <v>241</v>
      </c>
      <c r="U92" s="127" t="s">
        <v>242</v>
      </c>
      <c r="V92" s="127" t="s">
        <v>179</v>
      </c>
      <c r="W92" s="127" t="s">
        <v>179</v>
      </c>
      <c r="X92" s="127" t="s">
        <v>179</v>
      </c>
      <c r="Y92" s="127"/>
      <c r="Z92" s="127">
        <v>1</v>
      </c>
      <c r="AA92" s="127" t="s">
        <v>88</v>
      </c>
      <c r="AB92" s="127" t="s">
        <v>240</v>
      </c>
      <c r="AC92" s="127"/>
      <c r="AD92" s="127" t="s">
        <v>93</v>
      </c>
      <c r="AE92" s="127">
        <v>393</v>
      </c>
      <c r="AF92" s="127">
        <v>39.299999999999997</v>
      </c>
    </row>
    <row r="93" spans="1:32" x14ac:dyDescent="0.3">
      <c r="A93" t="s">
        <v>167</v>
      </c>
      <c r="B93" t="s">
        <v>191</v>
      </c>
      <c r="C93" t="s">
        <v>192</v>
      </c>
      <c r="D93" t="s">
        <v>170</v>
      </c>
      <c r="E93" t="s">
        <v>298</v>
      </c>
      <c r="F93" s="133">
        <v>46265.444652777776</v>
      </c>
      <c r="G93" t="s">
        <v>225</v>
      </c>
      <c r="H93">
        <v>8</v>
      </c>
      <c r="I93" t="s">
        <v>299</v>
      </c>
      <c r="J93" s="133">
        <v>46265.647743055553</v>
      </c>
      <c r="K93" s="133">
        <v>46266.582638888889</v>
      </c>
      <c r="L93" s="133"/>
      <c r="M93">
        <v>8</v>
      </c>
      <c r="O93" t="s">
        <v>174</v>
      </c>
      <c r="P93" t="s">
        <v>175</v>
      </c>
      <c r="S93" t="s">
        <v>186</v>
      </c>
      <c r="T93" t="s">
        <v>187</v>
      </c>
      <c r="U93" t="s">
        <v>188</v>
      </c>
      <c r="V93" t="s">
        <v>179</v>
      </c>
      <c r="W93" t="s">
        <v>179</v>
      </c>
      <c r="X93" t="s">
        <v>179</v>
      </c>
      <c r="AA93" t="s">
        <v>193</v>
      </c>
      <c r="AB93" t="s">
        <v>190</v>
      </c>
      <c r="AC93">
        <v>2011</v>
      </c>
      <c r="AD93" t="s">
        <v>64</v>
      </c>
      <c r="AE93">
        <v>8</v>
      </c>
      <c r="AF93">
        <v>2.6</v>
      </c>
    </row>
    <row r="94" spans="1:32" x14ac:dyDescent="0.3">
      <c r="A94" s="127" t="s">
        <v>167</v>
      </c>
      <c r="B94" s="127" t="s">
        <v>181</v>
      </c>
      <c r="C94" s="127" t="s">
        <v>182</v>
      </c>
      <c r="D94" s="127" t="s">
        <v>170</v>
      </c>
      <c r="E94" s="127" t="s">
        <v>298</v>
      </c>
      <c r="F94" s="132">
        <v>46265.444652777776</v>
      </c>
      <c r="G94" s="127" t="s">
        <v>225</v>
      </c>
      <c r="H94" s="127">
        <v>8</v>
      </c>
      <c r="I94" s="127" t="s">
        <v>299</v>
      </c>
      <c r="J94" s="132">
        <v>46265.647743055553</v>
      </c>
      <c r="K94" s="132">
        <v>46266.582638888889</v>
      </c>
      <c r="L94" s="132">
        <v>46266.582638888889</v>
      </c>
      <c r="M94" s="127">
        <v>8</v>
      </c>
      <c r="N94" s="127"/>
      <c r="O94" s="127" t="s">
        <v>174</v>
      </c>
      <c r="P94" s="127" t="s">
        <v>175</v>
      </c>
      <c r="Q94" s="127"/>
      <c r="R94" s="127"/>
      <c r="S94" s="127" t="s">
        <v>186</v>
      </c>
      <c r="T94" s="127" t="s">
        <v>187</v>
      </c>
      <c r="U94" s="127" t="s">
        <v>188</v>
      </c>
      <c r="V94" s="127" t="s">
        <v>179</v>
      </c>
      <c r="W94" s="127" t="s">
        <v>179</v>
      </c>
      <c r="X94" s="127" t="s">
        <v>179</v>
      </c>
      <c r="Y94" s="127"/>
      <c r="Z94" s="127"/>
      <c r="AA94" s="127" t="s">
        <v>189</v>
      </c>
      <c r="AB94" s="127" t="s">
        <v>190</v>
      </c>
      <c r="AC94" s="127">
        <v>2011</v>
      </c>
      <c r="AD94" s="127" t="s">
        <v>96</v>
      </c>
      <c r="AE94" s="127">
        <v>1</v>
      </c>
      <c r="AF94" s="127">
        <v>1</v>
      </c>
    </row>
    <row r="95" spans="1:32" x14ac:dyDescent="0.3">
      <c r="A95" t="s">
        <v>167</v>
      </c>
      <c r="B95" t="s">
        <v>168</v>
      </c>
      <c r="C95" t="s">
        <v>169</v>
      </c>
      <c r="D95" t="s">
        <v>170</v>
      </c>
      <c r="E95" t="s">
        <v>298</v>
      </c>
      <c r="F95" s="133">
        <v>46265.444652777776</v>
      </c>
      <c r="G95" t="s">
        <v>225</v>
      </c>
      <c r="H95">
        <v>675</v>
      </c>
      <c r="I95" t="s">
        <v>299</v>
      </c>
      <c r="J95" s="133">
        <v>46265.647743055553</v>
      </c>
      <c r="K95" s="133">
        <v>46266.582638888889</v>
      </c>
      <c r="L95" s="133"/>
      <c r="M95">
        <v>675</v>
      </c>
      <c r="O95" t="s">
        <v>174</v>
      </c>
      <c r="P95" t="s">
        <v>175</v>
      </c>
      <c r="S95" t="s">
        <v>186</v>
      </c>
      <c r="T95" t="s">
        <v>187</v>
      </c>
      <c r="U95" t="s">
        <v>188</v>
      </c>
      <c r="V95" t="s">
        <v>179</v>
      </c>
      <c r="W95" t="s">
        <v>179</v>
      </c>
      <c r="X95" t="s">
        <v>179</v>
      </c>
      <c r="Z95">
        <v>1</v>
      </c>
      <c r="AA95" t="s">
        <v>88</v>
      </c>
      <c r="AB95" t="s">
        <v>190</v>
      </c>
      <c r="AC95">
        <v>2011</v>
      </c>
      <c r="AD95" t="s">
        <v>93</v>
      </c>
      <c r="AE95">
        <v>675</v>
      </c>
      <c r="AF95">
        <v>154.1</v>
      </c>
    </row>
    <row r="96" spans="1:32" x14ac:dyDescent="0.3">
      <c r="A96" s="127" t="s">
        <v>167</v>
      </c>
      <c r="B96" s="127" t="s">
        <v>194</v>
      </c>
      <c r="C96" s="127" t="s">
        <v>195</v>
      </c>
      <c r="D96" s="127" t="s">
        <v>170</v>
      </c>
      <c r="E96" s="127" t="s">
        <v>300</v>
      </c>
      <c r="F96" s="132">
        <v>46248.381701388891</v>
      </c>
      <c r="G96" s="127" t="s">
        <v>236</v>
      </c>
      <c r="H96" s="127">
        <v>320</v>
      </c>
      <c r="I96" s="127" t="s">
        <v>301</v>
      </c>
      <c r="J96" s="132">
        <v>46248.512499999997</v>
      </c>
      <c r="K96" s="132">
        <v>46276.532638888886</v>
      </c>
      <c r="L96" s="132"/>
      <c r="M96" s="127">
        <v>320</v>
      </c>
      <c r="N96" s="127"/>
      <c r="O96" s="127" t="s">
        <v>174</v>
      </c>
      <c r="P96" s="127" t="s">
        <v>207</v>
      </c>
      <c r="Q96" s="127"/>
      <c r="R96" s="127"/>
      <c r="S96" s="127" t="s">
        <v>186</v>
      </c>
      <c r="T96" s="127" t="s">
        <v>187</v>
      </c>
      <c r="U96" s="127" t="s">
        <v>188</v>
      </c>
      <c r="V96" s="127" t="s">
        <v>179</v>
      </c>
      <c r="W96" s="127" t="s">
        <v>179</v>
      </c>
      <c r="X96" s="127" t="s">
        <v>179</v>
      </c>
      <c r="Y96" s="127"/>
      <c r="Z96" s="127"/>
      <c r="AA96" s="127" t="s">
        <v>202</v>
      </c>
      <c r="AB96" s="127" t="s">
        <v>190</v>
      </c>
      <c r="AC96" s="127">
        <v>2011</v>
      </c>
      <c r="AD96" s="127" t="s">
        <v>179</v>
      </c>
      <c r="AE96" s="127"/>
      <c r="AF96" s="127">
        <v>0</v>
      </c>
    </row>
    <row r="97" spans="1:32" x14ac:dyDescent="0.3">
      <c r="A97" t="s">
        <v>167</v>
      </c>
      <c r="B97" t="s">
        <v>194</v>
      </c>
      <c r="C97" t="s">
        <v>195</v>
      </c>
      <c r="D97" t="s">
        <v>170</v>
      </c>
      <c r="E97" t="s">
        <v>302</v>
      </c>
      <c r="F97" s="133">
        <v>46269.499652777777</v>
      </c>
      <c r="G97" t="s">
        <v>303</v>
      </c>
      <c r="H97">
        <v>10</v>
      </c>
      <c r="I97" t="s">
        <v>304</v>
      </c>
      <c r="J97" s="133">
        <v>46269.499652777777</v>
      </c>
      <c r="K97" s="133">
        <v>46276.54791666667</v>
      </c>
      <c r="L97" s="133"/>
      <c r="M97">
        <v>10</v>
      </c>
      <c r="S97" t="s">
        <v>186</v>
      </c>
      <c r="T97" t="s">
        <v>187</v>
      </c>
      <c r="U97" t="s">
        <v>188</v>
      </c>
      <c r="V97" t="s">
        <v>179</v>
      </c>
      <c r="W97" t="s">
        <v>179</v>
      </c>
      <c r="X97" t="s">
        <v>179</v>
      </c>
      <c r="AA97" t="s">
        <v>202</v>
      </c>
      <c r="AB97" t="s">
        <v>190</v>
      </c>
      <c r="AC97">
        <v>2011</v>
      </c>
      <c r="AD97" t="s">
        <v>179</v>
      </c>
    </row>
    <row r="98" spans="1:32" x14ac:dyDescent="0.3">
      <c r="A98" s="127" t="s">
        <v>167</v>
      </c>
      <c r="B98" s="127" t="s">
        <v>194</v>
      </c>
      <c r="C98" s="127" t="s">
        <v>195</v>
      </c>
      <c r="D98" s="127" t="s">
        <v>170</v>
      </c>
      <c r="E98" s="127" t="s">
        <v>305</v>
      </c>
      <c r="F98" s="132">
        <v>46276.411192129628</v>
      </c>
      <c r="G98" s="127" t="s">
        <v>306</v>
      </c>
      <c r="H98" s="127">
        <v>150</v>
      </c>
      <c r="I98" s="127" t="s">
        <v>307</v>
      </c>
      <c r="J98" s="132">
        <v>46279.387499999997</v>
      </c>
      <c r="K98" s="132">
        <v>46286.475694444445</v>
      </c>
      <c r="L98" s="132"/>
      <c r="M98" s="127">
        <v>150</v>
      </c>
      <c r="N98" s="127"/>
      <c r="O98" s="127" t="s">
        <v>174</v>
      </c>
      <c r="P98" s="127" t="s">
        <v>207</v>
      </c>
      <c r="Q98" s="127"/>
      <c r="R98" s="127"/>
      <c r="S98" s="127" t="s">
        <v>308</v>
      </c>
      <c r="T98" s="127" t="s">
        <v>187</v>
      </c>
      <c r="U98" s="127" t="s">
        <v>188</v>
      </c>
      <c r="V98" s="127" t="s">
        <v>179</v>
      </c>
      <c r="W98" s="127" t="s">
        <v>179</v>
      </c>
      <c r="X98" s="127" t="s">
        <v>179</v>
      </c>
      <c r="Y98" s="127"/>
      <c r="Z98" s="127"/>
      <c r="AA98" s="127" t="s">
        <v>202</v>
      </c>
      <c r="AB98" s="127" t="s">
        <v>309</v>
      </c>
      <c r="AC98" s="127">
        <v>300</v>
      </c>
      <c r="AD98" s="127" t="s">
        <v>179</v>
      </c>
      <c r="AE98" s="127"/>
      <c r="AF98" s="127">
        <v>0</v>
      </c>
    </row>
    <row r="99" spans="1:32" x14ac:dyDescent="0.3">
      <c r="A99" t="s">
        <v>167</v>
      </c>
      <c r="B99" t="s">
        <v>181</v>
      </c>
      <c r="C99" t="s">
        <v>182</v>
      </c>
      <c r="D99" t="s">
        <v>170</v>
      </c>
      <c r="E99" t="s">
        <v>296</v>
      </c>
      <c r="F99" s="133">
        <v>46266.545393518521</v>
      </c>
      <c r="G99" t="s">
        <v>225</v>
      </c>
      <c r="H99">
        <v>5</v>
      </c>
      <c r="I99" t="s">
        <v>297</v>
      </c>
      <c r="J99" s="133">
        <v>46267.376886574071</v>
      </c>
      <c r="K99" s="133">
        <v>46267.5</v>
      </c>
      <c r="L99" s="133">
        <v>46267.5</v>
      </c>
      <c r="M99">
        <v>5</v>
      </c>
      <c r="O99" t="s">
        <v>174</v>
      </c>
      <c r="P99" t="s">
        <v>175</v>
      </c>
      <c r="S99" t="s">
        <v>240</v>
      </c>
      <c r="T99" t="s">
        <v>241</v>
      </c>
      <c r="U99" t="s">
        <v>242</v>
      </c>
      <c r="V99" t="s">
        <v>179</v>
      </c>
      <c r="W99" t="s">
        <v>179</v>
      </c>
      <c r="X99" t="s">
        <v>179</v>
      </c>
      <c r="AA99" t="s">
        <v>189</v>
      </c>
      <c r="AB99" t="s">
        <v>240</v>
      </c>
      <c r="AD99" t="s">
        <v>96</v>
      </c>
      <c r="AE99">
        <v>1</v>
      </c>
      <c r="AF99">
        <v>1</v>
      </c>
    </row>
    <row r="100" spans="1:32" x14ac:dyDescent="0.3">
      <c r="A100" s="127" t="s">
        <v>167</v>
      </c>
      <c r="B100" s="127" t="s">
        <v>208</v>
      </c>
      <c r="C100" s="127" t="s">
        <v>125</v>
      </c>
      <c r="D100" s="127" t="s">
        <v>170</v>
      </c>
      <c r="E100" s="127" t="s">
        <v>310</v>
      </c>
      <c r="F100" s="132">
        <v>46268.597766203704</v>
      </c>
      <c r="G100" s="127" t="s">
        <v>284</v>
      </c>
      <c r="H100" s="127">
        <v>13</v>
      </c>
      <c r="I100" s="127" t="s">
        <v>311</v>
      </c>
      <c r="J100" s="132">
        <v>46268.6875</v>
      </c>
      <c r="K100" s="132">
        <v>46274.496527777781</v>
      </c>
      <c r="L100" s="132"/>
      <c r="M100" s="127">
        <v>13</v>
      </c>
      <c r="N100" s="127"/>
      <c r="O100" s="127"/>
      <c r="P100" s="127"/>
      <c r="Q100" s="127"/>
      <c r="R100" s="127"/>
      <c r="S100" s="127" t="s">
        <v>240</v>
      </c>
      <c r="T100" s="127" t="s">
        <v>241</v>
      </c>
      <c r="U100" s="127" t="s">
        <v>242</v>
      </c>
      <c r="V100" s="127" t="s">
        <v>167</v>
      </c>
      <c r="W100" s="127" t="s">
        <v>212</v>
      </c>
      <c r="X100" s="127" t="s">
        <v>188</v>
      </c>
      <c r="Y100" s="127"/>
      <c r="Z100" s="127"/>
      <c r="AA100" s="127" t="s">
        <v>36</v>
      </c>
      <c r="AB100" s="127" t="s">
        <v>240</v>
      </c>
      <c r="AC100" s="127"/>
      <c r="AD100" s="127" t="s">
        <v>53</v>
      </c>
      <c r="AE100" s="127">
        <v>1.3</v>
      </c>
      <c r="AF100" s="127"/>
    </row>
    <row r="101" spans="1:32" x14ac:dyDescent="0.3">
      <c r="A101" t="s">
        <v>167</v>
      </c>
      <c r="B101" t="s">
        <v>208</v>
      </c>
      <c r="C101" t="s">
        <v>133</v>
      </c>
      <c r="D101" t="s">
        <v>170</v>
      </c>
      <c r="E101" t="s">
        <v>312</v>
      </c>
      <c r="F101" s="133">
        <v>46268.600613425922</v>
      </c>
      <c r="G101" t="s">
        <v>284</v>
      </c>
      <c r="H101">
        <v>10</v>
      </c>
      <c r="I101" t="s">
        <v>313</v>
      </c>
      <c r="J101" s="133">
        <v>46268.681944444441</v>
      </c>
      <c r="K101" s="133">
        <v>46274.496527777781</v>
      </c>
      <c r="L101" s="133"/>
      <c r="M101">
        <v>10</v>
      </c>
      <c r="S101" t="s">
        <v>240</v>
      </c>
      <c r="T101" t="s">
        <v>241</v>
      </c>
      <c r="U101" t="s">
        <v>242</v>
      </c>
      <c r="V101" t="s">
        <v>167</v>
      </c>
      <c r="W101" t="s">
        <v>212</v>
      </c>
      <c r="X101" t="s">
        <v>188</v>
      </c>
      <c r="AA101" t="s">
        <v>36</v>
      </c>
      <c r="AB101" t="s">
        <v>240</v>
      </c>
      <c r="AD101" t="s">
        <v>53</v>
      </c>
      <c r="AE101">
        <v>1</v>
      </c>
    </row>
    <row r="102" spans="1:32" x14ac:dyDescent="0.3">
      <c r="A102" s="127" t="s">
        <v>167</v>
      </c>
      <c r="B102" s="127" t="s">
        <v>191</v>
      </c>
      <c r="C102" s="127" t="s">
        <v>192</v>
      </c>
      <c r="D102" s="127" t="s">
        <v>170</v>
      </c>
      <c r="E102" s="127" t="s">
        <v>314</v>
      </c>
      <c r="F102" s="132">
        <v>46282.319155092591</v>
      </c>
      <c r="G102" s="127" t="s">
        <v>225</v>
      </c>
      <c r="H102" s="127">
        <v>1</v>
      </c>
      <c r="I102" s="127" t="s">
        <v>315</v>
      </c>
      <c r="J102" s="132">
        <v>46282.525960648149</v>
      </c>
      <c r="K102" s="132">
        <v>46282.566666666666</v>
      </c>
      <c r="L102" s="132"/>
      <c r="M102" s="127">
        <v>1</v>
      </c>
      <c r="N102" s="127"/>
      <c r="O102" s="127" t="s">
        <v>174</v>
      </c>
      <c r="P102" s="127" t="s">
        <v>175</v>
      </c>
      <c r="Q102" s="127"/>
      <c r="R102" s="127"/>
      <c r="S102" s="127" t="s">
        <v>186</v>
      </c>
      <c r="T102" s="127" t="s">
        <v>187</v>
      </c>
      <c r="U102" s="127" t="s">
        <v>188</v>
      </c>
      <c r="V102" s="127" t="s">
        <v>179</v>
      </c>
      <c r="W102" s="127" t="s">
        <v>179</v>
      </c>
      <c r="X102" s="127" t="s">
        <v>179</v>
      </c>
      <c r="Y102" s="127"/>
      <c r="Z102" s="127"/>
      <c r="AA102" s="127" t="s">
        <v>193</v>
      </c>
      <c r="AB102" s="127" t="s">
        <v>190</v>
      </c>
      <c r="AC102" s="127">
        <v>2011</v>
      </c>
      <c r="AD102" s="127" t="s">
        <v>64</v>
      </c>
      <c r="AE102" s="127">
        <v>1</v>
      </c>
      <c r="AF102" s="127"/>
    </row>
    <row r="103" spans="1:32" x14ac:dyDescent="0.3">
      <c r="A103" t="s">
        <v>167</v>
      </c>
      <c r="B103" t="s">
        <v>181</v>
      </c>
      <c r="C103" t="s">
        <v>182</v>
      </c>
      <c r="D103" t="s">
        <v>170</v>
      </c>
      <c r="E103" t="s">
        <v>281</v>
      </c>
      <c r="F103" s="133">
        <v>46289.436851851853</v>
      </c>
      <c r="G103" t="s">
        <v>225</v>
      </c>
      <c r="H103">
        <v>10</v>
      </c>
      <c r="I103" t="s">
        <v>282</v>
      </c>
      <c r="J103" s="133">
        <v>46289.489583333336</v>
      </c>
      <c r="K103" s="133">
        <v>46289.677777777775</v>
      </c>
      <c r="L103" s="133">
        <v>46289.677777777775</v>
      </c>
      <c r="M103">
        <v>10</v>
      </c>
      <c r="O103" t="s">
        <v>174</v>
      </c>
      <c r="P103" t="s">
        <v>175</v>
      </c>
      <c r="S103" t="s">
        <v>186</v>
      </c>
      <c r="T103" t="s">
        <v>187</v>
      </c>
      <c r="U103" t="s">
        <v>188</v>
      </c>
      <c r="V103" t="s">
        <v>179</v>
      </c>
      <c r="W103" t="s">
        <v>179</v>
      </c>
      <c r="X103" t="s">
        <v>179</v>
      </c>
      <c r="AA103" t="s">
        <v>189</v>
      </c>
      <c r="AB103" t="s">
        <v>190</v>
      </c>
      <c r="AC103">
        <v>2011</v>
      </c>
      <c r="AD103" t="s">
        <v>96</v>
      </c>
      <c r="AE103">
        <v>1</v>
      </c>
    </row>
    <row r="104" spans="1:32" x14ac:dyDescent="0.3">
      <c r="A104" s="127" t="s">
        <v>167</v>
      </c>
      <c r="B104" s="127" t="s">
        <v>191</v>
      </c>
      <c r="C104" s="127" t="s">
        <v>192</v>
      </c>
      <c r="D104" s="127" t="s">
        <v>170</v>
      </c>
      <c r="E104" s="127" t="s">
        <v>281</v>
      </c>
      <c r="F104" s="132">
        <v>46289.436851851853</v>
      </c>
      <c r="G104" s="127" t="s">
        <v>225</v>
      </c>
      <c r="H104" s="127">
        <v>10</v>
      </c>
      <c r="I104" s="127" t="s">
        <v>282</v>
      </c>
      <c r="J104" s="132">
        <v>46289.489583333336</v>
      </c>
      <c r="K104" s="132">
        <v>46289.677777777775</v>
      </c>
      <c r="L104" s="132"/>
      <c r="M104" s="127">
        <v>10</v>
      </c>
      <c r="N104" s="127"/>
      <c r="O104" s="127" t="s">
        <v>174</v>
      </c>
      <c r="P104" s="127" t="s">
        <v>175</v>
      </c>
      <c r="Q104" s="127"/>
      <c r="R104" s="127"/>
      <c r="S104" s="127" t="s">
        <v>186</v>
      </c>
      <c r="T104" s="127" t="s">
        <v>187</v>
      </c>
      <c r="U104" s="127" t="s">
        <v>188</v>
      </c>
      <c r="V104" s="127" t="s">
        <v>179</v>
      </c>
      <c r="W104" s="127" t="s">
        <v>179</v>
      </c>
      <c r="X104" s="127" t="s">
        <v>179</v>
      </c>
      <c r="Y104" s="127"/>
      <c r="Z104" s="127"/>
      <c r="AA104" s="127" t="s">
        <v>193</v>
      </c>
      <c r="AB104" s="127" t="s">
        <v>190</v>
      </c>
      <c r="AC104" s="127">
        <v>2011</v>
      </c>
      <c r="AD104" s="127" t="s">
        <v>64</v>
      </c>
      <c r="AE104" s="127">
        <v>10</v>
      </c>
      <c r="AF104" s="127"/>
    </row>
    <row r="105" spans="1:32" x14ac:dyDescent="0.3">
      <c r="A105" t="s">
        <v>167</v>
      </c>
      <c r="B105" t="s">
        <v>208</v>
      </c>
      <c r="C105" t="s">
        <v>125</v>
      </c>
      <c r="D105" t="s">
        <v>170</v>
      </c>
      <c r="E105" t="s">
        <v>316</v>
      </c>
      <c r="F105" s="133">
        <v>46248.440740740742</v>
      </c>
      <c r="G105" t="s">
        <v>317</v>
      </c>
      <c r="H105">
        <v>6</v>
      </c>
      <c r="I105" t="s">
        <v>318</v>
      </c>
      <c r="J105" s="133">
        <v>46248.633333333331</v>
      </c>
      <c r="K105" s="133">
        <v>46258.661111111112</v>
      </c>
      <c r="L105" s="133"/>
      <c r="M105">
        <v>6</v>
      </c>
      <c r="O105" t="s">
        <v>174</v>
      </c>
      <c r="P105" t="s">
        <v>207</v>
      </c>
      <c r="S105" t="s">
        <v>186</v>
      </c>
      <c r="T105" t="s">
        <v>187</v>
      </c>
      <c r="U105" t="s">
        <v>188</v>
      </c>
      <c r="V105" t="s">
        <v>167</v>
      </c>
      <c r="W105" t="s">
        <v>212</v>
      </c>
      <c r="X105" t="s">
        <v>188</v>
      </c>
      <c r="Y105">
        <v>0</v>
      </c>
      <c r="AA105" t="s">
        <v>36</v>
      </c>
      <c r="AB105" t="s">
        <v>190</v>
      </c>
      <c r="AC105">
        <v>2011</v>
      </c>
      <c r="AD105" t="s">
        <v>53</v>
      </c>
      <c r="AE105">
        <v>1</v>
      </c>
      <c r="AF105">
        <v>1</v>
      </c>
    </row>
    <row r="106" spans="1:32" x14ac:dyDescent="0.3">
      <c r="A106" s="127" t="s">
        <v>167</v>
      </c>
      <c r="B106" s="127" t="s">
        <v>208</v>
      </c>
      <c r="C106" s="127" t="s">
        <v>125</v>
      </c>
      <c r="D106" s="127" t="s">
        <v>170</v>
      </c>
      <c r="E106" s="127" t="s">
        <v>319</v>
      </c>
      <c r="F106" s="132">
        <v>46248.43954861111</v>
      </c>
      <c r="G106" s="127" t="s">
        <v>317</v>
      </c>
      <c r="H106" s="127">
        <v>7</v>
      </c>
      <c r="I106" s="127" t="s">
        <v>318</v>
      </c>
      <c r="J106" s="132">
        <v>46248.633333333331</v>
      </c>
      <c r="K106" s="132">
        <v>46258.661111111112</v>
      </c>
      <c r="L106" s="132"/>
      <c r="M106" s="127">
        <v>7</v>
      </c>
      <c r="N106" s="127"/>
      <c r="O106" s="127" t="s">
        <v>174</v>
      </c>
      <c r="P106" s="127" t="s">
        <v>207</v>
      </c>
      <c r="Q106" s="127"/>
      <c r="R106" s="127"/>
      <c r="S106" s="127" t="s">
        <v>186</v>
      </c>
      <c r="T106" s="127" t="s">
        <v>187</v>
      </c>
      <c r="U106" s="127" t="s">
        <v>188</v>
      </c>
      <c r="V106" s="127" t="s">
        <v>167</v>
      </c>
      <c r="W106" s="127" t="s">
        <v>212</v>
      </c>
      <c r="X106" s="127" t="s">
        <v>188</v>
      </c>
      <c r="Y106" s="127"/>
      <c r="Z106" s="127"/>
      <c r="AA106" s="127" t="s">
        <v>36</v>
      </c>
      <c r="AB106" s="127" t="s">
        <v>190</v>
      </c>
      <c r="AC106" s="127">
        <v>2011</v>
      </c>
      <c r="AD106" s="127" t="s">
        <v>53</v>
      </c>
      <c r="AE106" s="127">
        <v>1</v>
      </c>
      <c r="AF106" s="127"/>
    </row>
    <row r="107" spans="1:32" x14ac:dyDescent="0.3">
      <c r="A107" t="s">
        <v>167</v>
      </c>
      <c r="B107" t="s">
        <v>208</v>
      </c>
      <c r="C107" t="s">
        <v>125</v>
      </c>
      <c r="D107" t="s">
        <v>170</v>
      </c>
      <c r="E107" t="s">
        <v>320</v>
      </c>
      <c r="F107" s="133">
        <v>46248.437743055554</v>
      </c>
      <c r="G107" t="s">
        <v>317</v>
      </c>
      <c r="H107">
        <v>4</v>
      </c>
      <c r="I107" t="s">
        <v>318</v>
      </c>
      <c r="J107" s="133">
        <v>46248.633333333331</v>
      </c>
      <c r="K107" s="133">
        <v>46258.661111111112</v>
      </c>
      <c r="L107" s="133"/>
      <c r="M107">
        <v>4</v>
      </c>
      <c r="O107" t="s">
        <v>174</v>
      </c>
      <c r="P107" t="s">
        <v>207</v>
      </c>
      <c r="S107" t="s">
        <v>186</v>
      </c>
      <c r="T107" t="s">
        <v>187</v>
      </c>
      <c r="U107" t="s">
        <v>188</v>
      </c>
      <c r="V107" t="s">
        <v>167</v>
      </c>
      <c r="W107" t="s">
        <v>212</v>
      </c>
      <c r="X107" t="s">
        <v>188</v>
      </c>
      <c r="AA107" t="s">
        <v>36</v>
      </c>
      <c r="AB107" t="s">
        <v>190</v>
      </c>
      <c r="AC107">
        <v>2011</v>
      </c>
      <c r="AD107" t="s">
        <v>53</v>
      </c>
      <c r="AE107">
        <v>1</v>
      </c>
    </row>
    <row r="108" spans="1:32" x14ac:dyDescent="0.3">
      <c r="A108" s="127" t="s">
        <v>167</v>
      </c>
      <c r="B108" s="127" t="s">
        <v>208</v>
      </c>
      <c r="C108" s="127" t="s">
        <v>125</v>
      </c>
      <c r="D108" s="127" t="s">
        <v>170</v>
      </c>
      <c r="E108" s="127" t="s">
        <v>321</v>
      </c>
      <c r="F108" s="132">
        <v>46248.438252314816</v>
      </c>
      <c r="G108" s="127" t="s">
        <v>317</v>
      </c>
      <c r="H108" s="127">
        <v>4</v>
      </c>
      <c r="I108" s="127" t="s">
        <v>318</v>
      </c>
      <c r="J108" s="132">
        <v>46248.633333333331</v>
      </c>
      <c r="K108" s="132">
        <v>46258.661111111112</v>
      </c>
      <c r="L108" s="132"/>
      <c r="M108" s="127">
        <v>4</v>
      </c>
      <c r="N108" s="127"/>
      <c r="O108" s="127" t="s">
        <v>174</v>
      </c>
      <c r="P108" s="127" t="s">
        <v>207</v>
      </c>
      <c r="Q108" s="127"/>
      <c r="R108" s="127"/>
      <c r="S108" s="127" t="s">
        <v>186</v>
      </c>
      <c r="T108" s="127" t="s">
        <v>187</v>
      </c>
      <c r="U108" s="127" t="s">
        <v>188</v>
      </c>
      <c r="V108" s="127" t="s">
        <v>167</v>
      </c>
      <c r="W108" s="127" t="s">
        <v>212</v>
      </c>
      <c r="X108" s="127" t="s">
        <v>188</v>
      </c>
      <c r="Y108" s="127"/>
      <c r="Z108" s="127"/>
      <c r="AA108" s="127" t="s">
        <v>36</v>
      </c>
      <c r="AB108" s="127" t="s">
        <v>190</v>
      </c>
      <c r="AC108" s="127">
        <v>2011</v>
      </c>
      <c r="AD108" s="127" t="s">
        <v>53</v>
      </c>
      <c r="AE108" s="127">
        <v>1</v>
      </c>
      <c r="AF108" s="127"/>
    </row>
    <row r="109" spans="1:32" x14ac:dyDescent="0.3">
      <c r="A109" t="s">
        <v>167</v>
      </c>
      <c r="B109" t="s">
        <v>208</v>
      </c>
      <c r="C109" t="s">
        <v>125</v>
      </c>
      <c r="D109" t="s">
        <v>170</v>
      </c>
      <c r="E109" t="s">
        <v>322</v>
      </c>
      <c r="F109" s="133">
        <v>46248.44027777778</v>
      </c>
      <c r="G109" t="s">
        <v>317</v>
      </c>
      <c r="H109">
        <v>7</v>
      </c>
      <c r="I109" t="s">
        <v>318</v>
      </c>
      <c r="J109" s="133">
        <v>46248.633333333331</v>
      </c>
      <c r="K109" s="133">
        <v>46258.661111111112</v>
      </c>
      <c r="L109" s="133"/>
      <c r="M109">
        <v>7</v>
      </c>
      <c r="O109" t="s">
        <v>174</v>
      </c>
      <c r="P109" t="s">
        <v>207</v>
      </c>
      <c r="S109" t="s">
        <v>186</v>
      </c>
      <c r="T109" t="s">
        <v>187</v>
      </c>
      <c r="U109" t="s">
        <v>188</v>
      </c>
      <c r="V109" t="s">
        <v>167</v>
      </c>
      <c r="W109" t="s">
        <v>212</v>
      </c>
      <c r="X109" t="s">
        <v>188</v>
      </c>
      <c r="AA109" t="s">
        <v>36</v>
      </c>
      <c r="AB109" t="s">
        <v>190</v>
      </c>
      <c r="AC109">
        <v>2011</v>
      </c>
      <c r="AD109" t="s">
        <v>53</v>
      </c>
      <c r="AE109">
        <v>1</v>
      </c>
    </row>
    <row r="110" spans="1:32" x14ac:dyDescent="0.3">
      <c r="A110" s="127" t="s">
        <v>167</v>
      </c>
      <c r="B110" s="127" t="s">
        <v>208</v>
      </c>
      <c r="C110" s="127" t="s">
        <v>125</v>
      </c>
      <c r="D110" s="127" t="s">
        <v>170</v>
      </c>
      <c r="E110" s="127" t="s">
        <v>323</v>
      </c>
      <c r="F110" s="132">
        <v>46251.316620370373</v>
      </c>
      <c r="G110" s="127" t="s">
        <v>317</v>
      </c>
      <c r="H110" s="127">
        <v>11</v>
      </c>
      <c r="I110" s="127" t="s">
        <v>324</v>
      </c>
      <c r="J110" s="132">
        <v>46251.354166666664</v>
      </c>
      <c r="K110" s="132">
        <v>46262.636111111111</v>
      </c>
      <c r="L110" s="132"/>
      <c r="M110" s="127">
        <v>11</v>
      </c>
      <c r="N110" s="127"/>
      <c r="O110" s="127" t="s">
        <v>174</v>
      </c>
      <c r="P110" s="127" t="s">
        <v>207</v>
      </c>
      <c r="Q110" s="127"/>
      <c r="R110" s="127"/>
      <c r="S110" s="127" t="s">
        <v>186</v>
      </c>
      <c r="T110" s="127" t="s">
        <v>187</v>
      </c>
      <c r="U110" s="127" t="s">
        <v>188</v>
      </c>
      <c r="V110" s="127" t="s">
        <v>167</v>
      </c>
      <c r="W110" s="127" t="s">
        <v>212</v>
      </c>
      <c r="X110" s="127" t="s">
        <v>188</v>
      </c>
      <c r="Y110" s="127">
        <v>0</v>
      </c>
      <c r="Z110" s="127"/>
      <c r="AA110" s="127" t="s">
        <v>36</v>
      </c>
      <c r="AB110" s="127" t="s">
        <v>190</v>
      </c>
      <c r="AC110" s="127">
        <v>2011</v>
      </c>
      <c r="AD110" s="127" t="s">
        <v>53</v>
      </c>
      <c r="AE110" s="127">
        <v>1.1000000000000001</v>
      </c>
      <c r="AF110" s="127">
        <v>1</v>
      </c>
    </row>
    <row r="111" spans="1:32" x14ac:dyDescent="0.3">
      <c r="A111" t="s">
        <v>167</v>
      </c>
      <c r="B111" t="s">
        <v>208</v>
      </c>
      <c r="C111" t="s">
        <v>125</v>
      </c>
      <c r="D111" t="s">
        <v>170</v>
      </c>
      <c r="E111" t="s">
        <v>325</v>
      </c>
      <c r="F111" s="133">
        <v>46252.496122685188</v>
      </c>
      <c r="G111" t="s">
        <v>294</v>
      </c>
      <c r="H111">
        <v>20</v>
      </c>
      <c r="I111" t="s">
        <v>326</v>
      </c>
      <c r="J111" s="133">
        <v>46252.664583333331</v>
      </c>
      <c r="K111" s="133">
        <v>46266.494444444441</v>
      </c>
      <c r="L111" s="133"/>
      <c r="M111">
        <v>20</v>
      </c>
      <c r="O111" t="s">
        <v>174</v>
      </c>
      <c r="P111" t="s">
        <v>207</v>
      </c>
      <c r="S111" t="s">
        <v>240</v>
      </c>
      <c r="T111" t="s">
        <v>241</v>
      </c>
      <c r="U111" t="s">
        <v>242</v>
      </c>
      <c r="V111" t="s">
        <v>167</v>
      </c>
      <c r="W111" t="s">
        <v>212</v>
      </c>
      <c r="X111" t="s">
        <v>188</v>
      </c>
      <c r="AA111" t="s">
        <v>36</v>
      </c>
      <c r="AB111" t="s">
        <v>240</v>
      </c>
      <c r="AD111" t="s">
        <v>53</v>
      </c>
      <c r="AE111">
        <v>2</v>
      </c>
      <c r="AF111">
        <v>1</v>
      </c>
    </row>
    <row r="112" spans="1:32" x14ac:dyDescent="0.3">
      <c r="A112" s="127" t="s">
        <v>167</v>
      </c>
      <c r="B112" s="127" t="s">
        <v>208</v>
      </c>
      <c r="C112" s="127" t="s">
        <v>125</v>
      </c>
      <c r="D112" s="127" t="s">
        <v>170</v>
      </c>
      <c r="E112" s="127" t="s">
        <v>327</v>
      </c>
      <c r="F112" s="132">
        <v>46252.496145833335</v>
      </c>
      <c r="G112" s="127" t="s">
        <v>284</v>
      </c>
      <c r="H112" s="127">
        <v>2</v>
      </c>
      <c r="I112" s="127" t="s">
        <v>328</v>
      </c>
      <c r="J112" s="132">
        <v>46252.696527777778</v>
      </c>
      <c r="K112" s="132">
        <v>46266.494444444441</v>
      </c>
      <c r="L112" s="132"/>
      <c r="M112" s="127">
        <v>2</v>
      </c>
      <c r="N112" s="127"/>
      <c r="O112" s="127" t="s">
        <v>174</v>
      </c>
      <c r="P112" s="127" t="s">
        <v>207</v>
      </c>
      <c r="Q112" s="127"/>
      <c r="R112" s="127"/>
      <c r="S112" s="127" t="s">
        <v>240</v>
      </c>
      <c r="T112" s="127" t="s">
        <v>241</v>
      </c>
      <c r="U112" s="127" t="s">
        <v>242</v>
      </c>
      <c r="V112" s="127" t="s">
        <v>167</v>
      </c>
      <c r="W112" s="127" t="s">
        <v>212</v>
      </c>
      <c r="X112" s="127" t="s">
        <v>188</v>
      </c>
      <c r="Y112" s="127"/>
      <c r="Z112" s="127"/>
      <c r="AA112" s="127" t="s">
        <v>36</v>
      </c>
      <c r="AB112" s="127" t="s">
        <v>240</v>
      </c>
      <c r="AC112" s="127"/>
      <c r="AD112" s="127" t="s">
        <v>53</v>
      </c>
      <c r="AE112" s="127">
        <v>1</v>
      </c>
      <c r="AF112" s="127"/>
    </row>
    <row r="113" spans="1:32" x14ac:dyDescent="0.3">
      <c r="A113" t="s">
        <v>167</v>
      </c>
      <c r="B113" t="s">
        <v>208</v>
      </c>
      <c r="C113" t="s">
        <v>125</v>
      </c>
      <c r="D113" t="s">
        <v>170</v>
      </c>
      <c r="E113" t="s">
        <v>329</v>
      </c>
      <c r="F113" s="133">
        <v>46252.655300925922</v>
      </c>
      <c r="G113" t="s">
        <v>284</v>
      </c>
      <c r="H113">
        <v>12</v>
      </c>
      <c r="I113" t="s">
        <v>330</v>
      </c>
      <c r="J113" s="133">
        <v>46252.70208333333</v>
      </c>
      <c r="K113" s="133">
        <v>46266.494444444441</v>
      </c>
      <c r="L113" s="133"/>
      <c r="M113">
        <v>12</v>
      </c>
      <c r="O113" t="s">
        <v>174</v>
      </c>
      <c r="P113" t="s">
        <v>207</v>
      </c>
      <c r="S113" t="s">
        <v>240</v>
      </c>
      <c r="T113" t="s">
        <v>241</v>
      </c>
      <c r="U113" t="s">
        <v>242</v>
      </c>
      <c r="V113" t="s">
        <v>167</v>
      </c>
      <c r="W113" t="s">
        <v>212</v>
      </c>
      <c r="X113" t="s">
        <v>188</v>
      </c>
      <c r="AA113" t="s">
        <v>36</v>
      </c>
      <c r="AB113" t="s">
        <v>240</v>
      </c>
      <c r="AD113" t="s">
        <v>53</v>
      </c>
      <c r="AE113">
        <v>1.2</v>
      </c>
    </row>
    <row r="114" spans="1:32" x14ac:dyDescent="0.3">
      <c r="A114" s="127" t="s">
        <v>167</v>
      </c>
      <c r="B114" s="127" t="s">
        <v>191</v>
      </c>
      <c r="C114" s="127" t="s">
        <v>192</v>
      </c>
      <c r="D114" s="127" t="s">
        <v>170</v>
      </c>
      <c r="E114" s="127" t="s">
        <v>331</v>
      </c>
      <c r="F114" s="132">
        <v>46288.572847222225</v>
      </c>
      <c r="G114" s="127" t="s">
        <v>225</v>
      </c>
      <c r="H114" s="127">
        <v>10</v>
      </c>
      <c r="I114" s="127" t="s">
        <v>332</v>
      </c>
      <c r="J114" s="132">
        <v>46288.582638888889</v>
      </c>
      <c r="K114" s="132">
        <v>46288.668749999997</v>
      </c>
      <c r="L114" s="132"/>
      <c r="M114" s="127">
        <v>10</v>
      </c>
      <c r="N114" s="127"/>
      <c r="O114" s="127" t="s">
        <v>174</v>
      </c>
      <c r="P114" s="127" t="s">
        <v>175</v>
      </c>
      <c r="Q114" s="127"/>
      <c r="R114" s="127"/>
      <c r="S114" s="127" t="s">
        <v>186</v>
      </c>
      <c r="T114" s="127" t="s">
        <v>187</v>
      </c>
      <c r="U114" s="127" t="s">
        <v>188</v>
      </c>
      <c r="V114" s="127" t="s">
        <v>179</v>
      </c>
      <c r="W114" s="127" t="s">
        <v>179</v>
      </c>
      <c r="X114" s="127" t="s">
        <v>179</v>
      </c>
      <c r="Y114" s="127"/>
      <c r="Z114" s="127"/>
      <c r="AA114" s="127" t="s">
        <v>193</v>
      </c>
      <c r="AB114" s="127" t="s">
        <v>190</v>
      </c>
      <c r="AC114" s="127">
        <v>2011</v>
      </c>
      <c r="AD114" s="127" t="s">
        <v>64</v>
      </c>
      <c r="AE114" s="127">
        <v>10</v>
      </c>
      <c r="AF114" s="127"/>
    </row>
    <row r="115" spans="1:32" x14ac:dyDescent="0.3">
      <c r="A115" t="s">
        <v>167</v>
      </c>
      <c r="B115" t="s">
        <v>181</v>
      </c>
      <c r="C115" t="s">
        <v>182</v>
      </c>
      <c r="D115" t="s">
        <v>170</v>
      </c>
      <c r="E115" t="s">
        <v>331</v>
      </c>
      <c r="F115" s="133">
        <v>46288.572847222225</v>
      </c>
      <c r="G115" t="s">
        <v>225</v>
      </c>
      <c r="H115">
        <v>10</v>
      </c>
      <c r="I115" t="s">
        <v>332</v>
      </c>
      <c r="J115" s="133">
        <v>46288.582638888889</v>
      </c>
      <c r="K115" s="133">
        <v>46288.668749999997</v>
      </c>
      <c r="L115" s="133">
        <v>46288.668749999997</v>
      </c>
      <c r="M115">
        <v>10</v>
      </c>
      <c r="O115" t="s">
        <v>174</v>
      </c>
      <c r="P115" t="s">
        <v>175</v>
      </c>
      <c r="S115" t="s">
        <v>186</v>
      </c>
      <c r="T115" t="s">
        <v>187</v>
      </c>
      <c r="U115" t="s">
        <v>188</v>
      </c>
      <c r="V115" t="s">
        <v>179</v>
      </c>
      <c r="W115" t="s">
        <v>179</v>
      </c>
      <c r="X115" t="s">
        <v>179</v>
      </c>
      <c r="AA115" t="s">
        <v>189</v>
      </c>
      <c r="AB115" t="s">
        <v>190</v>
      </c>
      <c r="AC115">
        <v>2011</v>
      </c>
      <c r="AD115" t="s">
        <v>96</v>
      </c>
      <c r="AE115">
        <v>1</v>
      </c>
    </row>
    <row r="116" spans="1:32" x14ac:dyDescent="0.3">
      <c r="A116" s="127" t="s">
        <v>167</v>
      </c>
      <c r="B116" s="127" t="s">
        <v>168</v>
      </c>
      <c r="C116" s="127" t="s">
        <v>169</v>
      </c>
      <c r="D116" s="127" t="s">
        <v>170</v>
      </c>
      <c r="E116" s="127" t="s">
        <v>331</v>
      </c>
      <c r="F116" s="132">
        <v>46288.572847222225</v>
      </c>
      <c r="G116" s="127" t="s">
        <v>225</v>
      </c>
      <c r="H116" s="127">
        <v>831</v>
      </c>
      <c r="I116" s="127" t="s">
        <v>332</v>
      </c>
      <c r="J116" s="132">
        <v>46288.582638888889</v>
      </c>
      <c r="K116" s="132">
        <v>46288.668749999997</v>
      </c>
      <c r="L116" s="132"/>
      <c r="M116" s="127">
        <v>831</v>
      </c>
      <c r="N116" s="127"/>
      <c r="O116" s="127" t="s">
        <v>174</v>
      </c>
      <c r="P116" s="127" t="s">
        <v>175</v>
      </c>
      <c r="Q116" s="127"/>
      <c r="R116" s="127"/>
      <c r="S116" s="127" t="s">
        <v>186</v>
      </c>
      <c r="T116" s="127" t="s">
        <v>187</v>
      </c>
      <c r="U116" s="127" t="s">
        <v>188</v>
      </c>
      <c r="V116" s="127" t="s">
        <v>179</v>
      </c>
      <c r="W116" s="127" t="s">
        <v>179</v>
      </c>
      <c r="X116" s="127" t="s">
        <v>179</v>
      </c>
      <c r="Y116" s="127"/>
      <c r="Z116" s="127">
        <v>1</v>
      </c>
      <c r="AA116" s="127" t="s">
        <v>88</v>
      </c>
      <c r="AB116" s="127" t="s">
        <v>190</v>
      </c>
      <c r="AC116" s="127">
        <v>2011</v>
      </c>
      <c r="AD116" s="127" t="s">
        <v>93</v>
      </c>
      <c r="AE116" s="127">
        <v>831</v>
      </c>
      <c r="AF116" s="127"/>
    </row>
    <row r="117" spans="1:32" x14ac:dyDescent="0.3">
      <c r="A117" t="s">
        <v>167</v>
      </c>
      <c r="B117" t="s">
        <v>191</v>
      </c>
      <c r="C117" t="s">
        <v>192</v>
      </c>
      <c r="D117" t="s">
        <v>170</v>
      </c>
      <c r="E117" t="s">
        <v>333</v>
      </c>
      <c r="F117" s="133">
        <v>46282.47115740741</v>
      </c>
      <c r="G117" t="s">
        <v>225</v>
      </c>
      <c r="H117">
        <v>10</v>
      </c>
      <c r="I117" t="s">
        <v>334</v>
      </c>
      <c r="J117" s="133">
        <v>46282.528912037036</v>
      </c>
      <c r="K117" s="133">
        <v>46282.667361111111</v>
      </c>
      <c r="L117" s="133"/>
      <c r="M117">
        <v>10</v>
      </c>
      <c r="O117" t="s">
        <v>174</v>
      </c>
      <c r="P117" t="s">
        <v>175</v>
      </c>
      <c r="S117" t="s">
        <v>186</v>
      </c>
      <c r="T117" t="s">
        <v>187</v>
      </c>
      <c r="U117" t="s">
        <v>188</v>
      </c>
      <c r="V117" t="s">
        <v>179</v>
      </c>
      <c r="W117" t="s">
        <v>179</v>
      </c>
      <c r="X117" t="s">
        <v>179</v>
      </c>
      <c r="AA117" t="s">
        <v>193</v>
      </c>
      <c r="AB117" t="s">
        <v>190</v>
      </c>
      <c r="AC117">
        <v>2011</v>
      </c>
      <c r="AD117" t="s">
        <v>64</v>
      </c>
      <c r="AE117">
        <v>10</v>
      </c>
    </row>
    <row r="118" spans="1:32" x14ac:dyDescent="0.3">
      <c r="A118" s="127" t="s">
        <v>167</v>
      </c>
      <c r="B118" s="127" t="s">
        <v>181</v>
      </c>
      <c r="C118" s="127" t="s">
        <v>182</v>
      </c>
      <c r="D118" s="127" t="s">
        <v>170</v>
      </c>
      <c r="E118" s="127" t="s">
        <v>333</v>
      </c>
      <c r="F118" s="132">
        <v>46282.47115740741</v>
      </c>
      <c r="G118" s="127" t="s">
        <v>225</v>
      </c>
      <c r="H118" s="127">
        <v>10</v>
      </c>
      <c r="I118" s="127" t="s">
        <v>334</v>
      </c>
      <c r="J118" s="132">
        <v>46282.528912037036</v>
      </c>
      <c r="K118" s="132">
        <v>46282.667361111111</v>
      </c>
      <c r="L118" s="132">
        <v>46282.667361111111</v>
      </c>
      <c r="M118" s="127">
        <v>10</v>
      </c>
      <c r="N118" s="127"/>
      <c r="O118" s="127" t="s">
        <v>174</v>
      </c>
      <c r="P118" s="127" t="s">
        <v>175</v>
      </c>
      <c r="Q118" s="127"/>
      <c r="R118" s="127"/>
      <c r="S118" s="127" t="s">
        <v>186</v>
      </c>
      <c r="T118" s="127" t="s">
        <v>187</v>
      </c>
      <c r="U118" s="127" t="s">
        <v>188</v>
      </c>
      <c r="V118" s="127" t="s">
        <v>179</v>
      </c>
      <c r="W118" s="127" t="s">
        <v>179</v>
      </c>
      <c r="X118" s="127" t="s">
        <v>179</v>
      </c>
      <c r="Y118" s="127"/>
      <c r="Z118" s="127"/>
      <c r="AA118" s="127" t="s">
        <v>189</v>
      </c>
      <c r="AB118" s="127" t="s">
        <v>190</v>
      </c>
      <c r="AC118" s="127">
        <v>2011</v>
      </c>
      <c r="AD118" s="127" t="s">
        <v>96</v>
      </c>
      <c r="AE118" s="127">
        <v>1</v>
      </c>
      <c r="AF118" s="127"/>
    </row>
    <row r="119" spans="1:32" x14ac:dyDescent="0.3">
      <c r="A119" t="s">
        <v>167</v>
      </c>
      <c r="B119" t="s">
        <v>168</v>
      </c>
      <c r="C119" t="s">
        <v>169</v>
      </c>
      <c r="D119" t="s">
        <v>170</v>
      </c>
      <c r="E119" t="s">
        <v>333</v>
      </c>
      <c r="F119" s="133">
        <v>46282.47115740741</v>
      </c>
      <c r="G119" t="s">
        <v>225</v>
      </c>
      <c r="H119">
        <v>753</v>
      </c>
      <c r="I119" t="s">
        <v>334</v>
      </c>
      <c r="J119" s="133">
        <v>46282.528912037036</v>
      </c>
      <c r="K119" s="133">
        <v>46282.667361111111</v>
      </c>
      <c r="L119" s="133"/>
      <c r="M119">
        <v>753</v>
      </c>
      <c r="O119" t="s">
        <v>174</v>
      </c>
      <c r="P119" t="s">
        <v>175</v>
      </c>
      <c r="S119" t="s">
        <v>186</v>
      </c>
      <c r="T119" t="s">
        <v>187</v>
      </c>
      <c r="U119" t="s">
        <v>188</v>
      </c>
      <c r="V119" t="s">
        <v>179</v>
      </c>
      <c r="W119" t="s">
        <v>179</v>
      </c>
      <c r="X119" t="s">
        <v>179</v>
      </c>
      <c r="Z119">
        <v>1</v>
      </c>
      <c r="AA119" t="s">
        <v>88</v>
      </c>
      <c r="AB119" t="s">
        <v>190</v>
      </c>
      <c r="AC119">
        <v>2011</v>
      </c>
      <c r="AD119" t="s">
        <v>93</v>
      </c>
      <c r="AE119">
        <v>753</v>
      </c>
    </row>
    <row r="120" spans="1:32" x14ac:dyDescent="0.3">
      <c r="A120" s="127" t="s">
        <v>167</v>
      </c>
      <c r="B120" s="127" t="s">
        <v>335</v>
      </c>
      <c r="C120" s="127" t="s">
        <v>125</v>
      </c>
      <c r="D120" s="127" t="s">
        <v>170</v>
      </c>
      <c r="E120" s="127" t="s">
        <v>336</v>
      </c>
      <c r="F120" s="132">
        <v>46248.419282407405</v>
      </c>
      <c r="G120" s="127" t="s">
        <v>317</v>
      </c>
      <c r="H120" s="127">
        <v>4</v>
      </c>
      <c r="I120" s="127" t="s">
        <v>337</v>
      </c>
      <c r="J120" s="132">
        <v>46251.37777777778</v>
      </c>
      <c r="K120" s="132">
        <v>46258.625</v>
      </c>
      <c r="L120" s="132"/>
      <c r="M120" s="127">
        <v>4</v>
      </c>
      <c r="N120" s="127"/>
      <c r="O120" s="127" t="s">
        <v>174</v>
      </c>
      <c r="P120" s="127" t="s">
        <v>207</v>
      </c>
      <c r="Q120" s="127"/>
      <c r="R120" s="127"/>
      <c r="S120" s="127" t="s">
        <v>186</v>
      </c>
      <c r="T120" s="127" t="s">
        <v>187</v>
      </c>
      <c r="U120" s="127" t="s">
        <v>188</v>
      </c>
      <c r="V120" s="127" t="s">
        <v>167</v>
      </c>
      <c r="W120" s="127" t="s">
        <v>212</v>
      </c>
      <c r="X120" s="127" t="s">
        <v>188</v>
      </c>
      <c r="Y120" s="127"/>
      <c r="Z120" s="127"/>
      <c r="AA120" s="127" t="s">
        <v>55</v>
      </c>
      <c r="AB120" s="127" t="s">
        <v>190</v>
      </c>
      <c r="AC120" s="127">
        <v>2011</v>
      </c>
      <c r="AD120" s="127" t="s">
        <v>53</v>
      </c>
      <c r="AE120" s="127">
        <v>1</v>
      </c>
      <c r="AF120" s="127"/>
    </row>
    <row r="121" spans="1:32" x14ac:dyDescent="0.3">
      <c r="A121" t="s">
        <v>167</v>
      </c>
      <c r="B121" t="s">
        <v>335</v>
      </c>
      <c r="C121" t="s">
        <v>125</v>
      </c>
      <c r="D121" t="s">
        <v>170</v>
      </c>
      <c r="E121" t="s">
        <v>336</v>
      </c>
      <c r="F121" s="133">
        <v>46248.419282407405</v>
      </c>
      <c r="G121" t="s">
        <v>317</v>
      </c>
      <c r="H121">
        <v>1</v>
      </c>
      <c r="I121" t="s">
        <v>338</v>
      </c>
      <c r="J121" s="133">
        <v>46266.578611111108</v>
      </c>
      <c r="K121" s="133">
        <v>46268.636805555558</v>
      </c>
      <c r="L121" s="133"/>
      <c r="M121">
        <v>1</v>
      </c>
      <c r="O121" t="s">
        <v>174</v>
      </c>
      <c r="P121" t="s">
        <v>207</v>
      </c>
      <c r="S121" t="s">
        <v>186</v>
      </c>
      <c r="T121" t="s">
        <v>187</v>
      </c>
      <c r="U121" t="s">
        <v>188</v>
      </c>
      <c r="V121" t="s">
        <v>167</v>
      </c>
      <c r="W121" t="s">
        <v>212</v>
      </c>
      <c r="X121" t="s">
        <v>188</v>
      </c>
      <c r="Y121">
        <v>0</v>
      </c>
      <c r="AA121" t="s">
        <v>55</v>
      </c>
      <c r="AB121" t="s">
        <v>190</v>
      </c>
      <c r="AC121">
        <v>2011</v>
      </c>
      <c r="AD121" t="s">
        <v>53</v>
      </c>
      <c r="AE121">
        <v>1</v>
      </c>
      <c r="AF121">
        <v>1</v>
      </c>
    </row>
    <row r="122" spans="1:32" x14ac:dyDescent="0.3">
      <c r="A122" s="127" t="s">
        <v>167</v>
      </c>
      <c r="B122" s="127" t="s">
        <v>191</v>
      </c>
      <c r="C122" s="127" t="s">
        <v>192</v>
      </c>
      <c r="D122" s="127" t="s">
        <v>170</v>
      </c>
      <c r="E122" s="127" t="s">
        <v>339</v>
      </c>
      <c r="F122" s="132">
        <v>46260.519432870373</v>
      </c>
      <c r="G122" s="127" t="s">
        <v>340</v>
      </c>
      <c r="H122" s="127">
        <v>2</v>
      </c>
      <c r="I122" s="127" t="s">
        <v>341</v>
      </c>
      <c r="J122" s="132">
        <v>46260.474999999999</v>
      </c>
      <c r="K122" s="132">
        <v>46268.831944444442</v>
      </c>
      <c r="L122" s="132"/>
      <c r="M122" s="127">
        <v>2</v>
      </c>
      <c r="N122" s="127"/>
      <c r="O122" s="127" t="s">
        <v>174</v>
      </c>
      <c r="P122" s="127" t="s">
        <v>207</v>
      </c>
      <c r="Q122" s="127"/>
      <c r="R122" s="127"/>
      <c r="S122" s="127" t="s">
        <v>186</v>
      </c>
      <c r="T122" s="127" t="s">
        <v>187</v>
      </c>
      <c r="U122" s="127" t="s">
        <v>188</v>
      </c>
      <c r="V122" s="127" t="s">
        <v>179</v>
      </c>
      <c r="W122" s="127" t="s">
        <v>179</v>
      </c>
      <c r="X122" s="127" t="s">
        <v>179</v>
      </c>
      <c r="Y122" s="127"/>
      <c r="Z122" s="127"/>
      <c r="AA122" s="127" t="s">
        <v>193</v>
      </c>
      <c r="AB122" s="127" t="s">
        <v>190</v>
      </c>
      <c r="AC122" s="127">
        <v>2011</v>
      </c>
      <c r="AD122" s="127" t="s">
        <v>64</v>
      </c>
      <c r="AE122" s="127">
        <v>2</v>
      </c>
      <c r="AF122" s="127">
        <v>1</v>
      </c>
    </row>
    <row r="123" spans="1:32" x14ac:dyDescent="0.3">
      <c r="A123" t="s">
        <v>167</v>
      </c>
      <c r="B123" t="s">
        <v>181</v>
      </c>
      <c r="C123" t="s">
        <v>182</v>
      </c>
      <c r="D123" t="s">
        <v>170</v>
      </c>
      <c r="E123" t="s">
        <v>339</v>
      </c>
      <c r="F123" s="133">
        <v>46260.519432870373</v>
      </c>
      <c r="G123" t="s">
        <v>340</v>
      </c>
      <c r="H123">
        <v>2</v>
      </c>
      <c r="I123" t="s">
        <v>341</v>
      </c>
      <c r="J123" s="133">
        <v>46260.474999999999</v>
      </c>
      <c r="K123" s="133">
        <v>46268.831944444442</v>
      </c>
      <c r="L123" s="133">
        <v>46268.831944444442</v>
      </c>
      <c r="M123">
        <v>2</v>
      </c>
      <c r="O123" t="s">
        <v>174</v>
      </c>
      <c r="P123" t="s">
        <v>175</v>
      </c>
      <c r="S123" t="s">
        <v>186</v>
      </c>
      <c r="T123" t="s">
        <v>187</v>
      </c>
      <c r="U123" t="s">
        <v>188</v>
      </c>
      <c r="V123" t="s">
        <v>179</v>
      </c>
      <c r="W123" t="s">
        <v>179</v>
      </c>
      <c r="X123" t="s">
        <v>179</v>
      </c>
      <c r="AA123" t="s">
        <v>189</v>
      </c>
      <c r="AB123" t="s">
        <v>190</v>
      </c>
      <c r="AC123">
        <v>2011</v>
      </c>
      <c r="AD123" t="s">
        <v>96</v>
      </c>
      <c r="AE123">
        <v>1</v>
      </c>
      <c r="AF123">
        <v>1</v>
      </c>
    </row>
    <row r="124" spans="1:32" x14ac:dyDescent="0.3">
      <c r="A124" s="127" t="s">
        <v>167</v>
      </c>
      <c r="B124" s="127" t="s">
        <v>168</v>
      </c>
      <c r="C124" s="127" t="s">
        <v>169</v>
      </c>
      <c r="D124" s="127" t="s">
        <v>170</v>
      </c>
      <c r="E124" s="127" t="s">
        <v>342</v>
      </c>
      <c r="F124" s="132">
        <v>46265.298750000002</v>
      </c>
      <c r="G124" s="127" t="s">
        <v>225</v>
      </c>
      <c r="H124" s="127">
        <v>704</v>
      </c>
      <c r="I124" s="127" t="s">
        <v>343</v>
      </c>
      <c r="J124" s="132">
        <v>46265.613078703704</v>
      </c>
      <c r="K124" s="132">
        <v>46267.57708333333</v>
      </c>
      <c r="L124" s="132"/>
      <c r="M124" s="127">
        <v>704</v>
      </c>
      <c r="N124" s="127"/>
      <c r="O124" s="127" t="s">
        <v>174</v>
      </c>
      <c r="P124" s="127" t="s">
        <v>175</v>
      </c>
      <c r="Q124" s="127"/>
      <c r="R124" s="127"/>
      <c r="S124" s="127" t="s">
        <v>186</v>
      </c>
      <c r="T124" s="127" t="s">
        <v>187</v>
      </c>
      <c r="U124" s="127" t="s">
        <v>188</v>
      </c>
      <c r="V124" s="127" t="s">
        <v>179</v>
      </c>
      <c r="W124" s="127" t="s">
        <v>179</v>
      </c>
      <c r="X124" s="127" t="s">
        <v>179</v>
      </c>
      <c r="Y124" s="127"/>
      <c r="Z124" s="127">
        <v>1</v>
      </c>
      <c r="AA124" s="127" t="s">
        <v>88</v>
      </c>
      <c r="AB124" s="127" t="s">
        <v>190</v>
      </c>
      <c r="AC124" s="127">
        <v>2011</v>
      </c>
      <c r="AD124" s="127" t="s">
        <v>93</v>
      </c>
      <c r="AE124" s="127">
        <v>704</v>
      </c>
      <c r="AF124" s="127">
        <v>3413.8</v>
      </c>
    </row>
    <row r="125" spans="1:32" x14ac:dyDescent="0.3">
      <c r="A125" t="s">
        <v>167</v>
      </c>
      <c r="B125" t="s">
        <v>181</v>
      </c>
      <c r="C125" t="s">
        <v>182</v>
      </c>
      <c r="D125" t="s">
        <v>170</v>
      </c>
      <c r="E125" t="s">
        <v>342</v>
      </c>
      <c r="F125" s="133">
        <v>46265.298750000002</v>
      </c>
      <c r="G125" t="s">
        <v>225</v>
      </c>
      <c r="H125">
        <v>8</v>
      </c>
      <c r="I125" t="s">
        <v>343</v>
      </c>
      <c r="J125" s="133">
        <v>46265.613078703704</v>
      </c>
      <c r="K125" s="133">
        <v>46267.57708333333</v>
      </c>
      <c r="L125" s="133">
        <v>46267.57708333333</v>
      </c>
      <c r="M125">
        <v>8</v>
      </c>
      <c r="O125" t="s">
        <v>174</v>
      </c>
      <c r="P125" t="s">
        <v>175</v>
      </c>
      <c r="S125" t="s">
        <v>186</v>
      </c>
      <c r="T125" t="s">
        <v>187</v>
      </c>
      <c r="U125" t="s">
        <v>188</v>
      </c>
      <c r="V125" t="s">
        <v>179</v>
      </c>
      <c r="W125" t="s">
        <v>179</v>
      </c>
      <c r="X125" t="s">
        <v>179</v>
      </c>
      <c r="AA125" t="s">
        <v>189</v>
      </c>
      <c r="AB125" t="s">
        <v>190</v>
      </c>
      <c r="AC125">
        <v>2011</v>
      </c>
      <c r="AD125" t="s">
        <v>96</v>
      </c>
      <c r="AE125">
        <v>1</v>
      </c>
      <c r="AF125">
        <v>7.38</v>
      </c>
    </row>
    <row r="126" spans="1:32" x14ac:dyDescent="0.3">
      <c r="A126" s="127" t="s">
        <v>167</v>
      </c>
      <c r="B126" s="127" t="s">
        <v>191</v>
      </c>
      <c r="C126" s="127" t="s">
        <v>192</v>
      </c>
      <c r="D126" s="127" t="s">
        <v>170</v>
      </c>
      <c r="E126" s="127" t="s">
        <v>342</v>
      </c>
      <c r="F126" s="132">
        <v>46265.298750000002</v>
      </c>
      <c r="G126" s="127" t="s">
        <v>225</v>
      </c>
      <c r="H126" s="127">
        <v>8</v>
      </c>
      <c r="I126" s="127" t="s">
        <v>343</v>
      </c>
      <c r="J126" s="132">
        <v>46265.613078703704</v>
      </c>
      <c r="K126" s="132">
        <v>46267.57708333333</v>
      </c>
      <c r="L126" s="132"/>
      <c r="M126" s="127">
        <v>8</v>
      </c>
      <c r="N126" s="127"/>
      <c r="O126" s="127" t="s">
        <v>174</v>
      </c>
      <c r="P126" s="127" t="s">
        <v>207</v>
      </c>
      <c r="Q126" s="127"/>
      <c r="R126" s="127"/>
      <c r="S126" s="127" t="s">
        <v>186</v>
      </c>
      <c r="T126" s="127" t="s">
        <v>187</v>
      </c>
      <c r="U126" s="127" t="s">
        <v>188</v>
      </c>
      <c r="V126" s="127" t="s">
        <v>179</v>
      </c>
      <c r="W126" s="127" t="s">
        <v>179</v>
      </c>
      <c r="X126" s="127" t="s">
        <v>179</v>
      </c>
      <c r="Y126" s="127"/>
      <c r="Z126" s="127"/>
      <c r="AA126" s="127" t="s">
        <v>193</v>
      </c>
      <c r="AB126" s="127" t="s">
        <v>190</v>
      </c>
      <c r="AC126" s="127">
        <v>2011</v>
      </c>
      <c r="AD126" s="127" t="s">
        <v>64</v>
      </c>
      <c r="AE126" s="127">
        <v>8</v>
      </c>
      <c r="AF126" s="127">
        <v>73.2</v>
      </c>
    </row>
    <row r="127" spans="1:32" x14ac:dyDescent="0.3">
      <c r="A127" t="s">
        <v>167</v>
      </c>
      <c r="B127" t="s">
        <v>168</v>
      </c>
      <c r="C127" t="s">
        <v>169</v>
      </c>
      <c r="D127" t="s">
        <v>170</v>
      </c>
      <c r="E127" t="s">
        <v>344</v>
      </c>
      <c r="F127" s="133">
        <v>46265.323101851849</v>
      </c>
      <c r="G127" t="s">
        <v>225</v>
      </c>
      <c r="H127">
        <v>866</v>
      </c>
      <c r="I127" t="s">
        <v>345</v>
      </c>
      <c r="J127" s="133">
        <v>46265.62027777778</v>
      </c>
      <c r="K127" s="133">
        <v>46266.662499999999</v>
      </c>
      <c r="L127" s="133"/>
      <c r="M127">
        <v>866</v>
      </c>
      <c r="O127" t="s">
        <v>174</v>
      </c>
      <c r="P127" t="s">
        <v>175</v>
      </c>
      <c r="S127" t="s">
        <v>186</v>
      </c>
      <c r="T127" t="s">
        <v>187</v>
      </c>
      <c r="U127" t="s">
        <v>188</v>
      </c>
      <c r="V127" t="s">
        <v>179</v>
      </c>
      <c r="W127" t="s">
        <v>179</v>
      </c>
      <c r="X127" t="s">
        <v>179</v>
      </c>
      <c r="Z127">
        <v>1</v>
      </c>
      <c r="AA127" t="s">
        <v>88</v>
      </c>
      <c r="AB127" t="s">
        <v>190</v>
      </c>
      <c r="AC127">
        <v>2011</v>
      </c>
      <c r="AD127" t="s">
        <v>93</v>
      </c>
      <c r="AE127">
        <v>866</v>
      </c>
    </row>
    <row r="128" spans="1:32" x14ac:dyDescent="0.3">
      <c r="A128" s="127" t="s">
        <v>167</v>
      </c>
      <c r="B128" s="127" t="s">
        <v>181</v>
      </c>
      <c r="C128" s="127" t="s">
        <v>182</v>
      </c>
      <c r="D128" s="127" t="s">
        <v>170</v>
      </c>
      <c r="E128" s="127" t="s">
        <v>344</v>
      </c>
      <c r="F128" s="132">
        <v>46265.323101851849</v>
      </c>
      <c r="G128" s="127" t="s">
        <v>225</v>
      </c>
      <c r="H128" s="127">
        <v>18</v>
      </c>
      <c r="I128" s="127" t="s">
        <v>345</v>
      </c>
      <c r="J128" s="132">
        <v>46265.62027777778</v>
      </c>
      <c r="K128" s="132">
        <v>46266.662499999999</v>
      </c>
      <c r="L128" s="132">
        <v>46266.662499999999</v>
      </c>
      <c r="M128" s="127">
        <v>18</v>
      </c>
      <c r="N128" s="127"/>
      <c r="O128" s="127" t="s">
        <v>174</v>
      </c>
      <c r="P128" s="127" t="s">
        <v>175</v>
      </c>
      <c r="Q128" s="127"/>
      <c r="R128" s="127"/>
      <c r="S128" s="127" t="s">
        <v>186</v>
      </c>
      <c r="T128" s="127" t="s">
        <v>187</v>
      </c>
      <c r="U128" s="127" t="s">
        <v>188</v>
      </c>
      <c r="V128" s="127" t="s">
        <v>179</v>
      </c>
      <c r="W128" s="127" t="s">
        <v>179</v>
      </c>
      <c r="X128" s="127" t="s">
        <v>179</v>
      </c>
      <c r="Y128" s="127"/>
      <c r="Z128" s="127"/>
      <c r="AA128" s="127" t="s">
        <v>189</v>
      </c>
      <c r="AB128" s="127" t="s">
        <v>190</v>
      </c>
      <c r="AC128" s="127">
        <v>2011</v>
      </c>
      <c r="AD128" s="127" t="s">
        <v>96</v>
      </c>
      <c r="AE128" s="127">
        <v>1.8</v>
      </c>
      <c r="AF128" s="127"/>
    </row>
    <row r="129" spans="1:32" x14ac:dyDescent="0.3">
      <c r="A129" t="s">
        <v>167</v>
      </c>
      <c r="B129" t="s">
        <v>191</v>
      </c>
      <c r="C129" t="s">
        <v>192</v>
      </c>
      <c r="D129" t="s">
        <v>170</v>
      </c>
      <c r="E129" t="s">
        <v>344</v>
      </c>
      <c r="F129" s="133">
        <v>46259.587731481479</v>
      </c>
      <c r="G129" t="s">
        <v>225</v>
      </c>
      <c r="H129">
        <v>18</v>
      </c>
      <c r="I129" t="s">
        <v>345</v>
      </c>
      <c r="J129" s="133">
        <v>46265.62027777778</v>
      </c>
      <c r="K129" s="133">
        <v>46266.662499999999</v>
      </c>
      <c r="L129" s="133"/>
      <c r="M129">
        <v>18</v>
      </c>
      <c r="O129" t="s">
        <v>174</v>
      </c>
      <c r="P129" t="s">
        <v>207</v>
      </c>
      <c r="S129" t="s">
        <v>186</v>
      </c>
      <c r="T129" t="s">
        <v>187</v>
      </c>
      <c r="U129" t="s">
        <v>188</v>
      </c>
      <c r="V129" t="s">
        <v>179</v>
      </c>
      <c r="W129" t="s">
        <v>179</v>
      </c>
      <c r="X129" t="s">
        <v>179</v>
      </c>
      <c r="AA129" t="s">
        <v>193</v>
      </c>
      <c r="AB129" t="s">
        <v>190</v>
      </c>
      <c r="AC129">
        <v>2011</v>
      </c>
      <c r="AD129" t="s">
        <v>64</v>
      </c>
      <c r="AE129">
        <v>18</v>
      </c>
    </row>
    <row r="130" spans="1:32" x14ac:dyDescent="0.3">
      <c r="A130" s="127" t="s">
        <v>167</v>
      </c>
      <c r="B130" s="127" t="s">
        <v>191</v>
      </c>
      <c r="C130" s="127" t="s">
        <v>192</v>
      </c>
      <c r="D130" s="127" t="s">
        <v>170</v>
      </c>
      <c r="E130" s="127" t="s">
        <v>346</v>
      </c>
      <c r="F130" s="132">
        <v>46217.458252314813</v>
      </c>
      <c r="G130" s="127" t="s">
        <v>236</v>
      </c>
      <c r="H130" s="127">
        <v>718</v>
      </c>
      <c r="I130" s="127" t="s">
        <v>347</v>
      </c>
      <c r="J130" s="132">
        <v>46217.700694444444</v>
      </c>
      <c r="K130" s="132">
        <v>46267.584027777775</v>
      </c>
      <c r="L130" s="132"/>
      <c r="M130" s="127">
        <v>718</v>
      </c>
      <c r="N130" s="127"/>
      <c r="O130" s="127" t="s">
        <v>174</v>
      </c>
      <c r="P130" s="127" t="s">
        <v>207</v>
      </c>
      <c r="Q130" s="127"/>
      <c r="R130" s="127"/>
      <c r="S130" s="127" t="s">
        <v>186</v>
      </c>
      <c r="T130" s="127" t="s">
        <v>187</v>
      </c>
      <c r="U130" s="127" t="s">
        <v>188</v>
      </c>
      <c r="V130" s="127" t="s">
        <v>179</v>
      </c>
      <c r="W130" s="127" t="s">
        <v>179</v>
      </c>
      <c r="X130" s="127" t="s">
        <v>179</v>
      </c>
      <c r="Y130" s="127"/>
      <c r="Z130" s="127"/>
      <c r="AA130" s="127" t="s">
        <v>193</v>
      </c>
      <c r="AB130" s="127" t="s">
        <v>190</v>
      </c>
      <c r="AC130" s="127">
        <v>2011</v>
      </c>
      <c r="AD130" s="127" t="s">
        <v>64</v>
      </c>
      <c r="AE130" s="127">
        <v>718</v>
      </c>
      <c r="AF130" s="127"/>
    </row>
    <row r="131" spans="1:32" x14ac:dyDescent="0.3">
      <c r="A131" t="s">
        <v>167</v>
      </c>
      <c r="B131" t="s">
        <v>181</v>
      </c>
      <c r="C131" t="s">
        <v>182</v>
      </c>
      <c r="D131" t="s">
        <v>170</v>
      </c>
      <c r="E131" t="s">
        <v>346</v>
      </c>
      <c r="F131" s="133">
        <v>46217.458252314813</v>
      </c>
      <c r="G131" t="s">
        <v>236</v>
      </c>
      <c r="H131">
        <v>718</v>
      </c>
      <c r="I131" t="s">
        <v>347</v>
      </c>
      <c r="J131" s="133">
        <v>46217.700694444444</v>
      </c>
      <c r="K131" s="133">
        <v>46267.584027777775</v>
      </c>
      <c r="L131" s="133">
        <v>46267.584027777775</v>
      </c>
      <c r="M131">
        <v>718</v>
      </c>
      <c r="O131" t="s">
        <v>174</v>
      </c>
      <c r="P131" t="s">
        <v>175</v>
      </c>
      <c r="S131" t="s">
        <v>186</v>
      </c>
      <c r="T131" t="s">
        <v>187</v>
      </c>
      <c r="U131" t="s">
        <v>188</v>
      </c>
      <c r="V131" t="s">
        <v>179</v>
      </c>
      <c r="W131" t="s">
        <v>179</v>
      </c>
      <c r="X131" t="s">
        <v>179</v>
      </c>
      <c r="AA131" t="s">
        <v>189</v>
      </c>
      <c r="AB131" t="s">
        <v>190</v>
      </c>
      <c r="AC131">
        <v>2011</v>
      </c>
      <c r="AD131" t="s">
        <v>96</v>
      </c>
      <c r="AE131">
        <v>71.8</v>
      </c>
    </row>
    <row r="132" spans="1:32" x14ac:dyDescent="0.3">
      <c r="A132" s="127" t="s">
        <v>167</v>
      </c>
      <c r="B132" s="127" t="s">
        <v>168</v>
      </c>
      <c r="C132" s="127" t="s">
        <v>348</v>
      </c>
      <c r="D132" s="127" t="s">
        <v>170</v>
      </c>
      <c r="E132" s="127" t="s">
        <v>346</v>
      </c>
      <c r="F132" s="132">
        <v>46217.458252314813</v>
      </c>
      <c r="G132" s="127" t="s">
        <v>236</v>
      </c>
      <c r="H132" s="127">
        <v>6</v>
      </c>
      <c r="I132" s="127" t="s">
        <v>347</v>
      </c>
      <c r="J132" s="132">
        <v>46217.700694444444</v>
      </c>
      <c r="K132" s="132">
        <v>46267.584027777775</v>
      </c>
      <c r="L132" s="132"/>
      <c r="M132" s="127">
        <v>6</v>
      </c>
      <c r="N132" s="127"/>
      <c r="O132" s="127" t="s">
        <v>174</v>
      </c>
      <c r="P132" s="127" t="s">
        <v>207</v>
      </c>
      <c r="Q132" s="127"/>
      <c r="R132" s="127"/>
      <c r="S132" s="127" t="s">
        <v>186</v>
      </c>
      <c r="T132" s="127" t="s">
        <v>187</v>
      </c>
      <c r="U132" s="127" t="s">
        <v>188</v>
      </c>
      <c r="V132" s="127" t="s">
        <v>179</v>
      </c>
      <c r="W132" s="127" t="s">
        <v>179</v>
      </c>
      <c r="X132" s="127" t="s">
        <v>179</v>
      </c>
      <c r="Y132" s="127"/>
      <c r="Z132" s="127">
        <v>2</v>
      </c>
      <c r="AA132" s="127" t="s">
        <v>88</v>
      </c>
      <c r="AB132" s="127" t="s">
        <v>190</v>
      </c>
      <c r="AC132" s="127">
        <v>2011</v>
      </c>
      <c r="AD132" s="127" t="s">
        <v>93</v>
      </c>
      <c r="AE132" s="127">
        <v>12</v>
      </c>
      <c r="AF132" s="127"/>
    </row>
    <row r="133" spans="1:32" x14ac:dyDescent="0.3">
      <c r="A133" t="s">
        <v>167</v>
      </c>
      <c r="B133" t="s">
        <v>168</v>
      </c>
      <c r="C133" t="s">
        <v>169</v>
      </c>
      <c r="D133" t="s">
        <v>170</v>
      </c>
      <c r="E133" t="s">
        <v>346</v>
      </c>
      <c r="F133" s="133">
        <v>46217.458252314813</v>
      </c>
      <c r="G133" t="s">
        <v>236</v>
      </c>
      <c r="H133">
        <v>32926</v>
      </c>
      <c r="I133" t="s">
        <v>347</v>
      </c>
      <c r="J133" s="133">
        <v>46217.700694444444</v>
      </c>
      <c r="K133" s="133">
        <v>46267.584027777775</v>
      </c>
      <c r="L133" s="133"/>
      <c r="M133">
        <v>32926</v>
      </c>
      <c r="O133" t="s">
        <v>251</v>
      </c>
      <c r="S133" t="s">
        <v>186</v>
      </c>
      <c r="T133" t="s">
        <v>187</v>
      </c>
      <c r="U133" t="s">
        <v>188</v>
      </c>
      <c r="V133" t="s">
        <v>179</v>
      </c>
      <c r="W133" t="s">
        <v>179</v>
      </c>
      <c r="X133" t="s">
        <v>179</v>
      </c>
      <c r="Z133">
        <v>1</v>
      </c>
      <c r="AA133" t="s">
        <v>88</v>
      </c>
      <c r="AB133" t="s">
        <v>190</v>
      </c>
      <c r="AC133">
        <v>2011</v>
      </c>
      <c r="AD133" t="s">
        <v>93</v>
      </c>
      <c r="AE133">
        <v>32926</v>
      </c>
    </row>
    <row r="134" spans="1:32" x14ac:dyDescent="0.3">
      <c r="A134" s="127" t="s">
        <v>167</v>
      </c>
      <c r="B134" s="127" t="s">
        <v>208</v>
      </c>
      <c r="C134" s="127" t="s">
        <v>125</v>
      </c>
      <c r="D134" s="127" t="s">
        <v>170</v>
      </c>
      <c r="E134" s="127" t="s">
        <v>349</v>
      </c>
      <c r="F134" s="132">
        <v>46150.61824074074</v>
      </c>
      <c r="G134" s="127" t="s">
        <v>210</v>
      </c>
      <c r="H134" s="127">
        <v>1</v>
      </c>
      <c r="I134" s="127" t="s">
        <v>211</v>
      </c>
      <c r="J134" s="132">
        <v>46153.402083333334</v>
      </c>
      <c r="K134" s="132">
        <v>46154.5</v>
      </c>
      <c r="L134" s="132"/>
      <c r="M134" s="127">
        <v>1</v>
      </c>
      <c r="N134" s="127"/>
      <c r="O134" s="127" t="s">
        <v>174</v>
      </c>
      <c r="P134" s="127" t="s">
        <v>175</v>
      </c>
      <c r="Q134" s="127"/>
      <c r="R134" s="127"/>
      <c r="S134" s="127" t="s">
        <v>186</v>
      </c>
      <c r="T134" s="127" t="s">
        <v>187</v>
      </c>
      <c r="U134" s="127" t="s">
        <v>188</v>
      </c>
      <c r="V134" s="127" t="s">
        <v>167</v>
      </c>
      <c r="W134" s="127" t="s">
        <v>212</v>
      </c>
      <c r="X134" s="127" t="s">
        <v>188</v>
      </c>
      <c r="Y134" s="127"/>
      <c r="Z134" s="127"/>
      <c r="AA134" s="127" t="s">
        <v>36</v>
      </c>
      <c r="AB134" s="127" t="s">
        <v>190</v>
      </c>
      <c r="AC134" s="127">
        <v>2011</v>
      </c>
      <c r="AD134" s="127" t="s">
        <v>53</v>
      </c>
      <c r="AE134" s="127">
        <v>1</v>
      </c>
      <c r="AF134" s="127"/>
    </row>
    <row r="135" spans="1:32" x14ac:dyDescent="0.3">
      <c r="A135" t="s">
        <v>167</v>
      </c>
      <c r="B135" t="s">
        <v>208</v>
      </c>
      <c r="C135" t="s">
        <v>125</v>
      </c>
      <c r="D135" t="s">
        <v>170</v>
      </c>
      <c r="E135" t="s">
        <v>350</v>
      </c>
      <c r="F135" s="133">
        <v>46150.617835648147</v>
      </c>
      <c r="G135" t="s">
        <v>210</v>
      </c>
      <c r="H135">
        <v>1</v>
      </c>
      <c r="I135" t="s">
        <v>211</v>
      </c>
      <c r="J135" s="133">
        <v>46153.402083333334</v>
      </c>
      <c r="K135" s="133">
        <v>46154.5</v>
      </c>
      <c r="L135" s="133"/>
      <c r="M135">
        <v>1</v>
      </c>
      <c r="O135" t="s">
        <v>174</v>
      </c>
      <c r="P135" t="s">
        <v>175</v>
      </c>
      <c r="S135" t="s">
        <v>186</v>
      </c>
      <c r="T135" t="s">
        <v>187</v>
      </c>
      <c r="U135" t="s">
        <v>188</v>
      </c>
      <c r="V135" t="s">
        <v>167</v>
      </c>
      <c r="W135" t="s">
        <v>212</v>
      </c>
      <c r="X135" t="s">
        <v>188</v>
      </c>
      <c r="AA135" t="s">
        <v>36</v>
      </c>
      <c r="AB135" t="s">
        <v>190</v>
      </c>
      <c r="AC135">
        <v>2011</v>
      </c>
      <c r="AD135" t="s">
        <v>53</v>
      </c>
      <c r="AE135">
        <v>1</v>
      </c>
    </row>
    <row r="136" spans="1:32" x14ac:dyDescent="0.3">
      <c r="A136" s="127" t="s">
        <v>167</v>
      </c>
      <c r="B136" s="127" t="s">
        <v>208</v>
      </c>
      <c r="C136" s="127" t="s">
        <v>125</v>
      </c>
      <c r="D136" s="127" t="s">
        <v>170</v>
      </c>
      <c r="E136" s="127" t="s">
        <v>351</v>
      </c>
      <c r="F136" s="132">
        <v>46150.617430555554</v>
      </c>
      <c r="G136" s="127" t="s">
        <v>210</v>
      </c>
      <c r="H136" s="127">
        <v>1</v>
      </c>
      <c r="I136" s="127" t="s">
        <v>211</v>
      </c>
      <c r="J136" s="132">
        <v>46153.402083333334</v>
      </c>
      <c r="K136" s="132">
        <v>46154.5</v>
      </c>
      <c r="L136" s="132"/>
      <c r="M136" s="127">
        <v>1</v>
      </c>
      <c r="N136" s="127"/>
      <c r="O136" s="127" t="s">
        <v>174</v>
      </c>
      <c r="P136" s="127" t="s">
        <v>175</v>
      </c>
      <c r="Q136" s="127"/>
      <c r="R136" s="127"/>
      <c r="S136" s="127" t="s">
        <v>186</v>
      </c>
      <c r="T136" s="127" t="s">
        <v>187</v>
      </c>
      <c r="U136" s="127" t="s">
        <v>188</v>
      </c>
      <c r="V136" s="127" t="s">
        <v>167</v>
      </c>
      <c r="W136" s="127" t="s">
        <v>212</v>
      </c>
      <c r="X136" s="127" t="s">
        <v>188</v>
      </c>
      <c r="Y136" s="127"/>
      <c r="Z136" s="127"/>
      <c r="AA136" s="127" t="s">
        <v>36</v>
      </c>
      <c r="AB136" s="127" t="s">
        <v>190</v>
      </c>
      <c r="AC136" s="127">
        <v>2011</v>
      </c>
      <c r="AD136" s="127" t="s">
        <v>53</v>
      </c>
      <c r="AE136" s="127">
        <v>1</v>
      </c>
      <c r="AF136" s="127"/>
    </row>
    <row r="137" spans="1:32" x14ac:dyDescent="0.3">
      <c r="A137" t="s">
        <v>167</v>
      </c>
      <c r="B137" t="s">
        <v>208</v>
      </c>
      <c r="C137" t="s">
        <v>125</v>
      </c>
      <c r="D137" t="s">
        <v>170</v>
      </c>
      <c r="E137" t="s">
        <v>352</v>
      </c>
      <c r="F137" s="133">
        <v>46150.616747685184</v>
      </c>
      <c r="G137" t="s">
        <v>210</v>
      </c>
      <c r="H137">
        <v>1</v>
      </c>
      <c r="I137" t="s">
        <v>211</v>
      </c>
      <c r="J137" s="133">
        <v>46153.402083333334</v>
      </c>
      <c r="K137" s="133">
        <v>46154.5</v>
      </c>
      <c r="L137" s="133"/>
      <c r="M137">
        <v>1</v>
      </c>
      <c r="O137" t="s">
        <v>174</v>
      </c>
      <c r="P137" t="s">
        <v>175</v>
      </c>
      <c r="S137" t="s">
        <v>186</v>
      </c>
      <c r="T137" t="s">
        <v>187</v>
      </c>
      <c r="U137" t="s">
        <v>188</v>
      </c>
      <c r="V137" t="s">
        <v>167</v>
      </c>
      <c r="W137" t="s">
        <v>212</v>
      </c>
      <c r="X137" t="s">
        <v>188</v>
      </c>
      <c r="AA137" t="s">
        <v>36</v>
      </c>
      <c r="AB137" t="s">
        <v>190</v>
      </c>
      <c r="AC137">
        <v>2011</v>
      </c>
      <c r="AD137" t="s">
        <v>53</v>
      </c>
      <c r="AE137">
        <v>1</v>
      </c>
    </row>
    <row r="138" spans="1:32" x14ac:dyDescent="0.3">
      <c r="A138" s="127" t="s">
        <v>167</v>
      </c>
      <c r="B138" s="127" t="s">
        <v>208</v>
      </c>
      <c r="C138" s="127" t="s">
        <v>125</v>
      </c>
      <c r="D138" s="127" t="s">
        <v>170</v>
      </c>
      <c r="E138" s="127" t="s">
        <v>353</v>
      </c>
      <c r="F138" s="132">
        <v>46150.616273148145</v>
      </c>
      <c r="G138" s="127" t="s">
        <v>210</v>
      </c>
      <c r="H138" s="127">
        <v>1</v>
      </c>
      <c r="I138" s="127" t="s">
        <v>211</v>
      </c>
      <c r="J138" s="132">
        <v>46153.402083333334</v>
      </c>
      <c r="K138" s="132">
        <v>46154.5</v>
      </c>
      <c r="L138" s="132"/>
      <c r="M138" s="127">
        <v>1</v>
      </c>
      <c r="N138" s="127"/>
      <c r="O138" s="127" t="s">
        <v>174</v>
      </c>
      <c r="P138" s="127" t="s">
        <v>175</v>
      </c>
      <c r="Q138" s="127"/>
      <c r="R138" s="127"/>
      <c r="S138" s="127" t="s">
        <v>186</v>
      </c>
      <c r="T138" s="127" t="s">
        <v>187</v>
      </c>
      <c r="U138" s="127" t="s">
        <v>188</v>
      </c>
      <c r="V138" s="127" t="s">
        <v>167</v>
      </c>
      <c r="W138" s="127" t="s">
        <v>212</v>
      </c>
      <c r="X138" s="127" t="s">
        <v>188</v>
      </c>
      <c r="Y138" s="127"/>
      <c r="Z138" s="127"/>
      <c r="AA138" s="127" t="s">
        <v>36</v>
      </c>
      <c r="AB138" s="127" t="s">
        <v>190</v>
      </c>
      <c r="AC138" s="127">
        <v>2011</v>
      </c>
      <c r="AD138" s="127" t="s">
        <v>53</v>
      </c>
      <c r="AE138" s="127">
        <v>1</v>
      </c>
      <c r="AF138" s="127"/>
    </row>
    <row r="139" spans="1:32" x14ac:dyDescent="0.3">
      <c r="A139" t="s">
        <v>167</v>
      </c>
      <c r="B139" t="s">
        <v>208</v>
      </c>
      <c r="C139" t="s">
        <v>125</v>
      </c>
      <c r="D139" t="s">
        <v>170</v>
      </c>
      <c r="E139" t="s">
        <v>354</v>
      </c>
      <c r="F139" s="133">
        <v>46150.61577546296</v>
      </c>
      <c r="G139" t="s">
        <v>210</v>
      </c>
      <c r="H139">
        <v>1</v>
      </c>
      <c r="I139" t="s">
        <v>211</v>
      </c>
      <c r="J139" s="133">
        <v>46153.402083333334</v>
      </c>
      <c r="K139" s="133">
        <v>46154.5</v>
      </c>
      <c r="L139" s="133"/>
      <c r="M139">
        <v>1</v>
      </c>
      <c r="O139" t="s">
        <v>174</v>
      </c>
      <c r="P139" t="s">
        <v>175</v>
      </c>
      <c r="S139" t="s">
        <v>186</v>
      </c>
      <c r="T139" t="s">
        <v>187</v>
      </c>
      <c r="U139" t="s">
        <v>188</v>
      </c>
      <c r="V139" t="s">
        <v>167</v>
      </c>
      <c r="W139" t="s">
        <v>212</v>
      </c>
      <c r="X139" t="s">
        <v>188</v>
      </c>
      <c r="AA139" t="s">
        <v>36</v>
      </c>
      <c r="AB139" t="s">
        <v>190</v>
      </c>
      <c r="AC139">
        <v>2011</v>
      </c>
      <c r="AD139" t="s">
        <v>53</v>
      </c>
      <c r="AE139">
        <v>1</v>
      </c>
    </row>
    <row r="140" spans="1:32" x14ac:dyDescent="0.3">
      <c r="A140" s="127" t="s">
        <v>167</v>
      </c>
      <c r="B140" s="127" t="s">
        <v>208</v>
      </c>
      <c r="C140" s="127" t="s">
        <v>125</v>
      </c>
      <c r="D140" s="127" t="s">
        <v>170</v>
      </c>
      <c r="E140" s="127" t="s">
        <v>355</v>
      </c>
      <c r="F140" s="132">
        <v>46150.615324074075</v>
      </c>
      <c r="G140" s="127" t="s">
        <v>210</v>
      </c>
      <c r="H140" s="127">
        <v>1</v>
      </c>
      <c r="I140" s="127" t="s">
        <v>211</v>
      </c>
      <c r="J140" s="132">
        <v>46153.402083333334</v>
      </c>
      <c r="K140" s="132">
        <v>46154.5</v>
      </c>
      <c r="L140" s="132"/>
      <c r="M140" s="127">
        <v>1</v>
      </c>
      <c r="N140" s="127"/>
      <c r="O140" s="127" t="s">
        <v>174</v>
      </c>
      <c r="P140" s="127" t="s">
        <v>175</v>
      </c>
      <c r="Q140" s="127"/>
      <c r="R140" s="127"/>
      <c r="S140" s="127" t="s">
        <v>186</v>
      </c>
      <c r="T140" s="127" t="s">
        <v>187</v>
      </c>
      <c r="U140" s="127" t="s">
        <v>188</v>
      </c>
      <c r="V140" s="127" t="s">
        <v>167</v>
      </c>
      <c r="W140" s="127" t="s">
        <v>212</v>
      </c>
      <c r="X140" s="127" t="s">
        <v>188</v>
      </c>
      <c r="Y140" s="127"/>
      <c r="Z140" s="127"/>
      <c r="AA140" s="127" t="s">
        <v>36</v>
      </c>
      <c r="AB140" s="127" t="s">
        <v>190</v>
      </c>
      <c r="AC140" s="127">
        <v>2011</v>
      </c>
      <c r="AD140" s="127" t="s">
        <v>53</v>
      </c>
      <c r="AE140" s="127">
        <v>1</v>
      </c>
      <c r="AF140" s="127"/>
    </row>
    <row r="141" spans="1:32" x14ac:dyDescent="0.3">
      <c r="A141" t="s">
        <v>167</v>
      </c>
      <c r="B141" t="s">
        <v>168</v>
      </c>
      <c r="C141" t="s">
        <v>169</v>
      </c>
      <c r="D141" t="s">
        <v>170</v>
      </c>
      <c r="E141" t="s">
        <v>356</v>
      </c>
      <c r="F141" s="133">
        <v>46253.329699074071</v>
      </c>
      <c r="G141" t="s">
        <v>225</v>
      </c>
      <c r="H141">
        <v>837</v>
      </c>
      <c r="I141" t="s">
        <v>357</v>
      </c>
      <c r="J141" s="133">
        <v>46253.619444444441</v>
      </c>
      <c r="K141" s="133">
        <v>46260.686805555553</v>
      </c>
      <c r="L141" s="133"/>
      <c r="M141">
        <v>837</v>
      </c>
      <c r="O141" t="s">
        <v>174</v>
      </c>
      <c r="P141" t="s">
        <v>207</v>
      </c>
      <c r="S141" t="s">
        <v>186</v>
      </c>
      <c r="T141" t="s">
        <v>187</v>
      </c>
      <c r="U141" t="s">
        <v>188</v>
      </c>
      <c r="V141" t="s">
        <v>179</v>
      </c>
      <c r="W141" t="s">
        <v>179</v>
      </c>
      <c r="X141" t="s">
        <v>179</v>
      </c>
      <c r="Z141">
        <v>1</v>
      </c>
      <c r="AA141" t="s">
        <v>88</v>
      </c>
      <c r="AB141" t="s">
        <v>190</v>
      </c>
      <c r="AC141">
        <v>2011</v>
      </c>
      <c r="AD141" t="s">
        <v>93</v>
      </c>
      <c r="AE141">
        <v>837</v>
      </c>
      <c r="AF141">
        <v>201.2</v>
      </c>
    </row>
    <row r="142" spans="1:32" x14ac:dyDescent="0.3">
      <c r="A142" s="127" t="s">
        <v>167</v>
      </c>
      <c r="B142" s="127" t="s">
        <v>181</v>
      </c>
      <c r="C142" s="127" t="s">
        <v>182</v>
      </c>
      <c r="D142" s="127" t="s">
        <v>170</v>
      </c>
      <c r="E142" s="127" t="s">
        <v>279</v>
      </c>
      <c r="F142" s="132">
        <v>46273.474027777775</v>
      </c>
      <c r="G142" s="127" t="s">
        <v>225</v>
      </c>
      <c r="H142" s="127">
        <v>10</v>
      </c>
      <c r="I142" s="127" t="s">
        <v>280</v>
      </c>
      <c r="J142" s="132">
        <v>46274.372916666667</v>
      </c>
      <c r="K142" s="132">
        <v>46274.615277777775</v>
      </c>
      <c r="L142" s="132">
        <v>46274.615277777775</v>
      </c>
      <c r="M142" s="127">
        <v>10</v>
      </c>
      <c r="N142" s="127"/>
      <c r="O142" s="127" t="s">
        <v>174</v>
      </c>
      <c r="P142" s="127" t="s">
        <v>175</v>
      </c>
      <c r="Q142" s="127"/>
      <c r="R142" s="127"/>
      <c r="S142" s="127" t="s">
        <v>186</v>
      </c>
      <c r="T142" s="127" t="s">
        <v>187</v>
      </c>
      <c r="U142" s="127" t="s">
        <v>188</v>
      </c>
      <c r="V142" s="127" t="s">
        <v>179</v>
      </c>
      <c r="W142" s="127" t="s">
        <v>179</v>
      </c>
      <c r="X142" s="127" t="s">
        <v>179</v>
      </c>
      <c r="Y142" s="127"/>
      <c r="Z142" s="127"/>
      <c r="AA142" s="127" t="s">
        <v>189</v>
      </c>
      <c r="AB142" s="127" t="s">
        <v>190</v>
      </c>
      <c r="AC142" s="127">
        <v>2011</v>
      </c>
      <c r="AD142" s="127" t="s">
        <v>96</v>
      </c>
      <c r="AE142" s="127">
        <v>1</v>
      </c>
      <c r="AF142" s="127"/>
    </row>
    <row r="143" spans="1:32" x14ac:dyDescent="0.3">
      <c r="A143" t="s">
        <v>167</v>
      </c>
      <c r="B143" t="s">
        <v>181</v>
      </c>
      <c r="C143" t="s">
        <v>182</v>
      </c>
      <c r="D143" t="s">
        <v>170</v>
      </c>
      <c r="E143" t="s">
        <v>356</v>
      </c>
      <c r="F143" s="133">
        <v>46253.329699074071</v>
      </c>
      <c r="G143" t="s">
        <v>225</v>
      </c>
      <c r="H143">
        <v>8</v>
      </c>
      <c r="I143" t="s">
        <v>357</v>
      </c>
      <c r="J143" s="133">
        <v>46253.619444444441</v>
      </c>
      <c r="K143" s="133">
        <v>46260.686805555553</v>
      </c>
      <c r="L143" s="133">
        <v>46260.686805555553</v>
      </c>
      <c r="M143">
        <v>8</v>
      </c>
      <c r="O143" t="s">
        <v>174</v>
      </c>
      <c r="P143" t="s">
        <v>175</v>
      </c>
      <c r="S143" t="s">
        <v>186</v>
      </c>
      <c r="T143" t="s">
        <v>187</v>
      </c>
      <c r="U143" t="s">
        <v>188</v>
      </c>
      <c r="V143" t="s">
        <v>179</v>
      </c>
      <c r="W143" t="s">
        <v>179</v>
      </c>
      <c r="X143" t="s">
        <v>179</v>
      </c>
      <c r="AA143" t="s">
        <v>189</v>
      </c>
      <c r="AB143" t="s">
        <v>190</v>
      </c>
      <c r="AC143">
        <v>2011</v>
      </c>
      <c r="AD143" t="s">
        <v>96</v>
      </c>
      <c r="AE143">
        <v>1</v>
      </c>
      <c r="AF143">
        <v>1</v>
      </c>
    </row>
    <row r="144" spans="1:32" x14ac:dyDescent="0.3">
      <c r="A144" s="127" t="s">
        <v>167</v>
      </c>
      <c r="B144" s="127" t="s">
        <v>191</v>
      </c>
      <c r="C144" s="127" t="s">
        <v>192</v>
      </c>
      <c r="D144" s="127" t="s">
        <v>170</v>
      </c>
      <c r="E144" s="127" t="s">
        <v>358</v>
      </c>
      <c r="F144" s="132">
        <v>46260.515486111108</v>
      </c>
      <c r="G144" s="127" t="s">
        <v>236</v>
      </c>
      <c r="H144" s="127">
        <v>8</v>
      </c>
      <c r="I144" s="127" t="s">
        <v>359</v>
      </c>
      <c r="J144" s="132">
        <v>46260.600104166668</v>
      </c>
      <c r="K144" s="132">
        <v>46261.296527777777</v>
      </c>
      <c r="L144" s="132"/>
      <c r="M144" s="127">
        <v>8</v>
      </c>
      <c r="N144" s="127"/>
      <c r="O144" s="127" t="s">
        <v>174</v>
      </c>
      <c r="P144" s="127" t="s">
        <v>175</v>
      </c>
      <c r="Q144" s="127"/>
      <c r="R144" s="127"/>
      <c r="S144" s="127" t="s">
        <v>186</v>
      </c>
      <c r="T144" s="127" t="s">
        <v>187</v>
      </c>
      <c r="U144" s="127" t="s">
        <v>188</v>
      </c>
      <c r="V144" s="127" t="s">
        <v>179</v>
      </c>
      <c r="W144" s="127" t="s">
        <v>179</v>
      </c>
      <c r="X144" s="127" t="s">
        <v>179</v>
      </c>
      <c r="Y144" s="127"/>
      <c r="Z144" s="127"/>
      <c r="AA144" s="127" t="s">
        <v>193</v>
      </c>
      <c r="AB144" s="127" t="s">
        <v>190</v>
      </c>
      <c r="AC144" s="127">
        <v>2011</v>
      </c>
      <c r="AD144" s="127" t="s">
        <v>64</v>
      </c>
      <c r="AE144" s="127">
        <v>8</v>
      </c>
      <c r="AF144" s="127">
        <v>1</v>
      </c>
    </row>
    <row r="145" spans="1:32" x14ac:dyDescent="0.3">
      <c r="A145" t="s">
        <v>167</v>
      </c>
      <c r="B145" t="s">
        <v>168</v>
      </c>
      <c r="C145" t="s">
        <v>169</v>
      </c>
      <c r="D145" t="s">
        <v>170</v>
      </c>
      <c r="E145" t="s">
        <v>339</v>
      </c>
      <c r="F145" s="133">
        <v>46260.519432870373</v>
      </c>
      <c r="G145" t="s">
        <v>340</v>
      </c>
      <c r="H145">
        <v>63</v>
      </c>
      <c r="I145" t="s">
        <v>341</v>
      </c>
      <c r="J145" s="133">
        <v>46260.474999999999</v>
      </c>
      <c r="K145" s="133">
        <v>46268.831944444442</v>
      </c>
      <c r="L145" s="133"/>
      <c r="M145">
        <v>63</v>
      </c>
      <c r="O145" t="s">
        <v>174</v>
      </c>
      <c r="P145" t="s">
        <v>207</v>
      </c>
      <c r="S145" t="s">
        <v>186</v>
      </c>
      <c r="T145" t="s">
        <v>187</v>
      </c>
      <c r="U145" t="s">
        <v>188</v>
      </c>
      <c r="V145" t="s">
        <v>179</v>
      </c>
      <c r="W145" t="s">
        <v>179</v>
      </c>
      <c r="X145" t="s">
        <v>179</v>
      </c>
      <c r="Z145">
        <v>1</v>
      </c>
      <c r="AA145" t="s">
        <v>88</v>
      </c>
      <c r="AB145" t="s">
        <v>190</v>
      </c>
      <c r="AC145">
        <v>2011</v>
      </c>
      <c r="AD145" t="s">
        <v>93</v>
      </c>
      <c r="AE145">
        <v>63</v>
      </c>
      <c r="AF145">
        <v>6.3</v>
      </c>
    </row>
    <row r="146" spans="1:32" x14ac:dyDescent="0.3">
      <c r="A146" s="127" t="s">
        <v>167</v>
      </c>
      <c r="B146" s="127" t="s">
        <v>191</v>
      </c>
      <c r="C146" s="127" t="s">
        <v>192</v>
      </c>
      <c r="D146" s="127" t="s">
        <v>170</v>
      </c>
      <c r="E146" s="127" t="s">
        <v>339</v>
      </c>
      <c r="F146" s="132">
        <v>46260.519432870373</v>
      </c>
      <c r="G146" s="127" t="s">
        <v>340</v>
      </c>
      <c r="H146" s="127">
        <v>2</v>
      </c>
      <c r="I146" s="127" t="s">
        <v>360</v>
      </c>
      <c r="J146" s="132">
        <v>46268.351435185185</v>
      </c>
      <c r="K146" s="132">
        <v>46269.5625</v>
      </c>
      <c r="L146" s="132"/>
      <c r="M146" s="127">
        <v>2</v>
      </c>
      <c r="N146" s="127"/>
      <c r="O146" s="127" t="s">
        <v>174</v>
      </c>
      <c r="P146" s="127" t="s">
        <v>207</v>
      </c>
      <c r="Q146" s="127"/>
      <c r="R146" s="127"/>
      <c r="S146" s="127" t="s">
        <v>186</v>
      </c>
      <c r="T146" s="127" t="s">
        <v>187</v>
      </c>
      <c r="U146" s="127" t="s">
        <v>188</v>
      </c>
      <c r="V146" s="127" t="s">
        <v>179</v>
      </c>
      <c r="W146" s="127" t="s">
        <v>179</v>
      </c>
      <c r="X146" s="127" t="s">
        <v>179</v>
      </c>
      <c r="Y146" s="127"/>
      <c r="Z146" s="127"/>
      <c r="AA146" s="127" t="s">
        <v>193</v>
      </c>
      <c r="AB146" s="127" t="s">
        <v>190</v>
      </c>
      <c r="AC146" s="127">
        <v>2011</v>
      </c>
      <c r="AD146" s="127" t="s">
        <v>64</v>
      </c>
      <c r="AE146" s="127">
        <v>2</v>
      </c>
      <c r="AF146" s="127">
        <v>1</v>
      </c>
    </row>
    <row r="147" spans="1:32" x14ac:dyDescent="0.3">
      <c r="A147" t="s">
        <v>167</v>
      </c>
      <c r="B147" t="s">
        <v>181</v>
      </c>
      <c r="C147" t="s">
        <v>182</v>
      </c>
      <c r="D147" t="s">
        <v>170</v>
      </c>
      <c r="E147" t="s">
        <v>339</v>
      </c>
      <c r="F147" s="133">
        <v>46260.519432870373</v>
      </c>
      <c r="G147" t="s">
        <v>340</v>
      </c>
      <c r="H147">
        <v>2</v>
      </c>
      <c r="I147" t="s">
        <v>360</v>
      </c>
      <c r="J147" s="133">
        <v>46268.351435185185</v>
      </c>
      <c r="K147" s="133">
        <v>46269.5625</v>
      </c>
      <c r="L147" s="133">
        <v>46269.5625</v>
      </c>
      <c r="M147">
        <v>2</v>
      </c>
      <c r="O147" t="s">
        <v>174</v>
      </c>
      <c r="P147" t="s">
        <v>175</v>
      </c>
      <c r="S147" t="s">
        <v>186</v>
      </c>
      <c r="T147" t="s">
        <v>187</v>
      </c>
      <c r="U147" t="s">
        <v>188</v>
      </c>
      <c r="V147" t="s">
        <v>179</v>
      </c>
      <c r="W147" t="s">
        <v>179</v>
      </c>
      <c r="X147" t="s">
        <v>179</v>
      </c>
      <c r="AA147" t="s">
        <v>189</v>
      </c>
      <c r="AB147" t="s">
        <v>190</v>
      </c>
      <c r="AC147">
        <v>2011</v>
      </c>
      <c r="AD147" t="s">
        <v>96</v>
      </c>
      <c r="AE147">
        <v>1</v>
      </c>
    </row>
    <row r="148" spans="1:32" x14ac:dyDescent="0.3">
      <c r="A148" s="127" t="s">
        <v>167</v>
      </c>
      <c r="B148" s="127" t="s">
        <v>168</v>
      </c>
      <c r="C148" s="127" t="s">
        <v>169</v>
      </c>
      <c r="D148" s="127" t="s">
        <v>170</v>
      </c>
      <c r="E148" s="127" t="s">
        <v>339</v>
      </c>
      <c r="F148" s="132">
        <v>46260.519432870373</v>
      </c>
      <c r="G148" s="127" t="s">
        <v>340</v>
      </c>
      <c r="H148" s="127">
        <v>63</v>
      </c>
      <c r="I148" s="127" t="s">
        <v>360</v>
      </c>
      <c r="J148" s="132">
        <v>46268.351435185185</v>
      </c>
      <c r="K148" s="132">
        <v>46269.5625</v>
      </c>
      <c r="L148" s="132"/>
      <c r="M148" s="127">
        <v>63</v>
      </c>
      <c r="N148" s="127"/>
      <c r="O148" s="127"/>
      <c r="P148" s="127"/>
      <c r="Q148" s="127"/>
      <c r="R148" s="127"/>
      <c r="S148" s="127" t="s">
        <v>186</v>
      </c>
      <c r="T148" s="127" t="s">
        <v>187</v>
      </c>
      <c r="U148" s="127" t="s">
        <v>188</v>
      </c>
      <c r="V148" s="127" t="s">
        <v>179</v>
      </c>
      <c r="W148" s="127" t="s">
        <v>179</v>
      </c>
      <c r="X148" s="127" t="s">
        <v>179</v>
      </c>
      <c r="Y148" s="127"/>
      <c r="Z148" s="127">
        <v>1</v>
      </c>
      <c r="AA148" s="127" t="s">
        <v>88</v>
      </c>
      <c r="AB148" s="127" t="s">
        <v>190</v>
      </c>
      <c r="AC148" s="127">
        <v>2011</v>
      </c>
      <c r="AD148" s="127" t="s">
        <v>93</v>
      </c>
      <c r="AE148" s="127">
        <v>63</v>
      </c>
      <c r="AF148" s="127"/>
    </row>
    <row r="149" spans="1:32" x14ac:dyDescent="0.3">
      <c r="A149" t="s">
        <v>167</v>
      </c>
      <c r="B149" t="s">
        <v>191</v>
      </c>
      <c r="C149" t="s">
        <v>192</v>
      </c>
      <c r="D149" t="s">
        <v>170</v>
      </c>
      <c r="E149" t="s">
        <v>361</v>
      </c>
      <c r="F149" s="133">
        <v>46259.34070601852</v>
      </c>
      <c r="G149" t="s">
        <v>225</v>
      </c>
      <c r="H149">
        <v>1</v>
      </c>
      <c r="I149" t="s">
        <v>362</v>
      </c>
      <c r="J149" s="133">
        <v>46259.689583333333</v>
      </c>
      <c r="K149" s="133">
        <v>46260.466666666667</v>
      </c>
      <c r="L149" s="133"/>
      <c r="M149">
        <v>1</v>
      </c>
      <c r="O149" t="s">
        <v>174</v>
      </c>
      <c r="P149" t="s">
        <v>175</v>
      </c>
      <c r="S149" t="s">
        <v>186</v>
      </c>
      <c r="T149" t="s">
        <v>187</v>
      </c>
      <c r="U149" t="s">
        <v>188</v>
      </c>
      <c r="V149" t="s">
        <v>179</v>
      </c>
      <c r="W149" t="s">
        <v>179</v>
      </c>
      <c r="X149" t="s">
        <v>179</v>
      </c>
      <c r="AA149" t="s">
        <v>193</v>
      </c>
      <c r="AB149" t="s">
        <v>190</v>
      </c>
      <c r="AC149">
        <v>2011</v>
      </c>
      <c r="AD149" t="s">
        <v>64</v>
      </c>
      <c r="AE149">
        <v>1</v>
      </c>
      <c r="AF149">
        <v>2.7</v>
      </c>
    </row>
    <row r="150" spans="1:32" x14ac:dyDescent="0.3">
      <c r="A150" s="127" t="s">
        <v>167</v>
      </c>
      <c r="B150" s="127" t="s">
        <v>335</v>
      </c>
      <c r="C150" s="127" t="s">
        <v>125</v>
      </c>
      <c r="D150" s="127" t="s">
        <v>170</v>
      </c>
      <c r="E150" s="127" t="s">
        <v>363</v>
      </c>
      <c r="F150" s="132">
        <v>46259.351782407408</v>
      </c>
      <c r="G150" s="127" t="s">
        <v>317</v>
      </c>
      <c r="H150" s="127">
        <v>3</v>
      </c>
      <c r="I150" s="127" t="s">
        <v>364</v>
      </c>
      <c r="J150" s="132">
        <v>46260.573969907404</v>
      </c>
      <c r="K150" s="132">
        <v>46268.636805555558</v>
      </c>
      <c r="L150" s="132"/>
      <c r="M150" s="127">
        <v>3</v>
      </c>
      <c r="N150" s="127"/>
      <c r="O150" s="127" t="s">
        <v>174</v>
      </c>
      <c r="P150" s="127" t="s">
        <v>207</v>
      </c>
      <c r="Q150" s="127"/>
      <c r="R150" s="127"/>
      <c r="S150" s="127" t="s">
        <v>186</v>
      </c>
      <c r="T150" s="127" t="s">
        <v>187</v>
      </c>
      <c r="U150" s="127" t="s">
        <v>188</v>
      </c>
      <c r="V150" s="127" t="s">
        <v>167</v>
      </c>
      <c r="W150" s="127" t="s">
        <v>212</v>
      </c>
      <c r="X150" s="127" t="s">
        <v>188</v>
      </c>
      <c r="Y150" s="127">
        <v>0</v>
      </c>
      <c r="Z150" s="127"/>
      <c r="AA150" s="127" t="s">
        <v>55</v>
      </c>
      <c r="AB150" s="127" t="s">
        <v>190</v>
      </c>
      <c r="AC150" s="127">
        <v>2011</v>
      </c>
      <c r="AD150" s="127" t="s">
        <v>53</v>
      </c>
      <c r="AE150" s="127">
        <v>1</v>
      </c>
      <c r="AF150" s="127"/>
    </row>
    <row r="151" spans="1:32" x14ac:dyDescent="0.3">
      <c r="A151" t="s">
        <v>167</v>
      </c>
      <c r="B151" t="s">
        <v>191</v>
      </c>
      <c r="C151" t="s">
        <v>192</v>
      </c>
      <c r="D151" t="s">
        <v>170</v>
      </c>
      <c r="E151" t="s">
        <v>365</v>
      </c>
      <c r="F151" s="133">
        <v>46253.52202546296</v>
      </c>
      <c r="G151" t="s">
        <v>225</v>
      </c>
      <c r="H151">
        <v>6</v>
      </c>
      <c r="I151" t="s">
        <v>366</v>
      </c>
      <c r="J151" s="133">
        <v>46266.398275462961</v>
      </c>
      <c r="K151" s="133">
        <v>46267.636111111111</v>
      </c>
      <c r="L151" s="133"/>
      <c r="M151">
        <v>6</v>
      </c>
      <c r="O151" t="s">
        <v>174</v>
      </c>
      <c r="P151" t="s">
        <v>207</v>
      </c>
      <c r="S151" t="s">
        <v>186</v>
      </c>
      <c r="T151" t="s">
        <v>187</v>
      </c>
      <c r="U151" t="s">
        <v>188</v>
      </c>
      <c r="V151" t="s">
        <v>179</v>
      </c>
      <c r="W151" t="s">
        <v>179</v>
      </c>
      <c r="X151" t="s">
        <v>179</v>
      </c>
      <c r="AA151" t="s">
        <v>193</v>
      </c>
      <c r="AB151" t="s">
        <v>190</v>
      </c>
      <c r="AC151">
        <v>2011</v>
      </c>
      <c r="AD151" t="s">
        <v>64</v>
      </c>
      <c r="AE151">
        <v>6</v>
      </c>
    </row>
    <row r="152" spans="1:32" x14ac:dyDescent="0.3">
      <c r="A152" s="127" t="s">
        <v>167</v>
      </c>
      <c r="B152" s="127" t="s">
        <v>181</v>
      </c>
      <c r="C152" s="127" t="s">
        <v>182</v>
      </c>
      <c r="D152" s="127" t="s">
        <v>170</v>
      </c>
      <c r="E152" s="127" t="s">
        <v>365</v>
      </c>
      <c r="F152" s="132">
        <v>46253.52202546296</v>
      </c>
      <c r="G152" s="127" t="s">
        <v>225</v>
      </c>
      <c r="H152" s="127">
        <v>6</v>
      </c>
      <c r="I152" s="127" t="s">
        <v>366</v>
      </c>
      <c r="J152" s="132">
        <v>46266.398275462961</v>
      </c>
      <c r="K152" s="132">
        <v>46267.636111111111</v>
      </c>
      <c r="L152" s="132">
        <v>46267.636111111111</v>
      </c>
      <c r="M152" s="127">
        <v>6</v>
      </c>
      <c r="N152" s="127"/>
      <c r="O152" s="127" t="s">
        <v>174</v>
      </c>
      <c r="P152" s="127" t="s">
        <v>175</v>
      </c>
      <c r="Q152" s="127"/>
      <c r="R152" s="127"/>
      <c r="S152" s="127" t="s">
        <v>186</v>
      </c>
      <c r="T152" s="127" t="s">
        <v>187</v>
      </c>
      <c r="U152" s="127" t="s">
        <v>188</v>
      </c>
      <c r="V152" s="127" t="s">
        <v>179</v>
      </c>
      <c r="W152" s="127" t="s">
        <v>179</v>
      </c>
      <c r="X152" s="127" t="s">
        <v>179</v>
      </c>
      <c r="Y152" s="127"/>
      <c r="Z152" s="127"/>
      <c r="AA152" s="127" t="s">
        <v>189</v>
      </c>
      <c r="AB152" s="127" t="s">
        <v>190</v>
      </c>
      <c r="AC152" s="127">
        <v>2011</v>
      </c>
      <c r="AD152" s="127" t="s">
        <v>96</v>
      </c>
      <c r="AE152" s="127">
        <v>1</v>
      </c>
      <c r="AF152" s="127"/>
    </row>
    <row r="153" spans="1:32" x14ac:dyDescent="0.3">
      <c r="A153" t="s">
        <v>167</v>
      </c>
      <c r="B153" t="s">
        <v>168</v>
      </c>
      <c r="C153" t="s">
        <v>169</v>
      </c>
      <c r="D153" t="s">
        <v>170</v>
      </c>
      <c r="E153" t="s">
        <v>365</v>
      </c>
      <c r="F153" s="133">
        <v>46253.52202546296</v>
      </c>
      <c r="G153" t="s">
        <v>225</v>
      </c>
      <c r="H153">
        <v>496</v>
      </c>
      <c r="I153" t="s">
        <v>366</v>
      </c>
      <c r="J153" s="133">
        <v>46266.398275462961</v>
      </c>
      <c r="K153" s="133">
        <v>46267.636111111111</v>
      </c>
      <c r="L153" s="133"/>
      <c r="M153">
        <v>496</v>
      </c>
      <c r="S153" t="s">
        <v>186</v>
      </c>
      <c r="T153" t="s">
        <v>187</v>
      </c>
      <c r="U153" t="s">
        <v>188</v>
      </c>
      <c r="V153" t="s">
        <v>179</v>
      </c>
      <c r="W153" t="s">
        <v>179</v>
      </c>
      <c r="X153" t="s">
        <v>179</v>
      </c>
      <c r="Z153">
        <v>1</v>
      </c>
      <c r="AA153" t="s">
        <v>88</v>
      </c>
      <c r="AB153" t="s">
        <v>190</v>
      </c>
      <c r="AC153">
        <v>2011</v>
      </c>
      <c r="AD153" t="s">
        <v>93</v>
      </c>
      <c r="AE153">
        <v>496</v>
      </c>
    </row>
    <row r="154" spans="1:32" x14ac:dyDescent="0.3">
      <c r="A154" s="127" t="s">
        <v>167</v>
      </c>
      <c r="B154" s="127" t="s">
        <v>168</v>
      </c>
      <c r="C154" s="127" t="s">
        <v>169</v>
      </c>
      <c r="D154" s="127" t="s">
        <v>170</v>
      </c>
      <c r="E154" s="127" t="s">
        <v>367</v>
      </c>
      <c r="F154" s="132">
        <v>46245.642870370371</v>
      </c>
      <c r="G154" s="127" t="s">
        <v>236</v>
      </c>
      <c r="H154" s="127">
        <v>4</v>
      </c>
      <c r="I154" s="127" t="s">
        <v>368</v>
      </c>
      <c r="J154" s="132">
        <v>46246.504803240743</v>
      </c>
      <c r="K154" s="132">
        <v>46267.70416666667</v>
      </c>
      <c r="L154" s="132"/>
      <c r="M154" s="127">
        <v>4</v>
      </c>
      <c r="N154" s="127"/>
      <c r="O154" s="127" t="s">
        <v>174</v>
      </c>
      <c r="P154" s="127" t="s">
        <v>207</v>
      </c>
      <c r="Q154" s="127"/>
      <c r="R154" s="127"/>
      <c r="S154" s="127" t="s">
        <v>199</v>
      </c>
      <c r="T154" s="127" t="s">
        <v>200</v>
      </c>
      <c r="U154" s="127" t="s">
        <v>201</v>
      </c>
      <c r="V154" s="127" t="s">
        <v>179</v>
      </c>
      <c r="W154" s="127" t="s">
        <v>179</v>
      </c>
      <c r="X154" s="127" t="s">
        <v>179</v>
      </c>
      <c r="Y154" s="127"/>
      <c r="Z154" s="127">
        <v>1</v>
      </c>
      <c r="AA154" s="127" t="s">
        <v>88</v>
      </c>
      <c r="AB154" s="127" t="s">
        <v>203</v>
      </c>
      <c r="AC154" s="127">
        <v>2800</v>
      </c>
      <c r="AD154" s="127" t="s">
        <v>93</v>
      </c>
      <c r="AE154" s="127">
        <v>4</v>
      </c>
      <c r="AF154" s="127">
        <v>1</v>
      </c>
    </row>
    <row r="155" spans="1:32" x14ac:dyDescent="0.3">
      <c r="A155" t="s">
        <v>167</v>
      </c>
      <c r="B155" t="s">
        <v>181</v>
      </c>
      <c r="C155" t="s">
        <v>182</v>
      </c>
      <c r="D155" t="s">
        <v>170</v>
      </c>
      <c r="E155" t="s">
        <v>367</v>
      </c>
      <c r="F155" s="133">
        <v>46245.642870370371</v>
      </c>
      <c r="G155" t="s">
        <v>236</v>
      </c>
      <c r="H155">
        <v>1</v>
      </c>
      <c r="I155" t="s">
        <v>368</v>
      </c>
      <c r="J155" s="133">
        <v>46246.504803240743</v>
      </c>
      <c r="K155" s="133">
        <v>46267.70416666667</v>
      </c>
      <c r="L155" s="133">
        <v>46267.70416666667</v>
      </c>
      <c r="M155">
        <v>1</v>
      </c>
      <c r="O155" t="s">
        <v>174</v>
      </c>
      <c r="P155" t="s">
        <v>175</v>
      </c>
      <c r="S155" t="s">
        <v>199</v>
      </c>
      <c r="T155" t="s">
        <v>200</v>
      </c>
      <c r="U155" t="s">
        <v>201</v>
      </c>
      <c r="V155" t="s">
        <v>179</v>
      </c>
      <c r="W155" t="s">
        <v>179</v>
      </c>
      <c r="X155" t="s">
        <v>179</v>
      </c>
      <c r="AA155" t="s">
        <v>189</v>
      </c>
      <c r="AB155" t="s">
        <v>203</v>
      </c>
      <c r="AC155">
        <v>2800</v>
      </c>
      <c r="AD155" t="s">
        <v>96</v>
      </c>
      <c r="AE155">
        <v>1</v>
      </c>
      <c r="AF155">
        <v>1</v>
      </c>
    </row>
    <row r="156" spans="1:32" x14ac:dyDescent="0.3">
      <c r="A156" s="127" t="s">
        <v>167</v>
      </c>
      <c r="B156" s="127" t="s">
        <v>191</v>
      </c>
      <c r="C156" s="127" t="s">
        <v>192</v>
      </c>
      <c r="D156" s="127" t="s">
        <v>170</v>
      </c>
      <c r="E156" s="127" t="s">
        <v>367</v>
      </c>
      <c r="F156" s="132">
        <v>46245.642870370371</v>
      </c>
      <c r="G156" s="127" t="s">
        <v>236</v>
      </c>
      <c r="H156" s="127">
        <v>1</v>
      </c>
      <c r="I156" s="127" t="s">
        <v>368</v>
      </c>
      <c r="J156" s="132">
        <v>46246.504803240743</v>
      </c>
      <c r="K156" s="132">
        <v>46267.70416666667</v>
      </c>
      <c r="L156" s="132"/>
      <c r="M156" s="127">
        <v>1</v>
      </c>
      <c r="N156" s="127"/>
      <c r="O156" s="127" t="s">
        <v>174</v>
      </c>
      <c r="P156" s="127" t="s">
        <v>207</v>
      </c>
      <c r="Q156" s="127"/>
      <c r="R156" s="127"/>
      <c r="S156" s="127" t="s">
        <v>199</v>
      </c>
      <c r="T156" s="127" t="s">
        <v>200</v>
      </c>
      <c r="U156" s="127" t="s">
        <v>201</v>
      </c>
      <c r="V156" s="127" t="s">
        <v>179</v>
      </c>
      <c r="W156" s="127" t="s">
        <v>179</v>
      </c>
      <c r="X156" s="127" t="s">
        <v>179</v>
      </c>
      <c r="Y156" s="127"/>
      <c r="Z156" s="127"/>
      <c r="AA156" s="127" t="s">
        <v>193</v>
      </c>
      <c r="AB156" s="127" t="s">
        <v>203</v>
      </c>
      <c r="AC156" s="127">
        <v>2800</v>
      </c>
      <c r="AD156" s="127" t="s">
        <v>64</v>
      </c>
      <c r="AE156" s="127">
        <v>1</v>
      </c>
      <c r="AF156" s="127">
        <v>1</v>
      </c>
    </row>
    <row r="157" spans="1:32" x14ac:dyDescent="0.3">
      <c r="A157" t="s">
        <v>167</v>
      </c>
      <c r="B157" t="s">
        <v>168</v>
      </c>
      <c r="C157" t="s">
        <v>169</v>
      </c>
      <c r="D157" t="s">
        <v>170</v>
      </c>
      <c r="E157" t="s">
        <v>369</v>
      </c>
      <c r="F157" s="133">
        <v>46253.367835648147</v>
      </c>
      <c r="G157" t="s">
        <v>370</v>
      </c>
      <c r="H157">
        <v>1175</v>
      </c>
      <c r="I157" t="s">
        <v>371</v>
      </c>
      <c r="J157" s="133">
        <v>46254.598333333335</v>
      </c>
      <c r="K157" s="133">
        <v>46260.460416666669</v>
      </c>
      <c r="L157" s="133"/>
      <c r="M157">
        <v>1175</v>
      </c>
      <c r="O157" t="s">
        <v>174</v>
      </c>
      <c r="P157" t="s">
        <v>175</v>
      </c>
      <c r="S157" t="s">
        <v>186</v>
      </c>
      <c r="T157" t="s">
        <v>187</v>
      </c>
      <c r="U157" t="s">
        <v>188</v>
      </c>
      <c r="V157" t="s">
        <v>179</v>
      </c>
      <c r="W157" t="s">
        <v>179</v>
      </c>
      <c r="X157" t="s">
        <v>179</v>
      </c>
      <c r="Z157">
        <v>1</v>
      </c>
      <c r="AA157" t="s">
        <v>88</v>
      </c>
      <c r="AB157" t="s">
        <v>190</v>
      </c>
      <c r="AC157">
        <v>2011</v>
      </c>
      <c r="AD157" t="s">
        <v>93</v>
      </c>
      <c r="AE157">
        <v>1175</v>
      </c>
    </row>
    <row r="158" spans="1:32" x14ac:dyDescent="0.3">
      <c r="A158" s="127" t="s">
        <v>167</v>
      </c>
      <c r="B158" s="127" t="s">
        <v>181</v>
      </c>
      <c r="C158" s="127" t="s">
        <v>182</v>
      </c>
      <c r="D158" s="127" t="s">
        <v>170</v>
      </c>
      <c r="E158" s="127" t="s">
        <v>369</v>
      </c>
      <c r="F158" s="132">
        <v>46253.367835648147</v>
      </c>
      <c r="G158" s="127" t="s">
        <v>370</v>
      </c>
      <c r="H158" s="127">
        <v>18</v>
      </c>
      <c r="I158" s="127" t="s">
        <v>371</v>
      </c>
      <c r="J158" s="132">
        <v>46254.598333333335</v>
      </c>
      <c r="K158" s="132">
        <v>46260.460416666669</v>
      </c>
      <c r="L158" s="132">
        <v>46260.460416666669</v>
      </c>
      <c r="M158" s="127">
        <v>18</v>
      </c>
      <c r="N158" s="127"/>
      <c r="O158" s="127" t="s">
        <v>174</v>
      </c>
      <c r="P158" s="127" t="s">
        <v>175</v>
      </c>
      <c r="Q158" s="127"/>
      <c r="R158" s="127"/>
      <c r="S158" s="127" t="s">
        <v>186</v>
      </c>
      <c r="T158" s="127" t="s">
        <v>187</v>
      </c>
      <c r="U158" s="127" t="s">
        <v>188</v>
      </c>
      <c r="V158" s="127" t="s">
        <v>179</v>
      </c>
      <c r="W158" s="127" t="s">
        <v>179</v>
      </c>
      <c r="X158" s="127" t="s">
        <v>179</v>
      </c>
      <c r="Y158" s="127"/>
      <c r="Z158" s="127"/>
      <c r="AA158" s="127" t="s">
        <v>189</v>
      </c>
      <c r="AB158" s="127" t="s">
        <v>190</v>
      </c>
      <c r="AC158" s="127">
        <v>2011</v>
      </c>
      <c r="AD158" s="127" t="s">
        <v>96</v>
      </c>
      <c r="AE158" s="127">
        <v>1.8</v>
      </c>
      <c r="AF158" s="127"/>
    </row>
    <row r="159" spans="1:32" x14ac:dyDescent="0.3">
      <c r="A159" t="s">
        <v>167</v>
      </c>
      <c r="B159" t="s">
        <v>191</v>
      </c>
      <c r="C159" t="s">
        <v>192</v>
      </c>
      <c r="D159" t="s">
        <v>170</v>
      </c>
      <c r="E159" t="s">
        <v>369</v>
      </c>
      <c r="F159" s="133">
        <v>46253.367835648147</v>
      </c>
      <c r="G159" t="s">
        <v>370</v>
      </c>
      <c r="H159">
        <v>18</v>
      </c>
      <c r="I159" t="s">
        <v>371</v>
      </c>
      <c r="J159" s="133">
        <v>46254.598333333335</v>
      </c>
      <c r="K159" s="133">
        <v>46260.460416666669</v>
      </c>
      <c r="L159" s="133"/>
      <c r="M159">
        <v>18</v>
      </c>
      <c r="O159" t="s">
        <v>174</v>
      </c>
      <c r="P159" t="s">
        <v>207</v>
      </c>
      <c r="S159" t="s">
        <v>186</v>
      </c>
      <c r="T159" t="s">
        <v>187</v>
      </c>
      <c r="U159" t="s">
        <v>188</v>
      </c>
      <c r="V159" t="s">
        <v>179</v>
      </c>
      <c r="W159" t="s">
        <v>179</v>
      </c>
      <c r="X159" t="s">
        <v>179</v>
      </c>
      <c r="AA159" t="s">
        <v>193</v>
      </c>
      <c r="AB159" t="s">
        <v>190</v>
      </c>
      <c r="AC159">
        <v>2011</v>
      </c>
      <c r="AD159" t="s">
        <v>64</v>
      </c>
      <c r="AE159">
        <v>18</v>
      </c>
    </row>
    <row r="160" spans="1:32" x14ac:dyDescent="0.3">
      <c r="A160" s="127" t="s">
        <v>167</v>
      </c>
      <c r="B160" s="127" t="s">
        <v>168</v>
      </c>
      <c r="C160" s="127" t="s">
        <v>169</v>
      </c>
      <c r="D160" s="127" t="s">
        <v>170</v>
      </c>
      <c r="E160" s="127" t="s">
        <v>358</v>
      </c>
      <c r="F160" s="132">
        <v>46260.515486111108</v>
      </c>
      <c r="G160" s="127" t="s">
        <v>236</v>
      </c>
      <c r="H160" s="127">
        <v>752</v>
      </c>
      <c r="I160" s="127" t="s">
        <v>359</v>
      </c>
      <c r="J160" s="132">
        <v>46260.600104166668</v>
      </c>
      <c r="K160" s="132">
        <v>46261.296527777777</v>
      </c>
      <c r="L160" s="132"/>
      <c r="M160" s="127">
        <v>752</v>
      </c>
      <c r="N160" s="127"/>
      <c r="O160" s="127" t="s">
        <v>174</v>
      </c>
      <c r="P160" s="127" t="s">
        <v>175</v>
      </c>
      <c r="Q160" s="127"/>
      <c r="R160" s="127"/>
      <c r="S160" s="127" t="s">
        <v>186</v>
      </c>
      <c r="T160" s="127" t="s">
        <v>187</v>
      </c>
      <c r="U160" s="127" t="s">
        <v>188</v>
      </c>
      <c r="V160" s="127" t="s">
        <v>179</v>
      </c>
      <c r="W160" s="127" t="s">
        <v>179</v>
      </c>
      <c r="X160" s="127" t="s">
        <v>179</v>
      </c>
      <c r="Y160" s="127"/>
      <c r="Z160" s="127">
        <v>1</v>
      </c>
      <c r="AA160" s="127" t="s">
        <v>88</v>
      </c>
      <c r="AB160" s="127" t="s">
        <v>190</v>
      </c>
      <c r="AC160" s="127">
        <v>2011</v>
      </c>
      <c r="AD160" s="127" t="s">
        <v>93</v>
      </c>
      <c r="AE160" s="127">
        <v>752</v>
      </c>
      <c r="AF160" s="127">
        <v>75.2</v>
      </c>
    </row>
    <row r="161" spans="1:32" x14ac:dyDescent="0.3">
      <c r="A161" t="s">
        <v>167</v>
      </c>
      <c r="B161" t="s">
        <v>181</v>
      </c>
      <c r="C161" t="s">
        <v>182</v>
      </c>
      <c r="D161" t="s">
        <v>170</v>
      </c>
      <c r="E161" t="s">
        <v>358</v>
      </c>
      <c r="F161" s="133">
        <v>46260.515486111108</v>
      </c>
      <c r="G161" t="s">
        <v>236</v>
      </c>
      <c r="H161">
        <v>8</v>
      </c>
      <c r="I161" t="s">
        <v>359</v>
      </c>
      <c r="J161" s="133">
        <v>46260.600104166668</v>
      </c>
      <c r="K161" s="133">
        <v>46261.296527777777</v>
      </c>
      <c r="L161" s="133">
        <v>46261.296527777777</v>
      </c>
      <c r="M161">
        <v>8</v>
      </c>
      <c r="O161" t="s">
        <v>174</v>
      </c>
      <c r="P161" t="s">
        <v>175</v>
      </c>
      <c r="S161" t="s">
        <v>186</v>
      </c>
      <c r="T161" t="s">
        <v>187</v>
      </c>
      <c r="U161" t="s">
        <v>188</v>
      </c>
      <c r="V161" t="s">
        <v>179</v>
      </c>
      <c r="W161" t="s">
        <v>179</v>
      </c>
      <c r="X161" t="s">
        <v>179</v>
      </c>
      <c r="AA161" t="s">
        <v>189</v>
      </c>
      <c r="AB161" t="s">
        <v>190</v>
      </c>
      <c r="AC161">
        <v>2011</v>
      </c>
      <c r="AD161" t="s">
        <v>96</v>
      </c>
      <c r="AE161">
        <v>1</v>
      </c>
      <c r="AF161">
        <v>1</v>
      </c>
    </row>
    <row r="162" spans="1:32" x14ac:dyDescent="0.3">
      <c r="A162" s="127" t="s">
        <v>167</v>
      </c>
      <c r="B162" s="127" t="s">
        <v>191</v>
      </c>
      <c r="C162" s="127" t="s">
        <v>192</v>
      </c>
      <c r="D162" s="127" t="s">
        <v>170</v>
      </c>
      <c r="E162" s="127" t="s">
        <v>356</v>
      </c>
      <c r="F162" s="132">
        <v>46253.329699074071</v>
      </c>
      <c r="G162" s="127" t="s">
        <v>225</v>
      </c>
      <c r="H162" s="127">
        <v>8</v>
      </c>
      <c r="I162" s="127" t="s">
        <v>357</v>
      </c>
      <c r="J162" s="132">
        <v>46253.619444444441</v>
      </c>
      <c r="K162" s="132">
        <v>46260.686805555553</v>
      </c>
      <c r="L162" s="132"/>
      <c r="M162" s="127">
        <v>8</v>
      </c>
      <c r="N162" s="127"/>
      <c r="O162" s="127" t="s">
        <v>174</v>
      </c>
      <c r="P162" s="127" t="s">
        <v>207</v>
      </c>
      <c r="Q162" s="127"/>
      <c r="R162" s="127"/>
      <c r="S162" s="127" t="s">
        <v>186</v>
      </c>
      <c r="T162" s="127" t="s">
        <v>187</v>
      </c>
      <c r="U162" s="127" t="s">
        <v>188</v>
      </c>
      <c r="V162" s="127" t="s">
        <v>179</v>
      </c>
      <c r="W162" s="127" t="s">
        <v>179</v>
      </c>
      <c r="X162" s="127" t="s">
        <v>179</v>
      </c>
      <c r="Y162" s="127"/>
      <c r="Z162" s="127"/>
      <c r="AA162" s="127" t="s">
        <v>193</v>
      </c>
      <c r="AB162" s="127" t="s">
        <v>190</v>
      </c>
      <c r="AC162" s="127">
        <v>2011</v>
      </c>
      <c r="AD162" s="127" t="s">
        <v>64</v>
      </c>
      <c r="AE162" s="127">
        <v>8</v>
      </c>
      <c r="AF162" s="127"/>
    </row>
    <row r="163" spans="1:32" x14ac:dyDescent="0.3">
      <c r="A163" s="130" t="s">
        <v>167</v>
      </c>
      <c r="B163" s="130" t="s">
        <v>208</v>
      </c>
      <c r="C163" s="130" t="s">
        <v>125</v>
      </c>
      <c r="D163" s="130" t="s">
        <v>170</v>
      </c>
      <c r="E163" s="130" t="s">
        <v>372</v>
      </c>
      <c r="F163" s="134">
        <v>46150.618750000001</v>
      </c>
      <c r="G163" s="130" t="s">
        <v>210</v>
      </c>
      <c r="H163" s="130">
        <v>1</v>
      </c>
      <c r="I163" s="130" t="s">
        <v>244</v>
      </c>
      <c r="J163" s="134">
        <v>46153.365277777775</v>
      </c>
      <c r="K163" s="134">
        <v>46154.5</v>
      </c>
      <c r="L163" s="134"/>
      <c r="M163" s="130">
        <v>1</v>
      </c>
      <c r="N163" s="130"/>
      <c r="O163" s="130" t="s">
        <v>174</v>
      </c>
      <c r="P163" s="130" t="s">
        <v>175</v>
      </c>
      <c r="Q163" s="130"/>
      <c r="R163" s="130"/>
      <c r="S163" s="130" t="s">
        <v>186</v>
      </c>
      <c r="T163" s="130" t="s">
        <v>187</v>
      </c>
      <c r="U163" s="130" t="s">
        <v>188</v>
      </c>
      <c r="V163" s="130" t="s">
        <v>167</v>
      </c>
      <c r="W163" s="130" t="s">
        <v>212</v>
      </c>
      <c r="X163" s="130" t="s">
        <v>188</v>
      </c>
      <c r="Y163" s="130"/>
      <c r="Z163" s="130"/>
      <c r="AA163" s="130" t="s">
        <v>36</v>
      </c>
      <c r="AB163" s="130" t="s">
        <v>190</v>
      </c>
      <c r="AC163" s="130">
        <v>2011</v>
      </c>
      <c r="AD163" s="130" t="s">
        <v>53</v>
      </c>
      <c r="AE163" s="130">
        <v>1</v>
      </c>
      <c r="AF163" s="130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75BC-C2D9-47F9-B8C6-2D395DF24F39}">
  <dimension ref="A1:R58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109375" bestFit="1" customWidth="1"/>
    <col min="3" max="3" width="22.109375" bestFit="1" customWidth="1"/>
    <col min="4" max="4" width="16.44140625" bestFit="1" customWidth="1"/>
    <col min="5" max="5" width="33.777343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3.5546875" bestFit="1" customWidth="1"/>
    <col min="17" max="17" width="20.88671875" bestFit="1" customWidth="1"/>
    <col min="18" max="18" width="16.77734375" bestFit="1" customWidth="1"/>
  </cols>
  <sheetData>
    <row r="1" spans="1:18" ht="15" thickBot="1" x14ac:dyDescent="0.35">
      <c r="A1" s="129" t="s">
        <v>141</v>
      </c>
      <c r="B1" s="129" t="s">
        <v>20</v>
      </c>
      <c r="C1" s="129" t="s">
        <v>19</v>
      </c>
      <c r="D1" s="129" t="s">
        <v>144</v>
      </c>
      <c r="E1" s="129" t="s">
        <v>145</v>
      </c>
      <c r="F1" s="129" t="s">
        <v>146</v>
      </c>
      <c r="G1" s="129" t="s">
        <v>149</v>
      </c>
      <c r="H1" s="129" t="s">
        <v>157</v>
      </c>
      <c r="I1" s="129" t="s">
        <v>158</v>
      </c>
      <c r="J1" s="129" t="s">
        <v>159</v>
      </c>
      <c r="K1" s="129" t="s">
        <v>160</v>
      </c>
      <c r="L1" s="129" t="s">
        <v>161</v>
      </c>
      <c r="M1" s="129" t="s">
        <v>162</v>
      </c>
      <c r="N1" s="129" t="s">
        <v>163</v>
      </c>
      <c r="O1" s="129" t="s">
        <v>21</v>
      </c>
      <c r="P1" s="129" t="s">
        <v>164</v>
      </c>
      <c r="Q1" s="129" t="s">
        <v>123</v>
      </c>
      <c r="R1" s="129" t="s">
        <v>166</v>
      </c>
    </row>
    <row r="2" spans="1:18" x14ac:dyDescent="0.3">
      <c r="A2" s="127" t="s">
        <v>167</v>
      </c>
      <c r="B2" s="127" t="s">
        <v>208</v>
      </c>
      <c r="C2" s="127" t="s">
        <v>125</v>
      </c>
      <c r="D2" s="132">
        <v>46150.614675925928</v>
      </c>
      <c r="E2" s="127" t="s">
        <v>210</v>
      </c>
      <c r="F2" s="127">
        <v>1</v>
      </c>
      <c r="G2" s="132">
        <v>46154.5</v>
      </c>
      <c r="H2" s="127" t="s">
        <v>186</v>
      </c>
      <c r="I2" s="127" t="s">
        <v>187</v>
      </c>
      <c r="J2" s="127" t="s">
        <v>188</v>
      </c>
      <c r="K2" s="127" t="s">
        <v>167</v>
      </c>
      <c r="L2" s="127" t="s">
        <v>212</v>
      </c>
      <c r="M2" s="127" t="s">
        <v>188</v>
      </c>
      <c r="N2" s="127">
        <v>0</v>
      </c>
      <c r="O2" s="127" t="s">
        <v>36</v>
      </c>
      <c r="P2" s="127" t="s">
        <v>190</v>
      </c>
      <c r="Q2" s="127" t="s">
        <v>53</v>
      </c>
      <c r="R2" s="127">
        <v>3.3</v>
      </c>
    </row>
    <row r="3" spans="1:18" x14ac:dyDescent="0.3">
      <c r="A3" t="s">
        <v>167</v>
      </c>
      <c r="B3" t="s">
        <v>208</v>
      </c>
      <c r="C3" t="s">
        <v>125</v>
      </c>
      <c r="D3" s="133">
        <v>46150.614340277774</v>
      </c>
      <c r="E3" t="s">
        <v>210</v>
      </c>
      <c r="F3">
        <v>1</v>
      </c>
      <c r="G3" s="133">
        <v>46154.5</v>
      </c>
      <c r="H3" t="s">
        <v>186</v>
      </c>
      <c r="I3" t="s">
        <v>187</v>
      </c>
      <c r="J3" t="s">
        <v>188</v>
      </c>
      <c r="K3" t="s">
        <v>167</v>
      </c>
      <c r="L3" t="s">
        <v>212</v>
      </c>
      <c r="M3" t="s">
        <v>188</v>
      </c>
      <c r="O3" t="s">
        <v>36</v>
      </c>
      <c r="P3" t="s">
        <v>190</v>
      </c>
      <c r="Q3" t="s">
        <v>53</v>
      </c>
    </row>
    <row r="4" spans="1:18" x14ac:dyDescent="0.3">
      <c r="A4" s="127" t="s">
        <v>167</v>
      </c>
      <c r="B4" s="127" t="s">
        <v>208</v>
      </c>
      <c r="C4" s="127" t="s">
        <v>125</v>
      </c>
      <c r="D4" s="132">
        <v>46150.611620370371</v>
      </c>
      <c r="E4" s="127" t="s">
        <v>210</v>
      </c>
      <c r="F4" s="127">
        <v>1</v>
      </c>
      <c r="G4" s="132">
        <v>46154.5</v>
      </c>
      <c r="H4" s="127" t="s">
        <v>186</v>
      </c>
      <c r="I4" s="127" t="s">
        <v>187</v>
      </c>
      <c r="J4" s="127" t="s">
        <v>188</v>
      </c>
      <c r="K4" s="127" t="s">
        <v>167</v>
      </c>
      <c r="L4" s="127" t="s">
        <v>212</v>
      </c>
      <c r="M4" s="127" t="s">
        <v>188</v>
      </c>
      <c r="N4" s="127"/>
      <c r="O4" s="127" t="s">
        <v>36</v>
      </c>
      <c r="P4" s="127" t="s">
        <v>190</v>
      </c>
      <c r="Q4" s="127" t="s">
        <v>53</v>
      </c>
      <c r="R4" s="127"/>
    </row>
    <row r="5" spans="1:18" x14ac:dyDescent="0.3">
      <c r="A5" t="s">
        <v>167</v>
      </c>
      <c r="B5" t="s">
        <v>208</v>
      </c>
      <c r="C5" t="s">
        <v>125</v>
      </c>
      <c r="D5" s="133">
        <v>46150.374583333331</v>
      </c>
      <c r="E5" t="s">
        <v>216</v>
      </c>
      <c r="F5">
        <v>25</v>
      </c>
      <c r="G5" s="133">
        <v>46170.5</v>
      </c>
      <c r="H5" t="s">
        <v>218</v>
      </c>
      <c r="I5" t="s">
        <v>219</v>
      </c>
      <c r="J5" t="s">
        <v>220</v>
      </c>
      <c r="K5" t="s">
        <v>167</v>
      </c>
      <c r="L5" t="s">
        <v>212</v>
      </c>
      <c r="M5" t="s">
        <v>188</v>
      </c>
      <c r="N5">
        <v>678</v>
      </c>
      <c r="O5" t="s">
        <v>36</v>
      </c>
      <c r="P5" t="s">
        <v>218</v>
      </c>
      <c r="Q5" t="s">
        <v>53</v>
      </c>
      <c r="R5">
        <v>1</v>
      </c>
    </row>
    <row r="6" spans="1:18" x14ac:dyDescent="0.3">
      <c r="A6" s="127" t="s">
        <v>167</v>
      </c>
      <c r="B6" s="127" t="s">
        <v>208</v>
      </c>
      <c r="C6" s="127" t="s">
        <v>125</v>
      </c>
      <c r="D6" s="132">
        <v>46150.373171296298</v>
      </c>
      <c r="E6" s="127" t="s">
        <v>216</v>
      </c>
      <c r="F6" s="127">
        <v>25</v>
      </c>
      <c r="G6" s="132">
        <v>46170.5</v>
      </c>
      <c r="H6" s="127" t="s">
        <v>218</v>
      </c>
      <c r="I6" s="127" t="s">
        <v>219</v>
      </c>
      <c r="J6" s="127" t="s">
        <v>220</v>
      </c>
      <c r="K6" s="127" t="s">
        <v>167</v>
      </c>
      <c r="L6" s="127" t="s">
        <v>212</v>
      </c>
      <c r="M6" s="127" t="s">
        <v>188</v>
      </c>
      <c r="N6" s="127"/>
      <c r="O6" s="127" t="s">
        <v>36</v>
      </c>
      <c r="P6" s="127" t="s">
        <v>218</v>
      </c>
      <c r="Q6" s="127" t="s">
        <v>53</v>
      </c>
      <c r="R6" s="127"/>
    </row>
    <row r="7" spans="1:18" x14ac:dyDescent="0.3">
      <c r="A7" t="s">
        <v>167</v>
      </c>
      <c r="B7" t="s">
        <v>208</v>
      </c>
      <c r="C7" t="s">
        <v>125</v>
      </c>
      <c r="D7" s="133">
        <v>46150.369710648149</v>
      </c>
      <c r="E7" t="s">
        <v>216</v>
      </c>
      <c r="F7">
        <v>25</v>
      </c>
      <c r="G7" s="133">
        <v>46170.5</v>
      </c>
      <c r="H7" t="s">
        <v>218</v>
      </c>
      <c r="I7" t="s">
        <v>219</v>
      </c>
      <c r="J7" t="s">
        <v>220</v>
      </c>
      <c r="K7" t="s">
        <v>167</v>
      </c>
      <c r="L7" t="s">
        <v>212</v>
      </c>
      <c r="M7" t="s">
        <v>188</v>
      </c>
      <c r="O7" t="s">
        <v>36</v>
      </c>
      <c r="P7" t="s">
        <v>218</v>
      </c>
      <c r="Q7" t="s">
        <v>53</v>
      </c>
    </row>
    <row r="8" spans="1:18" x14ac:dyDescent="0.3">
      <c r="A8" s="127" t="s">
        <v>167</v>
      </c>
      <c r="B8" s="127" t="s">
        <v>208</v>
      </c>
      <c r="C8" s="127" t="s">
        <v>125</v>
      </c>
      <c r="D8" s="132">
        <v>46150.366493055553</v>
      </c>
      <c r="E8" s="127" t="s">
        <v>216</v>
      </c>
      <c r="F8" s="127">
        <v>25</v>
      </c>
      <c r="G8" s="132">
        <v>46170.5</v>
      </c>
      <c r="H8" s="127" t="s">
        <v>218</v>
      </c>
      <c r="I8" s="127" t="s">
        <v>219</v>
      </c>
      <c r="J8" s="127" t="s">
        <v>220</v>
      </c>
      <c r="K8" s="127" t="s">
        <v>167</v>
      </c>
      <c r="L8" s="127" t="s">
        <v>212</v>
      </c>
      <c r="M8" s="127" t="s">
        <v>188</v>
      </c>
      <c r="N8" s="127"/>
      <c r="O8" s="127" t="s">
        <v>36</v>
      </c>
      <c r="P8" s="127" t="s">
        <v>218</v>
      </c>
      <c r="Q8" s="127" t="s">
        <v>53</v>
      </c>
      <c r="R8" s="127"/>
    </row>
    <row r="9" spans="1:18" x14ac:dyDescent="0.3">
      <c r="A9" t="s">
        <v>167</v>
      </c>
      <c r="B9" t="s">
        <v>208</v>
      </c>
      <c r="C9" t="s">
        <v>125</v>
      </c>
      <c r="D9" s="133">
        <v>46150.375937500001</v>
      </c>
      <c r="E9" t="s">
        <v>216</v>
      </c>
      <c r="F9">
        <v>28</v>
      </c>
      <c r="G9" s="133">
        <v>46170.708333333336</v>
      </c>
      <c r="H9" t="s">
        <v>240</v>
      </c>
      <c r="I9" t="s">
        <v>241</v>
      </c>
      <c r="J9" t="s">
        <v>242</v>
      </c>
      <c r="K9" t="s">
        <v>167</v>
      </c>
      <c r="L9" t="s">
        <v>212</v>
      </c>
      <c r="M9" t="s">
        <v>188</v>
      </c>
      <c r="O9" t="s">
        <v>36</v>
      </c>
      <c r="P9" t="s">
        <v>240</v>
      </c>
      <c r="Q9" t="s">
        <v>53</v>
      </c>
      <c r="R9">
        <v>1</v>
      </c>
    </row>
    <row r="10" spans="1:18" x14ac:dyDescent="0.3">
      <c r="A10" s="127" t="s">
        <v>167</v>
      </c>
      <c r="B10" s="127" t="s">
        <v>208</v>
      </c>
      <c r="C10" s="127" t="s">
        <v>125</v>
      </c>
      <c r="D10" s="132">
        <v>46150.626539351855</v>
      </c>
      <c r="E10" s="127" t="s">
        <v>210</v>
      </c>
      <c r="F10" s="127">
        <v>1</v>
      </c>
      <c r="G10" s="132">
        <v>46154.5</v>
      </c>
      <c r="H10" s="127" t="s">
        <v>186</v>
      </c>
      <c r="I10" s="127" t="s">
        <v>187</v>
      </c>
      <c r="J10" s="127" t="s">
        <v>188</v>
      </c>
      <c r="K10" s="127" t="s">
        <v>167</v>
      </c>
      <c r="L10" s="127" t="s">
        <v>212</v>
      </c>
      <c r="M10" s="127" t="s">
        <v>188</v>
      </c>
      <c r="N10" s="127"/>
      <c r="O10" s="127" t="s">
        <v>36</v>
      </c>
      <c r="P10" s="127" t="s">
        <v>190</v>
      </c>
      <c r="Q10" s="127" t="s">
        <v>53</v>
      </c>
      <c r="R10" s="127"/>
    </row>
    <row r="11" spans="1:18" x14ac:dyDescent="0.3">
      <c r="A11" t="s">
        <v>167</v>
      </c>
      <c r="B11" t="s">
        <v>208</v>
      </c>
      <c r="C11" t="s">
        <v>125</v>
      </c>
      <c r="D11" s="133">
        <v>46150.625891203701</v>
      </c>
      <c r="E11" t="s">
        <v>210</v>
      </c>
      <c r="F11">
        <v>1</v>
      </c>
      <c r="G11" s="133">
        <v>46154.5</v>
      </c>
      <c r="H11" t="s">
        <v>186</v>
      </c>
      <c r="I11" t="s">
        <v>187</v>
      </c>
      <c r="J11" t="s">
        <v>188</v>
      </c>
      <c r="K11" t="s">
        <v>167</v>
      </c>
      <c r="L11" t="s">
        <v>212</v>
      </c>
      <c r="M11" t="s">
        <v>188</v>
      </c>
      <c r="O11" t="s">
        <v>36</v>
      </c>
      <c r="P11" t="s">
        <v>190</v>
      </c>
      <c r="Q11" t="s">
        <v>53</v>
      </c>
    </row>
    <row r="12" spans="1:18" x14ac:dyDescent="0.3">
      <c r="A12" s="127" t="s">
        <v>167</v>
      </c>
      <c r="B12" s="127" t="s">
        <v>208</v>
      </c>
      <c r="C12" s="127" t="s">
        <v>125</v>
      </c>
      <c r="D12" s="132">
        <v>46150.626261574071</v>
      </c>
      <c r="E12" s="127" t="s">
        <v>210</v>
      </c>
      <c r="F12" s="127">
        <v>1</v>
      </c>
      <c r="G12" s="132">
        <v>46154.5</v>
      </c>
      <c r="H12" s="127" t="s">
        <v>186</v>
      </c>
      <c r="I12" s="127" t="s">
        <v>187</v>
      </c>
      <c r="J12" s="127" t="s">
        <v>188</v>
      </c>
      <c r="K12" s="127" t="s">
        <v>167</v>
      </c>
      <c r="L12" s="127" t="s">
        <v>212</v>
      </c>
      <c r="M12" s="127" t="s">
        <v>188</v>
      </c>
      <c r="N12" s="127"/>
      <c r="O12" s="127" t="s">
        <v>36</v>
      </c>
      <c r="P12" s="127" t="s">
        <v>190</v>
      </c>
      <c r="Q12" s="127" t="s">
        <v>53</v>
      </c>
      <c r="R12" s="127"/>
    </row>
    <row r="13" spans="1:18" x14ac:dyDescent="0.3">
      <c r="A13" t="s">
        <v>167</v>
      </c>
      <c r="B13" t="s">
        <v>208</v>
      </c>
      <c r="C13" t="s">
        <v>125</v>
      </c>
      <c r="D13" s="133">
        <v>46150.624224537038</v>
      </c>
      <c r="E13" t="s">
        <v>210</v>
      </c>
      <c r="F13">
        <v>1</v>
      </c>
      <c r="G13" s="133">
        <v>46154.5</v>
      </c>
      <c r="H13" t="s">
        <v>186</v>
      </c>
      <c r="I13" t="s">
        <v>187</v>
      </c>
      <c r="J13" t="s">
        <v>188</v>
      </c>
      <c r="K13" t="s">
        <v>167</v>
      </c>
      <c r="L13" t="s">
        <v>212</v>
      </c>
      <c r="M13" t="s">
        <v>188</v>
      </c>
      <c r="O13" t="s">
        <v>36</v>
      </c>
      <c r="P13" t="s">
        <v>190</v>
      </c>
      <c r="Q13" t="s">
        <v>53</v>
      </c>
    </row>
    <row r="14" spans="1:18" x14ac:dyDescent="0.3">
      <c r="A14" s="127" t="s">
        <v>167</v>
      </c>
      <c r="B14" s="127" t="s">
        <v>208</v>
      </c>
      <c r="C14" s="127" t="s">
        <v>125</v>
      </c>
      <c r="D14" s="132">
        <v>46150.623888888891</v>
      </c>
      <c r="E14" s="127" t="s">
        <v>210</v>
      </c>
      <c r="F14" s="127">
        <v>1</v>
      </c>
      <c r="G14" s="132">
        <v>46154.5</v>
      </c>
      <c r="H14" s="127" t="s">
        <v>186</v>
      </c>
      <c r="I14" s="127" t="s">
        <v>187</v>
      </c>
      <c r="J14" s="127" t="s">
        <v>188</v>
      </c>
      <c r="K14" s="127" t="s">
        <v>167</v>
      </c>
      <c r="L14" s="127" t="s">
        <v>212</v>
      </c>
      <c r="M14" s="127" t="s">
        <v>188</v>
      </c>
      <c r="N14" s="127"/>
      <c r="O14" s="127" t="s">
        <v>36</v>
      </c>
      <c r="P14" s="127" t="s">
        <v>190</v>
      </c>
      <c r="Q14" s="127" t="s">
        <v>53</v>
      </c>
      <c r="R14" s="127"/>
    </row>
    <row r="15" spans="1:18" x14ac:dyDescent="0.3">
      <c r="A15" t="s">
        <v>167</v>
      </c>
      <c r="B15" t="s">
        <v>208</v>
      </c>
      <c r="C15" t="s">
        <v>125</v>
      </c>
      <c r="D15" s="133">
        <v>46150.623541666668</v>
      </c>
      <c r="E15" t="s">
        <v>210</v>
      </c>
      <c r="F15">
        <v>1</v>
      </c>
      <c r="G15" s="133">
        <v>46154.5</v>
      </c>
      <c r="H15" t="s">
        <v>186</v>
      </c>
      <c r="I15" t="s">
        <v>187</v>
      </c>
      <c r="J15" t="s">
        <v>188</v>
      </c>
      <c r="K15" t="s">
        <v>167</v>
      </c>
      <c r="L15" t="s">
        <v>212</v>
      </c>
      <c r="M15" t="s">
        <v>188</v>
      </c>
      <c r="O15" t="s">
        <v>36</v>
      </c>
      <c r="P15" t="s">
        <v>190</v>
      </c>
      <c r="Q15" t="s">
        <v>53</v>
      </c>
    </row>
    <row r="16" spans="1:18" x14ac:dyDescent="0.3">
      <c r="A16" s="127" t="s">
        <v>167</v>
      </c>
      <c r="B16" s="127" t="s">
        <v>208</v>
      </c>
      <c r="C16" s="127" t="s">
        <v>125</v>
      </c>
      <c r="D16" s="132">
        <v>46150.623194444444</v>
      </c>
      <c r="E16" s="127" t="s">
        <v>210</v>
      </c>
      <c r="F16" s="127">
        <v>1</v>
      </c>
      <c r="G16" s="132">
        <v>46154.5</v>
      </c>
      <c r="H16" s="127" t="s">
        <v>186</v>
      </c>
      <c r="I16" s="127" t="s">
        <v>187</v>
      </c>
      <c r="J16" s="127" t="s">
        <v>188</v>
      </c>
      <c r="K16" s="127" t="s">
        <v>167</v>
      </c>
      <c r="L16" s="127" t="s">
        <v>212</v>
      </c>
      <c r="M16" s="127" t="s">
        <v>188</v>
      </c>
      <c r="N16" s="127"/>
      <c r="O16" s="127" t="s">
        <v>36</v>
      </c>
      <c r="P16" s="127" t="s">
        <v>190</v>
      </c>
      <c r="Q16" s="127" t="s">
        <v>53</v>
      </c>
      <c r="R16" s="127"/>
    </row>
    <row r="17" spans="1:18" x14ac:dyDescent="0.3">
      <c r="A17" t="s">
        <v>167</v>
      </c>
      <c r="B17" t="s">
        <v>208</v>
      </c>
      <c r="C17" t="s">
        <v>125</v>
      </c>
      <c r="D17" s="133">
        <v>46150.622893518521</v>
      </c>
      <c r="E17" t="s">
        <v>210</v>
      </c>
      <c r="F17">
        <v>1</v>
      </c>
      <c r="G17" s="133">
        <v>46154.5</v>
      </c>
      <c r="H17" t="s">
        <v>186</v>
      </c>
      <c r="I17" t="s">
        <v>187</v>
      </c>
      <c r="J17" t="s">
        <v>188</v>
      </c>
      <c r="K17" t="s">
        <v>167</v>
      </c>
      <c r="L17" t="s">
        <v>212</v>
      </c>
      <c r="M17" t="s">
        <v>188</v>
      </c>
      <c r="O17" t="s">
        <v>36</v>
      </c>
      <c r="P17" t="s">
        <v>190</v>
      </c>
      <c r="Q17" t="s">
        <v>53</v>
      </c>
    </row>
    <row r="18" spans="1:18" x14ac:dyDescent="0.3">
      <c r="A18" s="127" t="s">
        <v>167</v>
      </c>
      <c r="B18" s="127" t="s">
        <v>208</v>
      </c>
      <c r="C18" s="127" t="s">
        <v>125</v>
      </c>
      <c r="D18" s="132">
        <v>46150.622569444444</v>
      </c>
      <c r="E18" s="127" t="s">
        <v>210</v>
      </c>
      <c r="F18" s="127">
        <v>1</v>
      </c>
      <c r="G18" s="132">
        <v>46154.5</v>
      </c>
      <c r="H18" s="127" t="s">
        <v>186</v>
      </c>
      <c r="I18" s="127" t="s">
        <v>187</v>
      </c>
      <c r="J18" s="127" t="s">
        <v>188</v>
      </c>
      <c r="K18" s="127" t="s">
        <v>167</v>
      </c>
      <c r="L18" s="127" t="s">
        <v>212</v>
      </c>
      <c r="M18" s="127" t="s">
        <v>188</v>
      </c>
      <c r="N18" s="127"/>
      <c r="O18" s="127" t="s">
        <v>36</v>
      </c>
      <c r="P18" s="127" t="s">
        <v>190</v>
      </c>
      <c r="Q18" s="127" t="s">
        <v>53</v>
      </c>
      <c r="R18" s="127"/>
    </row>
    <row r="19" spans="1:18" x14ac:dyDescent="0.3">
      <c r="A19" t="s">
        <v>167</v>
      </c>
      <c r="B19" t="s">
        <v>208</v>
      </c>
      <c r="C19" t="s">
        <v>125</v>
      </c>
      <c r="D19" s="133">
        <v>46150.622256944444</v>
      </c>
      <c r="E19" t="s">
        <v>210</v>
      </c>
      <c r="F19">
        <v>1</v>
      </c>
      <c r="G19" s="133">
        <v>46154.5</v>
      </c>
      <c r="H19" t="s">
        <v>186</v>
      </c>
      <c r="I19" t="s">
        <v>187</v>
      </c>
      <c r="J19" t="s">
        <v>188</v>
      </c>
      <c r="K19" t="s">
        <v>167</v>
      </c>
      <c r="L19" t="s">
        <v>212</v>
      </c>
      <c r="M19" t="s">
        <v>188</v>
      </c>
      <c r="O19" t="s">
        <v>36</v>
      </c>
      <c r="P19" t="s">
        <v>190</v>
      </c>
      <c r="Q19" t="s">
        <v>53</v>
      </c>
    </row>
    <row r="20" spans="1:18" x14ac:dyDescent="0.3">
      <c r="A20" s="127" t="s">
        <v>167</v>
      </c>
      <c r="B20" s="127" t="s">
        <v>208</v>
      </c>
      <c r="C20" s="127" t="s">
        <v>125</v>
      </c>
      <c r="D20" s="132">
        <v>46150.621886574074</v>
      </c>
      <c r="E20" s="127" t="s">
        <v>210</v>
      </c>
      <c r="F20" s="127">
        <v>1</v>
      </c>
      <c r="G20" s="132">
        <v>46154.5</v>
      </c>
      <c r="H20" s="127" t="s">
        <v>186</v>
      </c>
      <c r="I20" s="127" t="s">
        <v>187</v>
      </c>
      <c r="J20" s="127" t="s">
        <v>188</v>
      </c>
      <c r="K20" s="127" t="s">
        <v>167</v>
      </c>
      <c r="L20" s="127" t="s">
        <v>212</v>
      </c>
      <c r="M20" s="127" t="s">
        <v>188</v>
      </c>
      <c r="N20" s="127"/>
      <c r="O20" s="127" t="s">
        <v>36</v>
      </c>
      <c r="P20" s="127" t="s">
        <v>190</v>
      </c>
      <c r="Q20" s="127" t="s">
        <v>53</v>
      </c>
      <c r="R20" s="127"/>
    </row>
    <row r="21" spans="1:18" x14ac:dyDescent="0.3">
      <c r="A21" t="s">
        <v>167</v>
      </c>
      <c r="B21" t="s">
        <v>208</v>
      </c>
      <c r="C21" t="s">
        <v>125</v>
      </c>
      <c r="D21" s="133">
        <v>46150.621620370373</v>
      </c>
      <c r="E21" t="s">
        <v>210</v>
      </c>
      <c r="F21">
        <v>1</v>
      </c>
      <c r="G21" s="133">
        <v>46154.5</v>
      </c>
      <c r="H21" t="s">
        <v>186</v>
      </c>
      <c r="I21" t="s">
        <v>187</v>
      </c>
      <c r="J21" t="s">
        <v>188</v>
      </c>
      <c r="K21" t="s">
        <v>167</v>
      </c>
      <c r="L21" t="s">
        <v>212</v>
      </c>
      <c r="M21" t="s">
        <v>188</v>
      </c>
      <c r="O21" t="s">
        <v>36</v>
      </c>
      <c r="P21" t="s">
        <v>190</v>
      </c>
      <c r="Q21" t="s">
        <v>53</v>
      </c>
    </row>
    <row r="22" spans="1:18" x14ac:dyDescent="0.3">
      <c r="A22" s="127" t="s">
        <v>167</v>
      </c>
      <c r="B22" s="127" t="s">
        <v>208</v>
      </c>
      <c r="C22" s="127" t="s">
        <v>125</v>
      </c>
      <c r="D22" s="132">
        <v>46150.621168981481</v>
      </c>
      <c r="E22" s="127" t="s">
        <v>210</v>
      </c>
      <c r="F22" s="127">
        <v>1</v>
      </c>
      <c r="G22" s="132">
        <v>46154.5</v>
      </c>
      <c r="H22" s="127" t="s">
        <v>186</v>
      </c>
      <c r="I22" s="127" t="s">
        <v>187</v>
      </c>
      <c r="J22" s="127" t="s">
        <v>188</v>
      </c>
      <c r="K22" s="127" t="s">
        <v>167</v>
      </c>
      <c r="L22" s="127" t="s">
        <v>212</v>
      </c>
      <c r="M22" s="127" t="s">
        <v>188</v>
      </c>
      <c r="N22" s="127"/>
      <c r="O22" s="127" t="s">
        <v>36</v>
      </c>
      <c r="P22" s="127" t="s">
        <v>190</v>
      </c>
      <c r="Q22" s="127" t="s">
        <v>53</v>
      </c>
      <c r="R22" s="127"/>
    </row>
    <row r="23" spans="1:18" x14ac:dyDescent="0.3">
      <c r="A23" t="s">
        <v>167</v>
      </c>
      <c r="B23" t="s">
        <v>208</v>
      </c>
      <c r="C23" t="s">
        <v>125</v>
      </c>
      <c r="D23" s="133">
        <v>46150.620439814818</v>
      </c>
      <c r="E23" t="s">
        <v>210</v>
      </c>
      <c r="F23">
        <v>1</v>
      </c>
      <c r="G23" s="133">
        <v>46154.5</v>
      </c>
      <c r="H23" t="s">
        <v>186</v>
      </c>
      <c r="I23" t="s">
        <v>187</v>
      </c>
      <c r="J23" t="s">
        <v>188</v>
      </c>
      <c r="K23" t="s">
        <v>167</v>
      </c>
      <c r="L23" t="s">
        <v>212</v>
      </c>
      <c r="M23" t="s">
        <v>188</v>
      </c>
      <c r="O23" t="s">
        <v>36</v>
      </c>
      <c r="P23" t="s">
        <v>190</v>
      </c>
      <c r="Q23" t="s">
        <v>53</v>
      </c>
    </row>
    <row r="24" spans="1:18" x14ac:dyDescent="0.3">
      <c r="A24" s="127" t="s">
        <v>167</v>
      </c>
      <c r="B24" s="127" t="s">
        <v>208</v>
      </c>
      <c r="C24" s="127" t="s">
        <v>125</v>
      </c>
      <c r="D24" s="132">
        <v>46150.620092592595</v>
      </c>
      <c r="E24" s="127" t="s">
        <v>210</v>
      </c>
      <c r="F24" s="127">
        <v>1</v>
      </c>
      <c r="G24" s="132">
        <v>46154.5</v>
      </c>
      <c r="H24" s="127" t="s">
        <v>186</v>
      </c>
      <c r="I24" s="127" t="s">
        <v>187</v>
      </c>
      <c r="J24" s="127" t="s">
        <v>188</v>
      </c>
      <c r="K24" s="127" t="s">
        <v>167</v>
      </c>
      <c r="L24" s="127" t="s">
        <v>212</v>
      </c>
      <c r="M24" s="127" t="s">
        <v>188</v>
      </c>
      <c r="N24" s="127"/>
      <c r="O24" s="127" t="s">
        <v>36</v>
      </c>
      <c r="P24" s="127" t="s">
        <v>190</v>
      </c>
      <c r="Q24" s="127" t="s">
        <v>53</v>
      </c>
      <c r="R24" s="127"/>
    </row>
    <row r="25" spans="1:18" x14ac:dyDescent="0.3">
      <c r="A25" t="s">
        <v>167</v>
      </c>
      <c r="B25" t="s">
        <v>208</v>
      </c>
      <c r="C25" t="s">
        <v>125</v>
      </c>
      <c r="D25" s="133">
        <v>46150.619780092595</v>
      </c>
      <c r="E25" t="s">
        <v>210</v>
      </c>
      <c r="F25">
        <v>1</v>
      </c>
      <c r="G25" s="133">
        <v>46154.5</v>
      </c>
      <c r="H25" t="s">
        <v>186</v>
      </c>
      <c r="I25" t="s">
        <v>187</v>
      </c>
      <c r="J25" t="s">
        <v>188</v>
      </c>
      <c r="K25" t="s">
        <v>167</v>
      </c>
      <c r="L25" t="s">
        <v>212</v>
      </c>
      <c r="M25" t="s">
        <v>188</v>
      </c>
      <c r="O25" t="s">
        <v>36</v>
      </c>
      <c r="P25" t="s">
        <v>190</v>
      </c>
      <c r="Q25" t="s">
        <v>53</v>
      </c>
    </row>
    <row r="26" spans="1:18" x14ac:dyDescent="0.3">
      <c r="A26" s="127" t="s">
        <v>167</v>
      </c>
      <c r="B26" s="127" t="s">
        <v>208</v>
      </c>
      <c r="C26" s="127" t="s">
        <v>125</v>
      </c>
      <c r="D26" s="132">
        <v>46150.619444444441</v>
      </c>
      <c r="E26" s="127" t="s">
        <v>210</v>
      </c>
      <c r="F26" s="127">
        <v>1</v>
      </c>
      <c r="G26" s="132">
        <v>46154.5</v>
      </c>
      <c r="H26" s="127" t="s">
        <v>186</v>
      </c>
      <c r="I26" s="127" t="s">
        <v>187</v>
      </c>
      <c r="J26" s="127" t="s">
        <v>188</v>
      </c>
      <c r="K26" s="127" t="s">
        <v>167</v>
      </c>
      <c r="L26" s="127" t="s">
        <v>212</v>
      </c>
      <c r="M26" s="127" t="s">
        <v>188</v>
      </c>
      <c r="N26" s="127"/>
      <c r="O26" s="127" t="s">
        <v>36</v>
      </c>
      <c r="P26" s="127" t="s">
        <v>190</v>
      </c>
      <c r="Q26" s="127" t="s">
        <v>53</v>
      </c>
      <c r="R26" s="127"/>
    </row>
    <row r="27" spans="1:18" x14ac:dyDescent="0.3">
      <c r="A27" t="s">
        <v>167</v>
      </c>
      <c r="B27" t="s">
        <v>208</v>
      </c>
      <c r="C27" t="s">
        <v>125</v>
      </c>
      <c r="D27" s="133">
        <v>46150.619085648148</v>
      </c>
      <c r="E27" t="s">
        <v>210</v>
      </c>
      <c r="F27">
        <v>1</v>
      </c>
      <c r="G27" s="133">
        <v>46154.5</v>
      </c>
      <c r="H27" t="s">
        <v>186</v>
      </c>
      <c r="I27" t="s">
        <v>187</v>
      </c>
      <c r="J27" t="s">
        <v>188</v>
      </c>
      <c r="K27" t="s">
        <v>167</v>
      </c>
      <c r="L27" t="s">
        <v>212</v>
      </c>
      <c r="M27" t="s">
        <v>188</v>
      </c>
      <c r="O27" t="s">
        <v>36</v>
      </c>
      <c r="P27" t="s">
        <v>190</v>
      </c>
      <c r="Q27" t="s">
        <v>53</v>
      </c>
    </row>
    <row r="28" spans="1:18" x14ac:dyDescent="0.3">
      <c r="A28" s="127" t="s">
        <v>167</v>
      </c>
      <c r="B28" s="127" t="s">
        <v>208</v>
      </c>
      <c r="C28" s="127" t="s">
        <v>125</v>
      </c>
      <c r="D28" s="132">
        <v>46150.620810185188</v>
      </c>
      <c r="E28" s="127" t="s">
        <v>210</v>
      </c>
      <c r="F28" s="127">
        <v>1</v>
      </c>
      <c r="G28" s="132">
        <v>46154.5</v>
      </c>
      <c r="H28" s="127" t="s">
        <v>186</v>
      </c>
      <c r="I28" s="127" t="s">
        <v>187</v>
      </c>
      <c r="J28" s="127" t="s">
        <v>188</v>
      </c>
      <c r="K28" s="127" t="s">
        <v>167</v>
      </c>
      <c r="L28" s="127" t="s">
        <v>212</v>
      </c>
      <c r="M28" s="127" t="s">
        <v>188</v>
      </c>
      <c r="N28" s="127"/>
      <c r="O28" s="127" t="s">
        <v>36</v>
      </c>
      <c r="P28" s="127" t="s">
        <v>190</v>
      </c>
      <c r="Q28" s="127" t="s">
        <v>53</v>
      </c>
      <c r="R28" s="127"/>
    </row>
    <row r="29" spans="1:18" x14ac:dyDescent="0.3">
      <c r="A29" t="s">
        <v>167</v>
      </c>
      <c r="B29" t="s">
        <v>208</v>
      </c>
      <c r="C29" t="s">
        <v>125</v>
      </c>
      <c r="D29" s="133">
        <v>46150.625439814816</v>
      </c>
      <c r="E29" t="s">
        <v>210</v>
      </c>
      <c r="F29">
        <v>1</v>
      </c>
      <c r="G29" s="133">
        <v>46154.5</v>
      </c>
      <c r="H29" t="s">
        <v>186</v>
      </c>
      <c r="I29" t="s">
        <v>187</v>
      </c>
      <c r="J29" t="s">
        <v>188</v>
      </c>
      <c r="K29" t="s">
        <v>167</v>
      </c>
      <c r="L29" t="s">
        <v>212</v>
      </c>
      <c r="M29" t="s">
        <v>188</v>
      </c>
      <c r="O29" t="s">
        <v>36</v>
      </c>
      <c r="P29" t="s">
        <v>190</v>
      </c>
      <c r="Q29" t="s">
        <v>53</v>
      </c>
    </row>
    <row r="30" spans="1:18" x14ac:dyDescent="0.3">
      <c r="A30" s="127" t="s">
        <v>167</v>
      </c>
      <c r="B30" s="127" t="s">
        <v>208</v>
      </c>
      <c r="C30" s="127" t="s">
        <v>125</v>
      </c>
      <c r="D30" s="132">
        <v>46150.625069444446</v>
      </c>
      <c r="E30" s="127" t="s">
        <v>210</v>
      </c>
      <c r="F30" s="127">
        <v>1</v>
      </c>
      <c r="G30" s="132">
        <v>46154.5</v>
      </c>
      <c r="H30" s="127" t="s">
        <v>186</v>
      </c>
      <c r="I30" s="127" t="s">
        <v>187</v>
      </c>
      <c r="J30" s="127" t="s">
        <v>188</v>
      </c>
      <c r="K30" s="127" t="s">
        <v>167</v>
      </c>
      <c r="L30" s="127" t="s">
        <v>212</v>
      </c>
      <c r="M30" s="127" t="s">
        <v>188</v>
      </c>
      <c r="N30" s="127"/>
      <c r="O30" s="127" t="s">
        <v>36</v>
      </c>
      <c r="P30" s="127" t="s">
        <v>190</v>
      </c>
      <c r="Q30" s="127" t="s">
        <v>53</v>
      </c>
      <c r="R30" s="127"/>
    </row>
    <row r="31" spans="1:18" x14ac:dyDescent="0.3">
      <c r="A31" t="s">
        <v>167</v>
      </c>
      <c r="B31" t="s">
        <v>208</v>
      </c>
      <c r="C31" t="s">
        <v>125</v>
      </c>
      <c r="D31" s="133">
        <v>46150.624583333331</v>
      </c>
      <c r="E31" t="s">
        <v>210</v>
      </c>
      <c r="F31">
        <v>1</v>
      </c>
      <c r="G31" s="133">
        <v>46154.5</v>
      </c>
      <c r="H31" t="s">
        <v>186</v>
      </c>
      <c r="I31" t="s">
        <v>187</v>
      </c>
      <c r="J31" t="s">
        <v>188</v>
      </c>
      <c r="K31" t="s">
        <v>167</v>
      </c>
      <c r="L31" t="s">
        <v>212</v>
      </c>
      <c r="M31" t="s">
        <v>188</v>
      </c>
      <c r="O31" t="s">
        <v>36</v>
      </c>
      <c r="P31" t="s">
        <v>190</v>
      </c>
      <c r="Q31" t="s">
        <v>53</v>
      </c>
    </row>
    <row r="32" spans="1:18" x14ac:dyDescent="0.3">
      <c r="A32" s="127" t="s">
        <v>167</v>
      </c>
      <c r="B32" s="127" t="s">
        <v>208</v>
      </c>
      <c r="C32" s="127" t="s">
        <v>133</v>
      </c>
      <c r="D32" s="132">
        <v>46268.602071759262</v>
      </c>
      <c r="E32" s="127" t="s">
        <v>284</v>
      </c>
      <c r="F32" s="127">
        <v>10</v>
      </c>
      <c r="G32" s="132">
        <v>46274.496527777781</v>
      </c>
      <c r="H32" s="127" t="s">
        <v>240</v>
      </c>
      <c r="I32" s="127" t="s">
        <v>241</v>
      </c>
      <c r="J32" s="127" t="s">
        <v>242</v>
      </c>
      <c r="K32" s="127" t="s">
        <v>167</v>
      </c>
      <c r="L32" s="127" t="s">
        <v>212</v>
      </c>
      <c r="M32" s="127" t="s">
        <v>188</v>
      </c>
      <c r="N32" s="127"/>
      <c r="O32" s="127" t="s">
        <v>36</v>
      </c>
      <c r="P32" s="127" t="s">
        <v>240</v>
      </c>
      <c r="Q32" s="127" t="s">
        <v>53</v>
      </c>
      <c r="R32" s="127">
        <v>1</v>
      </c>
    </row>
    <row r="33" spans="1:18" x14ac:dyDescent="0.3">
      <c r="A33" t="s">
        <v>167</v>
      </c>
      <c r="B33" t="s">
        <v>208</v>
      </c>
      <c r="C33" t="s">
        <v>125</v>
      </c>
      <c r="D33" s="133">
        <v>46269.339016203703</v>
      </c>
      <c r="E33" t="s">
        <v>284</v>
      </c>
      <c r="F33">
        <v>3</v>
      </c>
      <c r="G33" s="133">
        <v>46274.496527777781</v>
      </c>
      <c r="H33" t="s">
        <v>240</v>
      </c>
      <c r="I33" t="s">
        <v>241</v>
      </c>
      <c r="J33" t="s">
        <v>242</v>
      </c>
      <c r="K33" t="s">
        <v>167</v>
      </c>
      <c r="L33" t="s">
        <v>212</v>
      </c>
      <c r="M33" t="s">
        <v>188</v>
      </c>
      <c r="O33" t="s">
        <v>36</v>
      </c>
      <c r="P33" t="s">
        <v>240</v>
      </c>
      <c r="Q33" t="s">
        <v>53</v>
      </c>
    </row>
    <row r="34" spans="1:18" x14ac:dyDescent="0.3">
      <c r="A34" s="127" t="s">
        <v>167</v>
      </c>
      <c r="B34" s="127" t="s">
        <v>208</v>
      </c>
      <c r="C34" s="127" t="s">
        <v>125</v>
      </c>
      <c r="D34" s="132">
        <v>46280.376238425924</v>
      </c>
      <c r="E34" s="127" t="s">
        <v>236</v>
      </c>
      <c r="F34" s="127">
        <v>22</v>
      </c>
      <c r="G34" s="132">
        <v>46286.542361111111</v>
      </c>
      <c r="H34" s="127" t="s">
        <v>186</v>
      </c>
      <c r="I34" s="127" t="s">
        <v>187</v>
      </c>
      <c r="J34" s="127" t="s">
        <v>188</v>
      </c>
      <c r="K34" s="127" t="s">
        <v>167</v>
      </c>
      <c r="L34" s="127" t="s">
        <v>212</v>
      </c>
      <c r="M34" s="127" t="s">
        <v>188</v>
      </c>
      <c r="N34" s="127">
        <v>0</v>
      </c>
      <c r="O34" s="127" t="s">
        <v>36</v>
      </c>
      <c r="P34" s="127" t="s">
        <v>190</v>
      </c>
      <c r="Q34" s="127" t="s">
        <v>53</v>
      </c>
      <c r="R34" s="127">
        <v>1</v>
      </c>
    </row>
    <row r="35" spans="1:18" x14ac:dyDescent="0.3">
      <c r="A35" t="s">
        <v>167</v>
      </c>
      <c r="B35" t="s">
        <v>208</v>
      </c>
      <c r="C35" t="s">
        <v>125</v>
      </c>
      <c r="D35" s="133">
        <v>46280.379675925928</v>
      </c>
      <c r="E35" t="s">
        <v>236</v>
      </c>
      <c r="F35">
        <v>14</v>
      </c>
      <c r="G35" s="133">
        <v>46286.542361111111</v>
      </c>
      <c r="H35" t="s">
        <v>186</v>
      </c>
      <c r="I35" t="s">
        <v>187</v>
      </c>
      <c r="J35" t="s">
        <v>188</v>
      </c>
      <c r="K35" t="s">
        <v>167</v>
      </c>
      <c r="L35" t="s">
        <v>212</v>
      </c>
      <c r="M35" t="s">
        <v>188</v>
      </c>
      <c r="O35" t="s">
        <v>36</v>
      </c>
      <c r="P35" t="s">
        <v>190</v>
      </c>
      <c r="Q35" t="s">
        <v>53</v>
      </c>
    </row>
    <row r="36" spans="1:18" x14ac:dyDescent="0.3">
      <c r="A36" s="127" t="s">
        <v>167</v>
      </c>
      <c r="B36" s="127" t="s">
        <v>208</v>
      </c>
      <c r="C36" s="127" t="s">
        <v>125</v>
      </c>
      <c r="D36" s="132">
        <v>46268.592581018522</v>
      </c>
      <c r="E36" s="127" t="s">
        <v>294</v>
      </c>
      <c r="F36" s="127">
        <v>8</v>
      </c>
      <c r="G36" s="132">
        <v>46274.496527777781</v>
      </c>
      <c r="H36" s="127" t="s">
        <v>240</v>
      </c>
      <c r="I36" s="127" t="s">
        <v>241</v>
      </c>
      <c r="J36" s="127" t="s">
        <v>242</v>
      </c>
      <c r="K36" s="127" t="s">
        <v>167</v>
      </c>
      <c r="L36" s="127" t="s">
        <v>212</v>
      </c>
      <c r="M36" s="127" t="s">
        <v>188</v>
      </c>
      <c r="N36" s="127"/>
      <c r="O36" s="127" t="s">
        <v>36</v>
      </c>
      <c r="P36" s="127" t="s">
        <v>240</v>
      </c>
      <c r="Q36" s="127" t="s">
        <v>53</v>
      </c>
      <c r="R36" s="127"/>
    </row>
    <row r="37" spans="1:18" x14ac:dyDescent="0.3">
      <c r="A37" t="s">
        <v>167</v>
      </c>
      <c r="B37" t="s">
        <v>208</v>
      </c>
      <c r="C37" t="s">
        <v>125</v>
      </c>
      <c r="D37" s="133">
        <v>46268.597766203704</v>
      </c>
      <c r="E37" t="s">
        <v>284</v>
      </c>
      <c r="F37">
        <v>13</v>
      </c>
      <c r="G37" s="133">
        <v>46274.496527777781</v>
      </c>
      <c r="H37" t="s">
        <v>240</v>
      </c>
      <c r="I37" t="s">
        <v>241</v>
      </c>
      <c r="J37" t="s">
        <v>242</v>
      </c>
      <c r="K37" t="s">
        <v>167</v>
      </c>
      <c r="L37" t="s">
        <v>212</v>
      </c>
      <c r="M37" t="s">
        <v>188</v>
      </c>
      <c r="O37" t="s">
        <v>36</v>
      </c>
      <c r="P37" t="s">
        <v>240</v>
      </c>
      <c r="Q37" t="s">
        <v>53</v>
      </c>
    </row>
    <row r="38" spans="1:18" x14ac:dyDescent="0.3">
      <c r="A38" s="127" t="s">
        <v>167</v>
      </c>
      <c r="B38" s="127" t="s">
        <v>208</v>
      </c>
      <c r="C38" s="127" t="s">
        <v>133</v>
      </c>
      <c r="D38" s="132">
        <v>46268.600613425922</v>
      </c>
      <c r="E38" s="127" t="s">
        <v>284</v>
      </c>
      <c r="F38" s="127">
        <v>10</v>
      </c>
      <c r="G38" s="132">
        <v>46274.496527777781</v>
      </c>
      <c r="H38" s="127" t="s">
        <v>240</v>
      </c>
      <c r="I38" s="127" t="s">
        <v>241</v>
      </c>
      <c r="J38" s="127" t="s">
        <v>242</v>
      </c>
      <c r="K38" s="127" t="s">
        <v>167</v>
      </c>
      <c r="L38" s="127" t="s">
        <v>212</v>
      </c>
      <c r="M38" s="127" t="s">
        <v>188</v>
      </c>
      <c r="N38" s="127"/>
      <c r="O38" s="127" t="s">
        <v>36</v>
      </c>
      <c r="P38" s="127" t="s">
        <v>240</v>
      </c>
      <c r="Q38" s="127" t="s">
        <v>53</v>
      </c>
      <c r="R38" s="127"/>
    </row>
    <row r="39" spans="1:18" x14ac:dyDescent="0.3">
      <c r="A39" t="s">
        <v>167</v>
      </c>
      <c r="B39" t="s">
        <v>208</v>
      </c>
      <c r="C39" t="s">
        <v>125</v>
      </c>
      <c r="D39" s="133">
        <v>46248.440740740742</v>
      </c>
      <c r="E39" t="s">
        <v>317</v>
      </c>
      <c r="F39">
        <v>6</v>
      </c>
      <c r="G39" s="133">
        <v>46258.661111111112</v>
      </c>
      <c r="H39" t="s">
        <v>186</v>
      </c>
      <c r="I39" t="s">
        <v>187</v>
      </c>
      <c r="J39" t="s">
        <v>188</v>
      </c>
      <c r="K39" t="s">
        <v>167</v>
      </c>
      <c r="L39" t="s">
        <v>212</v>
      </c>
      <c r="M39" t="s">
        <v>188</v>
      </c>
      <c r="N39">
        <v>0</v>
      </c>
      <c r="O39" t="s">
        <v>36</v>
      </c>
      <c r="P39" t="s">
        <v>190</v>
      </c>
      <c r="Q39" t="s">
        <v>53</v>
      </c>
      <c r="R39">
        <v>1</v>
      </c>
    </row>
    <row r="40" spans="1:18" x14ac:dyDescent="0.3">
      <c r="A40" s="127" t="s">
        <v>167</v>
      </c>
      <c r="B40" s="127" t="s">
        <v>208</v>
      </c>
      <c r="C40" s="127" t="s">
        <v>125</v>
      </c>
      <c r="D40" s="132">
        <v>46248.43954861111</v>
      </c>
      <c r="E40" s="127" t="s">
        <v>317</v>
      </c>
      <c r="F40" s="127">
        <v>7</v>
      </c>
      <c r="G40" s="132">
        <v>46258.661111111112</v>
      </c>
      <c r="H40" s="127" t="s">
        <v>186</v>
      </c>
      <c r="I40" s="127" t="s">
        <v>187</v>
      </c>
      <c r="J40" s="127" t="s">
        <v>188</v>
      </c>
      <c r="K40" s="127" t="s">
        <v>167</v>
      </c>
      <c r="L40" s="127" t="s">
        <v>212</v>
      </c>
      <c r="M40" s="127" t="s">
        <v>188</v>
      </c>
      <c r="N40" s="127"/>
      <c r="O40" s="127" t="s">
        <v>36</v>
      </c>
      <c r="P40" s="127" t="s">
        <v>190</v>
      </c>
      <c r="Q40" s="127" t="s">
        <v>53</v>
      </c>
      <c r="R40" s="127"/>
    </row>
    <row r="41" spans="1:18" x14ac:dyDescent="0.3">
      <c r="A41" t="s">
        <v>167</v>
      </c>
      <c r="B41" t="s">
        <v>208</v>
      </c>
      <c r="C41" t="s">
        <v>125</v>
      </c>
      <c r="D41" s="133">
        <v>46248.437743055554</v>
      </c>
      <c r="E41" t="s">
        <v>317</v>
      </c>
      <c r="F41">
        <v>4</v>
      </c>
      <c r="G41" s="133">
        <v>46258.661111111112</v>
      </c>
      <c r="H41" t="s">
        <v>186</v>
      </c>
      <c r="I41" t="s">
        <v>187</v>
      </c>
      <c r="J41" t="s">
        <v>188</v>
      </c>
      <c r="K41" t="s">
        <v>167</v>
      </c>
      <c r="L41" t="s">
        <v>212</v>
      </c>
      <c r="M41" t="s">
        <v>188</v>
      </c>
      <c r="O41" t="s">
        <v>36</v>
      </c>
      <c r="P41" t="s">
        <v>190</v>
      </c>
      <c r="Q41" t="s">
        <v>53</v>
      </c>
    </row>
    <row r="42" spans="1:18" x14ac:dyDescent="0.3">
      <c r="A42" s="127" t="s">
        <v>167</v>
      </c>
      <c r="B42" s="127" t="s">
        <v>208</v>
      </c>
      <c r="C42" s="127" t="s">
        <v>125</v>
      </c>
      <c r="D42" s="132">
        <v>46248.438252314816</v>
      </c>
      <c r="E42" s="127" t="s">
        <v>317</v>
      </c>
      <c r="F42" s="127">
        <v>4</v>
      </c>
      <c r="G42" s="132">
        <v>46258.661111111112</v>
      </c>
      <c r="H42" s="127" t="s">
        <v>186</v>
      </c>
      <c r="I42" s="127" t="s">
        <v>187</v>
      </c>
      <c r="J42" s="127" t="s">
        <v>188</v>
      </c>
      <c r="K42" s="127" t="s">
        <v>167</v>
      </c>
      <c r="L42" s="127" t="s">
        <v>212</v>
      </c>
      <c r="M42" s="127" t="s">
        <v>188</v>
      </c>
      <c r="N42" s="127"/>
      <c r="O42" s="127" t="s">
        <v>36</v>
      </c>
      <c r="P42" s="127" t="s">
        <v>190</v>
      </c>
      <c r="Q42" s="127" t="s">
        <v>53</v>
      </c>
      <c r="R42" s="127"/>
    </row>
    <row r="43" spans="1:18" x14ac:dyDescent="0.3">
      <c r="A43" t="s">
        <v>167</v>
      </c>
      <c r="B43" t="s">
        <v>208</v>
      </c>
      <c r="C43" t="s">
        <v>125</v>
      </c>
      <c r="D43" s="133">
        <v>46248.44027777778</v>
      </c>
      <c r="E43" t="s">
        <v>317</v>
      </c>
      <c r="F43">
        <v>7</v>
      </c>
      <c r="G43" s="133">
        <v>46258.661111111112</v>
      </c>
      <c r="H43" t="s">
        <v>186</v>
      </c>
      <c r="I43" t="s">
        <v>187</v>
      </c>
      <c r="J43" t="s">
        <v>188</v>
      </c>
      <c r="K43" t="s">
        <v>167</v>
      </c>
      <c r="L43" t="s">
        <v>212</v>
      </c>
      <c r="M43" t="s">
        <v>188</v>
      </c>
      <c r="O43" t="s">
        <v>36</v>
      </c>
      <c r="P43" t="s">
        <v>190</v>
      </c>
      <c r="Q43" t="s">
        <v>53</v>
      </c>
    </row>
    <row r="44" spans="1:18" x14ac:dyDescent="0.3">
      <c r="A44" s="127" t="s">
        <v>167</v>
      </c>
      <c r="B44" s="127" t="s">
        <v>208</v>
      </c>
      <c r="C44" s="127" t="s">
        <v>125</v>
      </c>
      <c r="D44" s="132">
        <v>46251.316620370373</v>
      </c>
      <c r="E44" s="127" t="s">
        <v>317</v>
      </c>
      <c r="F44" s="127">
        <v>11</v>
      </c>
      <c r="G44" s="132">
        <v>46262.636111111111</v>
      </c>
      <c r="H44" s="127" t="s">
        <v>186</v>
      </c>
      <c r="I44" s="127" t="s">
        <v>187</v>
      </c>
      <c r="J44" s="127" t="s">
        <v>188</v>
      </c>
      <c r="K44" s="127" t="s">
        <v>167</v>
      </c>
      <c r="L44" s="127" t="s">
        <v>212</v>
      </c>
      <c r="M44" s="127" t="s">
        <v>188</v>
      </c>
      <c r="N44" s="127">
        <v>0</v>
      </c>
      <c r="O44" s="127" t="s">
        <v>36</v>
      </c>
      <c r="P44" s="127" t="s">
        <v>190</v>
      </c>
      <c r="Q44" s="127" t="s">
        <v>53</v>
      </c>
      <c r="R44" s="127">
        <v>1</v>
      </c>
    </row>
    <row r="45" spans="1:18" x14ac:dyDescent="0.3">
      <c r="A45" t="s">
        <v>167</v>
      </c>
      <c r="B45" t="s">
        <v>208</v>
      </c>
      <c r="C45" t="s">
        <v>125</v>
      </c>
      <c r="D45" s="133">
        <v>46252.496122685188</v>
      </c>
      <c r="E45" t="s">
        <v>294</v>
      </c>
      <c r="F45">
        <v>20</v>
      </c>
      <c r="G45" s="133">
        <v>46266.494444444441</v>
      </c>
      <c r="H45" t="s">
        <v>240</v>
      </c>
      <c r="I45" t="s">
        <v>241</v>
      </c>
      <c r="J45" t="s">
        <v>242</v>
      </c>
      <c r="K45" t="s">
        <v>167</v>
      </c>
      <c r="L45" t="s">
        <v>212</v>
      </c>
      <c r="M45" t="s">
        <v>188</v>
      </c>
      <c r="O45" t="s">
        <v>36</v>
      </c>
      <c r="P45" t="s">
        <v>240</v>
      </c>
      <c r="Q45" t="s">
        <v>53</v>
      </c>
      <c r="R45">
        <v>1</v>
      </c>
    </row>
    <row r="46" spans="1:18" x14ac:dyDescent="0.3">
      <c r="A46" s="127" t="s">
        <v>167</v>
      </c>
      <c r="B46" s="127" t="s">
        <v>208</v>
      </c>
      <c r="C46" s="127" t="s">
        <v>125</v>
      </c>
      <c r="D46" s="132">
        <v>46252.496145833335</v>
      </c>
      <c r="E46" s="127" t="s">
        <v>284</v>
      </c>
      <c r="F46" s="127">
        <v>2</v>
      </c>
      <c r="G46" s="132">
        <v>46266.494444444441</v>
      </c>
      <c r="H46" s="127" t="s">
        <v>240</v>
      </c>
      <c r="I46" s="127" t="s">
        <v>241</v>
      </c>
      <c r="J46" s="127" t="s">
        <v>242</v>
      </c>
      <c r="K46" s="127" t="s">
        <v>167</v>
      </c>
      <c r="L46" s="127" t="s">
        <v>212</v>
      </c>
      <c r="M46" s="127" t="s">
        <v>188</v>
      </c>
      <c r="N46" s="127"/>
      <c r="O46" s="127" t="s">
        <v>36</v>
      </c>
      <c r="P46" s="127" t="s">
        <v>240</v>
      </c>
      <c r="Q46" s="127" t="s">
        <v>53</v>
      </c>
      <c r="R46" s="127"/>
    </row>
    <row r="47" spans="1:18" x14ac:dyDescent="0.3">
      <c r="A47" t="s">
        <v>167</v>
      </c>
      <c r="B47" t="s">
        <v>208</v>
      </c>
      <c r="C47" t="s">
        <v>125</v>
      </c>
      <c r="D47" s="133">
        <v>46252.655300925922</v>
      </c>
      <c r="E47" t="s">
        <v>284</v>
      </c>
      <c r="F47">
        <v>12</v>
      </c>
      <c r="G47" s="133">
        <v>46266.494444444441</v>
      </c>
      <c r="H47" t="s">
        <v>240</v>
      </c>
      <c r="I47" t="s">
        <v>241</v>
      </c>
      <c r="J47" t="s">
        <v>242</v>
      </c>
      <c r="K47" t="s">
        <v>167</v>
      </c>
      <c r="L47" t="s">
        <v>212</v>
      </c>
      <c r="M47" t="s">
        <v>188</v>
      </c>
      <c r="O47" t="s">
        <v>36</v>
      </c>
      <c r="P47" t="s">
        <v>240</v>
      </c>
      <c r="Q47" t="s">
        <v>53</v>
      </c>
    </row>
    <row r="48" spans="1:18" x14ac:dyDescent="0.3">
      <c r="A48" s="127" t="s">
        <v>167</v>
      </c>
      <c r="B48" s="127" t="s">
        <v>335</v>
      </c>
      <c r="C48" s="127" t="s">
        <v>125</v>
      </c>
      <c r="D48" s="132">
        <v>46248.419282407405</v>
      </c>
      <c r="E48" s="127" t="s">
        <v>317</v>
      </c>
      <c r="F48" s="127">
        <v>4</v>
      </c>
      <c r="G48" s="132">
        <v>46258.625</v>
      </c>
      <c r="H48" s="127" t="s">
        <v>186</v>
      </c>
      <c r="I48" s="127" t="s">
        <v>187</v>
      </c>
      <c r="J48" s="127" t="s">
        <v>188</v>
      </c>
      <c r="K48" s="127" t="s">
        <v>167</v>
      </c>
      <c r="L48" s="127" t="s">
        <v>212</v>
      </c>
      <c r="M48" s="127" t="s">
        <v>188</v>
      </c>
      <c r="N48" s="127"/>
      <c r="O48" s="127" t="s">
        <v>55</v>
      </c>
      <c r="P48" s="127" t="s">
        <v>190</v>
      </c>
      <c r="Q48" s="127" t="s">
        <v>53</v>
      </c>
      <c r="R48" s="127"/>
    </row>
    <row r="49" spans="1:18" x14ac:dyDescent="0.3">
      <c r="A49" t="s">
        <v>167</v>
      </c>
      <c r="B49" t="s">
        <v>335</v>
      </c>
      <c r="C49" t="s">
        <v>125</v>
      </c>
      <c r="D49" s="133">
        <v>46248.419282407405</v>
      </c>
      <c r="E49" t="s">
        <v>317</v>
      </c>
      <c r="F49">
        <v>1</v>
      </c>
      <c r="G49" s="133">
        <v>46268.636805555558</v>
      </c>
      <c r="H49" t="s">
        <v>186</v>
      </c>
      <c r="I49" t="s">
        <v>187</v>
      </c>
      <c r="J49" t="s">
        <v>188</v>
      </c>
      <c r="K49" t="s">
        <v>167</v>
      </c>
      <c r="L49" t="s">
        <v>212</v>
      </c>
      <c r="M49" t="s">
        <v>188</v>
      </c>
      <c r="N49">
        <v>0</v>
      </c>
      <c r="O49" t="s">
        <v>55</v>
      </c>
      <c r="P49" t="s">
        <v>190</v>
      </c>
      <c r="Q49" t="s">
        <v>53</v>
      </c>
      <c r="R49">
        <v>1</v>
      </c>
    </row>
    <row r="50" spans="1:18" x14ac:dyDescent="0.3">
      <c r="A50" s="127" t="s">
        <v>167</v>
      </c>
      <c r="B50" s="127" t="s">
        <v>208</v>
      </c>
      <c r="C50" s="127" t="s">
        <v>125</v>
      </c>
      <c r="D50" s="132">
        <v>46150.61824074074</v>
      </c>
      <c r="E50" s="127" t="s">
        <v>210</v>
      </c>
      <c r="F50" s="127">
        <v>1</v>
      </c>
      <c r="G50" s="132">
        <v>46154.5</v>
      </c>
      <c r="H50" s="127" t="s">
        <v>186</v>
      </c>
      <c r="I50" s="127" t="s">
        <v>187</v>
      </c>
      <c r="J50" s="127" t="s">
        <v>188</v>
      </c>
      <c r="K50" s="127" t="s">
        <v>167</v>
      </c>
      <c r="L50" s="127" t="s">
        <v>212</v>
      </c>
      <c r="M50" s="127" t="s">
        <v>188</v>
      </c>
      <c r="N50" s="127"/>
      <c r="O50" s="127" t="s">
        <v>36</v>
      </c>
      <c r="P50" s="127" t="s">
        <v>190</v>
      </c>
      <c r="Q50" s="127" t="s">
        <v>53</v>
      </c>
      <c r="R50" s="127"/>
    </row>
    <row r="51" spans="1:18" x14ac:dyDescent="0.3">
      <c r="A51" t="s">
        <v>167</v>
      </c>
      <c r="B51" t="s">
        <v>208</v>
      </c>
      <c r="C51" t="s">
        <v>125</v>
      </c>
      <c r="D51" s="133">
        <v>46150.617835648147</v>
      </c>
      <c r="E51" t="s">
        <v>210</v>
      </c>
      <c r="F51">
        <v>1</v>
      </c>
      <c r="G51" s="133">
        <v>46154.5</v>
      </c>
      <c r="H51" t="s">
        <v>186</v>
      </c>
      <c r="I51" t="s">
        <v>187</v>
      </c>
      <c r="J51" t="s">
        <v>188</v>
      </c>
      <c r="K51" t="s">
        <v>167</v>
      </c>
      <c r="L51" t="s">
        <v>212</v>
      </c>
      <c r="M51" t="s">
        <v>188</v>
      </c>
      <c r="O51" t="s">
        <v>36</v>
      </c>
      <c r="P51" t="s">
        <v>190</v>
      </c>
      <c r="Q51" t="s">
        <v>53</v>
      </c>
    </row>
    <row r="52" spans="1:18" x14ac:dyDescent="0.3">
      <c r="A52" s="127" t="s">
        <v>167</v>
      </c>
      <c r="B52" s="127" t="s">
        <v>208</v>
      </c>
      <c r="C52" s="127" t="s">
        <v>125</v>
      </c>
      <c r="D52" s="132">
        <v>46150.617430555554</v>
      </c>
      <c r="E52" s="127" t="s">
        <v>210</v>
      </c>
      <c r="F52" s="127">
        <v>1</v>
      </c>
      <c r="G52" s="132">
        <v>46154.5</v>
      </c>
      <c r="H52" s="127" t="s">
        <v>186</v>
      </c>
      <c r="I52" s="127" t="s">
        <v>187</v>
      </c>
      <c r="J52" s="127" t="s">
        <v>188</v>
      </c>
      <c r="K52" s="127" t="s">
        <v>167</v>
      </c>
      <c r="L52" s="127" t="s">
        <v>212</v>
      </c>
      <c r="M52" s="127" t="s">
        <v>188</v>
      </c>
      <c r="N52" s="127"/>
      <c r="O52" s="127" t="s">
        <v>36</v>
      </c>
      <c r="P52" s="127" t="s">
        <v>190</v>
      </c>
      <c r="Q52" s="127" t="s">
        <v>53</v>
      </c>
      <c r="R52" s="127"/>
    </row>
    <row r="53" spans="1:18" x14ac:dyDescent="0.3">
      <c r="A53" t="s">
        <v>167</v>
      </c>
      <c r="B53" t="s">
        <v>208</v>
      </c>
      <c r="C53" t="s">
        <v>125</v>
      </c>
      <c r="D53" s="133">
        <v>46150.616747685184</v>
      </c>
      <c r="E53" t="s">
        <v>210</v>
      </c>
      <c r="F53">
        <v>1</v>
      </c>
      <c r="G53" s="133">
        <v>46154.5</v>
      </c>
      <c r="H53" t="s">
        <v>186</v>
      </c>
      <c r="I53" t="s">
        <v>187</v>
      </c>
      <c r="J53" t="s">
        <v>188</v>
      </c>
      <c r="K53" t="s">
        <v>167</v>
      </c>
      <c r="L53" t="s">
        <v>212</v>
      </c>
      <c r="M53" t="s">
        <v>188</v>
      </c>
      <c r="O53" t="s">
        <v>36</v>
      </c>
      <c r="P53" t="s">
        <v>190</v>
      </c>
      <c r="Q53" t="s">
        <v>53</v>
      </c>
    </row>
    <row r="54" spans="1:18" x14ac:dyDescent="0.3">
      <c r="A54" s="127" t="s">
        <v>167</v>
      </c>
      <c r="B54" s="127" t="s">
        <v>208</v>
      </c>
      <c r="C54" s="127" t="s">
        <v>125</v>
      </c>
      <c r="D54" s="132">
        <v>46150.616273148145</v>
      </c>
      <c r="E54" s="127" t="s">
        <v>210</v>
      </c>
      <c r="F54" s="127">
        <v>1</v>
      </c>
      <c r="G54" s="132">
        <v>46154.5</v>
      </c>
      <c r="H54" s="127" t="s">
        <v>186</v>
      </c>
      <c r="I54" s="127" t="s">
        <v>187</v>
      </c>
      <c r="J54" s="127" t="s">
        <v>188</v>
      </c>
      <c r="K54" s="127" t="s">
        <v>167</v>
      </c>
      <c r="L54" s="127" t="s">
        <v>212</v>
      </c>
      <c r="M54" s="127" t="s">
        <v>188</v>
      </c>
      <c r="N54" s="127"/>
      <c r="O54" s="127" t="s">
        <v>36</v>
      </c>
      <c r="P54" s="127" t="s">
        <v>190</v>
      </c>
      <c r="Q54" s="127" t="s">
        <v>53</v>
      </c>
      <c r="R54" s="127"/>
    </row>
    <row r="55" spans="1:18" x14ac:dyDescent="0.3">
      <c r="A55" t="s">
        <v>167</v>
      </c>
      <c r="B55" t="s">
        <v>208</v>
      </c>
      <c r="C55" t="s">
        <v>125</v>
      </c>
      <c r="D55" s="133">
        <v>46150.61577546296</v>
      </c>
      <c r="E55" t="s">
        <v>210</v>
      </c>
      <c r="F55">
        <v>1</v>
      </c>
      <c r="G55" s="133">
        <v>46154.5</v>
      </c>
      <c r="H55" t="s">
        <v>186</v>
      </c>
      <c r="I55" t="s">
        <v>187</v>
      </c>
      <c r="J55" t="s">
        <v>188</v>
      </c>
      <c r="K55" t="s">
        <v>167</v>
      </c>
      <c r="L55" t="s">
        <v>212</v>
      </c>
      <c r="M55" t="s">
        <v>188</v>
      </c>
      <c r="O55" t="s">
        <v>36</v>
      </c>
      <c r="P55" t="s">
        <v>190</v>
      </c>
      <c r="Q55" t="s">
        <v>53</v>
      </c>
    </row>
    <row r="56" spans="1:18" x14ac:dyDescent="0.3">
      <c r="A56" s="127" t="s">
        <v>167</v>
      </c>
      <c r="B56" s="127" t="s">
        <v>208</v>
      </c>
      <c r="C56" s="127" t="s">
        <v>125</v>
      </c>
      <c r="D56" s="132">
        <v>46150.615324074075</v>
      </c>
      <c r="E56" s="127" t="s">
        <v>210</v>
      </c>
      <c r="F56" s="127">
        <v>1</v>
      </c>
      <c r="G56" s="132">
        <v>46154.5</v>
      </c>
      <c r="H56" s="127" t="s">
        <v>186</v>
      </c>
      <c r="I56" s="127" t="s">
        <v>187</v>
      </c>
      <c r="J56" s="127" t="s">
        <v>188</v>
      </c>
      <c r="K56" s="127" t="s">
        <v>167</v>
      </c>
      <c r="L56" s="127" t="s">
        <v>212</v>
      </c>
      <c r="M56" s="127" t="s">
        <v>188</v>
      </c>
      <c r="N56" s="127"/>
      <c r="O56" s="127" t="s">
        <v>36</v>
      </c>
      <c r="P56" s="127" t="s">
        <v>190</v>
      </c>
      <c r="Q56" s="127" t="s">
        <v>53</v>
      </c>
      <c r="R56" s="127"/>
    </row>
    <row r="57" spans="1:18" x14ac:dyDescent="0.3">
      <c r="A57" t="s">
        <v>167</v>
      </c>
      <c r="B57" t="s">
        <v>335</v>
      </c>
      <c r="C57" t="s">
        <v>125</v>
      </c>
      <c r="D57" s="133">
        <v>46259.351782407408</v>
      </c>
      <c r="E57" t="s">
        <v>317</v>
      </c>
      <c r="F57">
        <v>3</v>
      </c>
      <c r="G57" s="133">
        <v>46268.636805555558</v>
      </c>
      <c r="H57" t="s">
        <v>186</v>
      </c>
      <c r="I57" t="s">
        <v>187</v>
      </c>
      <c r="J57" t="s">
        <v>188</v>
      </c>
      <c r="K57" t="s">
        <v>167</v>
      </c>
      <c r="L57" t="s">
        <v>212</v>
      </c>
      <c r="M57" t="s">
        <v>188</v>
      </c>
      <c r="N57">
        <v>0</v>
      </c>
      <c r="O57" t="s">
        <v>55</v>
      </c>
      <c r="P57" t="s">
        <v>190</v>
      </c>
      <c r="Q57" t="s">
        <v>53</v>
      </c>
    </row>
    <row r="58" spans="1:18" x14ac:dyDescent="0.3">
      <c r="A58" s="135" t="s">
        <v>167</v>
      </c>
      <c r="B58" s="135" t="s">
        <v>208</v>
      </c>
      <c r="C58" s="135" t="s">
        <v>125</v>
      </c>
      <c r="D58" s="136">
        <v>46150.618750000001</v>
      </c>
      <c r="E58" s="135" t="s">
        <v>210</v>
      </c>
      <c r="F58" s="135">
        <v>1</v>
      </c>
      <c r="G58" s="136">
        <v>46154.5</v>
      </c>
      <c r="H58" s="135" t="s">
        <v>186</v>
      </c>
      <c r="I58" s="135" t="s">
        <v>187</v>
      </c>
      <c r="J58" s="135" t="s">
        <v>188</v>
      </c>
      <c r="K58" s="135" t="s">
        <v>167</v>
      </c>
      <c r="L58" s="135" t="s">
        <v>212</v>
      </c>
      <c r="M58" s="135" t="s">
        <v>188</v>
      </c>
      <c r="N58" s="135"/>
      <c r="O58" s="135" t="s">
        <v>36</v>
      </c>
      <c r="P58" s="135" t="s">
        <v>190</v>
      </c>
      <c r="Q58" s="135" t="s">
        <v>53</v>
      </c>
      <c r="R58" s="135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2026-10-06T15:44:58Z</dcterms:created>
  <dcterms:modified xsi:type="dcterms:W3CDTF">2026-10-06T15:45:00Z</dcterms:modified>
</cp:coreProperties>
</file>
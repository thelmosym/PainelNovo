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497F8094-3CE0-4CFD-94D5-D7B1B9999331}" xr6:coauthVersionLast="47" xr6:coauthVersionMax="47" xr10:uidLastSave="{00000000-0000-0000-0000-000000000000}"/>
  <bookViews>
    <workbookView xWindow="-108" yWindow="-108" windowWidth="30936" windowHeight="16776" activeTab="3" xr2:uid="{934FDC1F-F9F6-4D11-BC87-1F6AC62328CF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J35" i="1"/>
  <c r="K35" i="1" s="1"/>
  <c r="J34" i="1"/>
  <c r="J33" i="1"/>
  <c r="J32" i="1"/>
  <c r="J31" i="1"/>
  <c r="J30" i="1"/>
  <c r="G29" i="1"/>
  <c r="F29" i="1"/>
  <c r="E29" i="1"/>
  <c r="D29" i="1"/>
  <c r="H29" i="1" s="1"/>
  <c r="J28" i="1"/>
  <c r="G26" i="1"/>
  <c r="F26" i="1"/>
  <c r="H26" i="1" s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H14" i="1" s="1"/>
  <c r="D14" i="1"/>
  <c r="J13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6" i="1"/>
  <c r="K36" i="1"/>
  <c r="M34" i="1"/>
  <c r="K34" i="1"/>
  <c r="M33" i="1"/>
  <c r="K33" i="1"/>
  <c r="M32" i="1"/>
  <c r="K32" i="1"/>
  <c r="M31" i="1"/>
  <c r="K31" i="1"/>
  <c r="M30" i="1"/>
  <c r="K30" i="1"/>
  <c r="M28" i="1"/>
  <c r="K28" i="1"/>
  <c r="M25" i="1"/>
  <c r="K25" i="1"/>
  <c r="H23" i="1"/>
  <c r="M22" i="1"/>
  <c r="K22" i="1"/>
  <c r="M19" i="1"/>
  <c r="K19" i="1"/>
  <c r="H17" i="1"/>
  <c r="M16" i="1"/>
  <c r="K16" i="1"/>
  <c r="M13" i="1"/>
  <c r="K13" i="1"/>
  <c r="M35" i="1" l="1"/>
  <c r="M48" i="1" s="1"/>
  <c r="K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81776C78-9A15-4F76-9066-1C69D06DCE99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61139B13-17DE-4705-813F-2FFA53C2B7EE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8977A493-995D-4938-B4CB-3C9F4CC80C35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C5FDB5BE-2EFD-4124-947E-E592BFF146FE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7A9DA206-DB7C-4310-A904-233E1E5C82A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02CC4F90-019B-440A-BC56-2046DCD13C5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ED70ECB0-1515-4FB9-82B3-05DD1366A300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56727906-1236-4ABF-B7CC-CA0B71DB85E0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F648138D-0753-4F79-8F2B-ECD3C808553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<sst xmlns="http://schemas.openxmlformats.org/spreadsheetml/2006/main" count="471" uniqueCount="192">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</sst>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45D09-B889-4500-BAD2-04C48110D7CE}" name="ARM_IRON_LT1_ES" displayName="ARM_IRON_LT1_ES" ref="A1:K2" totalsRowShown="0" headerRowDxfId="40" dataDxfId="41" headerRowBorderDxfId="54" tableBorderDxfId="55" totalsRowBorderDxfId="53">
  <autoFilter ref="A1:K2" xr:uid="{38945D09-B889-4500-BAD2-04C48110D7CE}"/>
  <tableColumns count="11">
    <tableColumn id="1" xr3:uid="{791904ED-EB30-409B-845D-8FE29DC5A5A6}" name="Contrato-Reg." dataDxfId="52"/>
    <tableColumn id="2" xr3:uid="{F18178FD-FF89-43C0-B7A6-EFD0048CFD09}" name="MEDIDAS CONTRATO" dataDxfId="51"/>
    <tableColumn id="3" xr3:uid="{13329CB1-AA6E-4274-9213-0BC3A9DCBFF2}" name="Item" dataDxfId="50"/>
    <tableColumn id="4" xr3:uid="{CEE03683-AF17-4B62-9ED0-44CCA923CCC6}" name="QUAm-1" dataDxfId="49"/>
    <tableColumn id="5" xr3:uid="{C434B8C7-3D34-45C9-B5F8-6C2BD68E6D57}" name="QBm" dataDxfId="48"/>
    <tableColumn id="6" xr3:uid="{7A90136B-312E-4C48-B09B-6A17BBF93A70}" name="QDm" dataDxfId="47"/>
    <tableColumn id="7" xr3:uid="{05894A57-38EB-40AB-947B-1329E397EF21}" name="QNm" dataDxfId="46"/>
    <tableColumn id="8" xr3:uid="{C3E1A4F2-EF9B-4EFC-B3BD-ACC4A1063A84}" name="QUAm" dataDxfId="45"/>
    <tableColumn id="9" xr3:uid="{D04F0CEE-7059-4246-BB89-9970EC35ED32}" name="FC" dataDxfId="44"/>
    <tableColumn id="10" xr3:uid="{4AF74474-0ECC-4578-ACC8-BF58FA49FFDD}" name="QUA" dataDxfId="43"/>
    <tableColumn id="11" xr3:uid="{21858CCE-07A2-48E0-9696-0F94D9063DFB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4E818D-1E25-4324-B5C2-E676CEE01FC9}" name="DADOS_IRON_LT1_ES" displayName="DADOS_IRON_LT1_ES" ref="A1:AF13" totalsRowShown="0" headerRowDxfId="4" headerRowBorderDxfId="38" tableBorderDxfId="39" totalsRowBorderDxfId="37">
  <autoFilter ref="A1:AF13" xr:uid="{394E818D-1E25-4324-B5C2-E676CEE01FC9}"/>
  <tableColumns count="32">
    <tableColumn id="1" xr3:uid="{7BB9D737-0DE0-43E6-BB98-991578F30868}" name="Contrato.1" dataDxfId="36"/>
    <tableColumn id="2" xr3:uid="{BA1342B5-0895-444C-9C09-596BA5487B79}" name="Descrição da atividade" dataDxfId="35"/>
    <tableColumn id="3" xr3:uid="{0A13F9E6-516B-4D97-9750-4B2BA68D828C}" name="Item" dataDxfId="34"/>
    <tableColumn id="4" xr3:uid="{72E8DCC6-0B81-49A5-9ABD-738D9AC1A29F}" name="Aplicação" dataDxfId="33"/>
    <tableColumn id="5" xr3:uid="{46664330-229F-40A2-9574-6D5EAFB9DA45}" name="Código da_x000a_solicitação" dataDxfId="32"/>
    <tableColumn id="6" xr3:uid="{FBC44C69-8ABB-41EA-A73B-34FEB83DB86B}" name="Data solicitação" dataDxfId="31"/>
    <tableColumn id="7" xr3:uid="{D15CC9C9-B532-489D-913C-9C758EBBCECA}" name="Gerência solicitante" dataDxfId="30"/>
    <tableColumn id="8" xr3:uid="{F8525099-477B-4D29-AD61-55F5C51C5D5F}" name="Qtd._x000a_Solicitada" dataDxfId="29"/>
    <tableColumn id="9" xr3:uid="{E9874262-C4F3-47B2-849D-73325A0DBF18}" name="Código OS" dataDxfId="28"/>
    <tableColumn id="10" xr3:uid="{784D31AC-C1DB-4DC9-A29B-7FC3A764F30B}" name="D. abertura" dataDxfId="27"/>
    <tableColumn id="11" xr3:uid="{696F803F-EFBD-4BA7-B1B5-3C9443F564CD}" name="D. fechamento" dataDxfId="26"/>
    <tableColumn id="12" xr3:uid="{2745F823-8F82-4C7F-8B46-2614E3462644}" name="Prazo combinado" dataDxfId="25"/>
    <tableColumn id="13" xr3:uid="{BBD079D4-9C72-40C9-84E4-637F9D7D1A53}" name="Qtd._x000a_Atendida" dataDxfId="24"/>
    <tableColumn id="14" xr3:uid="{D9104A24-ABEB-4B26-9684-91329089DEE1}" name="Agrupamento" dataDxfId="23"/>
    <tableColumn id="15" xr3:uid="{6D27BE95-67BF-49ED-BDF3-7D4B38B6B9BE}" name="Classificação" dataDxfId="22"/>
    <tableColumn id="16" xr3:uid="{C4AA20B0-392F-4D92-93B6-5289BE61C5F2}" name="FDM" dataDxfId="21"/>
    <tableColumn id="17" xr3:uid="{8CDC66EF-A187-46FD-9DB7-CD814074407E}" name="Obs. Isenção" dataDxfId="20"/>
    <tableColumn id="18" xr3:uid="{D4A49CBB-C3CA-4435-B72E-D711A51FEA42}" name="FA" dataDxfId="19"/>
    <tableColumn id="19" xr3:uid="{0D0D5F72-B2A0-4C11-B9AC-9EDA20491096}" name="Localidade - Origem" dataDxfId="18"/>
    <tableColumn id="20" xr3:uid="{090852A2-3436-41C0-988E-927413BE5759}" name="Município - Origem" dataDxfId="17"/>
    <tableColumn id="21" xr3:uid="{73DD7D30-DDF7-42C2-990F-A3899ABF8352}" name="UF - Origem" dataDxfId="16"/>
    <tableColumn id="22" xr3:uid="{32368B39-528C-49C2-839B-708B1673E4F2}" name="Localidade - Destino" dataDxfId="15"/>
    <tableColumn id="23" xr3:uid="{B5CA68EE-9842-4FC6-B4F5-08638ADD53D3}" name="Município - Destino" dataDxfId="14"/>
    <tableColumn id="24" xr3:uid="{504BBC48-39ED-461D-9481-F74E2C94EBD0}" name="UF - Destino" dataDxfId="13"/>
    <tableColumn id="25" xr3:uid="{3A216A95-15B0-43B4-BCE8-550293564ACE}" name="KM Adicional" dataDxfId="12"/>
    <tableColumn id="26" xr3:uid="{4D88215C-89A5-4366-AAA2-E2EBB7C7679F}" name="FC" dataDxfId="11"/>
    <tableColumn id="27" xr3:uid="{10ABEEE0-5285-4B13-9B19-6737B14A9EB7}" name="Unidade" dataDxfId="10"/>
    <tableColumn id="28" xr3:uid="{9D253F5C-9010-443D-873F-239C48C01EA3}" name="Centro" dataDxfId="9"/>
    <tableColumn id="29" xr3:uid="{D3668773-4E72-4E25-88F9-DA1531DE798C}" name="Código Centro" dataDxfId="8"/>
    <tableColumn id="30" xr3:uid="{897942D6-605E-4317-8F72-97CAEC48ABB5}" name="Linha de serviço PPU" dataDxfId="7"/>
    <tableColumn id="31" xr3:uid="{67AB3816-BDE4-4800-9F06-0099446538B3}" name="QExec" dataDxfId="6"/>
    <tableColumn id="32" xr3:uid="{C5220626-DA5B-4215-A64C-D29C80C22F67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E44654-AE4E-4477-A085-815DB80E8BEC}" name="FRETE_IRON_LT1_ES" displayName="FRETE_IRON_LT1_ES" ref="A1:R3" totalsRowShown="0" headerRowDxfId="0" headerRowBorderDxfId="2" tableBorderDxfId="3" totalsRowBorderDxfId="1">
  <autoFilter ref="A1:R3" xr:uid="{76E44654-AE4E-4477-A085-815DB80E8BEC}"/>
  <tableColumns count="18">
    <tableColumn id="1" xr3:uid="{B6BAEAB6-EDA4-42F2-93F5-3A65656A1117}" name="Contrato.1"/>
    <tableColumn id="2" xr3:uid="{FDD8F9C9-A71B-43FC-B049-E7BF0AC18518}" name="Descrição da atividade"/>
    <tableColumn id="3" xr3:uid="{ED93C9A7-829D-490D-A5D2-F5A1AB725A58}" name="Item"/>
    <tableColumn id="4" xr3:uid="{33D2064A-9CD6-4AB5-877A-C541BB56DA90}" name="Data solicitação"/>
    <tableColumn id="5" xr3:uid="{036555C7-ACC3-499B-B374-81CBA687C606}" name="Gerência solicitante"/>
    <tableColumn id="6" xr3:uid="{501ACD79-56E3-4C87-AC5F-5285BBA8357A}" name="Qtd._x000a_Solicitada"/>
    <tableColumn id="7" xr3:uid="{C4A5A207-3BD9-4652-87B3-6C535B026587}" name="D. fechamento"/>
    <tableColumn id="8" xr3:uid="{0EBA401C-5945-42C4-8152-9729C2C73C5E}" name="Localidade - Origem"/>
    <tableColumn id="9" xr3:uid="{BDDA73D5-B7D1-44C1-A550-3D045BB97C25}" name="Município - Origem"/>
    <tableColumn id="10" xr3:uid="{EEF46439-4EF1-4AFC-B621-810E971EAEDE}" name="UF - Origem"/>
    <tableColumn id="11" xr3:uid="{F567F3C9-DA24-470A-8D27-7C26D0451B16}" name="Localidade - Destino"/>
    <tableColumn id="12" xr3:uid="{027C223E-D33F-45A0-ACF4-302C38C9DD04}" name="Município - Destino"/>
    <tableColumn id="13" xr3:uid="{F134A5CD-464A-4ED2-99CA-63023151B3F4}" name="UF - Destino"/>
    <tableColumn id="14" xr3:uid="{0B04AE77-9140-4D94-8AB0-4EF99D6E6D42}" name="KM Adicional"/>
    <tableColumn id="15" xr3:uid="{1CCC407C-5D30-47DA-8FE8-EB73F49F4FA9}" name="Unidade"/>
    <tableColumn id="16" xr3:uid="{A86D94B6-1144-4841-9DB7-10B983E84BD7}" name="Centro"/>
    <tableColumn id="17" xr3:uid="{193D4FC0-255D-49EB-AD44-62D23AF423CC}" name="Linha de serviço PPU"/>
    <tableColumn id="18" xr3:uid="{4933C69D-1502-4FB6-A6C5-22E63382B661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74D1-5FFF-423E-B884-8C9BB0B11612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32.467532467532465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73.958333333333343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0.95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14418.15</v>
      </c>
      <c r="L13" s="74">
        <v>0.6</v>
      </c>
      <c r="M13" s="75">
        <f>J13*L13</f>
        <v>9106.1999999999989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J16*L16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0.95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2.8499999999999996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1072.55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2.8499999999999996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9351.5599999999977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9B93-121F-4C6B-A3BD-932A90B4FBE6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BBE3-B5F7-4040-ADDA-B4342B067E4E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95BB-9FB2-4C02-BFAE-8894EA850BF4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2026-10-06T17:20:50Z</dcterms:created>
  <dcterms:modified xsi:type="dcterms:W3CDTF">2026-10-06T17:20:50Z</dcterms:modified>
</cp:coreProperties>
</file>
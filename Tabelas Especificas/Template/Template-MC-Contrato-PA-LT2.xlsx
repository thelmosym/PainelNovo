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Y:\Arquivamento_SID\2. Controles\Tabelas Especificas\Template\"/>
    </mc:Choice>
  </mc:AlternateContent>
  <xr:revisionPtr revIDLastSave="0" documentId="13_ncr:1_{D0720A84-5212-46B5-BC49-741860816EFB}" xr6:coauthVersionLast="47" xr6:coauthVersionMax="47" xr10:uidLastSave="{00000000-0000-0000-0000-000000000000}"/>
  <bookViews>
    <workbookView xWindow="-120" yWindow="-120" windowWidth="29040" windowHeight="15720" tabRatio="736" activeTab="2" xr2:uid="{00000000-000D-0000-FFFF-FFFF00000000}"/>
  </bookViews>
  <sheets>
    <sheet name="MC" sheetId="2" r:id="rId1"/>
    <sheet name="ARM" sheetId="3" r:id="rId2"/>
    <sheet name="DADOS" sheetId="6" r:id="rId3"/>
    <sheet name="MEDICAO" sheetId="4" r:id="rId4"/>
    <sheet name="Obs" sheetId="5" r:id="rId5"/>
  </sheets>
  <definedNames>
    <definedName name="_xlnm._FilterDatabase" localSheetId="1" hidden="1">ARM!$A$1:$K$57</definedName>
    <definedName name="_xlnm._FilterDatabase" localSheetId="2" hidden="1">DADOS!$B$2:$AE$2</definedName>
    <definedName name="_xlnm._FilterDatabase" localSheetId="3" hidden="1">MEDICAO!$B$3:$K$8</definedName>
    <definedName name="_xlnm.Print_Titles" localSheetId="0">MC!$3:$10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J43" i="2"/>
  <c r="J44" i="2"/>
  <c r="J45" i="2"/>
  <c r="J46" i="2"/>
  <c r="J42" i="2"/>
  <c r="J41" i="2"/>
  <c r="J40" i="2"/>
  <c r="J39" i="2"/>
  <c r="J38" i="2"/>
  <c r="J36" i="2"/>
  <c r="J35" i="2"/>
  <c r="J34" i="2"/>
  <c r="J33" i="2"/>
  <c r="J31" i="2"/>
  <c r="J30" i="2"/>
  <c r="AF4" i="6"/>
  <c r="AG4" i="6"/>
  <c r="AH4" i="6"/>
  <c r="AF5" i="6"/>
  <c r="AG5" i="6" s="1"/>
  <c r="AH5" i="6"/>
  <c r="AF6" i="6"/>
  <c r="AG6" i="6"/>
  <c r="AH6" i="6"/>
  <c r="AF7" i="6"/>
  <c r="AG7" i="6" s="1"/>
  <c r="AH7" i="6"/>
  <c r="AF8" i="6"/>
  <c r="AG8" i="6"/>
  <c r="AH8" i="6"/>
  <c r="AF9" i="6"/>
  <c r="AG9" i="6" s="1"/>
  <c r="AH9" i="6"/>
  <c r="AF10" i="6"/>
  <c r="AG10" i="6"/>
  <c r="AH10" i="6"/>
  <c r="AF11" i="6"/>
  <c r="AG11" i="6" s="1"/>
  <c r="AH11" i="6"/>
  <c r="AF12" i="6"/>
  <c r="AG12" i="6"/>
  <c r="AH12" i="6"/>
  <c r="AF13" i="6"/>
  <c r="AG13" i="6" s="1"/>
  <c r="AH13" i="6"/>
  <c r="AF14" i="6"/>
  <c r="AG14" i="6"/>
  <c r="AH14" i="6"/>
  <c r="AF15" i="6"/>
  <c r="AG15" i="6" s="1"/>
  <c r="AH15" i="6"/>
  <c r="AF16" i="6"/>
  <c r="AG16" i="6"/>
  <c r="AH16" i="6"/>
  <c r="AF17" i="6"/>
  <c r="AG17" i="6" s="1"/>
  <c r="AH17" i="6"/>
  <c r="AF18" i="6"/>
  <c r="AG18" i="6"/>
  <c r="AH18" i="6"/>
  <c r="AF19" i="6"/>
  <c r="AG19" i="6" s="1"/>
  <c r="AH19" i="6"/>
  <c r="AF20" i="6"/>
  <c r="AG20" i="6"/>
  <c r="AH20" i="6"/>
  <c r="AF21" i="6"/>
  <c r="AG21" i="6" s="1"/>
  <c r="AH21" i="6"/>
  <c r="AF22" i="6"/>
  <c r="AG22" i="6"/>
  <c r="AH22" i="6"/>
  <c r="AF23" i="6"/>
  <c r="AG23" i="6" s="1"/>
  <c r="AH23" i="6"/>
  <c r="AF24" i="6"/>
  <c r="AG24" i="6"/>
  <c r="AH24" i="6"/>
  <c r="AF25" i="6"/>
  <c r="AG25" i="6" s="1"/>
  <c r="AH25" i="6"/>
  <c r="AF26" i="6"/>
  <c r="AG26" i="6"/>
  <c r="AH26" i="6"/>
  <c r="AF27" i="6"/>
  <c r="AG27" i="6" s="1"/>
  <c r="AH27" i="6"/>
  <c r="AF28" i="6"/>
  <c r="AG28" i="6"/>
  <c r="AH28" i="6"/>
  <c r="AF29" i="6"/>
  <c r="AG29" i="6" s="1"/>
  <c r="AH29" i="6"/>
  <c r="AF30" i="6"/>
  <c r="AG30" i="6"/>
  <c r="AH30" i="6"/>
  <c r="AF31" i="6"/>
  <c r="AG31" i="6" s="1"/>
  <c r="AH31" i="6"/>
  <c r="AF32" i="6"/>
  <c r="AG32" i="6"/>
  <c r="AH32" i="6"/>
  <c r="AF33" i="6"/>
  <c r="AG33" i="6" s="1"/>
  <c r="AH33" i="6"/>
  <c r="AF34" i="6"/>
  <c r="AG34" i="6"/>
  <c r="AH34" i="6"/>
  <c r="AF35" i="6"/>
  <c r="AG35" i="6" s="1"/>
  <c r="AH35" i="6"/>
  <c r="AF36" i="6"/>
  <c r="AG36" i="6"/>
  <c r="AH36" i="6"/>
  <c r="AF37" i="6"/>
  <c r="AG37" i="6" s="1"/>
  <c r="AH37" i="6"/>
  <c r="AF38" i="6"/>
  <c r="AG38" i="6"/>
  <c r="AH38" i="6"/>
  <c r="AF39" i="6"/>
  <c r="AG39" i="6" s="1"/>
  <c r="AH39" i="6"/>
  <c r="AF40" i="6"/>
  <c r="AG40" i="6"/>
  <c r="AH40" i="6"/>
  <c r="AF41" i="6"/>
  <c r="AG41" i="6" s="1"/>
  <c r="AH41" i="6"/>
  <c r="AF42" i="6"/>
  <c r="AG42" i="6"/>
  <c r="AH42" i="6"/>
  <c r="AF43" i="6"/>
  <c r="AG43" i="6" s="1"/>
  <c r="AH43" i="6"/>
  <c r="AF44" i="6"/>
  <c r="AG44" i="6"/>
  <c r="AH44" i="6"/>
  <c r="AF45" i="6"/>
  <c r="AG45" i="6" s="1"/>
  <c r="AH45" i="6"/>
  <c r="AF46" i="6"/>
  <c r="AG46" i="6"/>
  <c r="AH46" i="6"/>
  <c r="AF47" i="6"/>
  <c r="AG47" i="6" s="1"/>
  <c r="AH47" i="6"/>
  <c r="AF48" i="6"/>
  <c r="AG48" i="6"/>
  <c r="AH48" i="6"/>
  <c r="AF49" i="6"/>
  <c r="AG49" i="6" s="1"/>
  <c r="AH49" i="6"/>
  <c r="AF50" i="6"/>
  <c r="AG50" i="6"/>
  <c r="AH50" i="6"/>
  <c r="AF51" i="6"/>
  <c r="AG51" i="6" s="1"/>
  <c r="AH51" i="6"/>
  <c r="AF52" i="6"/>
  <c r="AG52" i="6"/>
  <c r="AH52" i="6"/>
  <c r="AF53" i="6"/>
  <c r="AG53" i="6" s="1"/>
  <c r="AH53" i="6"/>
  <c r="AF54" i="6"/>
  <c r="AG54" i="6"/>
  <c r="AH54" i="6"/>
  <c r="AF55" i="6"/>
  <c r="AG55" i="6" s="1"/>
  <c r="AH55" i="6"/>
  <c r="AF56" i="6"/>
  <c r="AG56" i="6"/>
  <c r="AH56" i="6"/>
  <c r="AF57" i="6"/>
  <c r="AG57" i="6" s="1"/>
  <c r="AH57" i="6"/>
  <c r="AF58" i="6"/>
  <c r="AG58" i="6"/>
  <c r="AH58" i="6"/>
  <c r="AF59" i="6"/>
  <c r="AG59" i="6" s="1"/>
  <c r="AH59" i="6"/>
  <c r="AF60" i="6"/>
  <c r="AG60" i="6"/>
  <c r="AH60" i="6"/>
  <c r="AF61" i="6"/>
  <c r="AG61" i="6" s="1"/>
  <c r="AH61" i="6"/>
  <c r="AF62" i="6"/>
  <c r="AG62" i="6"/>
  <c r="AH62" i="6"/>
  <c r="AF63" i="6"/>
  <c r="AG63" i="6" s="1"/>
  <c r="AH63" i="6"/>
  <c r="AF64" i="6"/>
  <c r="AG64" i="6"/>
  <c r="AH64" i="6"/>
  <c r="AF65" i="6"/>
  <c r="AG65" i="6" s="1"/>
  <c r="AH65" i="6"/>
  <c r="AF66" i="6"/>
  <c r="AG66" i="6"/>
  <c r="AH66" i="6"/>
  <c r="AF67" i="6"/>
  <c r="AG67" i="6" s="1"/>
  <c r="AH67" i="6"/>
  <c r="AF68" i="6"/>
  <c r="AG68" i="6"/>
  <c r="AH68" i="6"/>
  <c r="AF69" i="6"/>
  <c r="AG69" i="6" s="1"/>
  <c r="AH69" i="6"/>
  <c r="AF70" i="6"/>
  <c r="AG70" i="6"/>
  <c r="AH70" i="6"/>
  <c r="AF71" i="6"/>
  <c r="AG71" i="6" s="1"/>
  <c r="AH71" i="6"/>
  <c r="AF72" i="6"/>
  <c r="AG72" i="6"/>
  <c r="AH72" i="6"/>
  <c r="AF73" i="6"/>
  <c r="AG73" i="6" s="1"/>
  <c r="AH73" i="6"/>
  <c r="AF74" i="6"/>
  <c r="AG74" i="6"/>
  <c r="AH74" i="6"/>
  <c r="AF75" i="6"/>
  <c r="AG75" i="6" s="1"/>
  <c r="AH75" i="6"/>
  <c r="AF76" i="6"/>
  <c r="AG76" i="6"/>
  <c r="AH76" i="6"/>
  <c r="AF77" i="6"/>
  <c r="AG77" i="6" s="1"/>
  <c r="AH77" i="6"/>
  <c r="AF78" i="6"/>
  <c r="AG78" i="6"/>
  <c r="AH78" i="6"/>
  <c r="AF79" i="6"/>
  <c r="AG79" i="6" s="1"/>
  <c r="AH79" i="6"/>
  <c r="AF80" i="6"/>
  <c r="AG80" i="6"/>
  <c r="AH80" i="6"/>
  <c r="AF81" i="6"/>
  <c r="AG81" i="6" s="1"/>
  <c r="AH81" i="6"/>
  <c r="AF82" i="6"/>
  <c r="AG82" i="6"/>
  <c r="AH82" i="6"/>
  <c r="AF83" i="6"/>
  <c r="AG83" i="6" s="1"/>
  <c r="AH83" i="6"/>
  <c r="AF84" i="6"/>
  <c r="AG84" i="6"/>
  <c r="AH84" i="6"/>
  <c r="AF85" i="6"/>
  <c r="AG85" i="6" s="1"/>
  <c r="AH85" i="6"/>
  <c r="AF86" i="6"/>
  <c r="AG86" i="6"/>
  <c r="AH86" i="6"/>
  <c r="AF87" i="6"/>
  <c r="AG87" i="6" s="1"/>
  <c r="AH87" i="6"/>
  <c r="AF88" i="6"/>
  <c r="AG88" i="6"/>
  <c r="AH88" i="6"/>
  <c r="AF89" i="6"/>
  <c r="AG89" i="6" s="1"/>
  <c r="AH89" i="6"/>
  <c r="AF90" i="6"/>
  <c r="AG90" i="6"/>
  <c r="AH90" i="6"/>
  <c r="AF91" i="6"/>
  <c r="AG91" i="6" s="1"/>
  <c r="AH91" i="6"/>
  <c r="AF92" i="6"/>
  <c r="AG92" i="6"/>
  <c r="AH92" i="6"/>
  <c r="AF93" i="6"/>
  <c r="AG93" i="6" s="1"/>
  <c r="AH93" i="6"/>
  <c r="AF94" i="6"/>
  <c r="AG94" i="6"/>
  <c r="AH94" i="6"/>
  <c r="AF95" i="6"/>
  <c r="AG95" i="6" s="1"/>
  <c r="AH95" i="6"/>
  <c r="AF96" i="6"/>
  <c r="AG96" i="6"/>
  <c r="AH96" i="6"/>
  <c r="AF97" i="6"/>
  <c r="AG97" i="6" s="1"/>
  <c r="AH97" i="6"/>
  <c r="AF98" i="6"/>
  <c r="AG98" i="6"/>
  <c r="AH98" i="6"/>
  <c r="AF99" i="6"/>
  <c r="AG99" i="6" s="1"/>
  <c r="AH99" i="6"/>
  <c r="AF100" i="6"/>
  <c r="AG100" i="6"/>
  <c r="AH100" i="6"/>
  <c r="AF101" i="6"/>
  <c r="AG101" i="6" s="1"/>
  <c r="AH101" i="6"/>
  <c r="AF102" i="6"/>
  <c r="AG102" i="6"/>
  <c r="AH102" i="6"/>
  <c r="AF103" i="6"/>
  <c r="AG103" i="6" s="1"/>
  <c r="AH103" i="6"/>
  <c r="AF104" i="6"/>
  <c r="AG104" i="6"/>
  <c r="AH104" i="6"/>
  <c r="AF105" i="6"/>
  <c r="AG105" i="6" s="1"/>
  <c r="AH105" i="6"/>
  <c r="AF106" i="6"/>
  <c r="AG106" i="6"/>
  <c r="AH106" i="6"/>
  <c r="AF107" i="6"/>
  <c r="AG107" i="6" s="1"/>
  <c r="AH107" i="6"/>
  <c r="AF108" i="6"/>
  <c r="AG108" i="6"/>
  <c r="AH108" i="6"/>
  <c r="AF109" i="6"/>
  <c r="AG109" i="6" s="1"/>
  <c r="AH109" i="6"/>
  <c r="AF110" i="6"/>
  <c r="AG110" i="6"/>
  <c r="AH110" i="6"/>
  <c r="AF111" i="6"/>
  <c r="AG111" i="6" s="1"/>
  <c r="AH111" i="6"/>
  <c r="AF112" i="6"/>
  <c r="AG112" i="6"/>
  <c r="AH112" i="6"/>
  <c r="AF113" i="6"/>
  <c r="AG113" i="6" s="1"/>
  <c r="AH113" i="6"/>
  <c r="AF114" i="6"/>
  <c r="AG114" i="6"/>
  <c r="AH114" i="6"/>
  <c r="AF115" i="6"/>
  <c r="AG115" i="6" s="1"/>
  <c r="AH115" i="6"/>
  <c r="AF116" i="6"/>
  <c r="AG116" i="6"/>
  <c r="AH116" i="6"/>
  <c r="AF117" i="6"/>
  <c r="AG117" i="6" s="1"/>
  <c r="AH117" i="6"/>
  <c r="AF118" i="6"/>
  <c r="AG118" i="6"/>
  <c r="AH118" i="6"/>
  <c r="AF119" i="6"/>
  <c r="AG119" i="6" s="1"/>
  <c r="AH119" i="6"/>
  <c r="AF120" i="6"/>
  <c r="AG120" i="6"/>
  <c r="AH120" i="6"/>
  <c r="AF121" i="6"/>
  <c r="AG121" i="6" s="1"/>
  <c r="AH121" i="6"/>
  <c r="AF122" i="6"/>
  <c r="AG122" i="6"/>
  <c r="AH122" i="6"/>
  <c r="AF123" i="6"/>
  <c r="AG123" i="6" s="1"/>
  <c r="AH123" i="6"/>
  <c r="AF124" i="6"/>
  <c r="AG124" i="6"/>
  <c r="AH124" i="6"/>
  <c r="AF125" i="6"/>
  <c r="AG125" i="6" s="1"/>
  <c r="AH125" i="6"/>
  <c r="AF126" i="6"/>
  <c r="AG126" i="6"/>
  <c r="AH126" i="6"/>
  <c r="AF127" i="6"/>
  <c r="AG127" i="6" s="1"/>
  <c r="AH127" i="6"/>
  <c r="AF128" i="6"/>
  <c r="AG128" i="6"/>
  <c r="AH128" i="6"/>
  <c r="AF129" i="6"/>
  <c r="AG129" i="6" s="1"/>
  <c r="AH129" i="6"/>
  <c r="AF130" i="6"/>
  <c r="AG130" i="6"/>
  <c r="AH130" i="6"/>
  <c r="AF131" i="6"/>
  <c r="AG131" i="6" s="1"/>
  <c r="AH131" i="6"/>
  <c r="AF132" i="6"/>
  <c r="AG132" i="6"/>
  <c r="AH132" i="6"/>
  <c r="AF133" i="6"/>
  <c r="AG133" i="6" s="1"/>
  <c r="AH133" i="6"/>
  <c r="AF134" i="6"/>
  <c r="AG134" i="6"/>
  <c r="AH134" i="6"/>
  <c r="AF135" i="6"/>
  <c r="AG135" i="6" s="1"/>
  <c r="AH135" i="6"/>
  <c r="AF136" i="6"/>
  <c r="AG136" i="6"/>
  <c r="AH136" i="6"/>
  <c r="AF137" i="6"/>
  <c r="AG137" i="6" s="1"/>
  <c r="AH137" i="6"/>
  <c r="AF138" i="6"/>
  <c r="AG138" i="6"/>
  <c r="AH138" i="6"/>
  <c r="AF139" i="6"/>
  <c r="AG139" i="6" s="1"/>
  <c r="AH139" i="6"/>
  <c r="AF140" i="6"/>
  <c r="AG140" i="6"/>
  <c r="AH140" i="6"/>
  <c r="AF141" i="6"/>
  <c r="AG141" i="6" s="1"/>
  <c r="AH141" i="6"/>
  <c r="AF142" i="6"/>
  <c r="AG142" i="6"/>
  <c r="AH142" i="6"/>
  <c r="AF143" i="6"/>
  <c r="AG143" i="6" s="1"/>
  <c r="AH143" i="6"/>
  <c r="AF144" i="6"/>
  <c r="AG144" i="6"/>
  <c r="AH144" i="6"/>
  <c r="AF145" i="6"/>
  <c r="AG145" i="6" s="1"/>
  <c r="AH145" i="6"/>
  <c r="AF146" i="6"/>
  <c r="AG146" i="6"/>
  <c r="AH146" i="6"/>
  <c r="AF147" i="6"/>
  <c r="AG147" i="6" s="1"/>
  <c r="AH147" i="6"/>
  <c r="AF148" i="6"/>
  <c r="AG148" i="6"/>
  <c r="AH148" i="6"/>
  <c r="AF149" i="6"/>
  <c r="AG149" i="6" s="1"/>
  <c r="AH149" i="6"/>
  <c r="AF150" i="6"/>
  <c r="AG150" i="6"/>
  <c r="AH150" i="6"/>
  <c r="AF151" i="6"/>
  <c r="AG151" i="6" s="1"/>
  <c r="AH151" i="6"/>
  <c r="AF152" i="6"/>
  <c r="AG152" i="6"/>
  <c r="AH152" i="6"/>
  <c r="AF153" i="6"/>
  <c r="AG153" i="6" s="1"/>
  <c r="AH153" i="6"/>
  <c r="AF154" i="6"/>
  <c r="AG154" i="6"/>
  <c r="AH154" i="6"/>
  <c r="AF155" i="6"/>
  <c r="AG155" i="6" s="1"/>
  <c r="AH155" i="6"/>
  <c r="AF156" i="6"/>
  <c r="AG156" i="6"/>
  <c r="AH156" i="6"/>
  <c r="AF157" i="6"/>
  <c r="AG157" i="6" s="1"/>
  <c r="AH157" i="6"/>
  <c r="AF158" i="6"/>
  <c r="AG158" i="6"/>
  <c r="AH158" i="6"/>
  <c r="AF159" i="6"/>
  <c r="AG159" i="6" s="1"/>
  <c r="AH159" i="6"/>
  <c r="AF160" i="6"/>
  <c r="AG160" i="6"/>
  <c r="AH160" i="6"/>
  <c r="AF161" i="6"/>
  <c r="AG161" i="6" s="1"/>
  <c r="AH161" i="6"/>
  <c r="AF162" i="6"/>
  <c r="AG162" i="6"/>
  <c r="AH162" i="6"/>
  <c r="AF163" i="6"/>
  <c r="AG163" i="6" s="1"/>
  <c r="AH163" i="6"/>
  <c r="AF164" i="6"/>
  <c r="AG164" i="6"/>
  <c r="AH164" i="6"/>
  <c r="AF165" i="6"/>
  <c r="AG165" i="6" s="1"/>
  <c r="AH165" i="6"/>
  <c r="AF166" i="6"/>
  <c r="AG166" i="6"/>
  <c r="AH166" i="6"/>
  <c r="AF167" i="6"/>
  <c r="AG167" i="6" s="1"/>
  <c r="AH167" i="6"/>
  <c r="AF168" i="6"/>
  <c r="AG168" i="6"/>
  <c r="AH168" i="6"/>
  <c r="AF169" i="6"/>
  <c r="AG169" i="6" s="1"/>
  <c r="AH169" i="6"/>
  <c r="AF170" i="6"/>
  <c r="AG170" i="6"/>
  <c r="AH170" i="6"/>
  <c r="AF171" i="6"/>
  <c r="AG171" i="6" s="1"/>
  <c r="AH171" i="6"/>
  <c r="AF172" i="6"/>
  <c r="AG172" i="6"/>
  <c r="AH172" i="6"/>
  <c r="AF173" i="6"/>
  <c r="AG173" i="6" s="1"/>
  <c r="AH173" i="6"/>
  <c r="AF174" i="6"/>
  <c r="AG174" i="6"/>
  <c r="AH174" i="6"/>
  <c r="AF175" i="6"/>
  <c r="AG175" i="6" s="1"/>
  <c r="AH175" i="6"/>
  <c r="AF176" i="6"/>
  <c r="AG176" i="6"/>
  <c r="AH176" i="6"/>
  <c r="AF177" i="6"/>
  <c r="AG177" i="6" s="1"/>
  <c r="AH177" i="6"/>
  <c r="AF178" i="6"/>
  <c r="AG178" i="6"/>
  <c r="AH178" i="6"/>
  <c r="AF179" i="6"/>
  <c r="AG179" i="6" s="1"/>
  <c r="AH179" i="6"/>
  <c r="AF180" i="6"/>
  <c r="AG180" i="6"/>
  <c r="AH180" i="6"/>
  <c r="AF181" i="6"/>
  <c r="AG181" i="6" s="1"/>
  <c r="AH181" i="6"/>
  <c r="AF182" i="6"/>
  <c r="AG182" i="6"/>
  <c r="AH182" i="6"/>
  <c r="AF183" i="6"/>
  <c r="AG183" i="6" s="1"/>
  <c r="AH183" i="6"/>
  <c r="AF184" i="6"/>
  <c r="AG184" i="6"/>
  <c r="AH184" i="6"/>
  <c r="AF185" i="6"/>
  <c r="AG185" i="6" s="1"/>
  <c r="AH185" i="6"/>
  <c r="AF186" i="6"/>
  <c r="AG186" i="6"/>
  <c r="AH186" i="6"/>
  <c r="AF187" i="6"/>
  <c r="AG187" i="6" s="1"/>
  <c r="AH187" i="6"/>
  <c r="AF188" i="6"/>
  <c r="AG188" i="6"/>
  <c r="AH188" i="6"/>
  <c r="AF189" i="6"/>
  <c r="AG189" i="6" s="1"/>
  <c r="AH189" i="6"/>
  <c r="AF190" i="6"/>
  <c r="AG190" i="6"/>
  <c r="AH190" i="6"/>
  <c r="AF191" i="6"/>
  <c r="AG191" i="6" s="1"/>
  <c r="AH191" i="6"/>
  <c r="AF192" i="6"/>
  <c r="AG192" i="6"/>
  <c r="AH192" i="6"/>
  <c r="AF193" i="6"/>
  <c r="AG193" i="6" s="1"/>
  <c r="AH193" i="6"/>
  <c r="AF194" i="6"/>
  <c r="AG194" i="6"/>
  <c r="AH194" i="6"/>
  <c r="AF195" i="6"/>
  <c r="AG195" i="6" s="1"/>
  <c r="AH195" i="6"/>
  <c r="AF196" i="6"/>
  <c r="AG196" i="6"/>
  <c r="AH196" i="6"/>
  <c r="AF197" i="6"/>
  <c r="AG197" i="6" s="1"/>
  <c r="AH197" i="6"/>
  <c r="AF198" i="6"/>
  <c r="AG198" i="6"/>
  <c r="AH198" i="6"/>
  <c r="AF199" i="6"/>
  <c r="AG199" i="6" s="1"/>
  <c r="AH199" i="6"/>
  <c r="AF200" i="6"/>
  <c r="AG200" i="6"/>
  <c r="AH200" i="6"/>
  <c r="AF201" i="6"/>
  <c r="AG201" i="6" s="1"/>
  <c r="AH201" i="6"/>
  <c r="AF202" i="6"/>
  <c r="AG202" i="6"/>
  <c r="AH202" i="6"/>
  <c r="AF203" i="6"/>
  <c r="AG203" i="6" s="1"/>
  <c r="AH203" i="6"/>
  <c r="AF204" i="6"/>
  <c r="AG204" i="6"/>
  <c r="AH204" i="6"/>
  <c r="AF205" i="6"/>
  <c r="AG205" i="6" s="1"/>
  <c r="AH205" i="6"/>
  <c r="AF206" i="6"/>
  <c r="AG206" i="6"/>
  <c r="AH206" i="6"/>
  <c r="AF207" i="6"/>
  <c r="AG207" i="6" s="1"/>
  <c r="AH207" i="6"/>
  <c r="AF208" i="6"/>
  <c r="AG208" i="6"/>
  <c r="AH208" i="6"/>
  <c r="AF209" i="6"/>
  <c r="AG209" i="6" s="1"/>
  <c r="AH209" i="6"/>
  <c r="AF210" i="6"/>
  <c r="AG210" i="6"/>
  <c r="AH210" i="6"/>
  <c r="AF211" i="6"/>
  <c r="AG211" i="6" s="1"/>
  <c r="AH211" i="6"/>
  <c r="AF212" i="6"/>
  <c r="AG212" i="6"/>
  <c r="AH212" i="6"/>
  <c r="AF213" i="6"/>
  <c r="AG213" i="6" s="1"/>
  <c r="AH213" i="6"/>
  <c r="AF214" i="6"/>
  <c r="AG214" i="6"/>
  <c r="AH214" i="6"/>
  <c r="AF215" i="6"/>
  <c r="AG215" i="6" s="1"/>
  <c r="AH215" i="6"/>
  <c r="AF216" i="6"/>
  <c r="AG216" i="6"/>
  <c r="AH216" i="6"/>
  <c r="AF217" i="6"/>
  <c r="AG217" i="6" s="1"/>
  <c r="AH217" i="6"/>
  <c r="AF218" i="6"/>
  <c r="AG218" i="6"/>
  <c r="AH218" i="6"/>
  <c r="AF219" i="6"/>
  <c r="AG219" i="6" s="1"/>
  <c r="AH219" i="6"/>
  <c r="AF220" i="6"/>
  <c r="AG220" i="6"/>
  <c r="AH220" i="6"/>
  <c r="AF221" i="6"/>
  <c r="AG221" i="6" s="1"/>
  <c r="AH221" i="6"/>
  <c r="AF222" i="6"/>
  <c r="AG222" i="6"/>
  <c r="AH222" i="6"/>
  <c r="AF223" i="6"/>
  <c r="AG223" i="6" s="1"/>
  <c r="AH223" i="6"/>
  <c r="AF224" i="6"/>
  <c r="AG224" i="6"/>
  <c r="AH224" i="6"/>
  <c r="AF225" i="6"/>
  <c r="AG225" i="6" s="1"/>
  <c r="AH225" i="6"/>
  <c r="AF226" i="6"/>
  <c r="AG226" i="6"/>
  <c r="AH226" i="6"/>
  <c r="AF227" i="6"/>
  <c r="AG227" i="6" s="1"/>
  <c r="AH227" i="6"/>
  <c r="AF228" i="6"/>
  <c r="AG228" i="6"/>
  <c r="AH228" i="6"/>
  <c r="AF229" i="6"/>
  <c r="AG229" i="6" s="1"/>
  <c r="AH229" i="6"/>
  <c r="AF230" i="6"/>
  <c r="AG230" i="6"/>
  <c r="AH230" i="6"/>
  <c r="AF231" i="6"/>
  <c r="AG231" i="6" s="1"/>
  <c r="AH231" i="6"/>
  <c r="AF232" i="6"/>
  <c r="AG232" i="6"/>
  <c r="AH232" i="6"/>
  <c r="AF233" i="6"/>
  <c r="AG233" i="6" s="1"/>
  <c r="AH233" i="6"/>
  <c r="AF234" i="6"/>
  <c r="AG234" i="6"/>
  <c r="AH234" i="6"/>
  <c r="AF235" i="6"/>
  <c r="AG235" i="6" s="1"/>
  <c r="AH235" i="6"/>
  <c r="AF236" i="6"/>
  <c r="AG236" i="6"/>
  <c r="AH236" i="6"/>
  <c r="AF237" i="6"/>
  <c r="AG237" i="6" s="1"/>
  <c r="AH237" i="6"/>
  <c r="AF238" i="6"/>
  <c r="AG238" i="6"/>
  <c r="AH238" i="6"/>
  <c r="AF239" i="6"/>
  <c r="AG239" i="6" s="1"/>
  <c r="AH239" i="6"/>
  <c r="AF240" i="6"/>
  <c r="AG240" i="6"/>
  <c r="AH240" i="6"/>
  <c r="AF241" i="6"/>
  <c r="AG241" i="6" s="1"/>
  <c r="AH241" i="6"/>
  <c r="AF242" i="6"/>
  <c r="AG242" i="6"/>
  <c r="AH242" i="6"/>
  <c r="AF243" i="6"/>
  <c r="AG243" i="6" s="1"/>
  <c r="AH243" i="6"/>
  <c r="AF244" i="6"/>
  <c r="AG244" i="6"/>
  <c r="AH244" i="6"/>
  <c r="AF245" i="6"/>
  <c r="AG245" i="6" s="1"/>
  <c r="AH245" i="6"/>
  <c r="AF246" i="6"/>
  <c r="AG246" i="6"/>
  <c r="AH246" i="6"/>
  <c r="AF247" i="6"/>
  <c r="AG247" i="6" s="1"/>
  <c r="AH247" i="6"/>
  <c r="AF248" i="6"/>
  <c r="AG248" i="6"/>
  <c r="AH248" i="6"/>
  <c r="AF249" i="6"/>
  <c r="AG249" i="6" s="1"/>
  <c r="AH249" i="6"/>
  <c r="AF250" i="6"/>
  <c r="AG250" i="6"/>
  <c r="AH250" i="6"/>
  <c r="AF251" i="6"/>
  <c r="AG251" i="6" s="1"/>
  <c r="AH251" i="6"/>
  <c r="AF252" i="6"/>
  <c r="AG252" i="6"/>
  <c r="AH252" i="6"/>
  <c r="AF253" i="6"/>
  <c r="AG253" i="6" s="1"/>
  <c r="AH253" i="6"/>
  <c r="AF254" i="6"/>
  <c r="AG254" i="6"/>
  <c r="AH254" i="6"/>
  <c r="AF255" i="6"/>
  <c r="AG255" i="6" s="1"/>
  <c r="AH255" i="6"/>
  <c r="AF256" i="6"/>
  <c r="AG256" i="6"/>
  <c r="AH256" i="6"/>
  <c r="AF257" i="6"/>
  <c r="AG257" i="6" s="1"/>
  <c r="AH257" i="6"/>
  <c r="AF258" i="6"/>
  <c r="AG258" i="6"/>
  <c r="AH258" i="6"/>
  <c r="AF259" i="6"/>
  <c r="AG259" i="6" s="1"/>
  <c r="AH259" i="6"/>
  <c r="AF260" i="6"/>
  <c r="AG260" i="6"/>
  <c r="AH260" i="6"/>
  <c r="AF261" i="6"/>
  <c r="AG261" i="6" s="1"/>
  <c r="AH261" i="6"/>
  <c r="AF262" i="6"/>
  <c r="AG262" i="6"/>
  <c r="AH262" i="6"/>
  <c r="AF263" i="6"/>
  <c r="AG263" i="6" s="1"/>
  <c r="AH263" i="6"/>
  <c r="AF264" i="6"/>
  <c r="AG264" i="6"/>
  <c r="AH264" i="6"/>
  <c r="AF265" i="6"/>
  <c r="AG265" i="6" s="1"/>
  <c r="AH265" i="6"/>
  <c r="AF266" i="6"/>
  <c r="AG266" i="6"/>
  <c r="AH266" i="6"/>
  <c r="AF267" i="6"/>
  <c r="AG267" i="6" s="1"/>
  <c r="AH267" i="6"/>
  <c r="AF268" i="6"/>
  <c r="AG268" i="6"/>
  <c r="AH268" i="6"/>
  <c r="AF269" i="6"/>
  <c r="AG269" i="6" s="1"/>
  <c r="AH269" i="6"/>
  <c r="AF270" i="6"/>
  <c r="AG270" i="6"/>
  <c r="AH270" i="6"/>
  <c r="AF271" i="6"/>
  <c r="AG271" i="6" s="1"/>
  <c r="AH271" i="6"/>
  <c r="AF272" i="6"/>
  <c r="AG272" i="6"/>
  <c r="AH272" i="6"/>
  <c r="AF273" i="6"/>
  <c r="AG273" i="6" s="1"/>
  <c r="AH273" i="6"/>
  <c r="AF274" i="6"/>
  <c r="AG274" i="6"/>
  <c r="AH274" i="6"/>
  <c r="AF275" i="6"/>
  <c r="AG275" i="6" s="1"/>
  <c r="AH275" i="6"/>
  <c r="AF276" i="6"/>
  <c r="AG276" i="6"/>
  <c r="AH276" i="6"/>
  <c r="AF277" i="6"/>
  <c r="AG277" i="6" s="1"/>
  <c r="AH277" i="6"/>
  <c r="AF278" i="6"/>
  <c r="AG278" i="6"/>
  <c r="AH278" i="6"/>
  <c r="AF279" i="6"/>
  <c r="AG279" i="6" s="1"/>
  <c r="AH279" i="6"/>
  <c r="AF280" i="6"/>
  <c r="AG280" i="6"/>
  <c r="AH280" i="6"/>
  <c r="AF281" i="6"/>
  <c r="AG281" i="6" s="1"/>
  <c r="AH281" i="6"/>
  <c r="AF282" i="6"/>
  <c r="AG282" i="6"/>
  <c r="AH282" i="6"/>
  <c r="AF283" i="6"/>
  <c r="AG283" i="6" s="1"/>
  <c r="AH283" i="6"/>
  <c r="AF284" i="6"/>
  <c r="AG284" i="6"/>
  <c r="AH284" i="6"/>
  <c r="AF285" i="6"/>
  <c r="AG285" i="6" s="1"/>
  <c r="AH285" i="6"/>
  <c r="AF286" i="6"/>
  <c r="AG286" i="6"/>
  <c r="AH286" i="6"/>
  <c r="AF287" i="6"/>
  <c r="AG287" i="6" s="1"/>
  <c r="AH287" i="6"/>
  <c r="AF288" i="6"/>
  <c r="AG288" i="6"/>
  <c r="AH288" i="6"/>
  <c r="AF289" i="6"/>
  <c r="AG289" i="6" s="1"/>
  <c r="AH289" i="6"/>
  <c r="AF290" i="6"/>
  <c r="AG290" i="6"/>
  <c r="AH290" i="6"/>
  <c r="AF291" i="6"/>
  <c r="AG291" i="6" s="1"/>
  <c r="AH291" i="6"/>
  <c r="AF292" i="6"/>
  <c r="AG292" i="6"/>
  <c r="AH292" i="6"/>
  <c r="AF293" i="6"/>
  <c r="AG293" i="6" s="1"/>
  <c r="AH293" i="6"/>
  <c r="AF294" i="6"/>
  <c r="AG294" i="6"/>
  <c r="AH294" i="6"/>
  <c r="AF295" i="6"/>
  <c r="AG295" i="6" s="1"/>
  <c r="AH295" i="6"/>
  <c r="AF296" i="6"/>
  <c r="AG296" i="6"/>
  <c r="AH296" i="6"/>
  <c r="AF297" i="6"/>
  <c r="AG297" i="6" s="1"/>
  <c r="AH297" i="6"/>
  <c r="AF298" i="6"/>
  <c r="AG298" i="6"/>
  <c r="AH298" i="6"/>
  <c r="AF299" i="6"/>
  <c r="AG299" i="6" s="1"/>
  <c r="AH299" i="6"/>
  <c r="AF300" i="6"/>
  <c r="AG300" i="6"/>
  <c r="AH300" i="6"/>
  <c r="AF301" i="6"/>
  <c r="AG301" i="6" s="1"/>
  <c r="AH301" i="6"/>
  <c r="AF302" i="6"/>
  <c r="AG302" i="6"/>
  <c r="AH302" i="6"/>
  <c r="AF303" i="6"/>
  <c r="AG303" i="6" s="1"/>
  <c r="AH303" i="6"/>
  <c r="AF304" i="6"/>
  <c r="AG304" i="6"/>
  <c r="AH304" i="6"/>
  <c r="AF305" i="6"/>
  <c r="AG305" i="6" s="1"/>
  <c r="AH305" i="6"/>
  <c r="AF306" i="6"/>
  <c r="AG306" i="6"/>
  <c r="AH306" i="6"/>
  <c r="AF307" i="6"/>
  <c r="AG307" i="6" s="1"/>
  <c r="AH307" i="6"/>
  <c r="AF308" i="6"/>
  <c r="AG308" i="6"/>
  <c r="AH308" i="6"/>
  <c r="AF309" i="6"/>
  <c r="AG309" i="6" s="1"/>
  <c r="AH309" i="6"/>
  <c r="AF310" i="6"/>
  <c r="AG310" i="6"/>
  <c r="AH310" i="6"/>
  <c r="AF311" i="6"/>
  <c r="AG311" i="6" s="1"/>
  <c r="AH311" i="6"/>
  <c r="AF312" i="6"/>
  <c r="AG312" i="6"/>
  <c r="AH312" i="6"/>
  <c r="AF313" i="6"/>
  <c r="AG313" i="6" s="1"/>
  <c r="AH313" i="6"/>
  <c r="AF314" i="6"/>
  <c r="AG314" i="6"/>
  <c r="AH314" i="6"/>
  <c r="AF315" i="6"/>
  <c r="AG315" i="6" s="1"/>
  <c r="AH315" i="6"/>
  <c r="AF316" i="6"/>
  <c r="AG316" i="6"/>
  <c r="AH316" i="6"/>
  <c r="AF317" i="6"/>
  <c r="AG317" i="6" s="1"/>
  <c r="AH317" i="6"/>
  <c r="AF318" i="6"/>
  <c r="AG318" i="6"/>
  <c r="AH318" i="6"/>
  <c r="AF319" i="6"/>
  <c r="AG319" i="6" s="1"/>
  <c r="AH319" i="6"/>
  <c r="AF320" i="6"/>
  <c r="AG320" i="6"/>
  <c r="AH320" i="6"/>
  <c r="AF321" i="6"/>
  <c r="AG321" i="6" s="1"/>
  <c r="AH321" i="6"/>
  <c r="AF322" i="6"/>
  <c r="AG322" i="6"/>
  <c r="AH322" i="6"/>
  <c r="AF323" i="6"/>
  <c r="AG323" i="6" s="1"/>
  <c r="AH323" i="6"/>
  <c r="AF324" i="6"/>
  <c r="AG324" i="6"/>
  <c r="AH324" i="6"/>
  <c r="AF325" i="6"/>
  <c r="AG325" i="6" s="1"/>
  <c r="AH325" i="6"/>
  <c r="AF326" i="6"/>
  <c r="AG326" i="6"/>
  <c r="AH326" i="6"/>
  <c r="AF327" i="6"/>
  <c r="AG327" i="6" s="1"/>
  <c r="AH327" i="6"/>
  <c r="AF328" i="6"/>
  <c r="AG328" i="6"/>
  <c r="AH328" i="6"/>
  <c r="AF329" i="6"/>
  <c r="AG329" i="6" s="1"/>
  <c r="AH329" i="6"/>
  <c r="AF330" i="6"/>
  <c r="AG330" i="6"/>
  <c r="AH330" i="6"/>
  <c r="AF331" i="6"/>
  <c r="AG331" i="6" s="1"/>
  <c r="AH331" i="6"/>
  <c r="AF332" i="6"/>
  <c r="AG332" i="6"/>
  <c r="AH332" i="6"/>
  <c r="AF333" i="6"/>
  <c r="AG333" i="6" s="1"/>
  <c r="AH333" i="6"/>
  <c r="AF334" i="6"/>
  <c r="AG334" i="6"/>
  <c r="AH334" i="6"/>
  <c r="AF335" i="6"/>
  <c r="AG335" i="6" s="1"/>
  <c r="AH335" i="6"/>
  <c r="AF336" i="6"/>
  <c r="AG336" i="6"/>
  <c r="AH336" i="6"/>
  <c r="AF337" i="6"/>
  <c r="AG337" i="6" s="1"/>
  <c r="AH337" i="6"/>
  <c r="AF338" i="6"/>
  <c r="AG338" i="6"/>
  <c r="AH338" i="6"/>
  <c r="AF339" i="6"/>
  <c r="AG339" i="6" s="1"/>
  <c r="AH339" i="6"/>
  <c r="AF340" i="6"/>
  <c r="AG340" i="6"/>
  <c r="AH340" i="6"/>
  <c r="AF341" i="6"/>
  <c r="AG341" i="6" s="1"/>
  <c r="AH341" i="6"/>
  <c r="AF342" i="6"/>
  <c r="AG342" i="6"/>
  <c r="AH342" i="6"/>
  <c r="AF343" i="6"/>
  <c r="AG343" i="6" s="1"/>
  <c r="AH343" i="6"/>
  <c r="AF344" i="6"/>
  <c r="AG344" i="6"/>
  <c r="AH344" i="6"/>
  <c r="AF345" i="6"/>
  <c r="AG345" i="6" s="1"/>
  <c r="AH345" i="6"/>
  <c r="AF346" i="6"/>
  <c r="AG346" i="6"/>
  <c r="AH346" i="6"/>
  <c r="AF347" i="6"/>
  <c r="AG347" i="6" s="1"/>
  <c r="AH347" i="6"/>
  <c r="AF348" i="6"/>
  <c r="AG348" i="6"/>
  <c r="AH348" i="6"/>
  <c r="AF349" i="6"/>
  <c r="AG349" i="6" s="1"/>
  <c r="AH349" i="6"/>
  <c r="AF350" i="6"/>
  <c r="AG350" i="6"/>
  <c r="AH350" i="6"/>
  <c r="AF351" i="6"/>
  <c r="AG351" i="6" s="1"/>
  <c r="AH351" i="6"/>
  <c r="AF352" i="6"/>
  <c r="AG352" i="6"/>
  <c r="AH352" i="6"/>
  <c r="AF353" i="6"/>
  <c r="AG353" i="6" s="1"/>
  <c r="AH353" i="6"/>
  <c r="AF354" i="6"/>
  <c r="AG354" i="6"/>
  <c r="AH354" i="6"/>
  <c r="AF355" i="6"/>
  <c r="AG355" i="6" s="1"/>
  <c r="AH355" i="6"/>
  <c r="AF356" i="6"/>
  <c r="AG356" i="6"/>
  <c r="AH356" i="6"/>
  <c r="AF357" i="6"/>
  <c r="AG357" i="6" s="1"/>
  <c r="AH357" i="6"/>
  <c r="AF358" i="6"/>
  <c r="AG358" i="6"/>
  <c r="AH358" i="6"/>
  <c r="AF359" i="6"/>
  <c r="AG359" i="6" s="1"/>
  <c r="AH359" i="6"/>
  <c r="AF360" i="6"/>
  <c r="AG360" i="6"/>
  <c r="AH360" i="6"/>
  <c r="AF361" i="6"/>
  <c r="AG361" i="6" s="1"/>
  <c r="AH361" i="6"/>
  <c r="AF362" i="6"/>
  <c r="AG362" i="6"/>
  <c r="AH362" i="6"/>
  <c r="AF363" i="6"/>
  <c r="AG363" i="6" s="1"/>
  <c r="AH363" i="6"/>
  <c r="AF364" i="6"/>
  <c r="AG364" i="6"/>
  <c r="AH364" i="6"/>
  <c r="AF365" i="6"/>
  <c r="AG365" i="6" s="1"/>
  <c r="AH365" i="6"/>
  <c r="AF366" i="6"/>
  <c r="AG366" i="6"/>
  <c r="AH366" i="6"/>
  <c r="AF367" i="6"/>
  <c r="AG367" i="6" s="1"/>
  <c r="AH367" i="6"/>
  <c r="AF368" i="6"/>
  <c r="AG368" i="6"/>
  <c r="AH368" i="6"/>
  <c r="AF369" i="6"/>
  <c r="AG369" i="6" s="1"/>
  <c r="AH369" i="6"/>
  <c r="AF370" i="6"/>
  <c r="AG370" i="6"/>
  <c r="AH370" i="6"/>
  <c r="AF371" i="6"/>
  <c r="AG371" i="6" s="1"/>
  <c r="AH371" i="6"/>
  <c r="AF372" i="6"/>
  <c r="AG372" i="6"/>
  <c r="AH372" i="6"/>
  <c r="AF373" i="6"/>
  <c r="AG373" i="6" s="1"/>
  <c r="AH373" i="6"/>
  <c r="AF374" i="6"/>
  <c r="AG374" i="6"/>
  <c r="AH374" i="6"/>
  <c r="AF375" i="6"/>
  <c r="AG375" i="6" s="1"/>
  <c r="AH375" i="6"/>
  <c r="AF376" i="6"/>
  <c r="AG376" i="6"/>
  <c r="AH376" i="6"/>
  <c r="AF377" i="6"/>
  <c r="AG377" i="6" s="1"/>
  <c r="AH377" i="6"/>
  <c r="AF378" i="6"/>
  <c r="AG378" i="6"/>
  <c r="AH378" i="6"/>
  <c r="AF379" i="6"/>
  <c r="AG379" i="6" s="1"/>
  <c r="AH379" i="6"/>
  <c r="AF380" i="6"/>
  <c r="AG380" i="6"/>
  <c r="AH380" i="6"/>
  <c r="AF381" i="6"/>
  <c r="AG381" i="6" s="1"/>
  <c r="AH381" i="6"/>
  <c r="AF382" i="6"/>
  <c r="AG382" i="6"/>
  <c r="AH382" i="6"/>
  <c r="AF383" i="6"/>
  <c r="AG383" i="6" s="1"/>
  <c r="AH383" i="6"/>
  <c r="AF384" i="6"/>
  <c r="AG384" i="6"/>
  <c r="AH384" i="6"/>
  <c r="AF385" i="6"/>
  <c r="AG385" i="6" s="1"/>
  <c r="AH385" i="6"/>
  <c r="AF386" i="6"/>
  <c r="AG386" i="6"/>
  <c r="AH386" i="6"/>
  <c r="AF387" i="6"/>
  <c r="AG387" i="6" s="1"/>
  <c r="AH387" i="6"/>
  <c r="AF388" i="6"/>
  <c r="AG388" i="6"/>
  <c r="AH388" i="6"/>
  <c r="AF389" i="6"/>
  <c r="AG389" i="6" s="1"/>
  <c r="AH389" i="6"/>
  <c r="AF390" i="6"/>
  <c r="AG390" i="6"/>
  <c r="AH390" i="6"/>
  <c r="AF391" i="6"/>
  <c r="AG391" i="6" s="1"/>
  <c r="AH391" i="6"/>
  <c r="AF392" i="6"/>
  <c r="AG392" i="6"/>
  <c r="AH392" i="6"/>
  <c r="AF393" i="6"/>
  <c r="AG393" i="6" s="1"/>
  <c r="AH393" i="6"/>
  <c r="AF394" i="6"/>
  <c r="AG394" i="6"/>
  <c r="AH394" i="6"/>
  <c r="AF395" i="6"/>
  <c r="AG395" i="6" s="1"/>
  <c r="AH395" i="6"/>
  <c r="AF396" i="6"/>
  <c r="AG396" i="6"/>
  <c r="AH396" i="6"/>
  <c r="AF397" i="6"/>
  <c r="AG397" i="6" s="1"/>
  <c r="AH397" i="6"/>
  <c r="AF398" i="6"/>
  <c r="AG398" i="6"/>
  <c r="AH398" i="6"/>
  <c r="AF399" i="6"/>
  <c r="AG399" i="6" s="1"/>
  <c r="AH399" i="6"/>
  <c r="AF400" i="6"/>
  <c r="AG400" i="6"/>
  <c r="AH400" i="6"/>
  <c r="AF401" i="6"/>
  <c r="AG401" i="6" s="1"/>
  <c r="AH401" i="6"/>
  <c r="AF402" i="6"/>
  <c r="AG402" i="6"/>
  <c r="AH402" i="6"/>
  <c r="AF403" i="6"/>
  <c r="AG403" i="6" s="1"/>
  <c r="AH403" i="6"/>
  <c r="AF404" i="6"/>
  <c r="AG404" i="6"/>
  <c r="AH404" i="6"/>
  <c r="AF405" i="6"/>
  <c r="AG405" i="6" s="1"/>
  <c r="AH405" i="6"/>
  <c r="AF406" i="6"/>
  <c r="AG406" i="6"/>
  <c r="AH406" i="6"/>
  <c r="AF407" i="6"/>
  <c r="AG407" i="6" s="1"/>
  <c r="AH407" i="6"/>
  <c r="AF408" i="6"/>
  <c r="AG408" i="6"/>
  <c r="AH408" i="6"/>
  <c r="AF409" i="6"/>
  <c r="AG409" i="6" s="1"/>
  <c r="AH409" i="6"/>
  <c r="AF410" i="6"/>
  <c r="AG410" i="6"/>
  <c r="AH410" i="6"/>
  <c r="AF411" i="6"/>
  <c r="AG411" i="6" s="1"/>
  <c r="AH411" i="6"/>
  <c r="AF412" i="6"/>
  <c r="AG412" i="6"/>
  <c r="AH412" i="6"/>
  <c r="AF413" i="6"/>
  <c r="AG413" i="6" s="1"/>
  <c r="AH413" i="6"/>
  <c r="AF414" i="6"/>
  <c r="AG414" i="6"/>
  <c r="AH414" i="6"/>
  <c r="AF415" i="6"/>
  <c r="AG415" i="6" s="1"/>
  <c r="AH415" i="6"/>
  <c r="AF416" i="6"/>
  <c r="AG416" i="6"/>
  <c r="AH416" i="6"/>
  <c r="AF417" i="6"/>
  <c r="AG417" i="6" s="1"/>
  <c r="AH417" i="6"/>
  <c r="AF418" i="6"/>
  <c r="AG418" i="6"/>
  <c r="AH418" i="6"/>
  <c r="AF419" i="6"/>
  <c r="AG419" i="6" s="1"/>
  <c r="AH419" i="6"/>
  <c r="AF420" i="6"/>
  <c r="AG420" i="6"/>
  <c r="AH420" i="6"/>
  <c r="AF421" i="6"/>
  <c r="AG421" i="6" s="1"/>
  <c r="AH421" i="6"/>
  <c r="AF422" i="6"/>
  <c r="AG422" i="6"/>
  <c r="AH422" i="6"/>
  <c r="AF423" i="6"/>
  <c r="AG423" i="6" s="1"/>
  <c r="AH423" i="6"/>
  <c r="AF424" i="6"/>
  <c r="AG424" i="6"/>
  <c r="AH424" i="6"/>
  <c r="AF425" i="6"/>
  <c r="AG425" i="6" s="1"/>
  <c r="AH425" i="6"/>
  <c r="AF426" i="6"/>
  <c r="AG426" i="6"/>
  <c r="AH426" i="6"/>
  <c r="AF427" i="6"/>
  <c r="AG427" i="6" s="1"/>
  <c r="AH427" i="6"/>
  <c r="AF428" i="6"/>
  <c r="AG428" i="6"/>
  <c r="AH428" i="6"/>
  <c r="AF429" i="6"/>
  <c r="AG429" i="6" s="1"/>
  <c r="AH429" i="6"/>
  <c r="AF430" i="6"/>
  <c r="AG430" i="6"/>
  <c r="AH430" i="6"/>
  <c r="AF431" i="6"/>
  <c r="AG431" i="6" s="1"/>
  <c r="AH431" i="6"/>
  <c r="AF432" i="6"/>
  <c r="AG432" i="6"/>
  <c r="AH432" i="6"/>
  <c r="AF433" i="6"/>
  <c r="AG433" i="6" s="1"/>
  <c r="AH433" i="6"/>
  <c r="AF434" i="6"/>
  <c r="AG434" i="6"/>
  <c r="AH434" i="6"/>
  <c r="AF435" i="6"/>
  <c r="AG435" i="6" s="1"/>
  <c r="AH435" i="6"/>
  <c r="AF436" i="6"/>
  <c r="AG436" i="6"/>
  <c r="AH436" i="6"/>
  <c r="AF437" i="6"/>
  <c r="AG437" i="6" s="1"/>
  <c r="AH437" i="6"/>
  <c r="AF438" i="6"/>
  <c r="AG438" i="6"/>
  <c r="AH438" i="6"/>
  <c r="AF439" i="6"/>
  <c r="AG439" i="6" s="1"/>
  <c r="AH439" i="6"/>
  <c r="AF440" i="6"/>
  <c r="AG440" i="6"/>
  <c r="AH440" i="6"/>
  <c r="AF441" i="6"/>
  <c r="AG441" i="6" s="1"/>
  <c r="AH441" i="6"/>
  <c r="AF442" i="6"/>
  <c r="AG442" i="6"/>
  <c r="AH442" i="6"/>
  <c r="AF443" i="6"/>
  <c r="AG443" i="6" s="1"/>
  <c r="AH443" i="6"/>
  <c r="AF444" i="6"/>
  <c r="AG444" i="6"/>
  <c r="AH444" i="6"/>
  <c r="AF445" i="6"/>
  <c r="AG445" i="6" s="1"/>
  <c r="AH445" i="6"/>
  <c r="AF446" i="6"/>
  <c r="AG446" i="6"/>
  <c r="AH446" i="6"/>
  <c r="AF447" i="6"/>
  <c r="AG447" i="6" s="1"/>
  <c r="AH447" i="6"/>
  <c r="AF448" i="6"/>
  <c r="AG448" i="6"/>
  <c r="AH448" i="6"/>
  <c r="AF449" i="6"/>
  <c r="AG449" i="6" s="1"/>
  <c r="AH449" i="6"/>
  <c r="AF450" i="6"/>
  <c r="AG450" i="6"/>
  <c r="AH450" i="6"/>
  <c r="AF451" i="6"/>
  <c r="AG451" i="6" s="1"/>
  <c r="AH451" i="6"/>
  <c r="AF452" i="6"/>
  <c r="AG452" i="6"/>
  <c r="AH452" i="6"/>
  <c r="AF453" i="6"/>
  <c r="AG453" i="6" s="1"/>
  <c r="AH453" i="6"/>
  <c r="AF454" i="6"/>
  <c r="AG454" i="6"/>
  <c r="AH454" i="6"/>
  <c r="AF455" i="6"/>
  <c r="AG455" i="6" s="1"/>
  <c r="AH455" i="6"/>
  <c r="AF456" i="6"/>
  <c r="AG456" i="6"/>
  <c r="AH456" i="6"/>
  <c r="AF457" i="6"/>
  <c r="AG457" i="6" s="1"/>
  <c r="AH457" i="6"/>
  <c r="AF458" i="6"/>
  <c r="AG458" i="6"/>
  <c r="AH458" i="6"/>
  <c r="AF459" i="6"/>
  <c r="AG459" i="6" s="1"/>
  <c r="AH459" i="6"/>
  <c r="AF460" i="6"/>
  <c r="AG460" i="6"/>
  <c r="AH460" i="6"/>
  <c r="AF461" i="6"/>
  <c r="AG461" i="6" s="1"/>
  <c r="AH461" i="6"/>
  <c r="AF462" i="6"/>
  <c r="AG462" i="6"/>
  <c r="AH462" i="6"/>
  <c r="AF463" i="6"/>
  <c r="AG463" i="6" s="1"/>
  <c r="AH463" i="6"/>
  <c r="AF464" i="6"/>
  <c r="AG464" i="6"/>
  <c r="AH464" i="6"/>
  <c r="AF465" i="6"/>
  <c r="AG465" i="6" s="1"/>
  <c r="AH465" i="6"/>
  <c r="AF466" i="6"/>
  <c r="AG466" i="6"/>
  <c r="AH466" i="6"/>
  <c r="AF467" i="6"/>
  <c r="AG467" i="6" s="1"/>
  <c r="AH467" i="6"/>
  <c r="AF468" i="6"/>
  <c r="AG468" i="6"/>
  <c r="AH468" i="6"/>
  <c r="AF469" i="6"/>
  <c r="AG469" i="6" s="1"/>
  <c r="AH469" i="6"/>
  <c r="AF470" i="6"/>
  <c r="AG470" i="6"/>
  <c r="AH470" i="6"/>
  <c r="AF471" i="6"/>
  <c r="AG471" i="6" s="1"/>
  <c r="AH471" i="6"/>
  <c r="AF472" i="6"/>
  <c r="AG472" i="6"/>
  <c r="AH472" i="6"/>
  <c r="AF473" i="6"/>
  <c r="AG473" i="6" s="1"/>
  <c r="AH473" i="6"/>
  <c r="AF474" i="6"/>
  <c r="AG474" i="6"/>
  <c r="AH474" i="6"/>
  <c r="AF475" i="6"/>
  <c r="AG475" i="6" s="1"/>
  <c r="AH475" i="6"/>
  <c r="AF476" i="6"/>
  <c r="AG476" i="6"/>
  <c r="AH476" i="6"/>
  <c r="AF477" i="6"/>
  <c r="AG477" i="6" s="1"/>
  <c r="AH477" i="6"/>
  <c r="AF478" i="6"/>
  <c r="AG478" i="6"/>
  <c r="AH478" i="6"/>
  <c r="AF479" i="6"/>
  <c r="AG479" i="6" s="1"/>
  <c r="AH479" i="6"/>
  <c r="AF480" i="6"/>
  <c r="AG480" i="6"/>
  <c r="AH480" i="6"/>
  <c r="AF481" i="6"/>
  <c r="AG481" i="6" s="1"/>
  <c r="AH481" i="6"/>
  <c r="AF482" i="6"/>
  <c r="AG482" i="6"/>
  <c r="AH482" i="6"/>
  <c r="AF483" i="6"/>
  <c r="AG483" i="6" s="1"/>
  <c r="AH483" i="6"/>
  <c r="AF484" i="6"/>
  <c r="AG484" i="6"/>
  <c r="AH484" i="6"/>
  <c r="AF485" i="6"/>
  <c r="AG485" i="6" s="1"/>
  <c r="AH485" i="6"/>
  <c r="AF486" i="6"/>
  <c r="AG486" i="6"/>
  <c r="AH486" i="6"/>
  <c r="AF487" i="6"/>
  <c r="AG487" i="6" s="1"/>
  <c r="AH487" i="6"/>
  <c r="AF488" i="6"/>
  <c r="AG488" i="6"/>
  <c r="AH488" i="6"/>
  <c r="AF489" i="6"/>
  <c r="AG489" i="6" s="1"/>
  <c r="AH489" i="6"/>
  <c r="AF490" i="6"/>
  <c r="AG490" i="6"/>
  <c r="AH490" i="6"/>
  <c r="AF491" i="6"/>
  <c r="AG491" i="6" s="1"/>
  <c r="AH491" i="6"/>
  <c r="AF492" i="6"/>
  <c r="AG492" i="6"/>
  <c r="AH492" i="6"/>
  <c r="AF493" i="6"/>
  <c r="AG493" i="6" s="1"/>
  <c r="AH493" i="6"/>
  <c r="AF494" i="6"/>
  <c r="AG494" i="6"/>
  <c r="AH494" i="6"/>
  <c r="AF495" i="6"/>
  <c r="AG495" i="6" s="1"/>
  <c r="AH495" i="6"/>
  <c r="AF496" i="6"/>
  <c r="AG496" i="6"/>
  <c r="AH496" i="6"/>
  <c r="AF497" i="6"/>
  <c r="AG497" i="6" s="1"/>
  <c r="AH497" i="6"/>
  <c r="AF498" i="6"/>
  <c r="AG498" i="6"/>
  <c r="AH498" i="6"/>
  <c r="AF499" i="6"/>
  <c r="AG499" i="6" s="1"/>
  <c r="AH499" i="6"/>
  <c r="AF500" i="6"/>
  <c r="AG500" i="6"/>
  <c r="AH500" i="6"/>
  <c r="AF501" i="6"/>
  <c r="AG501" i="6" s="1"/>
  <c r="AH501" i="6"/>
  <c r="AF502" i="6"/>
  <c r="AG502" i="6"/>
  <c r="AH502" i="6"/>
  <c r="AF503" i="6"/>
  <c r="AG503" i="6" s="1"/>
  <c r="AH503" i="6"/>
  <c r="AF504" i="6"/>
  <c r="AG504" i="6"/>
  <c r="AH504" i="6"/>
  <c r="AF505" i="6"/>
  <c r="AG505" i="6" s="1"/>
  <c r="AH505" i="6"/>
  <c r="AF506" i="6"/>
  <c r="AG506" i="6"/>
  <c r="AH506" i="6"/>
  <c r="AF507" i="6"/>
  <c r="AG507" i="6" s="1"/>
  <c r="AH507" i="6"/>
  <c r="AF508" i="6"/>
  <c r="AG508" i="6"/>
  <c r="AH508" i="6"/>
  <c r="AF509" i="6"/>
  <c r="AG509" i="6" s="1"/>
  <c r="AH509" i="6"/>
  <c r="AF510" i="6"/>
  <c r="AG510" i="6"/>
  <c r="AH510" i="6"/>
  <c r="AF511" i="6"/>
  <c r="AG511" i="6" s="1"/>
  <c r="AH511" i="6"/>
  <c r="AF512" i="6"/>
  <c r="AG512" i="6"/>
  <c r="AH512" i="6"/>
  <c r="AF513" i="6"/>
  <c r="AG513" i="6" s="1"/>
  <c r="AH513" i="6"/>
  <c r="AF514" i="6"/>
  <c r="AG514" i="6"/>
  <c r="AH514" i="6"/>
  <c r="AF515" i="6"/>
  <c r="AG515" i="6" s="1"/>
  <c r="AH515" i="6"/>
  <c r="AF516" i="6"/>
  <c r="AG516" i="6"/>
  <c r="AH516" i="6"/>
  <c r="AF517" i="6"/>
  <c r="AG517" i="6" s="1"/>
  <c r="AH517" i="6"/>
  <c r="AF518" i="6"/>
  <c r="AG518" i="6"/>
  <c r="AH518" i="6"/>
  <c r="AF519" i="6"/>
  <c r="AG519" i="6" s="1"/>
  <c r="AH519" i="6"/>
  <c r="AF520" i="6"/>
  <c r="AG520" i="6"/>
  <c r="AH520" i="6"/>
  <c r="AF521" i="6"/>
  <c r="AG521" i="6" s="1"/>
  <c r="AH521" i="6"/>
  <c r="AF522" i="6"/>
  <c r="AG522" i="6"/>
  <c r="AH522" i="6"/>
  <c r="AF523" i="6"/>
  <c r="AG523" i="6" s="1"/>
  <c r="AH523" i="6"/>
  <c r="AF524" i="6"/>
  <c r="AG524" i="6"/>
  <c r="AH524" i="6"/>
  <c r="AF525" i="6"/>
  <c r="AG525" i="6" s="1"/>
  <c r="AH525" i="6"/>
  <c r="AF526" i="6"/>
  <c r="AG526" i="6"/>
  <c r="AH526" i="6"/>
  <c r="AF527" i="6"/>
  <c r="AG527" i="6" s="1"/>
  <c r="AH527" i="6"/>
  <c r="AF528" i="6"/>
  <c r="AG528" i="6"/>
  <c r="AH528" i="6"/>
  <c r="AF529" i="6"/>
  <c r="AG529" i="6" s="1"/>
  <c r="AH529" i="6"/>
  <c r="AF530" i="6"/>
  <c r="AG530" i="6"/>
  <c r="AH530" i="6"/>
  <c r="AF531" i="6"/>
  <c r="AG531" i="6" s="1"/>
  <c r="AH531" i="6"/>
  <c r="AF532" i="6"/>
  <c r="AG532" i="6"/>
  <c r="AH532" i="6"/>
  <c r="AF533" i="6"/>
  <c r="AG533" i="6" s="1"/>
  <c r="AH533" i="6"/>
  <c r="AF534" i="6"/>
  <c r="AG534" i="6"/>
  <c r="AH534" i="6"/>
  <c r="AF535" i="6"/>
  <c r="AG535" i="6" s="1"/>
  <c r="AH535" i="6"/>
  <c r="AF536" i="6"/>
  <c r="AG536" i="6"/>
  <c r="AH536" i="6"/>
  <c r="AF537" i="6"/>
  <c r="AG537" i="6" s="1"/>
  <c r="AH537" i="6"/>
  <c r="AF538" i="6"/>
  <c r="AG538" i="6"/>
  <c r="AH538" i="6"/>
  <c r="AF539" i="6"/>
  <c r="AG539" i="6" s="1"/>
  <c r="AH539" i="6"/>
  <c r="AF540" i="6"/>
  <c r="AG540" i="6"/>
  <c r="AH540" i="6"/>
  <c r="AF541" i="6"/>
  <c r="AG541" i="6" s="1"/>
  <c r="AH541" i="6"/>
  <c r="AF542" i="6"/>
  <c r="AG542" i="6"/>
  <c r="AH542" i="6"/>
  <c r="AF543" i="6"/>
  <c r="AG543" i="6" s="1"/>
  <c r="AH543" i="6"/>
  <c r="AF544" i="6"/>
  <c r="AG544" i="6"/>
  <c r="AH544" i="6"/>
  <c r="AF545" i="6"/>
  <c r="AG545" i="6" s="1"/>
  <c r="AH545" i="6"/>
  <c r="AF546" i="6"/>
  <c r="AG546" i="6"/>
  <c r="AH546" i="6"/>
  <c r="AF547" i="6"/>
  <c r="AG547" i="6" s="1"/>
  <c r="AH547" i="6"/>
  <c r="AF548" i="6"/>
  <c r="AG548" i="6"/>
  <c r="AH548" i="6"/>
  <c r="AF549" i="6"/>
  <c r="AG549" i="6" s="1"/>
  <c r="AH549" i="6"/>
  <c r="AF550" i="6"/>
  <c r="AG550" i="6"/>
  <c r="AH550" i="6"/>
  <c r="AF551" i="6"/>
  <c r="AG551" i="6" s="1"/>
  <c r="AH551" i="6"/>
  <c r="AF552" i="6"/>
  <c r="AG552" i="6"/>
  <c r="AH552" i="6"/>
  <c r="AF553" i="6"/>
  <c r="AG553" i="6" s="1"/>
  <c r="AH553" i="6"/>
  <c r="AF554" i="6"/>
  <c r="AG554" i="6"/>
  <c r="AH554" i="6"/>
  <c r="AF555" i="6"/>
  <c r="AG555" i="6" s="1"/>
  <c r="AH555" i="6"/>
  <c r="AF556" i="6"/>
  <c r="AG556" i="6"/>
  <c r="AH556" i="6"/>
  <c r="AF557" i="6"/>
  <c r="AG557" i="6" s="1"/>
  <c r="AH557" i="6"/>
  <c r="AF558" i="6"/>
  <c r="AG558" i="6"/>
  <c r="AH558" i="6"/>
  <c r="AF559" i="6"/>
  <c r="AG559" i="6" s="1"/>
  <c r="AH559" i="6"/>
  <c r="AF560" i="6"/>
  <c r="AG560" i="6"/>
  <c r="AH560" i="6"/>
  <c r="AF561" i="6"/>
  <c r="AG561" i="6" s="1"/>
  <c r="AH561" i="6"/>
  <c r="AF562" i="6"/>
  <c r="AG562" i="6"/>
  <c r="AH562" i="6"/>
  <c r="AF563" i="6"/>
  <c r="AG563" i="6" s="1"/>
  <c r="AH563" i="6"/>
  <c r="AF564" i="6"/>
  <c r="AG564" i="6"/>
  <c r="AH564" i="6"/>
  <c r="AF565" i="6"/>
  <c r="AG565" i="6" s="1"/>
  <c r="AH565" i="6"/>
  <c r="AF566" i="6"/>
  <c r="AG566" i="6"/>
  <c r="AH566" i="6"/>
  <c r="AF567" i="6"/>
  <c r="AG567" i="6" s="1"/>
  <c r="AH567" i="6"/>
  <c r="AF568" i="6"/>
  <c r="AG568" i="6"/>
  <c r="AH568" i="6"/>
  <c r="AF569" i="6"/>
  <c r="AG569" i="6" s="1"/>
  <c r="AH569" i="6"/>
  <c r="AF570" i="6"/>
  <c r="AG570" i="6"/>
  <c r="AH570" i="6"/>
  <c r="AF571" i="6"/>
  <c r="AG571" i="6" s="1"/>
  <c r="AH571" i="6"/>
  <c r="AF572" i="6"/>
  <c r="AG572" i="6"/>
  <c r="AH572" i="6"/>
  <c r="AF573" i="6"/>
  <c r="AG573" i="6" s="1"/>
  <c r="AH573" i="6"/>
  <c r="AF574" i="6"/>
  <c r="AG574" i="6"/>
  <c r="AH574" i="6"/>
  <c r="AF575" i="6"/>
  <c r="AG575" i="6" s="1"/>
  <c r="AH575" i="6"/>
  <c r="AF576" i="6"/>
  <c r="AG576" i="6"/>
  <c r="AH576" i="6"/>
  <c r="AF577" i="6"/>
  <c r="AG577" i="6" s="1"/>
  <c r="AH577" i="6"/>
  <c r="AF578" i="6"/>
  <c r="AG578" i="6"/>
  <c r="AH578" i="6"/>
  <c r="AF579" i="6"/>
  <c r="AG579" i="6" s="1"/>
  <c r="AH579" i="6"/>
  <c r="AF580" i="6"/>
  <c r="AG580" i="6"/>
  <c r="AH580" i="6"/>
  <c r="AF581" i="6"/>
  <c r="AG581" i="6" s="1"/>
  <c r="AH581" i="6"/>
  <c r="AF582" i="6"/>
  <c r="AG582" i="6"/>
  <c r="AH582" i="6"/>
  <c r="AF583" i="6"/>
  <c r="AG583" i="6" s="1"/>
  <c r="AH583" i="6"/>
  <c r="AF584" i="6"/>
  <c r="AG584" i="6"/>
  <c r="AH584" i="6"/>
  <c r="AF585" i="6"/>
  <c r="AG585" i="6" s="1"/>
  <c r="AH585" i="6"/>
  <c r="AF586" i="6"/>
  <c r="AG586" i="6"/>
  <c r="AH586" i="6"/>
  <c r="AF587" i="6"/>
  <c r="AG587" i="6" s="1"/>
  <c r="AH587" i="6"/>
  <c r="AF588" i="6"/>
  <c r="AG588" i="6"/>
  <c r="AH588" i="6"/>
  <c r="AF589" i="6"/>
  <c r="AG589" i="6" s="1"/>
  <c r="AH589" i="6"/>
  <c r="AF590" i="6"/>
  <c r="AG590" i="6"/>
  <c r="AH590" i="6"/>
  <c r="AF591" i="6"/>
  <c r="AG591" i="6" s="1"/>
  <c r="AH591" i="6"/>
  <c r="AF592" i="6"/>
  <c r="AG592" i="6"/>
  <c r="AH592" i="6"/>
  <c r="AF593" i="6"/>
  <c r="AG593" i="6" s="1"/>
  <c r="AH593" i="6"/>
  <c r="AF594" i="6"/>
  <c r="AG594" i="6"/>
  <c r="AH594" i="6"/>
  <c r="AF595" i="6"/>
  <c r="AG595" i="6" s="1"/>
  <c r="AH595" i="6"/>
  <c r="AF596" i="6"/>
  <c r="AG596" i="6"/>
  <c r="AH596" i="6"/>
  <c r="AF597" i="6"/>
  <c r="AG597" i="6" s="1"/>
  <c r="AH597" i="6"/>
  <c r="AF598" i="6"/>
  <c r="AG598" i="6"/>
  <c r="AH598" i="6"/>
  <c r="AF599" i="6"/>
  <c r="AG599" i="6" s="1"/>
  <c r="AH599" i="6"/>
  <c r="AF600" i="6"/>
  <c r="AG600" i="6"/>
  <c r="AH600" i="6"/>
  <c r="AF601" i="6"/>
  <c r="AG601" i="6" s="1"/>
  <c r="AH601" i="6"/>
  <c r="AF602" i="6"/>
  <c r="AG602" i="6"/>
  <c r="AH602" i="6"/>
  <c r="AF603" i="6"/>
  <c r="AG603" i="6" s="1"/>
  <c r="AH603" i="6"/>
  <c r="AF604" i="6"/>
  <c r="AG604" i="6"/>
  <c r="AH604" i="6"/>
  <c r="AF605" i="6"/>
  <c r="AG605" i="6" s="1"/>
  <c r="AH605" i="6"/>
  <c r="AF606" i="6"/>
  <c r="AG606" i="6"/>
  <c r="AH606" i="6"/>
  <c r="AF607" i="6"/>
  <c r="AG607" i="6" s="1"/>
  <c r="AH607" i="6"/>
  <c r="AF608" i="6"/>
  <c r="AG608" i="6"/>
  <c r="AH608" i="6"/>
  <c r="AF609" i="6"/>
  <c r="AG609" i="6" s="1"/>
  <c r="AH609" i="6"/>
  <c r="AF610" i="6"/>
  <c r="AG610" i="6"/>
  <c r="AH610" i="6"/>
  <c r="AF611" i="6"/>
  <c r="AG611" i="6" s="1"/>
  <c r="AH611" i="6"/>
  <c r="AF612" i="6"/>
  <c r="AG612" i="6"/>
  <c r="AH612" i="6"/>
  <c r="AF613" i="6"/>
  <c r="AG613" i="6" s="1"/>
  <c r="AH613" i="6"/>
  <c r="AF614" i="6"/>
  <c r="AG614" i="6"/>
  <c r="AH614" i="6"/>
  <c r="AF615" i="6"/>
  <c r="AG615" i="6" s="1"/>
  <c r="AH615" i="6"/>
  <c r="AF616" i="6"/>
  <c r="AG616" i="6"/>
  <c r="AH616" i="6"/>
  <c r="AF617" i="6"/>
  <c r="AG617" i="6" s="1"/>
  <c r="AH617" i="6"/>
  <c r="AF618" i="6"/>
  <c r="AG618" i="6"/>
  <c r="AH618" i="6"/>
  <c r="AF619" i="6"/>
  <c r="AG619" i="6" s="1"/>
  <c r="AH619" i="6"/>
  <c r="AF620" i="6"/>
  <c r="AG620" i="6"/>
  <c r="AH620" i="6"/>
  <c r="AF621" i="6"/>
  <c r="AG621" i="6" s="1"/>
  <c r="AH621" i="6"/>
  <c r="AF622" i="6"/>
  <c r="AG622" i="6"/>
  <c r="AH622" i="6"/>
  <c r="AF623" i="6"/>
  <c r="AG623" i="6" s="1"/>
  <c r="AH623" i="6"/>
  <c r="AF624" i="6"/>
  <c r="AG624" i="6"/>
  <c r="AH624" i="6"/>
  <c r="AF625" i="6"/>
  <c r="AG625" i="6" s="1"/>
  <c r="AH625" i="6"/>
  <c r="AF626" i="6"/>
  <c r="AG626" i="6"/>
  <c r="AH626" i="6"/>
  <c r="AF627" i="6"/>
  <c r="AG627" i="6" s="1"/>
  <c r="AH627" i="6"/>
  <c r="AF628" i="6"/>
  <c r="AG628" i="6"/>
  <c r="AH628" i="6"/>
  <c r="AF629" i="6"/>
  <c r="AG629" i="6" s="1"/>
  <c r="AH629" i="6"/>
  <c r="AF630" i="6"/>
  <c r="AG630" i="6"/>
  <c r="AH630" i="6"/>
  <c r="AF631" i="6"/>
  <c r="AG631" i="6" s="1"/>
  <c r="AH631" i="6"/>
  <c r="AF632" i="6"/>
  <c r="AG632" i="6"/>
  <c r="AH632" i="6"/>
  <c r="AF633" i="6"/>
  <c r="AG633" i="6" s="1"/>
  <c r="AH633" i="6"/>
  <c r="AF634" i="6"/>
  <c r="AG634" i="6"/>
  <c r="AH634" i="6"/>
  <c r="AF635" i="6"/>
  <c r="AG635" i="6" s="1"/>
  <c r="AH635" i="6"/>
  <c r="AF636" i="6"/>
  <c r="AG636" i="6"/>
  <c r="AH636" i="6"/>
  <c r="AF637" i="6"/>
  <c r="AG637" i="6" s="1"/>
  <c r="AH637" i="6"/>
  <c r="AF638" i="6"/>
  <c r="AG638" i="6"/>
  <c r="AH638" i="6"/>
  <c r="AF639" i="6"/>
  <c r="AG639" i="6" s="1"/>
  <c r="AH639" i="6"/>
  <c r="AF640" i="6"/>
  <c r="AG640" i="6"/>
  <c r="AH640" i="6"/>
  <c r="AF641" i="6"/>
  <c r="AG641" i="6" s="1"/>
  <c r="AH641" i="6"/>
  <c r="AF642" i="6"/>
  <c r="AG642" i="6"/>
  <c r="AH642" i="6"/>
  <c r="AF643" i="6"/>
  <c r="AG643" i="6" s="1"/>
  <c r="AH643" i="6"/>
  <c r="AF644" i="6"/>
  <c r="AG644" i="6"/>
  <c r="AH644" i="6"/>
  <c r="AF645" i="6"/>
  <c r="AG645" i="6" s="1"/>
  <c r="AH645" i="6"/>
  <c r="AF646" i="6"/>
  <c r="AG646" i="6"/>
  <c r="AH646" i="6"/>
  <c r="AF647" i="6"/>
  <c r="AG647" i="6" s="1"/>
  <c r="AH647" i="6"/>
  <c r="AF648" i="6"/>
  <c r="AG648" i="6"/>
  <c r="AH648" i="6"/>
  <c r="AF649" i="6"/>
  <c r="AG649" i="6" s="1"/>
  <c r="AH649" i="6"/>
  <c r="AF650" i="6"/>
  <c r="AG650" i="6"/>
  <c r="AH650" i="6"/>
  <c r="AF651" i="6"/>
  <c r="AG651" i="6" s="1"/>
  <c r="AH651" i="6"/>
  <c r="AF652" i="6"/>
  <c r="AG652" i="6"/>
  <c r="AH652" i="6"/>
  <c r="AF653" i="6"/>
  <c r="AG653" i="6" s="1"/>
  <c r="AH653" i="6"/>
  <c r="AF654" i="6"/>
  <c r="AG654" i="6"/>
  <c r="AH654" i="6"/>
  <c r="AF655" i="6"/>
  <c r="AG655" i="6" s="1"/>
  <c r="AH655" i="6"/>
  <c r="AF656" i="6"/>
  <c r="AG656" i="6"/>
  <c r="AH656" i="6"/>
  <c r="AF657" i="6"/>
  <c r="AG657" i="6" s="1"/>
  <c r="AH657" i="6"/>
  <c r="AF658" i="6"/>
  <c r="AG658" i="6"/>
  <c r="AH658" i="6"/>
  <c r="AF659" i="6"/>
  <c r="AG659" i="6" s="1"/>
  <c r="AH659" i="6"/>
  <c r="AF660" i="6"/>
  <c r="AG660" i="6"/>
  <c r="AH660" i="6"/>
  <c r="AF661" i="6"/>
  <c r="AG661" i="6" s="1"/>
  <c r="AH661" i="6"/>
  <c r="AF662" i="6"/>
  <c r="AG662" i="6"/>
  <c r="AH662" i="6"/>
  <c r="AF663" i="6"/>
  <c r="AG663" i="6" s="1"/>
  <c r="AH663" i="6"/>
  <c r="AF664" i="6"/>
  <c r="AG664" i="6"/>
  <c r="AH664" i="6"/>
  <c r="AF665" i="6"/>
  <c r="AG665" i="6" s="1"/>
  <c r="AH665" i="6"/>
  <c r="AF666" i="6"/>
  <c r="AG666" i="6"/>
  <c r="AH666" i="6"/>
  <c r="AF667" i="6"/>
  <c r="AG667" i="6" s="1"/>
  <c r="AH667" i="6"/>
  <c r="AF668" i="6"/>
  <c r="AG668" i="6"/>
  <c r="AH668" i="6"/>
  <c r="AF669" i="6"/>
  <c r="AG669" i="6" s="1"/>
  <c r="AH669" i="6"/>
  <c r="AF670" i="6"/>
  <c r="AG670" i="6"/>
  <c r="AH670" i="6"/>
  <c r="AF671" i="6"/>
  <c r="AG671" i="6" s="1"/>
  <c r="AH671" i="6"/>
  <c r="AF672" i="6"/>
  <c r="AG672" i="6"/>
  <c r="AH672" i="6"/>
  <c r="AF673" i="6"/>
  <c r="AG673" i="6"/>
  <c r="AH673" i="6"/>
  <c r="AF674" i="6"/>
  <c r="AG674" i="6"/>
  <c r="AH674" i="6"/>
  <c r="AF675" i="6"/>
  <c r="AG675" i="6" s="1"/>
  <c r="AH675" i="6"/>
  <c r="AF676" i="6"/>
  <c r="AG676" i="6"/>
  <c r="AH676" i="6"/>
  <c r="AF677" i="6"/>
  <c r="AG677" i="6" s="1"/>
  <c r="AH677" i="6"/>
  <c r="AF678" i="6"/>
  <c r="AG678" i="6"/>
  <c r="AH678" i="6"/>
  <c r="AF679" i="6"/>
  <c r="AG679" i="6" s="1"/>
  <c r="AH679" i="6"/>
  <c r="AF680" i="6"/>
  <c r="AG680" i="6" s="1"/>
  <c r="AH680" i="6"/>
  <c r="AF681" i="6"/>
  <c r="AG681" i="6" s="1"/>
  <c r="AH681" i="6"/>
  <c r="AF682" i="6"/>
  <c r="AG682" i="6" s="1"/>
  <c r="AH682" i="6"/>
  <c r="AF683" i="6"/>
  <c r="AG683" i="6" s="1"/>
  <c r="AH683" i="6"/>
  <c r="AF684" i="6"/>
  <c r="AG684" i="6" s="1"/>
  <c r="AH684" i="6"/>
  <c r="AF685" i="6"/>
  <c r="AG685" i="6" s="1"/>
  <c r="AH685" i="6"/>
  <c r="AF686" i="6"/>
  <c r="AG686" i="6"/>
  <c r="AH686" i="6"/>
  <c r="AF687" i="6"/>
  <c r="AG687" i="6" s="1"/>
  <c r="AH687" i="6"/>
  <c r="AF688" i="6"/>
  <c r="AG688" i="6"/>
  <c r="AH688" i="6"/>
  <c r="AF689" i="6"/>
  <c r="AG689" i="6"/>
  <c r="AH689" i="6"/>
  <c r="AF690" i="6"/>
  <c r="AG690" i="6"/>
  <c r="AH690" i="6"/>
  <c r="AF691" i="6"/>
  <c r="AG691" i="6" s="1"/>
  <c r="AH691" i="6"/>
  <c r="AF692" i="6"/>
  <c r="AG692" i="6" s="1"/>
  <c r="AH692" i="6"/>
  <c r="AF693" i="6"/>
  <c r="AG693" i="6" s="1"/>
  <c r="AH693" i="6"/>
  <c r="AF694" i="6"/>
  <c r="AG694" i="6"/>
  <c r="AH694" i="6"/>
  <c r="AF695" i="6"/>
  <c r="AG695" i="6" s="1"/>
  <c r="AH695" i="6"/>
  <c r="AF696" i="6"/>
  <c r="AG696" i="6"/>
  <c r="AH696" i="6"/>
  <c r="AF697" i="6"/>
  <c r="AG697" i="6"/>
  <c r="AH697" i="6"/>
  <c r="AF698" i="6"/>
  <c r="AG698" i="6"/>
  <c r="AH698" i="6"/>
  <c r="AF699" i="6"/>
  <c r="AG699" i="6" s="1"/>
  <c r="AH699" i="6"/>
  <c r="AF700" i="6"/>
  <c r="AG700" i="6" s="1"/>
  <c r="AH700" i="6"/>
  <c r="AF701" i="6"/>
  <c r="AG701" i="6" s="1"/>
  <c r="AH701" i="6"/>
  <c r="AF702" i="6"/>
  <c r="AG702" i="6"/>
  <c r="AH702" i="6"/>
  <c r="AF703" i="6"/>
  <c r="AG703" i="6" s="1"/>
  <c r="AH703" i="6"/>
  <c r="AF704" i="6"/>
  <c r="AG704" i="6"/>
  <c r="AH704" i="6"/>
  <c r="AF705" i="6"/>
  <c r="AG705" i="6"/>
  <c r="AH705" i="6"/>
  <c r="AF706" i="6"/>
  <c r="AG706" i="6"/>
  <c r="AH706" i="6"/>
  <c r="AF707" i="6"/>
  <c r="AG707" i="6" s="1"/>
  <c r="AH707" i="6"/>
  <c r="AF708" i="6"/>
  <c r="AG708" i="6" s="1"/>
  <c r="AH708" i="6"/>
  <c r="AF709" i="6"/>
  <c r="AG709" i="6" s="1"/>
  <c r="AH709" i="6"/>
  <c r="AF710" i="6"/>
  <c r="AG710" i="6"/>
  <c r="AH710" i="6"/>
  <c r="AF711" i="6"/>
  <c r="AG711" i="6" s="1"/>
  <c r="AH711" i="6"/>
  <c r="AF712" i="6"/>
  <c r="AG712" i="6"/>
  <c r="AH712" i="6"/>
  <c r="AF713" i="6"/>
  <c r="AG713" i="6"/>
  <c r="AH713" i="6"/>
  <c r="AF714" i="6"/>
  <c r="AG714" i="6"/>
  <c r="AH714" i="6"/>
  <c r="AF715" i="6"/>
  <c r="AG715" i="6" s="1"/>
  <c r="AH715" i="6"/>
  <c r="AF716" i="6"/>
  <c r="AG716" i="6" s="1"/>
  <c r="AH716" i="6"/>
  <c r="AF717" i="6"/>
  <c r="AG717" i="6" s="1"/>
  <c r="AH717" i="6"/>
  <c r="AF718" i="6"/>
  <c r="AG718" i="6"/>
  <c r="AH718" i="6"/>
  <c r="AF719" i="6"/>
  <c r="AG719" i="6" s="1"/>
  <c r="AH719" i="6"/>
  <c r="AF720" i="6"/>
  <c r="AG720" i="6"/>
  <c r="AH720" i="6"/>
  <c r="AF721" i="6"/>
  <c r="AG721" i="6"/>
  <c r="AH721" i="6"/>
  <c r="AF722" i="6"/>
  <c r="AG722" i="6"/>
  <c r="AH722" i="6"/>
  <c r="AF723" i="6"/>
  <c r="AG723" i="6" s="1"/>
  <c r="AH723" i="6"/>
  <c r="AF724" i="6"/>
  <c r="AG724" i="6" s="1"/>
  <c r="AH724" i="6"/>
  <c r="AF725" i="6"/>
  <c r="AG725" i="6" s="1"/>
  <c r="AH725" i="6"/>
  <c r="AF726" i="6"/>
  <c r="AG726" i="6"/>
  <c r="AH726" i="6"/>
  <c r="AF727" i="6"/>
  <c r="AG727" i="6" s="1"/>
  <c r="AH727" i="6"/>
  <c r="AF728" i="6"/>
  <c r="AG728" i="6"/>
  <c r="AH728" i="6"/>
  <c r="AF729" i="6"/>
  <c r="AG729" i="6"/>
  <c r="AH729" i="6"/>
  <c r="AF730" i="6"/>
  <c r="AG730" i="6"/>
  <c r="AH730" i="6"/>
  <c r="AF731" i="6"/>
  <c r="AG731" i="6" s="1"/>
  <c r="AH731" i="6"/>
  <c r="AF732" i="6"/>
  <c r="AG732" i="6" s="1"/>
  <c r="AH732" i="6"/>
  <c r="AF733" i="6"/>
  <c r="AG733" i="6" s="1"/>
  <c r="AH733" i="6"/>
  <c r="AF734" i="6"/>
  <c r="AG734" i="6"/>
  <c r="AH734" i="6"/>
  <c r="AF735" i="6"/>
  <c r="AG735" i="6" s="1"/>
  <c r="AH735" i="6"/>
  <c r="AF736" i="6"/>
  <c r="AG736" i="6"/>
  <c r="AH736" i="6"/>
  <c r="AF737" i="6"/>
  <c r="AG737" i="6"/>
  <c r="AH737" i="6"/>
  <c r="AF738" i="6"/>
  <c r="AG738" i="6"/>
  <c r="AH738" i="6"/>
  <c r="AF739" i="6"/>
  <c r="AG739" i="6" s="1"/>
  <c r="AH739" i="6"/>
  <c r="AF740" i="6"/>
  <c r="AG740" i="6" s="1"/>
  <c r="AH740" i="6"/>
  <c r="AF741" i="6"/>
  <c r="AG741" i="6" s="1"/>
  <c r="AH741" i="6"/>
  <c r="AF742" i="6"/>
  <c r="AG742" i="6"/>
  <c r="AH742" i="6"/>
  <c r="AF743" i="6"/>
  <c r="AG743" i="6" s="1"/>
  <c r="AH743" i="6"/>
  <c r="AF744" i="6"/>
  <c r="AG744" i="6"/>
  <c r="AH744" i="6"/>
  <c r="AF745" i="6"/>
  <c r="AG745" i="6"/>
  <c r="AH745" i="6"/>
  <c r="AF746" i="6"/>
  <c r="AG746" i="6"/>
  <c r="AH746" i="6"/>
  <c r="AF747" i="6"/>
  <c r="AG747" i="6" s="1"/>
  <c r="AH747" i="6"/>
  <c r="AF748" i="6"/>
  <c r="AG748" i="6" s="1"/>
  <c r="AH748" i="6"/>
  <c r="AF749" i="6"/>
  <c r="AG749" i="6" s="1"/>
  <c r="AH749" i="6"/>
  <c r="AF750" i="6"/>
  <c r="AG750" i="6"/>
  <c r="AH750" i="6"/>
  <c r="AF751" i="6"/>
  <c r="AG751" i="6" s="1"/>
  <c r="AH751" i="6"/>
  <c r="AF752" i="6"/>
  <c r="AG752" i="6"/>
  <c r="AH752" i="6"/>
  <c r="AF753" i="6"/>
  <c r="AG753" i="6"/>
  <c r="AH753" i="6"/>
  <c r="AF754" i="6"/>
  <c r="AG754" i="6"/>
  <c r="AH754" i="6"/>
  <c r="AF755" i="6"/>
  <c r="AG755" i="6" s="1"/>
  <c r="AH755" i="6"/>
  <c r="AF756" i="6"/>
  <c r="AG756" i="6" s="1"/>
  <c r="AH756" i="6"/>
  <c r="AF757" i="6"/>
  <c r="AG757" i="6" s="1"/>
  <c r="AH757" i="6"/>
  <c r="AF758" i="6"/>
  <c r="AG758" i="6"/>
  <c r="AH758" i="6"/>
  <c r="AF759" i="6"/>
  <c r="AG759" i="6" s="1"/>
  <c r="AH759" i="6"/>
  <c r="AF760" i="6"/>
  <c r="AG760" i="6"/>
  <c r="AH760" i="6"/>
  <c r="AF761" i="6"/>
  <c r="AG761" i="6"/>
  <c r="AH761" i="6"/>
  <c r="AF762" i="6"/>
  <c r="AG762" i="6"/>
  <c r="AH762" i="6"/>
  <c r="AF763" i="6"/>
  <c r="AG763" i="6" s="1"/>
  <c r="AH763" i="6"/>
  <c r="AF764" i="6"/>
  <c r="AG764" i="6" s="1"/>
  <c r="AH764" i="6"/>
  <c r="AF765" i="6"/>
  <c r="AG765" i="6" s="1"/>
  <c r="AH765" i="6"/>
  <c r="AF766" i="6"/>
  <c r="AG766" i="6"/>
  <c r="AH766" i="6"/>
  <c r="AF767" i="6"/>
  <c r="AG767" i="6" s="1"/>
  <c r="AH767" i="6"/>
  <c r="AF768" i="6"/>
  <c r="AG768" i="6"/>
  <c r="AH768" i="6"/>
  <c r="AF769" i="6"/>
  <c r="AG769" i="6"/>
  <c r="AH769" i="6"/>
  <c r="AF770" i="6"/>
  <c r="AG770" i="6"/>
  <c r="AH770" i="6"/>
  <c r="AF771" i="6"/>
  <c r="AG771" i="6" s="1"/>
  <c r="AH771" i="6"/>
  <c r="AF772" i="6"/>
  <c r="AG772" i="6" s="1"/>
  <c r="AH772" i="6"/>
  <c r="AF773" i="6"/>
  <c r="AG773" i="6" s="1"/>
  <c r="AH773" i="6"/>
  <c r="AF774" i="6"/>
  <c r="AG774" i="6"/>
  <c r="AH774" i="6"/>
  <c r="AF775" i="6"/>
  <c r="AG775" i="6" s="1"/>
  <c r="AH775" i="6"/>
  <c r="AF776" i="6"/>
  <c r="AG776" i="6"/>
  <c r="AH776" i="6"/>
  <c r="AF777" i="6"/>
  <c r="AG777" i="6"/>
  <c r="AH777" i="6"/>
  <c r="AF778" i="6"/>
  <c r="AG778" i="6"/>
  <c r="AH778" i="6"/>
  <c r="AF779" i="6"/>
  <c r="AG779" i="6" s="1"/>
  <c r="AH779" i="6"/>
  <c r="AF780" i="6"/>
  <c r="AG780" i="6" s="1"/>
  <c r="AH780" i="6"/>
  <c r="AF781" i="6"/>
  <c r="AG781" i="6" s="1"/>
  <c r="AH781" i="6"/>
  <c r="AF782" i="6"/>
  <c r="AG782" i="6"/>
  <c r="AH782" i="6"/>
  <c r="AF783" i="6"/>
  <c r="AG783" i="6" s="1"/>
  <c r="AH783" i="6"/>
  <c r="AF784" i="6"/>
  <c r="AG784" i="6"/>
  <c r="AH784" i="6"/>
  <c r="AF785" i="6"/>
  <c r="AG785" i="6"/>
  <c r="AH785" i="6"/>
  <c r="AF786" i="6"/>
  <c r="AG786" i="6"/>
  <c r="AH786" i="6"/>
  <c r="AF787" i="6"/>
  <c r="AG787" i="6" s="1"/>
  <c r="AH787" i="6"/>
  <c r="AF788" i="6"/>
  <c r="AG788" i="6" s="1"/>
  <c r="AH788" i="6"/>
  <c r="AF789" i="6"/>
  <c r="AG789" i="6" s="1"/>
  <c r="AH789" i="6"/>
  <c r="AF790" i="6"/>
  <c r="AG790" i="6"/>
  <c r="AH790" i="6"/>
  <c r="AF791" i="6"/>
  <c r="AG791" i="6" s="1"/>
  <c r="AH791" i="6"/>
  <c r="AF792" i="6"/>
  <c r="AG792" i="6"/>
  <c r="AH792" i="6"/>
  <c r="AF793" i="6"/>
  <c r="AG793" i="6"/>
  <c r="AH793" i="6"/>
  <c r="AF794" i="6"/>
  <c r="AG794" i="6"/>
  <c r="AH794" i="6"/>
  <c r="AF795" i="6"/>
  <c r="AG795" i="6" s="1"/>
  <c r="AH795" i="6"/>
  <c r="AF796" i="6"/>
  <c r="AG796" i="6" s="1"/>
  <c r="AH796" i="6"/>
  <c r="AF797" i="6"/>
  <c r="AG797" i="6" s="1"/>
  <c r="AH797" i="6"/>
  <c r="AF798" i="6"/>
  <c r="AG798" i="6"/>
  <c r="AH798" i="6"/>
  <c r="AF799" i="6"/>
  <c r="AG799" i="6" s="1"/>
  <c r="AH799" i="6"/>
  <c r="AF800" i="6"/>
  <c r="AG800" i="6"/>
  <c r="AH800" i="6"/>
  <c r="AF801" i="6"/>
  <c r="AG801" i="6"/>
  <c r="AH801" i="6"/>
  <c r="AF802" i="6"/>
  <c r="AG802" i="6"/>
  <c r="AH802" i="6"/>
  <c r="AF803" i="6"/>
  <c r="AG803" i="6" s="1"/>
  <c r="AH803" i="6"/>
  <c r="AF804" i="6"/>
  <c r="AG804" i="6" s="1"/>
  <c r="AH804" i="6"/>
  <c r="AF805" i="6"/>
  <c r="AG805" i="6" s="1"/>
  <c r="AH805" i="6"/>
  <c r="AF806" i="6"/>
  <c r="AG806" i="6"/>
  <c r="AH806" i="6"/>
  <c r="AF807" i="6"/>
  <c r="AG807" i="6" s="1"/>
  <c r="AH807" i="6"/>
  <c r="AF808" i="6"/>
  <c r="AG808" i="6"/>
  <c r="AH808" i="6"/>
  <c r="AF809" i="6"/>
  <c r="AG809" i="6"/>
  <c r="AH809" i="6"/>
  <c r="AF810" i="6"/>
  <c r="AG810" i="6"/>
  <c r="AH810" i="6"/>
  <c r="AF811" i="6"/>
  <c r="AG811" i="6" s="1"/>
  <c r="AH811" i="6"/>
  <c r="AF812" i="6"/>
  <c r="AG812" i="6" s="1"/>
  <c r="AH812" i="6"/>
  <c r="AF813" i="6"/>
  <c r="AG813" i="6" s="1"/>
  <c r="AH813" i="6"/>
  <c r="AF814" i="6"/>
  <c r="AG814" i="6"/>
  <c r="AH814" i="6"/>
  <c r="AF815" i="6"/>
  <c r="AG815" i="6" s="1"/>
  <c r="AH815" i="6"/>
  <c r="AF816" i="6"/>
  <c r="AG816" i="6"/>
  <c r="AH816" i="6"/>
  <c r="AF817" i="6"/>
  <c r="AG817" i="6"/>
  <c r="AH817" i="6"/>
  <c r="AF818" i="6"/>
  <c r="AG818" i="6"/>
  <c r="AH818" i="6"/>
  <c r="AF819" i="6"/>
  <c r="AG819" i="6" s="1"/>
  <c r="AH819" i="6"/>
  <c r="AF820" i="6"/>
  <c r="AG820" i="6" s="1"/>
  <c r="AH820" i="6"/>
  <c r="AF821" i="6"/>
  <c r="AG821" i="6" s="1"/>
  <c r="AH821" i="6"/>
  <c r="AF822" i="6"/>
  <c r="AG822" i="6"/>
  <c r="AH822" i="6"/>
  <c r="AF823" i="6"/>
  <c r="AG823" i="6" s="1"/>
  <c r="AH823" i="6"/>
  <c r="AF824" i="6"/>
  <c r="AG824" i="6"/>
  <c r="AH824" i="6"/>
  <c r="AF825" i="6"/>
  <c r="AG825" i="6"/>
  <c r="AH825" i="6"/>
  <c r="AF826" i="6"/>
  <c r="AG826" i="6"/>
  <c r="AH826" i="6"/>
  <c r="AF827" i="6"/>
  <c r="AG827" i="6" s="1"/>
  <c r="AH827" i="6"/>
  <c r="AF828" i="6"/>
  <c r="AG828" i="6" s="1"/>
  <c r="AH828" i="6"/>
  <c r="AF829" i="6"/>
  <c r="AG829" i="6" s="1"/>
  <c r="AH829" i="6"/>
  <c r="AF830" i="6"/>
  <c r="AG830" i="6"/>
  <c r="AH830" i="6"/>
  <c r="AF831" i="6"/>
  <c r="AG831" i="6" s="1"/>
  <c r="AH831" i="6"/>
  <c r="AF832" i="6"/>
  <c r="AG832" i="6"/>
  <c r="AH832" i="6"/>
  <c r="AF833" i="6"/>
  <c r="AG833" i="6"/>
  <c r="AH833" i="6"/>
  <c r="AF834" i="6"/>
  <c r="AG834" i="6"/>
  <c r="AH834" i="6"/>
  <c r="AF835" i="6"/>
  <c r="AG835" i="6" s="1"/>
  <c r="AH835" i="6"/>
  <c r="AF836" i="6"/>
  <c r="AG836" i="6" s="1"/>
  <c r="AH836" i="6"/>
  <c r="AF837" i="6"/>
  <c r="AG837" i="6" s="1"/>
  <c r="AH837" i="6"/>
  <c r="AF838" i="6"/>
  <c r="AG838" i="6"/>
  <c r="AH838" i="6"/>
  <c r="AF839" i="6"/>
  <c r="AG839" i="6" s="1"/>
  <c r="AH839" i="6"/>
  <c r="AF840" i="6"/>
  <c r="AG840" i="6"/>
  <c r="AH840" i="6"/>
  <c r="AF841" i="6"/>
  <c r="AG841" i="6"/>
  <c r="AH841" i="6"/>
  <c r="AF842" i="6"/>
  <c r="AG842" i="6"/>
  <c r="AH842" i="6"/>
  <c r="AF843" i="6"/>
  <c r="AG843" i="6" s="1"/>
  <c r="AH843" i="6"/>
  <c r="AF844" i="6"/>
  <c r="AG844" i="6" s="1"/>
  <c r="AH844" i="6"/>
  <c r="AF845" i="6"/>
  <c r="AG845" i="6" s="1"/>
  <c r="AH845" i="6"/>
  <c r="AF846" i="6"/>
  <c r="AG846" i="6"/>
  <c r="AH846" i="6"/>
  <c r="AF847" i="6"/>
  <c r="AG847" i="6" s="1"/>
  <c r="AH847" i="6"/>
  <c r="AF848" i="6"/>
  <c r="AG848" i="6"/>
  <c r="AH848" i="6"/>
  <c r="AF849" i="6"/>
  <c r="AG849" i="6"/>
  <c r="AH849" i="6"/>
  <c r="AF850" i="6"/>
  <c r="AG850" i="6"/>
  <c r="AH850" i="6"/>
  <c r="AF851" i="6"/>
  <c r="AG851" i="6" s="1"/>
  <c r="AH851" i="6"/>
  <c r="AF852" i="6"/>
  <c r="AG852" i="6" s="1"/>
  <c r="AH852" i="6"/>
  <c r="AF853" i="6"/>
  <c r="AG853" i="6" s="1"/>
  <c r="AH853" i="6"/>
  <c r="AF854" i="6"/>
  <c r="AG854" i="6"/>
  <c r="AH854" i="6"/>
  <c r="AF855" i="6"/>
  <c r="AG855" i="6" s="1"/>
  <c r="AH855" i="6"/>
  <c r="AF856" i="6"/>
  <c r="AG856" i="6"/>
  <c r="AH856" i="6"/>
  <c r="AF857" i="6"/>
  <c r="AG857" i="6"/>
  <c r="AH857" i="6"/>
  <c r="AF858" i="6"/>
  <c r="AG858" i="6"/>
  <c r="AH858" i="6"/>
  <c r="AF859" i="6"/>
  <c r="AG859" i="6" s="1"/>
  <c r="AH859" i="6"/>
  <c r="AF860" i="6"/>
  <c r="AG860" i="6" s="1"/>
  <c r="AH860" i="6"/>
  <c r="AF861" i="6"/>
  <c r="AG861" i="6" s="1"/>
  <c r="AH861" i="6"/>
  <c r="AF862" i="6"/>
  <c r="AG862" i="6"/>
  <c r="AH862" i="6"/>
  <c r="AF863" i="6"/>
  <c r="AG863" i="6" s="1"/>
  <c r="AH863" i="6"/>
  <c r="AF864" i="6"/>
  <c r="AG864" i="6"/>
  <c r="AH864" i="6"/>
  <c r="AF865" i="6"/>
  <c r="AG865" i="6"/>
  <c r="AH865" i="6"/>
  <c r="AF866" i="6"/>
  <c r="AG866" i="6"/>
  <c r="AH866" i="6"/>
  <c r="AF867" i="6"/>
  <c r="AG867" i="6" s="1"/>
  <c r="AH867" i="6"/>
  <c r="AF868" i="6"/>
  <c r="AG868" i="6" s="1"/>
  <c r="AH868" i="6"/>
  <c r="AF869" i="6"/>
  <c r="AG869" i="6" s="1"/>
  <c r="AH869" i="6"/>
  <c r="AF870" i="6"/>
  <c r="AG870" i="6"/>
  <c r="AH870" i="6"/>
  <c r="AF871" i="6"/>
  <c r="AG871" i="6" s="1"/>
  <c r="AH871" i="6"/>
  <c r="AF872" i="6"/>
  <c r="AG872" i="6"/>
  <c r="AH872" i="6"/>
  <c r="AF873" i="6"/>
  <c r="AG873" i="6"/>
  <c r="AH873" i="6"/>
  <c r="AF874" i="6"/>
  <c r="AG874" i="6"/>
  <c r="AH874" i="6"/>
  <c r="AF875" i="6"/>
  <c r="AG875" i="6" s="1"/>
  <c r="AH875" i="6"/>
  <c r="AF876" i="6"/>
  <c r="AG876" i="6" s="1"/>
  <c r="AH876" i="6"/>
  <c r="AF877" i="6"/>
  <c r="AG877" i="6" s="1"/>
  <c r="AH877" i="6"/>
  <c r="AF878" i="6"/>
  <c r="AG878" i="6"/>
  <c r="AH878" i="6"/>
  <c r="AF879" i="6"/>
  <c r="AG879" i="6" s="1"/>
  <c r="AH879" i="6"/>
  <c r="AF880" i="6"/>
  <c r="AG880" i="6"/>
  <c r="AH880" i="6"/>
  <c r="AF881" i="6"/>
  <c r="AG881" i="6"/>
  <c r="AH881" i="6"/>
  <c r="AF882" i="6"/>
  <c r="AG882" i="6"/>
  <c r="AH882" i="6"/>
  <c r="AF883" i="6"/>
  <c r="AG883" i="6" s="1"/>
  <c r="AH883" i="6"/>
  <c r="AF884" i="6"/>
  <c r="AG884" i="6" s="1"/>
  <c r="AH884" i="6"/>
  <c r="AF885" i="6"/>
  <c r="AG885" i="6" s="1"/>
  <c r="AH885" i="6"/>
  <c r="AF886" i="6"/>
  <c r="AG886" i="6"/>
  <c r="AH886" i="6"/>
  <c r="AF887" i="6"/>
  <c r="AG887" i="6" s="1"/>
  <c r="AH887" i="6"/>
  <c r="AF888" i="6"/>
  <c r="AG888" i="6"/>
  <c r="AH888" i="6"/>
  <c r="AF889" i="6"/>
  <c r="AG889" i="6"/>
  <c r="AH889" i="6"/>
  <c r="AF890" i="6"/>
  <c r="AG890" i="6"/>
  <c r="AH890" i="6"/>
  <c r="AF891" i="6"/>
  <c r="AG891" i="6" s="1"/>
  <c r="AH891" i="6"/>
  <c r="AF892" i="6"/>
  <c r="AG892" i="6" s="1"/>
  <c r="AH892" i="6"/>
  <c r="AF893" i="6"/>
  <c r="AG893" i="6" s="1"/>
  <c r="AH893" i="6"/>
  <c r="AF894" i="6"/>
  <c r="AG894" i="6"/>
  <c r="AH894" i="6"/>
  <c r="AF895" i="6"/>
  <c r="AG895" i="6" s="1"/>
  <c r="AH895" i="6"/>
  <c r="AF896" i="6"/>
  <c r="AG896" i="6"/>
  <c r="AH896" i="6"/>
  <c r="AF897" i="6"/>
  <c r="AG897" i="6"/>
  <c r="AH897" i="6"/>
  <c r="AF898" i="6"/>
  <c r="AG898" i="6"/>
  <c r="AH898" i="6"/>
  <c r="AF899" i="6"/>
  <c r="AG899" i="6" s="1"/>
  <c r="AH899" i="6"/>
  <c r="AF900" i="6"/>
  <c r="AG900" i="6" s="1"/>
  <c r="AH900" i="6"/>
  <c r="AF901" i="6"/>
  <c r="AG901" i="6" s="1"/>
  <c r="AH901" i="6"/>
  <c r="AF902" i="6"/>
  <c r="AG902" i="6"/>
  <c r="AH902" i="6"/>
  <c r="AF903" i="6"/>
  <c r="AG903" i="6" s="1"/>
  <c r="AH903" i="6"/>
  <c r="AF904" i="6"/>
  <c r="AG904" i="6"/>
  <c r="AH904" i="6"/>
  <c r="AF905" i="6"/>
  <c r="AG905" i="6"/>
  <c r="AH905" i="6"/>
  <c r="AF906" i="6"/>
  <c r="AG906" i="6"/>
  <c r="AH906" i="6"/>
  <c r="AF907" i="6"/>
  <c r="AG907" i="6" s="1"/>
  <c r="AH907" i="6"/>
  <c r="AF908" i="6"/>
  <c r="AG908" i="6" s="1"/>
  <c r="AH908" i="6"/>
  <c r="AF909" i="6"/>
  <c r="AG909" i="6" s="1"/>
  <c r="AH909" i="6"/>
  <c r="AF910" i="6"/>
  <c r="AG910" i="6"/>
  <c r="AH910" i="6"/>
  <c r="AF911" i="6"/>
  <c r="AG911" i="6" s="1"/>
  <c r="AH911" i="6"/>
  <c r="AF912" i="6"/>
  <c r="AG912" i="6"/>
  <c r="AH912" i="6"/>
  <c r="AF913" i="6"/>
  <c r="AG913" i="6"/>
  <c r="AH913" i="6"/>
  <c r="AF914" i="6"/>
  <c r="AG914" i="6"/>
  <c r="AH914" i="6"/>
  <c r="AF915" i="6"/>
  <c r="AG915" i="6" s="1"/>
  <c r="AH915" i="6"/>
  <c r="AF916" i="6"/>
  <c r="AG916" i="6" s="1"/>
  <c r="AH916" i="6"/>
  <c r="AF917" i="6"/>
  <c r="AG917" i="6" s="1"/>
  <c r="AH917" i="6"/>
  <c r="AF918" i="6"/>
  <c r="AG918" i="6"/>
  <c r="AH918" i="6"/>
  <c r="AF919" i="6"/>
  <c r="AG919" i="6" s="1"/>
  <c r="AH919" i="6"/>
  <c r="AF920" i="6"/>
  <c r="AG920" i="6"/>
  <c r="AH920" i="6"/>
  <c r="AF921" i="6"/>
  <c r="AG921" i="6"/>
  <c r="AH921" i="6"/>
  <c r="AF922" i="6"/>
  <c r="AG922" i="6"/>
  <c r="AH922" i="6"/>
  <c r="AF923" i="6"/>
  <c r="AG923" i="6" s="1"/>
  <c r="AH923" i="6"/>
  <c r="AF924" i="6"/>
  <c r="AG924" i="6" s="1"/>
  <c r="AH924" i="6"/>
  <c r="AF925" i="6"/>
  <c r="AG925" i="6" s="1"/>
  <c r="AH925" i="6"/>
  <c r="AF926" i="6"/>
  <c r="AG926" i="6"/>
  <c r="AH926" i="6"/>
  <c r="AF927" i="6"/>
  <c r="AG927" i="6" s="1"/>
  <c r="AH927" i="6"/>
  <c r="AF928" i="6"/>
  <c r="AG928" i="6"/>
  <c r="AH928" i="6"/>
  <c r="AF929" i="6"/>
  <c r="AG929" i="6"/>
  <c r="AH929" i="6"/>
  <c r="AF930" i="6"/>
  <c r="AG930" i="6"/>
  <c r="AH930" i="6"/>
  <c r="AF931" i="6"/>
  <c r="AG931" i="6" s="1"/>
  <c r="AH931" i="6"/>
  <c r="AF932" i="6"/>
  <c r="AG932" i="6" s="1"/>
  <c r="AH932" i="6"/>
  <c r="AF933" i="6"/>
  <c r="AG933" i="6" s="1"/>
  <c r="AH933" i="6"/>
  <c r="AF934" i="6"/>
  <c r="AG934" i="6"/>
  <c r="AH934" i="6"/>
  <c r="AF935" i="6"/>
  <c r="AG935" i="6" s="1"/>
  <c r="AH935" i="6"/>
  <c r="AF936" i="6"/>
  <c r="AG936" i="6"/>
  <c r="AH936" i="6"/>
  <c r="AF937" i="6"/>
  <c r="AG937" i="6"/>
  <c r="AH937" i="6"/>
  <c r="AF938" i="6"/>
  <c r="AG938" i="6"/>
  <c r="AH938" i="6"/>
  <c r="AF939" i="6"/>
  <c r="AG939" i="6" s="1"/>
  <c r="AH939" i="6"/>
  <c r="AF940" i="6"/>
  <c r="AG940" i="6" s="1"/>
  <c r="AH940" i="6"/>
  <c r="AF941" i="6"/>
  <c r="AG941" i="6" s="1"/>
  <c r="AH941" i="6"/>
  <c r="AF942" i="6"/>
  <c r="AG942" i="6"/>
  <c r="AH942" i="6"/>
  <c r="AF943" i="6"/>
  <c r="AG943" i="6" s="1"/>
  <c r="AH943" i="6"/>
  <c r="AF944" i="6"/>
  <c r="AG944" i="6"/>
  <c r="AH944" i="6"/>
  <c r="AF945" i="6"/>
  <c r="AG945" i="6"/>
  <c r="AH945" i="6"/>
  <c r="AF946" i="6"/>
  <c r="AG946" i="6"/>
  <c r="AH946" i="6"/>
  <c r="AF947" i="6"/>
  <c r="AG947" i="6" s="1"/>
  <c r="AH947" i="6"/>
  <c r="AF948" i="6"/>
  <c r="AG948" i="6" s="1"/>
  <c r="AH948" i="6"/>
  <c r="AF949" i="6"/>
  <c r="AG949" i="6" s="1"/>
  <c r="AH949" i="6"/>
  <c r="AF950" i="6"/>
  <c r="AG950" i="6"/>
  <c r="AH950" i="6"/>
  <c r="AF951" i="6"/>
  <c r="AG951" i="6" s="1"/>
  <c r="AH951" i="6"/>
  <c r="AF952" i="6"/>
  <c r="AG952" i="6"/>
  <c r="AH952" i="6"/>
  <c r="AF953" i="6"/>
  <c r="AG953" i="6"/>
  <c r="AH953" i="6"/>
  <c r="AF954" i="6"/>
  <c r="AG954" i="6"/>
  <c r="AH954" i="6"/>
  <c r="AF955" i="6"/>
  <c r="AG955" i="6" s="1"/>
  <c r="AH955" i="6"/>
  <c r="AF956" i="6"/>
  <c r="AG956" i="6" s="1"/>
  <c r="AH956" i="6"/>
  <c r="AF957" i="6"/>
  <c r="AG957" i="6" s="1"/>
  <c r="AH957" i="6"/>
  <c r="AF958" i="6"/>
  <c r="AG958" i="6"/>
  <c r="AH958" i="6"/>
  <c r="AF959" i="6"/>
  <c r="AG959" i="6" s="1"/>
  <c r="AH959" i="6"/>
  <c r="AF960" i="6"/>
  <c r="AG960" i="6"/>
  <c r="AH960" i="6"/>
  <c r="AF961" i="6"/>
  <c r="AG961" i="6"/>
  <c r="AH961" i="6"/>
  <c r="AF962" i="6"/>
  <c r="AG962" i="6"/>
  <c r="AH962" i="6"/>
  <c r="AF963" i="6"/>
  <c r="AG963" i="6" s="1"/>
  <c r="AH963" i="6"/>
  <c r="AF964" i="6"/>
  <c r="AG964" i="6" s="1"/>
  <c r="AH964" i="6"/>
  <c r="AF965" i="6"/>
  <c r="AG965" i="6" s="1"/>
  <c r="AH965" i="6"/>
  <c r="AF966" i="6"/>
  <c r="AG966" i="6"/>
  <c r="AH966" i="6"/>
  <c r="AF967" i="6"/>
  <c r="AG967" i="6" s="1"/>
  <c r="AH967" i="6"/>
  <c r="AF968" i="6"/>
  <c r="AG968" i="6"/>
  <c r="AH968" i="6"/>
  <c r="AF969" i="6"/>
  <c r="AG969" i="6"/>
  <c r="AH969" i="6"/>
  <c r="AF970" i="6"/>
  <c r="AG970" i="6"/>
  <c r="AH970" i="6"/>
  <c r="AF971" i="6"/>
  <c r="AG971" i="6" s="1"/>
  <c r="AH971" i="6"/>
  <c r="AF972" i="6"/>
  <c r="AG972" i="6" s="1"/>
  <c r="AH972" i="6"/>
  <c r="AF973" i="6"/>
  <c r="AG973" i="6" s="1"/>
  <c r="AH973" i="6"/>
  <c r="AF974" i="6"/>
  <c r="AG974" i="6"/>
  <c r="AH974" i="6"/>
  <c r="AF975" i="6"/>
  <c r="AG975" i="6" s="1"/>
  <c r="AH975" i="6"/>
  <c r="AF976" i="6"/>
  <c r="AG976" i="6"/>
  <c r="AH976" i="6"/>
  <c r="AF977" i="6"/>
  <c r="AG977" i="6"/>
  <c r="AH977" i="6"/>
  <c r="AF978" i="6"/>
  <c r="AG978" i="6"/>
  <c r="AH978" i="6"/>
  <c r="AF979" i="6"/>
  <c r="AG979" i="6" s="1"/>
  <c r="AH979" i="6"/>
  <c r="AF980" i="6"/>
  <c r="AG980" i="6" s="1"/>
  <c r="AH980" i="6"/>
  <c r="AF981" i="6"/>
  <c r="AG981" i="6" s="1"/>
  <c r="AH981" i="6"/>
  <c r="AF982" i="6"/>
  <c r="AG982" i="6"/>
  <c r="AH982" i="6"/>
  <c r="AF983" i="6"/>
  <c r="AG983" i="6" s="1"/>
  <c r="AH983" i="6"/>
  <c r="AF984" i="6"/>
  <c r="AG984" i="6"/>
  <c r="AH984" i="6"/>
  <c r="AF985" i="6"/>
  <c r="AG985" i="6"/>
  <c r="AH985" i="6"/>
  <c r="AF986" i="6"/>
  <c r="AG986" i="6"/>
  <c r="AH986" i="6"/>
  <c r="AF987" i="6"/>
  <c r="AG987" i="6" s="1"/>
  <c r="AH987" i="6"/>
  <c r="AF988" i="6"/>
  <c r="AG988" i="6" s="1"/>
  <c r="AH988" i="6"/>
  <c r="AF989" i="6"/>
  <c r="AG989" i="6" s="1"/>
  <c r="AH989" i="6"/>
  <c r="AF990" i="6"/>
  <c r="AG990" i="6"/>
  <c r="AH990" i="6"/>
  <c r="AF991" i="6"/>
  <c r="AG991" i="6" s="1"/>
  <c r="AH991" i="6"/>
  <c r="AF992" i="6"/>
  <c r="AG992" i="6"/>
  <c r="AH992" i="6"/>
  <c r="AF993" i="6"/>
  <c r="AG993" i="6"/>
  <c r="AH993" i="6"/>
  <c r="AF994" i="6"/>
  <c r="AG994" i="6"/>
  <c r="AH994" i="6"/>
  <c r="AF995" i="6"/>
  <c r="AG995" i="6" s="1"/>
  <c r="AH995" i="6"/>
  <c r="AF996" i="6"/>
  <c r="AG996" i="6" s="1"/>
  <c r="AH996" i="6"/>
  <c r="AF997" i="6"/>
  <c r="AG997" i="6" s="1"/>
  <c r="AH997" i="6"/>
  <c r="AF998" i="6"/>
  <c r="AG998" i="6"/>
  <c r="AH998" i="6"/>
  <c r="AF999" i="6"/>
  <c r="AG999" i="6" s="1"/>
  <c r="AH999" i="6"/>
  <c r="AF1000" i="6"/>
  <c r="AG1000" i="6"/>
  <c r="AH1000" i="6"/>
  <c r="AH3" i="6"/>
  <c r="AG3" i="6"/>
  <c r="AF3" i="6"/>
  <c r="J32" i="2" l="1"/>
  <c r="K32" i="2" s="1"/>
  <c r="K31" i="2"/>
  <c r="K33" i="2"/>
  <c r="K34" i="2"/>
  <c r="K35" i="2"/>
  <c r="K36" i="2"/>
  <c r="K30" i="2"/>
  <c r="G29" i="2" l="1"/>
  <c r="J16" i="2" l="1"/>
  <c r="K16" i="2" s="1"/>
  <c r="G14" i="2"/>
  <c r="F14" i="2"/>
  <c r="E14" i="2"/>
  <c r="D14" i="2"/>
  <c r="G17" i="2"/>
  <c r="F17" i="2"/>
  <c r="E17" i="2"/>
  <c r="D17" i="2"/>
  <c r="G20" i="2"/>
  <c r="F20" i="2"/>
  <c r="E20" i="2"/>
  <c r="D20" i="2"/>
  <c r="G23" i="2"/>
  <c r="F23" i="2"/>
  <c r="E23" i="2"/>
  <c r="D23" i="2"/>
  <c r="J19" i="2" l="1"/>
  <c r="K19" i="2" s="1"/>
  <c r="J22" i="2"/>
  <c r="K22" i="2" s="1"/>
  <c r="J13" i="2"/>
  <c r="K13" i="2" s="1"/>
  <c r="H14" i="2"/>
  <c r="H17" i="2"/>
  <c r="H20" i="2"/>
  <c r="H23" i="2"/>
  <c r="F29" i="2" l="1"/>
  <c r="E29" i="2"/>
  <c r="D29" i="2"/>
  <c r="G26" i="2"/>
  <c r="F26" i="2"/>
  <c r="E26" i="2"/>
  <c r="D26" i="2"/>
  <c r="J28" i="2"/>
  <c r="K28" i="2" s="1"/>
  <c r="J25" i="2"/>
  <c r="K25" i="2" s="1"/>
  <c r="H26" i="2" l="1"/>
  <c r="H29" i="2"/>
  <c r="M30" i="2" l="1"/>
  <c r="K38" i="2"/>
  <c r="M38" i="2" s="1"/>
  <c r="K39" i="2"/>
  <c r="M39" i="2" s="1"/>
  <c r="M22" i="2"/>
  <c r="M25" i="2"/>
  <c r="M33" i="2"/>
  <c r="K44" i="2"/>
  <c r="M44" i="2" s="1"/>
  <c r="K40" i="2"/>
  <c r="M40" i="2" s="1"/>
  <c r="M32" i="2"/>
  <c r="M28" i="2"/>
  <c r="M19" i="2"/>
  <c r="K42" i="2"/>
  <c r="M42" i="2" s="1"/>
  <c r="K41" i="2"/>
  <c r="M41" i="2" s="1"/>
  <c r="M35" i="2"/>
  <c r="M36" i="2"/>
  <c r="K46" i="2"/>
  <c r="M46" i="2" s="1"/>
  <c r="M16" i="2"/>
  <c r="M34" i="2"/>
  <c r="M31" i="2"/>
  <c r="K43" i="2"/>
  <c r="M43" i="2" s="1"/>
  <c r="K45" i="2"/>
  <c r="M45" i="2" s="1"/>
  <c r="M13" i="2"/>
  <c r="M47" i="2" l="1"/>
</calcChain>
</file>

<file path=xl/sharedStrings.xml><?xml version="1.0" encoding="utf-8"?>
<sst xmlns="http://schemas.openxmlformats.org/spreadsheetml/2006/main" count="223" uniqueCount="154">
  <si>
    <r>
      <rPr>
        <b/>
        <sz val="11"/>
        <color theme="1"/>
        <rFont val="Calibri"/>
        <family val="2"/>
        <scheme val="minor"/>
      </rPr>
      <t>Razão Social: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</si>
  <si>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CNPJ:</t>
    </r>
    <r>
      <rPr>
        <sz val="11"/>
        <color theme="1"/>
        <rFont val="Calibri"/>
        <family val="2"/>
        <scheme val="minor"/>
      </rPr>
      <t xml:space="preserve"> </t>
    </r>
  </si>
  <si>
    <t>P E T R O L E O  B R A S I L E I R O  S. A.  P E T R O B R A S</t>
  </si>
  <si>
    <r>
      <rPr>
        <b/>
        <sz val="11"/>
        <color theme="1"/>
        <rFont val="Calibri"/>
        <family val="2"/>
        <scheme val="minor"/>
      </rPr>
      <t>Contrato SAP:</t>
    </r>
    <r>
      <rPr>
        <sz val="11"/>
        <color theme="1"/>
        <rFont val="Calibri"/>
        <family val="2"/>
        <scheme val="minor"/>
      </rPr>
      <t xml:space="preserve"> </t>
    </r>
  </si>
  <si>
    <t>M E M Ó R I A   D E   C Á L C U L O   D E   M E D I Ç Ã O</t>
  </si>
  <si>
    <t>FDM:</t>
  </si>
  <si>
    <t>TOTAL DO RM</t>
  </si>
  <si>
    <t>REPRESENTANTE DA PETROBRAS</t>
  </si>
  <si>
    <t>REPRESENTANTE DA CONTRATADA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</si>
  <si>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</si>
  <si>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</si>
  <si>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</si>
  <si>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</si>
  <si>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</si>
  <si>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</si>
  <si>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</si>
  <si>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ARM-CX-DOC: Armazenamento de caixas para documentos</t>
  </si>
  <si>
    <t>1.1</t>
  </si>
  <si>
    <t>UA</t>
  </si>
  <si>
    <t>ARM-TB: Armazenamento de tubos</t>
  </si>
  <si>
    <t>1.3</t>
  </si>
  <si>
    <t>1.4</t>
  </si>
  <si>
    <t>FC</t>
  </si>
  <si>
    <t>Qtd.</t>
  </si>
  <si>
    <t>1.2</t>
  </si>
  <si>
    <t>1.5</t>
  </si>
  <si>
    <t>1.6</t>
  </si>
  <si>
    <t>ARM-CX-MID: Armazenamento de caixas para mídias</t>
  </si>
  <si>
    <t>ARM-MIC: Armazenamento de microformas</t>
  </si>
  <si>
    <t>ARM-MID: Armazenamento de midias</t>
  </si>
  <si>
    <t>Frete</t>
  </si>
  <si>
    <t>1.7</t>
  </si>
  <si>
    <t>FRE-NRM: Frete normal</t>
  </si>
  <si>
    <t>1.8</t>
  </si>
  <si>
    <t>1.9</t>
  </si>
  <si>
    <t>1.10</t>
  </si>
  <si>
    <t>1.11</t>
  </si>
  <si>
    <t>1.12</t>
  </si>
  <si>
    <t>1.13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</si>
  <si>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</si>
  <si>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</si>
  <si>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</si>
  <si>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</si>
  <si>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</si>
  <si>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</si>
  <si>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</si>
  <si>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</si>
  <si>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</si>
  <si>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FRE-EXP: Frete expresso</t>
  </si>
  <si>
    <t>KM-AD: Quilometragem adicional</t>
  </si>
  <si>
    <t>DES-EMB: Destruição segura de documentos</t>
  </si>
  <si>
    <t>PES-ITEM: Pesquisa de itens avulsos</t>
  </si>
  <si>
    <t>DIG-MI: Digitalização de microfilmes</t>
  </si>
  <si>
    <t>DIG-MF: Digitalização de microfichas</t>
  </si>
  <si>
    <t>DIG-DOC: Digitalização de documentos</t>
  </si>
  <si>
    <t>IND-DOC: Indexação de documentos</t>
  </si>
  <si>
    <t>CONV-MID: Conversão de mídias</t>
  </si>
  <si>
    <t>GRV-MID: Gravação de mídias</t>
  </si>
  <si>
    <t>KM</t>
  </si>
  <si>
    <t>Item Avulso</t>
  </si>
  <si>
    <t>Embalagem</t>
  </si>
  <si>
    <t>Transferência</t>
  </si>
  <si>
    <t>UD</t>
  </si>
  <si>
    <t>Mídia</t>
  </si>
  <si>
    <t>Planilha Dados2: dados para medição</t>
  </si>
  <si>
    <t>Área contrato:</t>
  </si>
  <si>
    <t>Planilha Dados1 (Serão os dados do painel de controle)</t>
  </si>
  <si>
    <t xml:space="preserve"> - Referência dos modelos de memória de cálculo dos contratos anteriores</t>
  </si>
  <si>
    <t xml:space="preserve"> - Juntar as informações das planilhasControleDeOS e FreteConsolidado</t>
  </si>
  <si>
    <t xml:space="preserve"> - Ter um quadro com a divisão das medições de frete separadas por região ou estado</t>
  </si>
  <si>
    <t>QUAm</t>
  </si>
  <si>
    <t>QBm</t>
  </si>
  <si>
    <t>QDm</t>
  </si>
  <si>
    <t>QNm</t>
  </si>
  <si>
    <t>QUAm-1</t>
  </si>
  <si>
    <t>Item</t>
  </si>
  <si>
    <t>Descrição da atividade</t>
  </si>
  <si>
    <t>Unidade</t>
  </si>
  <si>
    <t>Valor unitário</t>
  </si>
  <si>
    <t>Valor total a pagar</t>
  </si>
  <si>
    <t>Observações</t>
  </si>
  <si>
    <t>Aplicação</t>
  </si>
  <si>
    <t>D. abertura</t>
  </si>
  <si>
    <t>Agrupamento</t>
  </si>
  <si>
    <t>FDM</t>
  </si>
  <si>
    <t>Obs. Isenção</t>
  </si>
  <si>
    <t>FA</t>
  </si>
  <si>
    <t>Localidade</t>
  </si>
  <si>
    <t>Município</t>
  </si>
  <si>
    <t>Estado</t>
  </si>
  <si>
    <t>DADOS DO CLIENTE</t>
  </si>
  <si>
    <t>DADOS DA GUARDA EXTERNA</t>
  </si>
  <si>
    <t>DADOS DO CONTRATO</t>
  </si>
  <si>
    <t>Linha de serviço PPU</t>
  </si>
  <si>
    <t>DADOS DA MEDIÇÃO</t>
  </si>
  <si>
    <t>Contrato-Reg.</t>
  </si>
  <si>
    <t>Lotação</t>
  </si>
  <si>
    <r>
      <t>QUAm-</t>
    </r>
    <r>
      <rPr>
        <b/>
        <sz val="9"/>
        <color theme="9" tint="0.79998168889431442"/>
        <rFont val="Calibri"/>
        <family val="2"/>
        <scheme val="minor"/>
      </rPr>
      <t>1</t>
    </r>
  </si>
  <si>
    <t>Centro</t>
  </si>
  <si>
    <t>Código Centro</t>
  </si>
  <si>
    <t>ARM-MA: Armazenamento de mapotecas e arquivos de aço</t>
  </si>
  <si>
    <t>QUA</t>
  </si>
  <si>
    <t>Item PPU</t>
  </si>
  <si>
    <t>Decrição da atividade</t>
  </si>
  <si>
    <t>Valor total</t>
  </si>
  <si>
    <t>QFinal</t>
  </si>
  <si>
    <t>QExec</t>
  </si>
  <si>
    <t xml:space="preserve"> - Inserir um quadro com índice de siglas</t>
  </si>
  <si>
    <t>Linha de serviço PPU 1</t>
  </si>
  <si>
    <t>Dados de medição do contrato</t>
  </si>
  <si>
    <t xml:space="preserve">Inserir as fórmulas de cálculo </t>
  </si>
  <si>
    <t>QUAFCN  = Ʃ [QItemFCN x FCFCN]</t>
  </si>
  <si>
    <t>QUAm =  QUAm-1 + QNm - QBm - QDm</t>
  </si>
  <si>
    <t>QFinal = QExec x FDM</t>
  </si>
  <si>
    <t>Guarda de Documentos e Informações</t>
  </si>
  <si>
    <t>Gerenciamento de Documentos e Informações</t>
  </si>
  <si>
    <r>
      <rPr>
        <b/>
        <sz val="11"/>
        <color theme="1"/>
        <rFont val="Calibri"/>
        <family val="2"/>
        <scheme val="minor"/>
      </rPr>
      <t>Objeto:</t>
    </r>
    <r>
      <rPr>
        <sz val="11"/>
        <color theme="1"/>
        <rFont val="Calibri"/>
        <family val="2"/>
        <scheme val="minor"/>
      </rPr>
      <t/>
    </r>
  </si>
  <si>
    <t xml:space="preserve"> Serviços de guarda e gerenciamento de documentos e informações do acervo da PETROBRAS</t>
  </si>
  <si>
    <t>IAPEFARQ:</t>
  </si>
  <si>
    <t>Item 1 PPU</t>
  </si>
  <si>
    <t>Item 2 PPU</t>
  </si>
  <si>
    <t>Código da solicitação</t>
  </si>
  <si>
    <t>D. solicitação</t>
  </si>
  <si>
    <t>Gerência solicitante</t>
  </si>
  <si>
    <t>D. fechamento</t>
  </si>
  <si>
    <t>Período:</t>
  </si>
  <si>
    <t>Instr. contratual:</t>
  </si>
  <si>
    <t>Prazo combinado</t>
  </si>
  <si>
    <t>Lote 2</t>
  </si>
  <si>
    <t>00/00/0000 à 00/00/0000</t>
  </si>
  <si>
    <t>Centro#Cód. Centro</t>
  </si>
  <si>
    <t>Qexec</t>
  </si>
  <si>
    <t>Qfinal</t>
  </si>
  <si>
    <t>Subtotal</t>
  </si>
  <si>
    <t>Classificação</t>
  </si>
  <si>
    <t>DADOS DA FISCALIZAÇÃO</t>
  </si>
  <si>
    <t>DADOS DA LOCALIZAÇÃO (IMÓVEL PETROBRAS)</t>
  </si>
  <si>
    <t>DADOS DA LOCALIZAÇÃO (GALPÃO GUARDA EXTERNA)</t>
  </si>
  <si>
    <t>UF</t>
  </si>
  <si>
    <t>Código OS</t>
  </si>
  <si>
    <t>Formula</t>
  </si>
  <si>
    <t>Identificador</t>
  </si>
  <si>
    <t>Contador</t>
  </si>
  <si>
    <t>Novo QExec</t>
  </si>
  <si>
    <t/>
  </si>
  <si>
    <t>PA ARQUIVOS LTDA</t>
  </si>
  <si>
    <t>34.409.656/0001-84</t>
  </si>
  <si>
    <t>5900.0133214.25.2</t>
  </si>
  <si>
    <t>TRANSF: Transferência inicial de acervo documental</t>
  </si>
  <si>
    <t xml:space="preserve">MIGR-UA: Migração de acervo documental para digitalização </t>
  </si>
  <si>
    <t>CAT-ITEM: Catalogação de documentos digitalizados</t>
  </si>
  <si>
    <t>Documento</t>
  </si>
  <si>
    <t>ORG-DOC: Organização de documentos para digitalização</t>
  </si>
  <si>
    <t>COP-MID - Cópia de mídias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</si>
</sst>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\ #,##0.00"/>
    <numFmt numFmtId="165" formatCode="0.000"/>
    <numFmt numFmtId="166" formatCode="#,##0.000"/>
    <numFmt numFmtId="167" formatCode="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9" tint="0.7999816888943144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2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9" tint="0.59996337778862885"/>
      </left>
      <right/>
      <top style="thick">
        <color theme="9" tint="0.59996337778862885"/>
      </top>
      <bottom/>
      <diagonal/>
    </border>
    <border>
      <left/>
      <right style="thick">
        <color theme="9" tint="0.59996337778862885"/>
      </right>
      <top style="thick">
        <color theme="9" tint="0.59996337778862885"/>
      </top>
      <bottom/>
      <diagonal/>
    </border>
    <border>
      <left/>
      <right/>
      <top style="thick">
        <color theme="9" tint="0.59996337778862885"/>
      </top>
      <bottom/>
      <diagonal/>
    </border>
    <border>
      <left style="thick">
        <color theme="9" tint="0.59996337778862885"/>
      </left>
      <right/>
      <top/>
      <bottom/>
      <diagonal/>
    </border>
    <border>
      <left/>
      <right style="thick">
        <color theme="9" tint="0.59996337778862885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0" fillId="0" borderId="20" xfId="0" applyBorder="1" applyAlignment="1">
      <alignment horizontal="center" vertical="center"/>
    </xf>
    <xf numFmtId="44" fontId="10" fillId="0" borderId="2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0" fillId="4" borderId="22" xfId="0" applyFill="1" applyBorder="1"/>
    <xf numFmtId="0" fontId="0" fillId="2" borderId="25" xfId="0" applyFill="1" applyBorder="1"/>
    <xf numFmtId="0" fontId="14" fillId="2" borderId="26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22" fontId="0" fillId="0" borderId="0" xfId="0" applyNumberForma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16" fillId="0" borderId="12" xfId="0" applyFont="1" applyBorder="1" applyAlignment="1">
      <alignment horizontal="center" vertical="center"/>
    </xf>
    <xf numFmtId="165" fontId="18" fillId="0" borderId="12" xfId="0" applyNumberFormat="1" applyFont="1" applyBorder="1" applyAlignment="1">
      <alignment horizontal="center" vertical="center"/>
    </xf>
    <xf numFmtId="44" fontId="18" fillId="0" borderId="12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44" fontId="18" fillId="0" borderId="12" xfId="0" applyNumberFormat="1" applyFont="1" applyBorder="1" applyAlignment="1">
      <alignment horizontal="right" vertic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165" fontId="18" fillId="0" borderId="14" xfId="0" applyNumberFormat="1" applyFont="1" applyBorder="1" applyAlignment="1">
      <alignment horizontal="center" vertical="center"/>
    </xf>
    <xf numFmtId="44" fontId="18" fillId="0" borderId="14" xfId="0" applyNumberFormat="1" applyFont="1" applyBorder="1" applyAlignment="1">
      <alignment horizontal="center" vertical="center"/>
    </xf>
    <xf numFmtId="44" fontId="18" fillId="0" borderId="14" xfId="0" applyNumberFormat="1" applyFont="1" applyBorder="1" applyAlignment="1">
      <alignment horizontal="right" vertical="center"/>
    </xf>
    <xf numFmtId="165" fontId="18" fillId="0" borderId="0" xfId="0" applyNumberFormat="1" applyFont="1" applyAlignment="1">
      <alignment horizontal="center" vertical="center"/>
    </xf>
    <xf numFmtId="44" fontId="18" fillId="0" borderId="0" xfId="0" applyNumberFormat="1" applyFont="1" applyAlignment="1">
      <alignment horizontal="right" vertical="center"/>
    </xf>
    <xf numFmtId="0" fontId="18" fillId="0" borderId="19" xfId="0" applyFont="1" applyBorder="1" applyAlignment="1">
      <alignment horizontal="center" vertical="center"/>
    </xf>
    <xf numFmtId="44" fontId="18" fillId="0" borderId="19" xfId="0" applyNumberFormat="1" applyFont="1" applyBorder="1" applyAlignment="1">
      <alignment horizontal="center" vertical="center"/>
    </xf>
    <xf numFmtId="165" fontId="18" fillId="0" borderId="20" xfId="0" applyNumberFormat="1" applyFont="1" applyBorder="1" applyAlignment="1">
      <alignment horizontal="center" vertical="center"/>
    </xf>
    <xf numFmtId="44" fontId="18" fillId="0" borderId="20" xfId="0" applyNumberFormat="1" applyFont="1" applyBorder="1" applyAlignment="1">
      <alignment horizontal="right" vertical="center"/>
    </xf>
    <xf numFmtId="165" fontId="18" fillId="0" borderId="19" xfId="0" applyNumberFormat="1" applyFont="1" applyBorder="1" applyAlignment="1">
      <alignment horizontal="center" vertical="center"/>
    </xf>
    <xf numFmtId="44" fontId="18" fillId="0" borderId="19" xfId="0" applyNumberFormat="1" applyFont="1" applyBorder="1" applyAlignment="1">
      <alignment horizontal="right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165" fontId="18" fillId="0" borderId="15" xfId="0" applyNumberFormat="1" applyFont="1" applyBorder="1" applyAlignment="1">
      <alignment horizontal="center" vertical="center"/>
    </xf>
    <xf numFmtId="165" fontId="18" fillId="0" borderId="13" xfId="0" applyNumberFormat="1" applyFont="1" applyBorder="1" applyAlignment="1">
      <alignment horizontal="center" vertical="center"/>
    </xf>
    <xf numFmtId="44" fontId="18" fillId="0" borderId="13" xfId="0" applyNumberFormat="1" applyFont="1" applyBorder="1" applyAlignment="1">
      <alignment horizontal="center" vertical="center"/>
    </xf>
    <xf numFmtId="44" fontId="18" fillId="0" borderId="15" xfId="0" applyNumberFormat="1" applyFont="1" applyBorder="1" applyAlignment="1">
      <alignment horizontal="right" vertical="center"/>
    </xf>
    <xf numFmtId="44" fontId="18" fillId="0" borderId="13" xfId="0" applyNumberFormat="1" applyFont="1" applyBorder="1" applyAlignment="1">
      <alignment horizontal="right" vertical="center"/>
    </xf>
    <xf numFmtId="49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44" fontId="0" fillId="0" borderId="0" xfId="0" applyNumberFormat="1" applyAlignment="1">
      <alignment horizontal="center"/>
    </xf>
    <xf numFmtId="0" fontId="15" fillId="5" borderId="0" xfId="0" applyFont="1" applyFill="1"/>
    <xf numFmtId="0" fontId="15" fillId="5" borderId="27" xfId="0" applyFont="1" applyFill="1" applyBorder="1"/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1" fillId="0" borderId="0" xfId="0" applyFont="1"/>
    <xf numFmtId="17" fontId="0" fillId="0" borderId="0" xfId="0" applyNumberFormat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vertical="center"/>
    </xf>
    <xf numFmtId="0" fontId="1" fillId="6" borderId="18" xfId="0" applyFont="1" applyFill="1" applyBorder="1" applyAlignment="1">
      <alignment vertical="center"/>
    </xf>
    <xf numFmtId="0" fontId="1" fillId="6" borderId="18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165" fontId="19" fillId="6" borderId="17" xfId="0" applyNumberFormat="1" applyFont="1" applyFill="1" applyBorder="1" applyAlignment="1">
      <alignment horizontal="center" vertical="center"/>
    </xf>
    <xf numFmtId="44" fontId="19" fillId="6" borderId="17" xfId="0" applyNumberFormat="1" applyFont="1" applyFill="1" applyBorder="1" applyAlignment="1">
      <alignment horizontal="center" vertical="center"/>
    </xf>
    <xf numFmtId="44" fontId="19" fillId="6" borderId="17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0" fontId="16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1" fillId="6" borderId="16" xfId="0" applyFont="1" applyFill="1" applyBorder="1" applyAlignment="1">
      <alignment vertical="center"/>
    </xf>
    <xf numFmtId="9" fontId="8" fillId="0" borderId="6" xfId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9" fontId="8" fillId="0" borderId="8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15" fillId="5" borderId="0" xfId="0" applyFont="1" applyFill="1" applyAlignment="1">
      <alignment horizontal="center"/>
    </xf>
    <xf numFmtId="0" fontId="8" fillId="0" borderId="5" xfId="1" applyNumberFormat="1" applyFont="1" applyBorder="1" applyAlignment="1">
      <alignment horizontal="left" vertical="center"/>
    </xf>
    <xf numFmtId="0" fontId="8" fillId="0" borderId="0" xfId="1" applyNumberFormat="1" applyFont="1" applyBorder="1" applyAlignment="1">
      <alignment horizontal="left" vertical="center"/>
    </xf>
    <xf numFmtId="44" fontId="15" fillId="5" borderId="0" xfId="2" applyFont="1" applyFill="1" applyBorder="1" applyAlignment="1"/>
    <xf numFmtId="0" fontId="20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49" fontId="15" fillId="7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left"/>
    </xf>
    <xf numFmtId="0" fontId="2" fillId="8" borderId="0" xfId="0" applyFont="1" applyFill="1"/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0" fillId="0" borderId="18" xfId="0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5" borderId="25" xfId="0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13" fillId="4" borderId="23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P99"/>
  <sheetViews>
    <sheetView showGridLines="0" topLeftCell="A2" zoomScale="98" zoomScaleNormal="98" workbookViewId="0">
      <selection activeCell="S10" sqref="S10"/>
    </sheetView>
  </sheetViews>
  <sheetFormatPr defaultRowHeight="15" x14ac:dyDescent="0.25"/>
  <cols>
    <col min="1" max="1" width="1" style="4" customWidth="1"/>
    <col min="2" max="2" width="6.7109375" style="4" customWidth="1"/>
    <col min="3" max="3" width="5.7109375" style="2" customWidth="1"/>
    <col min="4" max="8" width="14.7109375" style="2" customWidth="1"/>
    <col min="9" max="9" width="14.85546875" style="2" customWidth="1"/>
    <col min="10" max="13" width="16.7109375" style="2" customWidth="1"/>
    <col min="14" max="14" width="32.85546875" style="5" customWidth="1"/>
    <col min="15" max="15" width="6.7109375" customWidth="1"/>
  </cols>
  <sheetData>
    <row r="1" spans="1:16" ht="6" customHeight="1" thickBot="1" x14ac:dyDescent="0.3"/>
    <row r="2" spans="1:16" ht="24" customHeight="1" thickTop="1" thickBot="1" x14ac:dyDescent="0.3">
      <c r="B2" s="128" t="s">
        <v>2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30"/>
    </row>
    <row r="3" spans="1:16" ht="16.5" thickTop="1" thickBot="1" x14ac:dyDescent="0.3">
      <c r="A3"/>
      <c r="B3" s="131" t="s">
        <v>4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3"/>
    </row>
    <row r="4" spans="1:16" ht="15.75" thickTop="1" x14ac:dyDescent="0.25">
      <c r="A4"/>
      <c r="B4" s="134" t="s">
        <v>0</v>
      </c>
      <c r="C4" s="135"/>
      <c r="D4" s="24" t="s">
        <v>145</v>
      </c>
      <c r="E4" s="24"/>
      <c r="F4" s="5"/>
      <c r="G4" s="5"/>
      <c r="I4" s="5" t="s">
        <v>1</v>
      </c>
      <c r="J4" s="24" t="s">
        <v>146</v>
      </c>
      <c r="K4" s="24"/>
      <c r="L4" s="153" t="s">
        <v>119</v>
      </c>
      <c r="M4" s="98" t="s">
        <v>118</v>
      </c>
      <c r="N4" s="108">
        <v>0</v>
      </c>
      <c r="O4" s="94"/>
    </row>
    <row r="5" spans="1:16" x14ac:dyDescent="0.25">
      <c r="A5"/>
      <c r="B5" s="136" t="s">
        <v>3</v>
      </c>
      <c r="C5" s="137"/>
      <c r="D5" s="6">
        <v>4600687006</v>
      </c>
      <c r="E5" s="6"/>
      <c r="F5" s="5"/>
      <c r="G5" s="5"/>
      <c r="I5" s="27" t="s">
        <v>65</v>
      </c>
      <c r="J5" s="6" t="s">
        <v>128</v>
      </c>
      <c r="K5" s="8"/>
      <c r="L5" s="154"/>
      <c r="M5" s="99" t="s">
        <v>5</v>
      </c>
      <c r="N5" s="6">
        <v>0</v>
      </c>
      <c r="O5" s="97"/>
    </row>
    <row r="6" spans="1:16" x14ac:dyDescent="0.25">
      <c r="A6"/>
      <c r="B6" s="136" t="s">
        <v>116</v>
      </c>
      <c r="C6" s="137"/>
      <c r="D6" s="138" t="s">
        <v>117</v>
      </c>
      <c r="E6" s="138"/>
      <c r="F6" s="138"/>
      <c r="G6" s="138"/>
      <c r="H6" s="138"/>
      <c r="I6" s="25" t="s">
        <v>126</v>
      </c>
      <c r="J6" s="6" t="s">
        <v>147</v>
      </c>
      <c r="K6" s="6"/>
      <c r="L6" s="154" t="s">
        <v>120</v>
      </c>
      <c r="M6" s="99" t="s">
        <v>118</v>
      </c>
      <c r="N6" s="109">
        <v>0</v>
      </c>
      <c r="O6" s="96"/>
    </row>
    <row r="7" spans="1:16" ht="15.75" thickBot="1" x14ac:dyDescent="0.3">
      <c r="A7"/>
      <c r="B7" s="140"/>
      <c r="C7" s="141"/>
      <c r="D7" s="139"/>
      <c r="E7" s="139"/>
      <c r="F7" s="139"/>
      <c r="G7" s="139"/>
      <c r="H7" s="139"/>
      <c r="I7" s="102" t="s">
        <v>125</v>
      </c>
      <c r="J7" s="7" t="s">
        <v>129</v>
      </c>
      <c r="K7" s="7"/>
      <c r="L7" s="155"/>
      <c r="M7" s="100" t="s">
        <v>5</v>
      </c>
      <c r="N7" s="106">
        <v>0</v>
      </c>
      <c r="O7" s="95"/>
    </row>
    <row r="8" spans="1:16" ht="15.75" thickTop="1" x14ac:dyDescent="0.25">
      <c r="A8"/>
      <c r="B8"/>
      <c r="C8"/>
      <c r="D8" s="5"/>
      <c r="E8" s="5"/>
      <c r="F8" s="5"/>
      <c r="G8" s="5"/>
      <c r="J8" s="24"/>
      <c r="K8" s="24"/>
      <c r="L8" s="5"/>
      <c r="M8" s="25"/>
      <c r="N8" s="26"/>
    </row>
    <row r="9" spans="1:16" ht="8.25" customHeight="1" x14ac:dyDescent="0.25">
      <c r="A9"/>
      <c r="B9"/>
      <c r="C9"/>
      <c r="D9"/>
      <c r="E9"/>
      <c r="F9"/>
      <c r="G9"/>
      <c r="H9" s="90"/>
      <c r="I9" s="1"/>
      <c r="J9" s="24"/>
      <c r="K9" s="24"/>
      <c r="L9" s="24"/>
      <c r="M9" s="24"/>
      <c r="N9"/>
    </row>
    <row r="10" spans="1:16" s="2" customFormat="1" x14ac:dyDescent="0.25">
      <c r="A10" s="4"/>
      <c r="B10" s="4"/>
      <c r="C10" s="15" t="s">
        <v>75</v>
      </c>
      <c r="D10" s="151" t="s">
        <v>76</v>
      </c>
      <c r="E10" s="156"/>
      <c r="F10" s="156"/>
      <c r="G10" s="156"/>
      <c r="H10" s="152"/>
      <c r="I10" s="49" t="s">
        <v>77</v>
      </c>
      <c r="J10" s="50" t="s">
        <v>106</v>
      </c>
      <c r="K10" s="50" t="s">
        <v>105</v>
      </c>
      <c r="L10" s="50" t="s">
        <v>78</v>
      </c>
      <c r="M10" s="51" t="s">
        <v>79</v>
      </c>
      <c r="N10" s="20" t="s">
        <v>80</v>
      </c>
    </row>
    <row r="11" spans="1:16" s="2" customFormat="1" x14ac:dyDescent="0.25">
      <c r="A11" s="4"/>
      <c r="B11" s="4"/>
      <c r="C11" s="82">
        <v>1</v>
      </c>
      <c r="D11" s="93" t="s">
        <v>114</v>
      </c>
      <c r="E11" s="83"/>
      <c r="F11" s="83"/>
      <c r="G11" s="83"/>
      <c r="H11" s="84"/>
      <c r="I11" s="83"/>
      <c r="J11" s="83"/>
      <c r="K11" s="83"/>
      <c r="L11" s="83"/>
      <c r="M11" s="84"/>
      <c r="N11" s="85"/>
    </row>
    <row r="12" spans="1:16" ht="15" customHeight="1" x14ac:dyDescent="0.25">
      <c r="C12" s="11"/>
      <c r="D12" s="118" t="s">
        <v>16</v>
      </c>
      <c r="E12" s="119"/>
      <c r="F12" s="119"/>
      <c r="G12" s="119"/>
      <c r="H12" s="119"/>
      <c r="I12" s="64"/>
      <c r="J12" s="58"/>
      <c r="K12" s="64"/>
      <c r="L12" s="59"/>
      <c r="M12" s="70"/>
      <c r="N12" s="127"/>
    </row>
    <row r="13" spans="1:16" x14ac:dyDescent="0.25">
      <c r="C13" s="12" t="s">
        <v>17</v>
      </c>
      <c r="D13" s="40" t="s">
        <v>74</v>
      </c>
      <c r="E13" s="40" t="s">
        <v>71</v>
      </c>
      <c r="F13" s="40" t="s">
        <v>72</v>
      </c>
      <c r="G13" s="40" t="s">
        <v>73</v>
      </c>
      <c r="H13" s="91" t="s">
        <v>70</v>
      </c>
      <c r="I13" s="65" t="s">
        <v>18</v>
      </c>
      <c r="J13" s="56">
        <f>SUMIF(ARM!K:K,"ARM-CX-DOC",ARM!J:J)</f>
        <v>0</v>
      </c>
      <c r="K13" s="68">
        <f>J13*$N$5</f>
        <v>0</v>
      </c>
      <c r="L13" s="57">
        <v>0.9</v>
      </c>
      <c r="M13" s="71">
        <f>K13*L13</f>
        <v>0</v>
      </c>
      <c r="N13" s="127"/>
      <c r="P13" s="80"/>
    </row>
    <row r="14" spans="1:16" x14ac:dyDescent="0.25">
      <c r="C14" s="10"/>
      <c r="D14" s="103">
        <f>SUMIF(ARM!K:K,"ARM-CX-DOC",ARM!D:D)</f>
        <v>0</v>
      </c>
      <c r="E14" s="103">
        <f>SUMIF(ARM!K:K,"ARM-CX-DOC",ARM!E:E)</f>
        <v>0</v>
      </c>
      <c r="F14" s="103">
        <f>SUMIF(ARM!K:K,"ARM-CX-DOC",ARM!F:F)</f>
        <v>0</v>
      </c>
      <c r="G14" s="103">
        <f>SUMIF(ARM!K:K,"ARM-CX-DOC",ARM!G:G)</f>
        <v>0</v>
      </c>
      <c r="H14" s="104">
        <f>D14-((E14+F14)-G14)</f>
        <v>0</v>
      </c>
      <c r="I14" s="52"/>
      <c r="J14" s="60"/>
      <c r="K14" s="53"/>
      <c r="L14" s="61" t="s">
        <v>144</v>
      </c>
      <c r="M14" s="55"/>
      <c r="N14" s="127"/>
    </row>
    <row r="15" spans="1:16" ht="15" customHeight="1" x14ac:dyDescent="0.25">
      <c r="C15" s="11"/>
      <c r="D15" s="121" t="s">
        <v>27</v>
      </c>
      <c r="E15" s="122"/>
      <c r="F15" s="122"/>
      <c r="G15" s="122"/>
      <c r="H15" s="122"/>
      <c r="I15" s="66"/>
      <c r="J15" s="62"/>
      <c r="K15" s="69"/>
      <c r="L15" s="63" t="s">
        <v>144</v>
      </c>
      <c r="M15" s="72"/>
      <c r="N15" s="127"/>
    </row>
    <row r="16" spans="1:16" x14ac:dyDescent="0.25">
      <c r="C16" s="12" t="s">
        <v>24</v>
      </c>
      <c r="D16" s="40" t="s">
        <v>74</v>
      </c>
      <c r="E16" s="40" t="s">
        <v>71</v>
      </c>
      <c r="F16" s="40" t="s">
        <v>72</v>
      </c>
      <c r="G16" s="40" t="s">
        <v>73</v>
      </c>
      <c r="H16" s="91" t="s">
        <v>70</v>
      </c>
      <c r="I16" s="65" t="s">
        <v>18</v>
      </c>
      <c r="J16" s="56">
        <f>SUMIF(ARM!K:K,"ARM-CX-MID",ARM!J:J)</f>
        <v>0</v>
      </c>
      <c r="K16" s="68">
        <f>J16*$N$5</f>
        <v>0</v>
      </c>
      <c r="L16" s="57">
        <v>0.9</v>
      </c>
      <c r="M16" s="71">
        <f>K16*L16</f>
        <v>0</v>
      </c>
      <c r="N16" s="127"/>
    </row>
    <row r="17" spans="3:14" x14ac:dyDescent="0.25">
      <c r="C17" s="10"/>
      <c r="D17" s="103">
        <f>SUMIF(ARM!K:K,"ARM-CX-MID",ARM!D:D)</f>
        <v>0</v>
      </c>
      <c r="E17" s="103">
        <f>SUMIF(ARM!K:K,"ARM-CX-MID",ARM!E:E)</f>
        <v>0</v>
      </c>
      <c r="F17" s="103">
        <f>SUMIF(ARM!K:K,"ARM-CX-MID",ARM!F:F)</f>
        <v>0</v>
      </c>
      <c r="G17" s="103">
        <f>SUMIF(ARM!K:K,"ARM-CX-MID",ARM!G:G)</f>
        <v>0</v>
      </c>
      <c r="H17" s="104">
        <f>D17-((E17+F17)-G17)</f>
        <v>0</v>
      </c>
      <c r="I17" s="52"/>
      <c r="J17" s="60"/>
      <c r="K17" s="53"/>
      <c r="L17" s="61" t="s">
        <v>144</v>
      </c>
      <c r="M17" s="55"/>
      <c r="N17" s="127"/>
    </row>
    <row r="18" spans="3:14" ht="15" customHeight="1" x14ac:dyDescent="0.25">
      <c r="C18" s="11"/>
      <c r="D18" s="121" t="s">
        <v>19</v>
      </c>
      <c r="E18" s="122"/>
      <c r="F18" s="122"/>
      <c r="G18" s="122"/>
      <c r="H18" s="122"/>
      <c r="I18" s="66"/>
      <c r="J18" s="62"/>
      <c r="K18" s="69"/>
      <c r="L18" s="63" t="s">
        <v>144</v>
      </c>
      <c r="M18" s="72"/>
      <c r="N18" s="127"/>
    </row>
    <row r="19" spans="3:14" x14ac:dyDescent="0.25">
      <c r="C19" s="12" t="s">
        <v>20</v>
      </c>
      <c r="D19" s="40" t="s">
        <v>74</v>
      </c>
      <c r="E19" s="40" t="s">
        <v>71</v>
      </c>
      <c r="F19" s="40" t="s">
        <v>72</v>
      </c>
      <c r="G19" s="40" t="s">
        <v>73</v>
      </c>
      <c r="H19" s="91" t="s">
        <v>70</v>
      </c>
      <c r="I19" s="65" t="s">
        <v>18</v>
      </c>
      <c r="J19" s="56">
        <f>SUMIF(ARM!K:K,"ARM-TB",ARM!J:J)</f>
        <v>0</v>
      </c>
      <c r="K19" s="68">
        <f>J19*$N$5</f>
        <v>0</v>
      </c>
      <c r="L19" s="57">
        <v>0.9</v>
      </c>
      <c r="M19" s="71">
        <f>K19*L19</f>
        <v>0</v>
      </c>
      <c r="N19" s="127"/>
    </row>
    <row r="20" spans="3:14" x14ac:dyDescent="0.25">
      <c r="C20" s="10"/>
      <c r="D20" s="103">
        <f>SUMIF(ARM!K:K,"ARM-TB",ARM!D:D)</f>
        <v>0</v>
      </c>
      <c r="E20" s="103">
        <f>SUMIF(ARM!K:K,"ARM-TB",ARM!E:E)</f>
        <v>0</v>
      </c>
      <c r="F20" s="103">
        <f>SUMIF(ARM!K:K,"ARM-TB",ARM!F:F)</f>
        <v>0</v>
      </c>
      <c r="G20" s="103">
        <f>SUMIF(ARM!K:K,"ARM-TB",ARM!G:G)</f>
        <v>0</v>
      </c>
      <c r="H20" s="104">
        <f>D20-((E20+F20)-G20)</f>
        <v>0</v>
      </c>
      <c r="I20" s="52"/>
      <c r="J20" s="60"/>
      <c r="K20" s="53"/>
      <c r="L20" s="61" t="s">
        <v>144</v>
      </c>
      <c r="M20" s="55"/>
      <c r="N20" s="127"/>
    </row>
    <row r="21" spans="3:14" ht="15" customHeight="1" x14ac:dyDescent="0.25">
      <c r="C21" s="11"/>
      <c r="D21" s="121" t="s">
        <v>100</v>
      </c>
      <c r="E21" s="122"/>
      <c r="F21" s="122"/>
      <c r="G21" s="122"/>
      <c r="H21" s="122"/>
      <c r="I21" s="66"/>
      <c r="J21" s="62"/>
      <c r="K21" s="69"/>
      <c r="L21" s="63" t="s">
        <v>144</v>
      </c>
      <c r="M21" s="72"/>
      <c r="N21" s="127"/>
    </row>
    <row r="22" spans="3:14" x14ac:dyDescent="0.25">
      <c r="C22" s="12" t="s">
        <v>21</v>
      </c>
      <c r="D22" s="40" t="s">
        <v>74</v>
      </c>
      <c r="E22" s="40" t="s">
        <v>71</v>
      </c>
      <c r="F22" s="40" t="s">
        <v>72</v>
      </c>
      <c r="G22" s="40" t="s">
        <v>73</v>
      </c>
      <c r="H22" s="91" t="s">
        <v>70</v>
      </c>
      <c r="I22" s="65" t="s">
        <v>18</v>
      </c>
      <c r="J22" s="56">
        <f>SUMIF(ARM!K:K,"ARM-MA",ARM!J:J)</f>
        <v>0</v>
      </c>
      <c r="K22" s="68">
        <f>J22*$N$5</f>
        <v>0</v>
      </c>
      <c r="L22" s="57">
        <v>70</v>
      </c>
      <c r="M22" s="71">
        <f>K22*L22</f>
        <v>0</v>
      </c>
      <c r="N22" s="127"/>
    </row>
    <row r="23" spans="3:14" x14ac:dyDescent="0.25">
      <c r="C23" s="10"/>
      <c r="D23" s="103">
        <f>SUMIF(ARM!K:K,"ARM-MA",ARM!D:D)</f>
        <v>0</v>
      </c>
      <c r="E23" s="103">
        <f>SUMIF(ARM!K:K,"ARM-MA",ARM!E:E)</f>
        <v>0</v>
      </c>
      <c r="F23" s="103">
        <f>SUMIF(ARM!K:K,"ARM-MA",ARM!F:F)</f>
        <v>0</v>
      </c>
      <c r="G23" s="103">
        <f>SUMIF(ARM!K:K,"ARM-MA",ARM!G:G)</f>
        <v>0</v>
      </c>
      <c r="H23" s="104">
        <f>D23-((E23+F23)-G23)</f>
        <v>0</v>
      </c>
      <c r="I23" s="52"/>
      <c r="J23" s="60"/>
      <c r="K23" s="53"/>
      <c r="L23" s="61" t="s">
        <v>144</v>
      </c>
      <c r="M23" s="55"/>
      <c r="N23" s="127"/>
    </row>
    <row r="24" spans="3:14" ht="15" customHeight="1" x14ac:dyDescent="0.25">
      <c r="C24" s="11"/>
      <c r="D24" s="121" t="s">
        <v>28</v>
      </c>
      <c r="E24" s="122"/>
      <c r="F24" s="122"/>
      <c r="G24" s="122"/>
      <c r="H24" s="122"/>
      <c r="I24" s="66"/>
      <c r="J24" s="62"/>
      <c r="K24" s="69"/>
      <c r="L24" s="63" t="s">
        <v>144</v>
      </c>
      <c r="M24" s="72"/>
      <c r="N24" s="127"/>
    </row>
    <row r="25" spans="3:14" x14ac:dyDescent="0.25">
      <c r="C25" s="12" t="s">
        <v>25</v>
      </c>
      <c r="D25" s="40" t="s">
        <v>74</v>
      </c>
      <c r="E25" s="40" t="s">
        <v>71</v>
      </c>
      <c r="F25" s="40" t="s">
        <v>72</v>
      </c>
      <c r="G25" s="40" t="s">
        <v>73</v>
      </c>
      <c r="H25" s="91" t="s">
        <v>70</v>
      </c>
      <c r="I25" s="65" t="s">
        <v>18</v>
      </c>
      <c r="J25" s="56">
        <f>SUMIF(ARM!K:K,"ARM-MIC",ARM!J:J)</f>
        <v>0</v>
      </c>
      <c r="K25" s="68">
        <f>J25*$N$5</f>
        <v>0</v>
      </c>
      <c r="L25" s="57">
        <v>0.1</v>
      </c>
      <c r="M25" s="71">
        <f>K25*L25</f>
        <v>0</v>
      </c>
      <c r="N25" s="127"/>
    </row>
    <row r="26" spans="3:14" x14ac:dyDescent="0.25">
      <c r="C26" s="10"/>
      <c r="D26" s="103">
        <f>SUMIF(ARM!K:K,"ARM-MIC",ARM!D:D)</f>
        <v>0</v>
      </c>
      <c r="E26" s="103">
        <f>SUMIF(ARM!K:K,"ARM-MIC",ARM!E:E)</f>
        <v>0</v>
      </c>
      <c r="F26" s="103">
        <f>SUMIF(ARM!K:K,"ARM-MIC",ARM!F:F)</f>
        <v>0</v>
      </c>
      <c r="G26" s="103">
        <f>SUMIF(ARM!K:K,"ARM-MIC",ARM!G:G)</f>
        <v>0</v>
      </c>
      <c r="H26" s="104">
        <f>D26-((E26+F26)-G26)</f>
        <v>0</v>
      </c>
      <c r="I26" s="52"/>
      <c r="J26" s="60"/>
      <c r="K26" s="53"/>
      <c r="L26" s="61" t="s">
        <v>144</v>
      </c>
      <c r="M26" s="55"/>
      <c r="N26" s="127"/>
    </row>
    <row r="27" spans="3:14" ht="15" customHeight="1" x14ac:dyDescent="0.25">
      <c r="C27" s="11"/>
      <c r="D27" s="121" t="s">
        <v>29</v>
      </c>
      <c r="E27" s="122"/>
      <c r="F27" s="122"/>
      <c r="G27" s="122"/>
      <c r="H27" s="122"/>
      <c r="I27" s="67"/>
      <c r="J27" s="56"/>
      <c r="K27" s="68"/>
      <c r="L27" s="57" t="s">
        <v>144</v>
      </c>
      <c r="M27" s="71"/>
      <c r="N27" s="127"/>
    </row>
    <row r="28" spans="3:14" x14ac:dyDescent="0.25">
      <c r="C28" s="12" t="s">
        <v>26</v>
      </c>
      <c r="D28" s="40" t="s">
        <v>74</v>
      </c>
      <c r="E28" s="40" t="s">
        <v>71</v>
      </c>
      <c r="F28" s="40" t="s">
        <v>72</v>
      </c>
      <c r="G28" s="40" t="s">
        <v>73</v>
      </c>
      <c r="H28" s="91" t="s">
        <v>70</v>
      </c>
      <c r="I28" s="65" t="s">
        <v>18</v>
      </c>
      <c r="J28" s="56">
        <f>SUMIF(ARM!K:K,"ARM-MID",ARM!J:J)</f>
        <v>0</v>
      </c>
      <c r="K28" s="68">
        <f>J28*$N$5</f>
        <v>0</v>
      </c>
      <c r="L28" s="57">
        <v>0.1</v>
      </c>
      <c r="M28" s="71">
        <f>K28*L28</f>
        <v>0</v>
      </c>
      <c r="N28" s="127"/>
    </row>
    <row r="29" spans="3:14" x14ac:dyDescent="0.25">
      <c r="C29" s="10"/>
      <c r="D29" s="103">
        <f>SUMIF(ARM!K:K,"ARM-MID",ARM!D:D)</f>
        <v>0</v>
      </c>
      <c r="E29" s="103">
        <f>SUMIF(ARM!K:K,"ARM-MID",ARM!E:E)</f>
        <v>0</v>
      </c>
      <c r="F29" s="103">
        <f>SUMIF(ARM!K:K,"ARM-MID",ARM!F:F)</f>
        <v>0</v>
      </c>
      <c r="G29" s="103">
        <f>SUMIF(ARM!K:K,"ARM-MID",ARM!G:G)</f>
        <v>0</v>
      </c>
      <c r="H29" s="104">
        <f>D29-((E29+F29)-G29)</f>
        <v>0</v>
      </c>
      <c r="I29" s="52"/>
      <c r="J29" s="60"/>
      <c r="K29" s="53"/>
      <c r="L29" s="61" t="s">
        <v>144</v>
      </c>
      <c r="M29" s="55"/>
      <c r="N29" s="127"/>
    </row>
    <row r="30" spans="3:14" ht="15" customHeight="1" x14ac:dyDescent="0.25">
      <c r="C30" s="13" t="s">
        <v>31</v>
      </c>
      <c r="D30" s="121" t="s">
        <v>32</v>
      </c>
      <c r="E30" s="122"/>
      <c r="F30" s="122"/>
      <c r="G30" s="122"/>
      <c r="H30" s="123"/>
      <c r="I30" s="52" t="s">
        <v>30</v>
      </c>
      <c r="J30" s="53">
        <f>SUMIF(DADOS!AE:AE,LEFT(D30,SEARCH(":",D30)-1),DADOS!AH:AH)</f>
        <v>0</v>
      </c>
      <c r="K30" s="53">
        <f>J30*$N$5</f>
        <v>0</v>
      </c>
      <c r="L30" s="54">
        <v>50</v>
      </c>
      <c r="M30" s="55">
        <f>K30*L30</f>
        <v>0</v>
      </c>
      <c r="N30" s="14"/>
    </row>
    <row r="31" spans="3:14" ht="15" customHeight="1" x14ac:dyDescent="0.25">
      <c r="C31" s="13" t="s">
        <v>33</v>
      </c>
      <c r="D31" s="118" t="s">
        <v>48</v>
      </c>
      <c r="E31" s="119"/>
      <c r="F31" s="119"/>
      <c r="G31" s="119"/>
      <c r="H31" s="120"/>
      <c r="I31" s="43" t="s">
        <v>30</v>
      </c>
      <c r="J31" s="53">
        <f>SUMIF(DADOS!AE:AE,LEFT(D31,SEARCH(":",D31)-1),DADOS!AH:AH)</f>
        <v>0</v>
      </c>
      <c r="K31" s="53">
        <f t="shared" ref="K31:K35" si="0">J31*$N$5</f>
        <v>0</v>
      </c>
      <c r="L31" s="42">
        <v>100</v>
      </c>
      <c r="M31" s="44">
        <f t="shared" ref="M31:M46" si="1">K31*L31</f>
        <v>0</v>
      </c>
      <c r="N31" s="14"/>
    </row>
    <row r="32" spans="3:14" ht="15" customHeight="1" x14ac:dyDescent="0.25">
      <c r="C32" s="13" t="s">
        <v>34</v>
      </c>
      <c r="D32" s="118" t="s">
        <v>49</v>
      </c>
      <c r="E32" s="119"/>
      <c r="F32" s="119"/>
      <c r="G32" s="119"/>
      <c r="H32" s="120"/>
      <c r="I32" s="43" t="s">
        <v>58</v>
      </c>
      <c r="J32" s="53">
        <f>SUM(DADOS!Y:Y)</f>
        <v>0</v>
      </c>
      <c r="K32" s="53">
        <f t="shared" si="0"/>
        <v>0</v>
      </c>
      <c r="L32" s="42">
        <v>1</v>
      </c>
      <c r="M32" s="44">
        <f t="shared" si="1"/>
        <v>0</v>
      </c>
      <c r="N32" s="14"/>
    </row>
    <row r="33" spans="3:14" ht="15" customHeight="1" x14ac:dyDescent="0.25">
      <c r="C33" s="13" t="s">
        <v>35</v>
      </c>
      <c r="D33" s="118" t="s">
        <v>51</v>
      </c>
      <c r="E33" s="119"/>
      <c r="F33" s="119"/>
      <c r="G33" s="119"/>
      <c r="H33" s="120"/>
      <c r="I33" s="43" t="s">
        <v>59</v>
      </c>
      <c r="J33" s="53">
        <f>SUMIF(DADOS!AE:AE,LEFT(D33,SEARCH(":",D33)-1),DADOS!AH:AH)</f>
        <v>0</v>
      </c>
      <c r="K33" s="53">
        <f t="shared" si="0"/>
        <v>0</v>
      </c>
      <c r="L33" s="42">
        <v>3</v>
      </c>
      <c r="M33" s="44">
        <f t="shared" si="1"/>
        <v>0</v>
      </c>
      <c r="N33" s="14"/>
    </row>
    <row r="34" spans="3:14" ht="15" customHeight="1" x14ac:dyDescent="0.25">
      <c r="C34" s="13" t="s">
        <v>36</v>
      </c>
      <c r="D34" s="118" t="s">
        <v>50</v>
      </c>
      <c r="E34" s="119"/>
      <c r="F34" s="119"/>
      <c r="G34" s="119"/>
      <c r="H34" s="120"/>
      <c r="I34" s="43" t="s">
        <v>60</v>
      </c>
      <c r="J34" s="53">
        <f>SUMIF(DADOS!AE:AE,LEFT(D34,SEARCH(":",D34)-1),DADOS!AH:AH)</f>
        <v>0</v>
      </c>
      <c r="K34" s="53">
        <f t="shared" si="0"/>
        <v>0</v>
      </c>
      <c r="L34" s="42">
        <v>3</v>
      </c>
      <c r="M34" s="44">
        <f t="shared" si="1"/>
        <v>0</v>
      </c>
      <c r="N34" s="14"/>
    </row>
    <row r="35" spans="3:14" ht="15" customHeight="1" x14ac:dyDescent="0.25">
      <c r="C35" s="40" t="s">
        <v>37</v>
      </c>
      <c r="D35" s="121" t="s">
        <v>148</v>
      </c>
      <c r="E35" s="122"/>
      <c r="F35" s="122"/>
      <c r="G35" s="122"/>
      <c r="H35" s="123"/>
      <c r="I35" s="43" t="s">
        <v>61</v>
      </c>
      <c r="J35" s="53">
        <f>SUMIF(DADOS!AE:AE,LEFT(D35,SEARCH(":",D35)-1),DADOS!AH:AH)</f>
        <v>0</v>
      </c>
      <c r="K35" s="53">
        <f t="shared" si="0"/>
        <v>0</v>
      </c>
      <c r="L35" s="42">
        <v>100000</v>
      </c>
      <c r="M35" s="44">
        <f t="shared" si="1"/>
        <v>0</v>
      </c>
      <c r="N35" s="21"/>
    </row>
    <row r="36" spans="3:14" ht="15" customHeight="1" x14ac:dyDescent="0.25">
      <c r="C36" s="13" t="s">
        <v>38</v>
      </c>
      <c r="D36" s="118" t="s">
        <v>149</v>
      </c>
      <c r="E36" s="119"/>
      <c r="F36" s="119"/>
      <c r="G36" s="119"/>
      <c r="H36" s="120"/>
      <c r="I36" s="43" t="s">
        <v>18</v>
      </c>
      <c r="J36" s="53">
        <f>SUMIF(DADOS!AE:AE,LEFT(D36,SEARCH(":",D36)-1),DADOS!AH:AH)</f>
        <v>0</v>
      </c>
      <c r="K36" s="53">
        <f>J36</f>
        <v>0</v>
      </c>
      <c r="L36" s="42">
        <v>7.5</v>
      </c>
      <c r="M36" s="44">
        <f t="shared" si="1"/>
        <v>0</v>
      </c>
      <c r="N36" s="14"/>
    </row>
    <row r="37" spans="3:14" ht="15" customHeight="1" x14ac:dyDescent="0.25">
      <c r="C37" s="82">
        <v>2</v>
      </c>
      <c r="D37" s="83" t="s">
        <v>115</v>
      </c>
      <c r="E37" s="83"/>
      <c r="F37" s="83"/>
      <c r="G37" s="83"/>
      <c r="H37" s="83"/>
      <c r="I37" s="86"/>
      <c r="J37" s="87"/>
      <c r="K37" s="87"/>
      <c r="L37" s="88" t="s">
        <v>144</v>
      </c>
      <c r="M37" s="89"/>
      <c r="N37" s="84"/>
    </row>
    <row r="38" spans="3:14" ht="15" customHeight="1" x14ac:dyDescent="0.25">
      <c r="C38" s="13" t="s">
        <v>39</v>
      </c>
      <c r="D38" s="118" t="s">
        <v>150</v>
      </c>
      <c r="E38" s="119"/>
      <c r="F38" s="119"/>
      <c r="G38" s="119"/>
      <c r="H38" s="120"/>
      <c r="I38" s="43" t="s">
        <v>151</v>
      </c>
      <c r="J38" s="53">
        <f>SUMIF(DADOS!AE:AE,LEFT(D38,SEARCH(":",D38)-1),DADOS!AH:AH)</f>
        <v>0</v>
      </c>
      <c r="K38" s="41">
        <f t="shared" ref="K38:K46" si="2">J38*$N$7</f>
        <v>0</v>
      </c>
      <c r="L38" s="42">
        <v>0.2</v>
      </c>
      <c r="M38" s="44">
        <f t="shared" si="1"/>
        <v>0</v>
      </c>
      <c r="N38" s="14"/>
    </row>
    <row r="39" spans="3:14" ht="15" customHeight="1" x14ac:dyDescent="0.25">
      <c r="C39" s="13" t="s">
        <v>40</v>
      </c>
      <c r="D39" s="118" t="s">
        <v>152</v>
      </c>
      <c r="E39" s="119"/>
      <c r="F39" s="119"/>
      <c r="G39" s="119"/>
      <c r="H39" s="120"/>
      <c r="I39" s="43" t="s">
        <v>18</v>
      </c>
      <c r="J39" s="53">
        <f>SUMIF(DADOS!AE:AE,LEFT(D39,SEARCH(":",D39)-1),DADOS!AH:AH)</f>
        <v>0</v>
      </c>
      <c r="K39" s="41">
        <f t="shared" si="2"/>
        <v>0</v>
      </c>
      <c r="L39" s="42">
        <v>10</v>
      </c>
      <c r="M39" s="44">
        <f t="shared" si="1"/>
        <v>0</v>
      </c>
      <c r="N39" s="14"/>
    </row>
    <row r="40" spans="3:14" ht="15" customHeight="1" x14ac:dyDescent="0.25">
      <c r="C40" s="13" t="s">
        <v>41</v>
      </c>
      <c r="D40" s="118" t="s">
        <v>52</v>
      </c>
      <c r="E40" s="119"/>
      <c r="F40" s="119"/>
      <c r="G40" s="119"/>
      <c r="H40" s="120"/>
      <c r="I40" s="43" t="s">
        <v>62</v>
      </c>
      <c r="J40" s="53">
        <f>SUMIF(DADOS!AE:AE,LEFT(D40,SEARCH(":",D40)-1),DADOS!AH:AH)</f>
        <v>0</v>
      </c>
      <c r="K40" s="41">
        <f t="shared" si="2"/>
        <v>0</v>
      </c>
      <c r="L40" s="42">
        <v>0.05</v>
      </c>
      <c r="M40" s="44">
        <f t="shared" si="1"/>
        <v>0</v>
      </c>
      <c r="N40" s="14"/>
    </row>
    <row r="41" spans="3:14" ht="15" customHeight="1" x14ac:dyDescent="0.25">
      <c r="C41" s="13" t="s">
        <v>42</v>
      </c>
      <c r="D41" s="118" t="s">
        <v>53</v>
      </c>
      <c r="E41" s="119"/>
      <c r="F41" s="119"/>
      <c r="G41" s="119"/>
      <c r="H41" s="120"/>
      <c r="I41" s="43" t="s">
        <v>62</v>
      </c>
      <c r="J41" s="53">
        <f>SUMIF(DADOS!AE:AE,LEFT(D41,SEARCH(":",D41)-1),DADOS!AH:AH)</f>
        <v>0</v>
      </c>
      <c r="K41" s="41">
        <f t="shared" si="2"/>
        <v>0</v>
      </c>
      <c r="L41" s="42">
        <v>0.05</v>
      </c>
      <c r="M41" s="44">
        <f t="shared" si="1"/>
        <v>0</v>
      </c>
      <c r="N41" s="14"/>
    </row>
    <row r="42" spans="3:14" ht="15" customHeight="1" x14ac:dyDescent="0.25">
      <c r="C42" s="13" t="s">
        <v>43</v>
      </c>
      <c r="D42" s="118" t="s">
        <v>54</v>
      </c>
      <c r="E42" s="119"/>
      <c r="F42" s="119"/>
      <c r="G42" s="119"/>
      <c r="H42" s="120"/>
      <c r="I42" s="43" t="s">
        <v>62</v>
      </c>
      <c r="J42" s="53">
        <f>SUMIF(DADOS!AE:AE,LEFT(D42,SEARCH(":",D42)-1),DADOS!AH:AH)</f>
        <v>0</v>
      </c>
      <c r="K42" s="41">
        <f t="shared" si="2"/>
        <v>0</v>
      </c>
      <c r="L42" s="42">
        <v>0.11</v>
      </c>
      <c r="M42" s="44">
        <f t="shared" si="1"/>
        <v>0</v>
      </c>
      <c r="N42" s="14"/>
    </row>
    <row r="43" spans="3:14" ht="15" customHeight="1" x14ac:dyDescent="0.25">
      <c r="C43" s="13" t="s">
        <v>44</v>
      </c>
      <c r="D43" s="118" t="s">
        <v>55</v>
      </c>
      <c r="E43" s="119"/>
      <c r="F43" s="119"/>
      <c r="G43" s="119"/>
      <c r="H43" s="120"/>
      <c r="I43" s="43" t="s">
        <v>62</v>
      </c>
      <c r="J43" s="53">
        <f>SUMIF(DADOS!AE:AE,LEFT(D43,SEARCH(":",D43)-1),DADOS!AH:AH)</f>
        <v>0</v>
      </c>
      <c r="K43" s="41">
        <f t="shared" si="2"/>
        <v>0</v>
      </c>
      <c r="L43" s="42">
        <v>0.1</v>
      </c>
      <c r="M43" s="44">
        <f t="shared" si="1"/>
        <v>0</v>
      </c>
      <c r="N43" s="14"/>
    </row>
    <row r="44" spans="3:14" ht="15" customHeight="1" x14ac:dyDescent="0.25">
      <c r="C44" s="13" t="s">
        <v>45</v>
      </c>
      <c r="D44" s="118" t="s">
        <v>56</v>
      </c>
      <c r="E44" s="119"/>
      <c r="F44" s="119"/>
      <c r="G44" s="119"/>
      <c r="H44" s="120"/>
      <c r="I44" s="43" t="s">
        <v>63</v>
      </c>
      <c r="J44" s="53">
        <f>SUMIF(DADOS!AE:AE,LEFT(D44,SEARCH(":",D44)-1),DADOS!AH:AH)</f>
        <v>0</v>
      </c>
      <c r="K44" s="41">
        <f t="shared" si="2"/>
        <v>0</v>
      </c>
      <c r="L44" s="42">
        <v>40</v>
      </c>
      <c r="M44" s="44">
        <f t="shared" si="1"/>
        <v>0</v>
      </c>
      <c r="N44" s="14"/>
    </row>
    <row r="45" spans="3:14" ht="15" customHeight="1" x14ac:dyDescent="0.25">
      <c r="C45" s="13" t="s">
        <v>46</v>
      </c>
      <c r="D45" s="118" t="s">
        <v>57</v>
      </c>
      <c r="E45" s="119"/>
      <c r="F45" s="119"/>
      <c r="G45" s="119"/>
      <c r="H45" s="120"/>
      <c r="I45" s="43" t="s">
        <v>63</v>
      </c>
      <c r="J45" s="53">
        <f>SUMIF(DADOS!AE:AE,LEFT(D45,SEARCH(":",D45)-1),DADOS!AH:AH)</f>
        <v>0</v>
      </c>
      <c r="K45" s="41">
        <f t="shared" si="2"/>
        <v>0</v>
      </c>
      <c r="L45" s="42">
        <v>40</v>
      </c>
      <c r="M45" s="44">
        <f t="shared" si="1"/>
        <v>0</v>
      </c>
      <c r="N45" s="14"/>
    </row>
    <row r="46" spans="3:14" ht="15" customHeight="1" x14ac:dyDescent="0.25">
      <c r="C46" s="13" t="s">
        <v>47</v>
      </c>
      <c r="D46" s="118" t="s">
        <v>153</v>
      </c>
      <c r="E46" s="119"/>
      <c r="F46" s="119"/>
      <c r="G46" s="119"/>
      <c r="H46" s="120"/>
      <c r="I46" s="43" t="s">
        <v>63</v>
      </c>
      <c r="J46" s="53">
        <f>SUMIF(DADOS!AE:AE,LEFT(D46,SEARCH(":",D46)-1),DADOS!AH:AH)</f>
        <v>0</v>
      </c>
      <c r="K46" s="41">
        <f t="shared" si="2"/>
        <v>0</v>
      </c>
      <c r="L46" s="42">
        <v>5</v>
      </c>
      <c r="M46" s="44">
        <f t="shared" si="1"/>
        <v>0</v>
      </c>
      <c r="N46" s="14"/>
    </row>
    <row r="47" spans="3:14" ht="30" customHeight="1" x14ac:dyDescent="0.25">
      <c r="C47" s="124" t="s">
        <v>6</v>
      </c>
      <c r="D47" s="125"/>
      <c r="E47" s="125"/>
      <c r="F47" s="125"/>
      <c r="G47" s="125"/>
      <c r="H47" s="125"/>
      <c r="I47" s="126"/>
      <c r="J47" s="22"/>
      <c r="K47" s="22"/>
      <c r="L47" s="22"/>
      <c r="M47" s="23">
        <f>SUM(M12:M46)</f>
        <v>0</v>
      </c>
      <c r="N47" s="14"/>
    </row>
    <row r="48" spans="3:14" ht="14.45" customHeight="1" x14ac:dyDescent="0.25">
      <c r="C48" s="142" t="s">
        <v>7</v>
      </c>
      <c r="D48" s="143"/>
      <c r="E48" s="143"/>
      <c r="F48" s="143"/>
      <c r="G48" s="143"/>
      <c r="H48" s="143"/>
      <c r="I48" s="144"/>
      <c r="J48" s="145" t="s">
        <v>8</v>
      </c>
      <c r="K48" s="146"/>
      <c r="L48" s="146"/>
      <c r="M48" s="146"/>
      <c r="N48" s="147"/>
    </row>
    <row r="49" spans="3:14" ht="45" customHeight="1" x14ac:dyDescent="0.25">
      <c r="C49" s="16"/>
      <c r="D49" s="17"/>
      <c r="E49" s="17"/>
      <c r="F49" s="17"/>
      <c r="G49" s="17"/>
      <c r="H49" s="92"/>
      <c r="I49" s="18"/>
      <c r="J49" s="17"/>
      <c r="K49" s="17"/>
      <c r="L49" s="17"/>
      <c r="M49" s="17"/>
      <c r="N49" s="18"/>
    </row>
    <row r="50" spans="3:14" ht="17.100000000000001" customHeight="1" x14ac:dyDescent="0.25">
      <c r="C50" s="148" t="s">
        <v>9</v>
      </c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50"/>
    </row>
    <row r="51" spans="3:14" ht="60" customHeight="1" x14ac:dyDescent="0.25">
      <c r="C51" s="118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20"/>
    </row>
    <row r="52" spans="3:14" x14ac:dyDescent="0.25">
      <c r="M52" s="9"/>
    </row>
    <row r="53" spans="3:14" x14ac:dyDescent="0.25">
      <c r="D53" s="15" t="s">
        <v>10</v>
      </c>
      <c r="E53" s="15" t="s">
        <v>11</v>
      </c>
      <c r="F53" s="15" t="s">
        <v>12</v>
      </c>
      <c r="G53" s="15" t="s">
        <v>13</v>
      </c>
      <c r="H53" s="15"/>
      <c r="I53" s="15" t="s">
        <v>14</v>
      </c>
      <c r="J53" s="151" t="s">
        <v>15</v>
      </c>
      <c r="K53" s="152"/>
      <c r="L53" s="19"/>
      <c r="M53" s="19"/>
      <c r="N53" s="19"/>
    </row>
    <row r="54" spans="3:14" x14ac:dyDescent="0.25">
      <c r="M54" s="9"/>
    </row>
    <row r="55" spans="3:14" x14ac:dyDescent="0.25">
      <c r="M55" s="9"/>
    </row>
    <row r="56" spans="3:14" x14ac:dyDescent="0.25">
      <c r="M56" s="9"/>
    </row>
    <row r="57" spans="3:14" x14ac:dyDescent="0.25">
      <c r="M57" s="9"/>
    </row>
    <row r="58" spans="3:14" x14ac:dyDescent="0.25">
      <c r="M58" s="9"/>
    </row>
    <row r="59" spans="3:14" x14ac:dyDescent="0.25">
      <c r="M59" s="9"/>
    </row>
    <row r="60" spans="3:14" x14ac:dyDescent="0.25">
      <c r="M60" s="9"/>
    </row>
    <row r="61" spans="3:14" x14ac:dyDescent="0.25">
      <c r="M61" s="9"/>
    </row>
    <row r="62" spans="3:14" x14ac:dyDescent="0.25">
      <c r="M62" s="9"/>
    </row>
    <row r="63" spans="3:14" x14ac:dyDescent="0.25">
      <c r="M63" s="9"/>
    </row>
    <row r="64" spans="3:14" x14ac:dyDescent="0.25">
      <c r="M64" s="9"/>
    </row>
    <row r="65" spans="13:13" x14ac:dyDescent="0.25">
      <c r="M65" s="9"/>
    </row>
    <row r="66" spans="13:13" x14ac:dyDescent="0.25">
      <c r="M66" s="9"/>
    </row>
    <row r="67" spans="13:13" x14ac:dyDescent="0.25">
      <c r="M67" s="9"/>
    </row>
    <row r="68" spans="13:13" x14ac:dyDescent="0.25">
      <c r="M68" s="9"/>
    </row>
    <row r="69" spans="13:13" x14ac:dyDescent="0.25">
      <c r="M69" s="9"/>
    </row>
    <row r="70" spans="13:13" x14ac:dyDescent="0.25">
      <c r="M70" s="9"/>
    </row>
    <row r="71" spans="13:13" x14ac:dyDescent="0.25">
      <c r="M71" s="9"/>
    </row>
    <row r="72" spans="13:13" x14ac:dyDescent="0.25">
      <c r="M72" s="9"/>
    </row>
    <row r="73" spans="13:13" x14ac:dyDescent="0.25">
      <c r="M73" s="9"/>
    </row>
    <row r="74" spans="13:13" x14ac:dyDescent="0.25">
      <c r="M74" s="9"/>
    </row>
    <row r="75" spans="13:13" x14ac:dyDescent="0.25">
      <c r="M75" s="9"/>
    </row>
    <row r="76" spans="13:13" x14ac:dyDescent="0.25">
      <c r="M76" s="9"/>
    </row>
    <row r="77" spans="13:13" x14ac:dyDescent="0.25">
      <c r="M77" s="9"/>
    </row>
    <row r="78" spans="13:13" x14ac:dyDescent="0.25">
      <c r="M78" s="9"/>
    </row>
    <row r="79" spans="13:13" x14ac:dyDescent="0.25">
      <c r="M79" s="9"/>
    </row>
    <row r="80" spans="13:13" x14ac:dyDescent="0.25">
      <c r="M80" s="9"/>
    </row>
    <row r="81" spans="13:13" x14ac:dyDescent="0.25">
      <c r="M81" s="9"/>
    </row>
    <row r="82" spans="13:13" x14ac:dyDescent="0.25">
      <c r="M82" s="9"/>
    </row>
    <row r="83" spans="13:13" x14ac:dyDescent="0.25">
      <c r="M83" s="9"/>
    </row>
    <row r="84" spans="13:13" x14ac:dyDescent="0.25">
      <c r="M84" s="9"/>
    </row>
    <row r="85" spans="13:13" x14ac:dyDescent="0.25">
      <c r="M85" s="9"/>
    </row>
    <row r="86" spans="13:13" x14ac:dyDescent="0.25">
      <c r="M86" s="9"/>
    </row>
    <row r="87" spans="13:13" x14ac:dyDescent="0.25">
      <c r="M87" s="9"/>
    </row>
    <row r="88" spans="13:13" x14ac:dyDescent="0.25">
      <c r="M88" s="9"/>
    </row>
    <row r="89" spans="13:13" x14ac:dyDescent="0.25">
      <c r="M89" s="9"/>
    </row>
    <row r="90" spans="13:13" x14ac:dyDescent="0.25">
      <c r="M90" s="9"/>
    </row>
    <row r="91" spans="13:13" x14ac:dyDescent="0.25">
      <c r="M91" s="9"/>
    </row>
    <row r="92" spans="13:13" x14ac:dyDescent="0.25">
      <c r="M92" s="9"/>
    </row>
    <row r="93" spans="13:13" x14ac:dyDescent="0.25">
      <c r="M93" s="9"/>
    </row>
    <row r="94" spans="13:13" x14ac:dyDescent="0.25">
      <c r="M94" s="9"/>
    </row>
    <row r="95" spans="13:13" x14ac:dyDescent="0.25">
      <c r="M95" s="9"/>
    </row>
    <row r="96" spans="13:13" x14ac:dyDescent="0.25">
      <c r="M96" s="9"/>
    </row>
    <row r="97" spans="13:13" x14ac:dyDescent="0.25">
      <c r="M97" s="9"/>
    </row>
    <row r="98" spans="13:13" x14ac:dyDescent="0.25">
      <c r="M98" s="9"/>
    </row>
    <row r="99" spans="13:13" x14ac:dyDescent="0.25">
      <c r="M99" s="9"/>
    </row>
  </sheetData>
  <mergeCells count="44">
    <mergeCell ref="C48:I48"/>
    <mergeCell ref="J48:N48"/>
    <mergeCell ref="C50:N50"/>
    <mergeCell ref="J53:K53"/>
    <mergeCell ref="L4:L5"/>
    <mergeCell ref="L6:L7"/>
    <mergeCell ref="D10:H10"/>
    <mergeCell ref="D44:H44"/>
    <mergeCell ref="D45:H45"/>
    <mergeCell ref="D46:H46"/>
    <mergeCell ref="C51:N51"/>
    <mergeCell ref="B2:O2"/>
    <mergeCell ref="B3:O3"/>
    <mergeCell ref="B4:C4"/>
    <mergeCell ref="B5:C5"/>
    <mergeCell ref="B6:C6"/>
    <mergeCell ref="D6:H7"/>
    <mergeCell ref="B7:C7"/>
    <mergeCell ref="N12:N14"/>
    <mergeCell ref="N15:N17"/>
    <mergeCell ref="D12:H12"/>
    <mergeCell ref="D15:H15"/>
    <mergeCell ref="N18:N20"/>
    <mergeCell ref="C47:I47"/>
    <mergeCell ref="D33:H33"/>
    <mergeCell ref="N21:N23"/>
    <mergeCell ref="N24:N26"/>
    <mergeCell ref="D18:H18"/>
    <mergeCell ref="D21:H21"/>
    <mergeCell ref="D24:H24"/>
    <mergeCell ref="N27:N29"/>
    <mergeCell ref="D27:H27"/>
    <mergeCell ref="D30:H30"/>
    <mergeCell ref="D31:H31"/>
    <mergeCell ref="D32:H32"/>
    <mergeCell ref="D40:H40"/>
    <mergeCell ref="D41:H41"/>
    <mergeCell ref="D42:H42"/>
    <mergeCell ref="D43:H43"/>
    <mergeCell ref="D34:H34"/>
    <mergeCell ref="D35:H35"/>
    <mergeCell ref="D36:H36"/>
    <mergeCell ref="D38:H38"/>
    <mergeCell ref="D39:H39"/>
  </mergeCells>
  <pageMargins left="0.23622047244094491" right="0.23622047244094491" top="0.74803149606299213" bottom="0.74803149606299213" header="0.31496062992125984" footer="0.31496062992125984"/>
  <pageSetup paperSize="9" scale="57" orientation="portrait" horizontalDpi="1200" verticalDpi="1200" r:id="rId1"/>
  <headerFooter>
    <oddFooter>&amp;L_x000D_&amp;1#&amp;"Trebuchet MS"&amp;9&amp;K737373 PÚBLICA</oddFooter>
  </headerFooter>
  <ignoredErrors>
    <ignoredError sqref="J32 K3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Y69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85546875" style="1" bestFit="1" customWidth="1"/>
    <col min="2" max="2" width="46.7109375" style="1" customWidth="1"/>
    <col min="3" max="3" width="30.7109375" style="1" customWidth="1"/>
    <col min="4" max="4" width="15.85546875" style="1" customWidth="1"/>
    <col min="5" max="5" width="21" style="1" customWidth="1"/>
    <col min="6" max="7" width="15.7109375" style="1" customWidth="1"/>
    <col min="8" max="8" width="15.85546875" style="1" customWidth="1"/>
    <col min="9" max="10" width="12.7109375" style="1" customWidth="1"/>
    <col min="11" max="11" width="25" style="1" bestFit="1" customWidth="1"/>
    <col min="12" max="25" width="8.85546875" style="1"/>
  </cols>
  <sheetData>
    <row r="1" spans="1:11" x14ac:dyDescent="0.25">
      <c r="A1" s="37" t="s">
        <v>95</v>
      </c>
      <c r="B1" s="38" t="s">
        <v>96</v>
      </c>
      <c r="C1" s="38" t="s">
        <v>75</v>
      </c>
      <c r="D1" s="38" t="s">
        <v>97</v>
      </c>
      <c r="E1" s="38" t="s">
        <v>71</v>
      </c>
      <c r="F1" s="38" t="s">
        <v>72</v>
      </c>
      <c r="G1" s="38" t="s">
        <v>73</v>
      </c>
      <c r="H1" s="38" t="s">
        <v>70</v>
      </c>
      <c r="I1" s="78" t="s">
        <v>22</v>
      </c>
      <c r="J1" s="78" t="s">
        <v>101</v>
      </c>
      <c r="K1" s="78" t="s">
        <v>93</v>
      </c>
    </row>
    <row r="2" spans="1:11" x14ac:dyDescent="0.25">
      <c r="H2" s="39"/>
      <c r="J2" s="45"/>
    </row>
    <row r="3" spans="1:11" x14ac:dyDescent="0.25">
      <c r="D3" s="39"/>
      <c r="E3" s="39"/>
      <c r="F3" s="39"/>
      <c r="G3" s="39"/>
      <c r="H3" s="39"/>
      <c r="I3" s="45"/>
      <c r="J3" s="45"/>
    </row>
    <row r="4" spans="1:11" x14ac:dyDescent="0.25">
      <c r="D4" s="39"/>
      <c r="E4" s="39"/>
      <c r="F4" s="39"/>
      <c r="G4" s="39"/>
      <c r="H4" s="39"/>
      <c r="I4" s="45"/>
      <c r="J4" s="45"/>
    </row>
    <row r="5" spans="1:11" x14ac:dyDescent="0.25">
      <c r="D5" s="39"/>
      <c r="E5" s="39"/>
      <c r="F5" s="39"/>
      <c r="G5" s="39"/>
      <c r="H5" s="39"/>
      <c r="I5" s="45"/>
      <c r="J5" s="45"/>
    </row>
    <row r="6" spans="1:11" x14ac:dyDescent="0.25">
      <c r="D6" s="39"/>
      <c r="E6" s="39"/>
      <c r="F6" s="39"/>
      <c r="G6" s="39"/>
      <c r="H6" s="39"/>
      <c r="I6" s="45"/>
      <c r="J6" s="45"/>
    </row>
    <row r="7" spans="1:11" x14ac:dyDescent="0.25">
      <c r="D7" s="39"/>
      <c r="E7" s="39"/>
      <c r="F7" s="39"/>
      <c r="G7" s="39"/>
      <c r="H7" s="39"/>
      <c r="I7" s="45"/>
      <c r="J7" s="45"/>
    </row>
    <row r="8" spans="1:11" x14ac:dyDescent="0.25">
      <c r="D8" s="39"/>
      <c r="E8" s="39"/>
      <c r="F8" s="39"/>
      <c r="G8" s="39"/>
      <c r="H8" s="39"/>
      <c r="I8" s="45"/>
      <c r="J8" s="45"/>
    </row>
    <row r="9" spans="1:11" x14ac:dyDescent="0.25">
      <c r="D9" s="39"/>
      <c r="E9" s="39"/>
      <c r="F9" s="39"/>
      <c r="G9" s="39"/>
      <c r="H9" s="39"/>
      <c r="I9" s="45"/>
      <c r="J9" s="45"/>
    </row>
    <row r="10" spans="1:11" x14ac:dyDescent="0.25">
      <c r="D10" s="39"/>
      <c r="E10" s="39"/>
      <c r="F10" s="39"/>
      <c r="G10" s="39"/>
      <c r="H10" s="39"/>
      <c r="I10" s="45"/>
      <c r="J10" s="45"/>
    </row>
    <row r="11" spans="1:11" x14ac:dyDescent="0.25">
      <c r="D11" s="39"/>
      <c r="E11" s="39"/>
      <c r="F11" s="39"/>
      <c r="G11" s="39"/>
      <c r="H11" s="39"/>
      <c r="I11" s="45"/>
      <c r="J11" s="45"/>
    </row>
    <row r="12" spans="1:11" x14ac:dyDescent="0.25">
      <c r="D12" s="39"/>
      <c r="E12" s="39"/>
      <c r="F12" s="39"/>
      <c r="G12" s="39"/>
      <c r="H12" s="39"/>
      <c r="I12" s="45"/>
      <c r="J12" s="45"/>
    </row>
    <row r="13" spans="1:11" x14ac:dyDescent="0.25">
      <c r="D13" s="39"/>
      <c r="E13" s="39"/>
      <c r="F13" s="39"/>
      <c r="G13" s="39"/>
      <c r="H13" s="39"/>
      <c r="I13" s="45"/>
      <c r="J13" s="45"/>
    </row>
    <row r="14" spans="1:11" x14ac:dyDescent="0.25">
      <c r="D14" s="39"/>
      <c r="E14" s="39"/>
      <c r="F14" s="39"/>
      <c r="G14" s="39"/>
      <c r="H14" s="39"/>
      <c r="I14" s="45"/>
      <c r="J14" s="45"/>
    </row>
    <row r="15" spans="1:11" x14ac:dyDescent="0.25">
      <c r="D15" s="39"/>
      <c r="E15" s="39"/>
      <c r="F15" s="39"/>
      <c r="G15" s="39"/>
      <c r="H15" s="39"/>
      <c r="I15" s="45"/>
      <c r="J15" s="45"/>
    </row>
    <row r="16" spans="1:11" x14ac:dyDescent="0.25">
      <c r="D16" s="39"/>
      <c r="E16" s="39"/>
      <c r="F16" s="39"/>
      <c r="G16" s="39"/>
      <c r="H16" s="39"/>
      <c r="I16" s="45"/>
      <c r="J16" s="45"/>
    </row>
    <row r="17" spans="2:17" x14ac:dyDescent="0.25">
      <c r="D17" s="39"/>
      <c r="E17" s="39"/>
      <c r="F17" s="39"/>
      <c r="G17" s="39"/>
      <c r="H17" s="39"/>
      <c r="I17" s="45"/>
      <c r="J17" s="45"/>
    </row>
    <row r="18" spans="2:17" x14ac:dyDescent="0.25">
      <c r="D18" s="39"/>
      <c r="E18" s="39"/>
      <c r="F18" s="39"/>
      <c r="G18" s="39"/>
      <c r="H18" s="39"/>
      <c r="I18" s="45"/>
      <c r="J18" s="45"/>
    </row>
    <row r="19" spans="2:17" x14ac:dyDescent="0.25">
      <c r="D19" s="39"/>
      <c r="E19" s="39"/>
      <c r="F19" s="39"/>
      <c r="G19" s="39"/>
      <c r="H19" s="39"/>
      <c r="I19" s="45"/>
      <c r="J19" s="45"/>
    </row>
    <row r="20" spans="2:17" x14ac:dyDescent="0.25">
      <c r="D20" s="39"/>
      <c r="E20" s="39"/>
      <c r="F20" s="39"/>
      <c r="G20" s="39"/>
      <c r="H20" s="39"/>
      <c r="I20" s="45"/>
      <c r="J20" s="45"/>
    </row>
    <row r="21" spans="2:17" x14ac:dyDescent="0.25">
      <c r="D21" s="39"/>
      <c r="E21" s="39"/>
      <c r="F21" s="39"/>
      <c r="G21" s="39"/>
      <c r="H21" s="39"/>
      <c r="I21" s="45"/>
      <c r="J21" s="45"/>
    </row>
    <row r="22" spans="2:17" x14ac:dyDescent="0.25">
      <c r="D22" s="39"/>
      <c r="E22" s="39"/>
      <c r="F22" s="39"/>
      <c r="G22" s="39"/>
      <c r="H22" s="39"/>
      <c r="I22" s="45"/>
      <c r="J22" s="45"/>
      <c r="M22" s="46"/>
      <c r="N22" s="46"/>
      <c r="O22" s="46"/>
      <c r="Q22" s="47"/>
    </row>
    <row r="23" spans="2:17" x14ac:dyDescent="0.25">
      <c r="D23" s="39"/>
      <c r="E23" s="39"/>
      <c r="F23" s="39"/>
      <c r="G23" s="39"/>
      <c r="H23" s="39"/>
      <c r="I23" s="45"/>
      <c r="J23" s="45"/>
      <c r="Q23" s="47"/>
    </row>
    <row r="24" spans="2:17" x14ac:dyDescent="0.25">
      <c r="D24" s="39"/>
      <c r="E24" s="39"/>
      <c r="F24" s="39"/>
      <c r="G24" s="39"/>
      <c r="H24" s="39"/>
      <c r="I24" s="45"/>
      <c r="J24" s="45"/>
      <c r="Q24" s="47"/>
    </row>
    <row r="25" spans="2:17" x14ac:dyDescent="0.25">
      <c r="D25" s="39"/>
      <c r="E25" s="39"/>
      <c r="F25" s="39"/>
      <c r="G25" s="39"/>
      <c r="H25" s="39"/>
      <c r="I25" s="45"/>
      <c r="J25" s="45"/>
      <c r="Q25" s="47"/>
    </row>
    <row r="26" spans="2:17" x14ac:dyDescent="0.25">
      <c r="D26" s="39"/>
      <c r="E26" s="39"/>
      <c r="F26" s="39"/>
      <c r="G26" s="39"/>
      <c r="H26" s="39"/>
      <c r="I26" s="45"/>
      <c r="J26" s="45"/>
      <c r="Q26" s="47"/>
    </row>
    <row r="27" spans="2:17" x14ac:dyDescent="0.25">
      <c r="D27" s="39"/>
      <c r="E27" s="39"/>
      <c r="F27" s="39"/>
      <c r="G27" s="39"/>
      <c r="H27" s="39"/>
      <c r="I27" s="45"/>
      <c r="J27" s="45"/>
      <c r="Q27" s="47"/>
    </row>
    <row r="28" spans="2:17" x14ac:dyDescent="0.25">
      <c r="D28" s="39"/>
      <c r="E28" s="39"/>
      <c r="F28" s="39"/>
      <c r="G28" s="39"/>
      <c r="H28" s="39"/>
      <c r="I28" s="45"/>
      <c r="J28" s="45"/>
      <c r="Q28" s="47"/>
    </row>
    <row r="29" spans="2:17" x14ac:dyDescent="0.25">
      <c r="D29" s="39"/>
      <c r="E29" s="39"/>
      <c r="F29" s="39"/>
      <c r="G29" s="39"/>
      <c r="H29" s="39"/>
      <c r="I29" s="45"/>
      <c r="J29" s="45"/>
      <c r="Q29" s="47"/>
    </row>
    <row r="30" spans="2:17" x14ac:dyDescent="0.25">
      <c r="D30" s="39"/>
      <c r="E30" s="39"/>
      <c r="F30" s="39"/>
      <c r="G30" s="39"/>
      <c r="H30" s="39"/>
      <c r="I30" s="45"/>
      <c r="J30" s="45"/>
      <c r="Q30" s="47"/>
    </row>
    <row r="31" spans="2:17" x14ac:dyDescent="0.25">
      <c r="D31" s="39"/>
      <c r="E31" s="39"/>
      <c r="F31" s="39"/>
      <c r="G31" s="39"/>
      <c r="H31" s="39"/>
      <c r="I31" s="45"/>
      <c r="J31" s="45"/>
      <c r="O31" s="48"/>
      <c r="Q31" s="47"/>
    </row>
    <row r="32" spans="2:17" x14ac:dyDescent="0.25">
      <c r="B32" s="39"/>
      <c r="D32" s="39"/>
      <c r="E32" s="39"/>
      <c r="F32" s="39"/>
      <c r="G32" s="39"/>
      <c r="H32" s="39"/>
      <c r="I32" s="45"/>
      <c r="J32" s="45"/>
      <c r="L32" s="46"/>
      <c r="M32" s="46"/>
      <c r="N32" s="46"/>
      <c r="O32" s="48"/>
      <c r="Q32" s="47"/>
    </row>
    <row r="33" spans="2:17" x14ac:dyDescent="0.25">
      <c r="D33" s="39"/>
      <c r="E33" s="39"/>
      <c r="F33" s="39"/>
      <c r="G33" s="39"/>
      <c r="H33" s="39"/>
      <c r="I33" s="45"/>
      <c r="J33" s="45"/>
      <c r="O33" s="48"/>
      <c r="Q33" s="47"/>
    </row>
    <row r="34" spans="2:17" x14ac:dyDescent="0.25">
      <c r="B34" s="39"/>
      <c r="D34" s="39"/>
      <c r="E34" s="39"/>
      <c r="F34" s="39"/>
      <c r="G34" s="39"/>
      <c r="H34" s="39"/>
      <c r="I34" s="45"/>
      <c r="J34" s="45"/>
      <c r="L34" s="46"/>
      <c r="M34" s="46"/>
      <c r="N34" s="46"/>
      <c r="O34" s="48"/>
      <c r="Q34" s="47"/>
    </row>
    <row r="35" spans="2:17" x14ac:dyDescent="0.25">
      <c r="D35" s="39"/>
      <c r="E35" s="39"/>
      <c r="F35" s="39"/>
      <c r="G35" s="39"/>
      <c r="H35" s="39"/>
      <c r="I35" s="45"/>
      <c r="J35" s="45"/>
      <c r="O35" s="48"/>
      <c r="Q35" s="47"/>
    </row>
    <row r="36" spans="2:17" x14ac:dyDescent="0.25">
      <c r="D36" s="39"/>
      <c r="E36" s="39"/>
      <c r="F36" s="39"/>
      <c r="G36" s="39"/>
      <c r="H36" s="39"/>
      <c r="I36" s="45"/>
      <c r="J36" s="45"/>
      <c r="O36" s="48"/>
      <c r="Q36" s="47"/>
    </row>
    <row r="37" spans="2:17" x14ac:dyDescent="0.25">
      <c r="D37" s="39"/>
      <c r="E37" s="39"/>
      <c r="F37" s="39"/>
      <c r="G37" s="39"/>
      <c r="H37" s="39"/>
      <c r="I37" s="45"/>
      <c r="J37" s="45"/>
      <c r="O37" s="48"/>
      <c r="Q37" s="47"/>
    </row>
    <row r="38" spans="2:17" x14ac:dyDescent="0.25">
      <c r="D38" s="39"/>
      <c r="E38" s="39"/>
      <c r="F38" s="39"/>
      <c r="G38" s="39"/>
      <c r="H38" s="39"/>
      <c r="I38" s="45"/>
      <c r="J38" s="45"/>
      <c r="O38" s="48"/>
      <c r="Q38" s="47"/>
    </row>
    <row r="39" spans="2:17" x14ac:dyDescent="0.25">
      <c r="D39" s="39"/>
      <c r="E39" s="39"/>
      <c r="F39" s="39"/>
      <c r="G39" s="39"/>
      <c r="H39" s="39"/>
      <c r="I39" s="45"/>
      <c r="J39" s="45"/>
      <c r="O39" s="48"/>
      <c r="Q39" s="47"/>
    </row>
    <row r="40" spans="2:17" x14ac:dyDescent="0.25">
      <c r="D40" s="39"/>
      <c r="E40" s="39"/>
      <c r="F40" s="39"/>
      <c r="G40" s="39"/>
      <c r="H40" s="39"/>
      <c r="I40" s="45"/>
      <c r="J40" s="45"/>
      <c r="O40" s="48"/>
      <c r="Q40" s="47"/>
    </row>
    <row r="41" spans="2:17" x14ac:dyDescent="0.25">
      <c r="D41" s="39"/>
      <c r="E41" s="39"/>
      <c r="F41" s="39"/>
      <c r="G41" s="39"/>
      <c r="H41" s="39"/>
      <c r="I41" s="45"/>
      <c r="J41" s="45"/>
      <c r="O41" s="48"/>
      <c r="Q41" s="47"/>
    </row>
    <row r="42" spans="2:17" x14ac:dyDescent="0.25">
      <c r="D42" s="39"/>
      <c r="G42" s="39"/>
      <c r="H42" s="39"/>
      <c r="I42" s="45"/>
      <c r="J42" s="45"/>
      <c r="O42" s="48"/>
      <c r="Q42" s="47"/>
    </row>
    <row r="43" spans="2:17" x14ac:dyDescent="0.25">
      <c r="D43" s="39"/>
      <c r="G43" s="39"/>
      <c r="H43" s="39"/>
      <c r="I43" s="45"/>
      <c r="J43" s="45"/>
      <c r="O43" s="48"/>
      <c r="Q43" s="47"/>
    </row>
    <row r="44" spans="2:17" x14ac:dyDescent="0.25">
      <c r="D44" s="39"/>
      <c r="G44" s="39"/>
      <c r="H44" s="39"/>
      <c r="I44" s="45"/>
      <c r="J44" s="45"/>
      <c r="O44" s="48"/>
      <c r="Q44" s="47"/>
    </row>
    <row r="45" spans="2:17" x14ac:dyDescent="0.25">
      <c r="D45" s="39"/>
      <c r="G45" s="39"/>
      <c r="H45" s="39"/>
      <c r="I45" s="45"/>
      <c r="J45" s="45"/>
      <c r="L45" s="46"/>
      <c r="M45" s="46"/>
      <c r="N45" s="46"/>
      <c r="O45" s="48"/>
      <c r="Q45" s="47"/>
    </row>
    <row r="46" spans="2:17" x14ac:dyDescent="0.25">
      <c r="D46" s="39"/>
      <c r="G46" s="39"/>
      <c r="H46" s="39"/>
      <c r="I46" s="45"/>
      <c r="J46" s="45"/>
      <c r="L46" s="46"/>
      <c r="M46" s="46"/>
      <c r="N46" s="46"/>
      <c r="O46" s="48"/>
      <c r="Q46" s="47"/>
    </row>
    <row r="47" spans="2:17" x14ac:dyDescent="0.25">
      <c r="G47" s="39"/>
      <c r="H47" s="39"/>
      <c r="I47" s="45"/>
      <c r="J47" s="45"/>
      <c r="L47" s="46"/>
      <c r="M47" s="46"/>
      <c r="N47" s="46"/>
      <c r="O47" s="48"/>
      <c r="Q47" s="47"/>
    </row>
    <row r="48" spans="2:17" x14ac:dyDescent="0.25">
      <c r="G48" s="39"/>
      <c r="H48" s="39"/>
      <c r="I48" s="45"/>
      <c r="J48" s="45"/>
      <c r="L48" s="46"/>
      <c r="M48" s="46"/>
      <c r="N48" s="46"/>
      <c r="O48" s="48"/>
      <c r="Q48" s="47"/>
    </row>
    <row r="49" spans="7:17" x14ac:dyDescent="0.25">
      <c r="G49" s="39"/>
      <c r="H49" s="39"/>
      <c r="I49" s="45"/>
      <c r="J49" s="45"/>
      <c r="O49" s="48"/>
      <c r="Q49" s="47"/>
    </row>
    <row r="50" spans="7:17" x14ac:dyDescent="0.25">
      <c r="G50" s="39"/>
      <c r="H50" s="39"/>
      <c r="I50" s="45"/>
      <c r="J50" s="45"/>
      <c r="L50" s="46"/>
      <c r="M50" s="46"/>
      <c r="N50" s="46"/>
      <c r="O50" s="48"/>
      <c r="Q50" s="47"/>
    </row>
    <row r="51" spans="7:17" x14ac:dyDescent="0.25">
      <c r="G51" s="39"/>
      <c r="H51" s="39"/>
      <c r="I51" s="45"/>
      <c r="J51" s="45"/>
      <c r="L51" s="46"/>
      <c r="M51" s="46"/>
      <c r="N51" s="46"/>
      <c r="O51" s="48"/>
      <c r="Q51" s="47"/>
    </row>
    <row r="52" spans="7:17" x14ac:dyDescent="0.25">
      <c r="G52" s="39"/>
      <c r="H52" s="39"/>
      <c r="I52" s="45"/>
      <c r="J52" s="45"/>
      <c r="L52" s="46"/>
      <c r="M52" s="46"/>
      <c r="N52" s="46"/>
      <c r="O52" s="48"/>
      <c r="Q52" s="47"/>
    </row>
    <row r="53" spans="7:17" x14ac:dyDescent="0.25">
      <c r="G53" s="39"/>
      <c r="H53" s="39"/>
      <c r="I53" s="45"/>
      <c r="J53" s="45"/>
      <c r="L53" s="46"/>
      <c r="M53" s="46"/>
      <c r="N53" s="46"/>
      <c r="O53" s="48"/>
      <c r="Q53" s="47"/>
    </row>
    <row r="54" spans="7:17" x14ac:dyDescent="0.25">
      <c r="G54" s="39"/>
      <c r="H54" s="39"/>
      <c r="I54" s="45"/>
      <c r="J54" s="45"/>
      <c r="L54" s="46"/>
      <c r="M54" s="46"/>
      <c r="N54" s="46"/>
      <c r="O54" s="48"/>
      <c r="Q54" s="47"/>
    </row>
    <row r="55" spans="7:17" x14ac:dyDescent="0.25">
      <c r="G55" s="39"/>
      <c r="H55" s="39"/>
      <c r="I55" s="45"/>
      <c r="J55" s="45"/>
      <c r="L55" s="46"/>
      <c r="M55" s="46"/>
      <c r="N55" s="46"/>
      <c r="O55" s="48"/>
      <c r="Q55" s="47"/>
    </row>
    <row r="56" spans="7:17" x14ac:dyDescent="0.25">
      <c r="H56" s="39"/>
      <c r="I56" s="45"/>
      <c r="J56" s="45"/>
    </row>
    <row r="57" spans="7:17" x14ac:dyDescent="0.25">
      <c r="H57" s="39"/>
      <c r="I57" s="45"/>
      <c r="J57" s="45"/>
    </row>
    <row r="58" spans="7:17" x14ac:dyDescent="0.25">
      <c r="I58" s="45"/>
      <c r="J58" s="45"/>
    </row>
    <row r="59" spans="7:17" x14ac:dyDescent="0.25">
      <c r="I59" s="45"/>
    </row>
    <row r="60" spans="7:17" x14ac:dyDescent="0.25">
      <c r="I60" s="45"/>
    </row>
    <row r="61" spans="7:17" x14ac:dyDescent="0.25">
      <c r="I61" s="45"/>
    </row>
    <row r="62" spans="7:17" x14ac:dyDescent="0.25">
      <c r="I62" s="45"/>
    </row>
    <row r="63" spans="7:17" x14ac:dyDescent="0.25">
      <c r="I63" s="45"/>
    </row>
    <row r="64" spans="7:17" x14ac:dyDescent="0.25">
      <c r="I64" s="45"/>
    </row>
    <row r="65" spans="9:9" x14ac:dyDescent="0.25">
      <c r="I65" s="45"/>
    </row>
    <row r="66" spans="9:9" x14ac:dyDescent="0.25">
      <c r="I66" s="45"/>
    </row>
    <row r="67" spans="9:9" x14ac:dyDescent="0.25">
      <c r="I67" s="45"/>
    </row>
    <row r="68" spans="9:9" x14ac:dyDescent="0.25">
      <c r="I68" s="45"/>
    </row>
    <row r="69" spans="9:9" x14ac:dyDescent="0.25">
      <c r="I69" s="45"/>
    </row>
  </sheetData>
  <autoFilter ref="A1:K57" xr:uid="{00000000-0009-0000-0000-000001000000}"/>
  <dataValidations count="8">
    <dataValidation allowBlank="1" showInputMessage="1" showErrorMessage="1" promptTitle="Item" prompt="Item referente a unidade de armazenamento (UA)_x000a__x000a_Obs.: embalagem" sqref="C1" xr:uid="{00000000-0002-0000-0100-000000000000}"/>
    <dataValidation allowBlank="1" showInputMessage="1" showErrorMessage="1" promptTitle="Lotação" prompt="Referente a descrição da gerência gestora" sqref="B1" xr:uid="{00000000-0002-0000-0100-000001000000}"/>
    <dataValidation allowBlank="1" showInputMessage="1" showErrorMessage="1" promptTitle="Contrato-Região" prompt="Referente a empresa CONTRATADA + contrato de guarda externa + Estado_x000a__x000a_Obs.: separado por estado conforme orientação da fiscalização" sqref="A1" xr:uid="{00000000-0002-0000-0100-000002000000}"/>
    <dataValidation allowBlank="1" showInputMessage="1" showErrorMessage="1" promptTitle="Quantidade Nova" prompt="Contrato item nº 11.1.6_x000a_QNm = Quantidade novas UA incluídas na guarda no mês corrente_x000a__x000a_Obs.: NOVOS ITENS" sqref="G1" xr:uid="{00000000-0002-0000-0100-000003000000}"/>
    <dataValidation allowBlank="1" showInputMessage="1" showErrorMessage="1" promptTitle="Quantidade Destruída" prompt="Contrato item nº 11.1.6_x000a_QDm = Quantidade de UA destruídas na guarda no mês corrente_x000a__x000a_Obs.:  DESCARTE" sqref="F1" xr:uid="{00000000-0002-0000-0100-000004000000}"/>
    <dataValidation allowBlank="1" showInputMessage="1" showErrorMessage="1" promptTitle="Quantidade Baixada" prompt="Contrato item nº 11.1.6_x000a_QBm = Quantidade de UA baixadas permanentemente da guarda no mês corrente_x000a__x000a_Obs.: BAIXA PERMANENTE" sqref="E1" xr:uid="{00000000-0002-0000-0100-000005000000}"/>
    <dataValidation allowBlank="1" showInputMessage="1" showErrorMessage="1" promptTitle="Qtd. Unid. armaz. anterior" prompt="Contrato item nº 11.1.6_x000a_QUAm-1 = Quantidade de UA armazenadas em guarda no mês anterior_x000a__x000a_Obs.: Saldo anterior" sqref="D1" xr:uid="{00000000-0002-0000-0100-000006000000}"/>
    <dataValidation allowBlank="1" showInputMessage="1" showErrorMessage="1" promptTitle="Qtd. Unid. Armazenamento" prompt="Contrato item nº 11.1.6_x000a_QUAm = Quantidade de UA armazenadas em guarda no mês corrente_x000a__x000a_Obs.: TOTAL NO PERÍODO" sqref="H1" xr:uid="{00000000-0002-0000-0100-000007000000}"/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H1002"/>
  <sheetViews>
    <sheetView tabSelected="1" topLeftCell="V1" zoomScale="95" zoomScaleNormal="95" workbookViewId="0">
      <selection activeCell="Y4" sqref="Y4"/>
    </sheetView>
  </sheetViews>
  <sheetFormatPr defaultRowHeight="15" x14ac:dyDescent="0.25"/>
  <cols>
    <col min="1" max="1" width="3.7109375" customWidth="1"/>
    <col min="2" max="2" width="51.85546875" style="2" customWidth="1"/>
    <col min="3" max="3" width="31.7109375" style="2" customWidth="1"/>
    <col min="4" max="4" width="13.7109375" style="2" customWidth="1"/>
    <col min="5" max="5" width="20.7109375" style="2" bestFit="1" customWidth="1"/>
    <col min="6" max="6" width="18.7109375" style="2" customWidth="1"/>
    <col min="7" max="7" width="40.5703125" style="2" customWidth="1"/>
    <col min="8" max="8" width="9" style="2" customWidth="1"/>
    <col min="9" max="9" width="17.7109375" style="2" customWidth="1"/>
    <col min="10" max="11" width="18.85546875" style="2" customWidth="1"/>
    <col min="12" max="12" width="18.7109375" style="2" customWidth="1"/>
    <col min="13" max="13" width="9.28515625" style="2" bestFit="1" customWidth="1"/>
    <col min="14" max="14" width="16.42578125" style="2" bestFit="1" customWidth="1"/>
    <col min="15" max="15" width="13.7109375" style="2" bestFit="1" customWidth="1"/>
    <col min="16" max="16" width="7.28515625" style="2" bestFit="1" customWidth="1"/>
    <col min="17" max="17" width="13.7109375" style="2" bestFit="1" customWidth="1"/>
    <col min="18" max="18" width="7.7109375" style="2" bestFit="1" customWidth="1"/>
    <col min="19" max="19" width="21.7109375" style="2" customWidth="1"/>
    <col min="20" max="20" width="24.7109375" style="2" customWidth="1"/>
    <col min="21" max="21" width="5.5703125" style="2" bestFit="1" customWidth="1"/>
    <col min="22" max="22" width="21.7109375" style="2" customWidth="1"/>
    <col min="23" max="23" width="24.7109375" style="2" customWidth="1"/>
    <col min="24" max="24" width="5.5703125" style="2" bestFit="1" customWidth="1"/>
    <col min="25" max="25" width="8.140625" style="1" bestFit="1" customWidth="1"/>
    <col min="26" max="26" width="7.7109375" style="1" bestFit="1" customWidth="1"/>
    <col min="27" max="27" width="10.5703125" style="1" bestFit="1" customWidth="1"/>
    <col min="28" max="28" width="14.7109375" style="1" customWidth="1"/>
    <col min="29" max="29" width="29.28515625" style="1" customWidth="1"/>
    <col min="30" max="30" width="14.85546875" style="1" bestFit="1" customWidth="1"/>
    <col min="31" max="31" width="21.7109375" style="1" bestFit="1" customWidth="1"/>
    <col min="32" max="32" width="11.5703125" style="1" bestFit="1" customWidth="1"/>
    <col min="33" max="33" width="8.85546875" style="3"/>
    <col min="34" max="34" width="10.85546875" bestFit="1" customWidth="1"/>
  </cols>
  <sheetData>
    <row r="1" spans="1:34" ht="27" customHeight="1" thickTop="1" x14ac:dyDescent="0.25">
      <c r="A1" s="28"/>
      <c r="B1" s="160" t="s">
        <v>92</v>
      </c>
      <c r="C1" s="161"/>
      <c r="D1" s="162" t="s">
        <v>90</v>
      </c>
      <c r="E1" s="160"/>
      <c r="F1" s="160"/>
      <c r="G1" s="160"/>
      <c r="H1" s="161"/>
      <c r="I1" s="162" t="s">
        <v>91</v>
      </c>
      <c r="J1" s="160"/>
      <c r="K1" s="160"/>
      <c r="L1" s="160"/>
      <c r="M1" s="161"/>
      <c r="N1" s="162" t="s">
        <v>135</v>
      </c>
      <c r="O1" s="160"/>
      <c r="P1" s="160"/>
      <c r="Q1" s="160"/>
      <c r="R1" s="161"/>
      <c r="S1" s="162" t="s">
        <v>136</v>
      </c>
      <c r="T1" s="160"/>
      <c r="U1" s="160"/>
      <c r="V1" s="160" t="s">
        <v>137</v>
      </c>
      <c r="W1" s="160"/>
      <c r="X1" s="161"/>
      <c r="Y1" s="158" t="s">
        <v>94</v>
      </c>
      <c r="Z1" s="159"/>
      <c r="AA1" s="159"/>
      <c r="AB1" s="159"/>
      <c r="AC1" s="159"/>
      <c r="AD1" s="159"/>
      <c r="AE1" s="159"/>
      <c r="AF1" s="157" t="s">
        <v>140</v>
      </c>
      <c r="AG1" s="157"/>
      <c r="AH1" s="157"/>
    </row>
    <row r="2" spans="1:34" x14ac:dyDescent="0.25">
      <c r="A2" s="29"/>
      <c r="B2" s="31" t="s">
        <v>76</v>
      </c>
      <c r="C2" s="32" t="s">
        <v>75</v>
      </c>
      <c r="D2" s="33" t="s">
        <v>81</v>
      </c>
      <c r="E2" s="34" t="s">
        <v>121</v>
      </c>
      <c r="F2" s="31" t="s">
        <v>122</v>
      </c>
      <c r="G2" s="31" t="s">
        <v>123</v>
      </c>
      <c r="H2" s="32" t="s">
        <v>23</v>
      </c>
      <c r="I2" s="33" t="s">
        <v>139</v>
      </c>
      <c r="J2" s="31" t="s">
        <v>82</v>
      </c>
      <c r="K2" s="34" t="s">
        <v>124</v>
      </c>
      <c r="L2" s="34" t="s">
        <v>127</v>
      </c>
      <c r="M2" s="32" t="s">
        <v>23</v>
      </c>
      <c r="N2" s="33" t="s">
        <v>83</v>
      </c>
      <c r="O2" s="34" t="s">
        <v>134</v>
      </c>
      <c r="P2" s="34" t="s">
        <v>84</v>
      </c>
      <c r="Q2" s="34" t="s">
        <v>85</v>
      </c>
      <c r="R2" s="32" t="s">
        <v>86</v>
      </c>
      <c r="S2" s="33" t="s">
        <v>87</v>
      </c>
      <c r="T2" s="31" t="s">
        <v>88</v>
      </c>
      <c r="U2" s="30" t="s">
        <v>138</v>
      </c>
      <c r="V2" s="33" t="s">
        <v>87</v>
      </c>
      <c r="W2" s="31" t="s">
        <v>88</v>
      </c>
      <c r="X2" s="30" t="s">
        <v>138</v>
      </c>
      <c r="Y2" s="36" t="s">
        <v>58</v>
      </c>
      <c r="Z2" s="36" t="s">
        <v>22</v>
      </c>
      <c r="AA2" s="36" t="s">
        <v>106</v>
      </c>
      <c r="AB2" s="36" t="s">
        <v>77</v>
      </c>
      <c r="AC2" s="36" t="s">
        <v>98</v>
      </c>
      <c r="AD2" s="101" t="s">
        <v>99</v>
      </c>
      <c r="AE2" s="101" t="s">
        <v>108</v>
      </c>
      <c r="AF2" s="114" t="s">
        <v>141</v>
      </c>
      <c r="AG2" s="113" t="s">
        <v>142</v>
      </c>
      <c r="AH2" s="113" t="s">
        <v>143</v>
      </c>
    </row>
    <row r="3" spans="1:34" x14ac:dyDescent="0.25">
      <c r="F3" s="35"/>
      <c r="J3" s="35"/>
      <c r="K3" s="35"/>
      <c r="L3" s="35"/>
      <c r="AD3" s="73"/>
      <c r="AF3" s="115" t="str">
        <f>IF(B3="","",TEXT(J3,"DD/MM/AA")&amp;"_"&amp;S3&amp;"_"&amp;V3)</f>
        <v/>
      </c>
      <c r="AG3" s="116" t="str">
        <f>IF(AF3="","",COUNTIF(AF3:AF$3000,AF3))</f>
        <v/>
      </c>
      <c r="AH3" s="117" t="str">
        <f>IF(AA3="","",
IF(AG3&gt;1,"",
IF(SUMIF(AF$3:AF$31,AF3,H$3:H$31)/10&lt;1,1,SUMIF(AF$3:AF$31,AF3,H$3:H$31)/10)))</f>
        <v/>
      </c>
    </row>
    <row r="4" spans="1:34" x14ac:dyDescent="0.25">
      <c r="F4" s="35"/>
      <c r="J4" s="35"/>
      <c r="K4" s="35"/>
      <c r="L4" s="35"/>
      <c r="AD4" s="73"/>
      <c r="AF4" s="115" t="str">
        <f t="shared" ref="AF4:AF67" si="0">IF(B4="","",TEXT(J4,"DD/MM/AA")&amp;"_"&amp;S4&amp;"_"&amp;V4)</f>
        <v/>
      </c>
      <c r="AG4" s="116" t="str">
        <f>IF(AF4="","",COUNTIF(AF4:AF$3000,AF4))</f>
        <v/>
      </c>
      <c r="AH4" s="117" t="str">
        <f t="shared" ref="AH4:AH67" si="1">IF(AA4="","",
IF(AG4&gt;1,"",
IF(SUMIF(AF$3:AF$31,AF4,H$3:H$31)/10&lt;1,1,SUMIF(AF$3:AF$31,AF4,H$3:H$31)/10)))</f>
        <v/>
      </c>
    </row>
    <row r="5" spans="1:34" x14ac:dyDescent="0.25">
      <c r="F5" s="35"/>
      <c r="J5" s="35"/>
      <c r="K5" s="35"/>
      <c r="L5" s="35"/>
      <c r="AD5" s="73"/>
      <c r="AF5" s="115" t="str">
        <f t="shared" si="0"/>
        <v/>
      </c>
      <c r="AG5" s="116" t="str">
        <f>IF(AF5="","",COUNTIF(AF5:AF$3000,AF5))</f>
        <v/>
      </c>
      <c r="AH5" s="117" t="str">
        <f t="shared" si="1"/>
        <v/>
      </c>
    </row>
    <row r="6" spans="1:34" x14ac:dyDescent="0.25">
      <c r="F6" s="35"/>
      <c r="J6" s="35"/>
      <c r="K6" s="35"/>
      <c r="L6" s="35"/>
      <c r="AD6" s="73"/>
      <c r="AF6" s="115" t="str">
        <f t="shared" si="0"/>
        <v/>
      </c>
      <c r="AG6" s="116" t="str">
        <f>IF(AF6="","",COUNTIF(AF6:AF$3000,AF6))</f>
        <v/>
      </c>
      <c r="AH6" s="117" t="str">
        <f t="shared" si="1"/>
        <v/>
      </c>
    </row>
    <row r="7" spans="1:34" x14ac:dyDescent="0.25">
      <c r="F7" s="35"/>
      <c r="J7" s="35"/>
      <c r="K7" s="35"/>
      <c r="L7" s="35"/>
      <c r="Z7" s="81"/>
      <c r="AD7" s="73"/>
      <c r="AF7" s="115" t="str">
        <f t="shared" si="0"/>
        <v/>
      </c>
      <c r="AG7" s="116" t="str">
        <f>IF(AF7="","",COUNTIF(AF7:AF$3000,AF7))</f>
        <v/>
      </c>
      <c r="AH7" s="117" t="str">
        <f t="shared" si="1"/>
        <v/>
      </c>
    </row>
    <row r="8" spans="1:34" x14ac:dyDescent="0.25">
      <c r="F8" s="35"/>
      <c r="J8" s="35"/>
      <c r="K8" s="35"/>
      <c r="L8" s="35"/>
      <c r="AD8" s="73"/>
      <c r="AF8" s="115" t="str">
        <f t="shared" si="0"/>
        <v/>
      </c>
      <c r="AG8" s="116" t="str">
        <f>IF(AF8="","",COUNTIF(AF8:AF$3000,AF8))</f>
        <v/>
      </c>
      <c r="AH8" s="117" t="str">
        <f t="shared" si="1"/>
        <v/>
      </c>
    </row>
    <row r="9" spans="1:34" x14ac:dyDescent="0.25">
      <c r="F9" s="35"/>
      <c r="J9" s="35"/>
      <c r="K9" s="35"/>
      <c r="L9" s="35"/>
      <c r="AD9" s="73"/>
      <c r="AF9" s="115" t="str">
        <f t="shared" si="0"/>
        <v/>
      </c>
      <c r="AG9" s="116" t="str">
        <f>IF(AF9="","",COUNTIF(AF9:AF$3000,AF9))</f>
        <v/>
      </c>
      <c r="AH9" s="117" t="str">
        <f t="shared" si="1"/>
        <v/>
      </c>
    </row>
    <row r="10" spans="1:34" x14ac:dyDescent="0.25">
      <c r="F10" s="35"/>
      <c r="J10" s="35"/>
      <c r="K10" s="35"/>
      <c r="L10" s="35"/>
      <c r="AD10" s="73"/>
      <c r="AF10" s="115" t="str">
        <f t="shared" si="0"/>
        <v/>
      </c>
      <c r="AG10" s="116" t="str">
        <f>IF(AF10="","",COUNTIF(AF10:AF$3000,AF10))</f>
        <v/>
      </c>
      <c r="AH10" s="117" t="str">
        <f t="shared" si="1"/>
        <v/>
      </c>
    </row>
    <row r="11" spans="1:34" x14ac:dyDescent="0.25">
      <c r="F11" s="35"/>
      <c r="J11" s="35"/>
      <c r="K11" s="35"/>
      <c r="L11" s="35"/>
      <c r="AA11" s="47"/>
      <c r="AD11" s="73"/>
      <c r="AF11" s="115" t="str">
        <f t="shared" si="0"/>
        <v/>
      </c>
      <c r="AG11" s="116" t="str">
        <f>IF(AF11="","",COUNTIF(AF11:AF$3000,AF11))</f>
        <v/>
      </c>
      <c r="AH11" s="117" t="str">
        <f t="shared" si="1"/>
        <v/>
      </c>
    </row>
    <row r="12" spans="1:34" x14ac:dyDescent="0.25">
      <c r="F12" s="35"/>
      <c r="J12" s="35"/>
      <c r="K12" s="35"/>
      <c r="L12" s="35"/>
      <c r="AD12" s="73"/>
      <c r="AF12" s="115" t="str">
        <f t="shared" si="0"/>
        <v/>
      </c>
      <c r="AG12" s="116" t="str">
        <f>IF(AF12="","",COUNTIF(AF12:AF$3000,AF12))</f>
        <v/>
      </c>
      <c r="AH12" s="117" t="str">
        <f t="shared" si="1"/>
        <v/>
      </c>
    </row>
    <row r="13" spans="1:34" x14ac:dyDescent="0.25">
      <c r="F13" s="35"/>
      <c r="J13" s="35"/>
      <c r="K13" s="35"/>
      <c r="L13" s="35"/>
      <c r="AD13" s="73"/>
      <c r="AF13" s="115" t="str">
        <f t="shared" si="0"/>
        <v/>
      </c>
      <c r="AG13" s="116" t="str">
        <f>IF(AF13="","",COUNTIF(AF13:AF$3000,AF13))</f>
        <v/>
      </c>
      <c r="AH13" s="117" t="str">
        <f t="shared" si="1"/>
        <v/>
      </c>
    </row>
    <row r="14" spans="1:34" x14ac:dyDescent="0.25">
      <c r="F14" s="35"/>
      <c r="J14" s="35"/>
      <c r="K14" s="35"/>
      <c r="L14" s="35"/>
      <c r="AD14" s="73"/>
      <c r="AF14" s="115" t="str">
        <f t="shared" si="0"/>
        <v/>
      </c>
      <c r="AG14" s="116" t="str">
        <f>IF(AF14="","",COUNTIF(AF14:AF$3000,AF14))</f>
        <v/>
      </c>
      <c r="AH14" s="117" t="str">
        <f t="shared" si="1"/>
        <v/>
      </c>
    </row>
    <row r="15" spans="1:34" x14ac:dyDescent="0.25">
      <c r="F15" s="35"/>
      <c r="J15" s="35"/>
      <c r="K15" s="35"/>
      <c r="L15" s="35"/>
      <c r="AD15" s="73"/>
      <c r="AF15" s="115" t="str">
        <f t="shared" si="0"/>
        <v/>
      </c>
      <c r="AG15" s="116" t="str">
        <f>IF(AF15="","",COUNTIF(AF15:AF$3000,AF15))</f>
        <v/>
      </c>
      <c r="AH15" s="117" t="str">
        <f t="shared" si="1"/>
        <v/>
      </c>
    </row>
    <row r="16" spans="1:34" x14ac:dyDescent="0.25">
      <c r="F16" s="35"/>
      <c r="J16" s="35"/>
      <c r="K16" s="35"/>
      <c r="L16" s="35"/>
      <c r="AD16" s="73"/>
      <c r="AF16" s="115" t="str">
        <f t="shared" si="0"/>
        <v/>
      </c>
      <c r="AG16" s="116" t="str">
        <f>IF(AF16="","",COUNTIF(AF16:AF$3000,AF16))</f>
        <v/>
      </c>
      <c r="AH16" s="117" t="str">
        <f t="shared" si="1"/>
        <v/>
      </c>
    </row>
    <row r="17" spans="6:34" x14ac:dyDescent="0.25">
      <c r="F17" s="35"/>
      <c r="J17" s="35"/>
      <c r="K17" s="35"/>
      <c r="L17" s="35"/>
      <c r="AD17" s="73"/>
      <c r="AF17" s="115" t="str">
        <f t="shared" si="0"/>
        <v/>
      </c>
      <c r="AG17" s="116" t="str">
        <f>IF(AF17="","",COUNTIF(AF17:AF$3000,AF17))</f>
        <v/>
      </c>
      <c r="AH17" s="117" t="str">
        <f t="shared" si="1"/>
        <v/>
      </c>
    </row>
    <row r="18" spans="6:34" x14ac:dyDescent="0.25">
      <c r="F18" s="35"/>
      <c r="J18" s="35"/>
      <c r="K18" s="35"/>
      <c r="L18" s="35"/>
      <c r="AD18" s="73"/>
      <c r="AF18" s="115" t="str">
        <f t="shared" si="0"/>
        <v/>
      </c>
      <c r="AG18" s="116" t="str">
        <f>IF(AF18="","",COUNTIF(AF18:AF$3000,AF18))</f>
        <v/>
      </c>
      <c r="AH18" s="117" t="str">
        <f t="shared" si="1"/>
        <v/>
      </c>
    </row>
    <row r="19" spans="6:34" x14ac:dyDescent="0.25">
      <c r="F19" s="35"/>
      <c r="J19" s="35"/>
      <c r="K19" s="35"/>
      <c r="L19" s="35"/>
      <c r="AD19" s="73"/>
      <c r="AF19" s="115" t="str">
        <f t="shared" si="0"/>
        <v/>
      </c>
      <c r="AG19" s="116" t="str">
        <f>IF(AF19="","",COUNTIF(AF19:AF$3000,AF19))</f>
        <v/>
      </c>
      <c r="AH19" s="117" t="str">
        <f t="shared" si="1"/>
        <v/>
      </c>
    </row>
    <row r="20" spans="6:34" x14ac:dyDescent="0.25">
      <c r="F20" s="35"/>
      <c r="J20" s="35"/>
      <c r="K20" s="35"/>
      <c r="L20" s="35"/>
      <c r="AD20" s="73"/>
      <c r="AF20" s="115" t="str">
        <f t="shared" si="0"/>
        <v/>
      </c>
      <c r="AG20" s="116" t="str">
        <f>IF(AF20="","",COUNTIF(AF20:AF$3000,AF20))</f>
        <v/>
      </c>
      <c r="AH20" s="117" t="str">
        <f t="shared" si="1"/>
        <v/>
      </c>
    </row>
    <row r="21" spans="6:34" x14ac:dyDescent="0.25">
      <c r="F21" s="35"/>
      <c r="J21" s="35"/>
      <c r="K21" s="35"/>
      <c r="L21" s="35"/>
      <c r="AD21" s="73"/>
      <c r="AF21" s="115" t="str">
        <f t="shared" si="0"/>
        <v/>
      </c>
      <c r="AG21" s="116" t="str">
        <f>IF(AF21="","",COUNTIF(AF21:AF$3000,AF21))</f>
        <v/>
      </c>
      <c r="AH21" s="117" t="str">
        <f t="shared" si="1"/>
        <v/>
      </c>
    </row>
    <row r="22" spans="6:34" x14ac:dyDescent="0.25">
      <c r="F22" s="35"/>
      <c r="J22" s="35"/>
      <c r="K22" s="35"/>
      <c r="L22" s="35"/>
      <c r="AA22" s="2"/>
      <c r="AB22" s="2"/>
      <c r="AD22" s="73"/>
      <c r="AF22" s="115" t="str">
        <f t="shared" si="0"/>
        <v/>
      </c>
      <c r="AG22" s="116" t="str">
        <f>IF(AF22="","",COUNTIF(AF22:AF$3000,AF22))</f>
        <v/>
      </c>
      <c r="AH22" s="117" t="str">
        <f t="shared" si="1"/>
        <v/>
      </c>
    </row>
    <row r="23" spans="6:34" x14ac:dyDescent="0.25">
      <c r="F23" s="35"/>
      <c r="J23" s="35"/>
      <c r="K23" s="35"/>
      <c r="L23" s="35"/>
      <c r="R23" s="105"/>
      <c r="AA23" s="2"/>
      <c r="AB23" s="2"/>
      <c r="AD23" s="73"/>
      <c r="AF23" s="115" t="str">
        <f t="shared" si="0"/>
        <v/>
      </c>
      <c r="AG23" s="116" t="str">
        <f>IF(AF23="","",COUNTIF(AF23:AF$3000,AF23))</f>
        <v/>
      </c>
      <c r="AH23" s="117" t="str">
        <f t="shared" si="1"/>
        <v/>
      </c>
    </row>
    <row r="24" spans="6:34" x14ac:dyDescent="0.25">
      <c r="F24" s="35"/>
      <c r="J24" s="35"/>
      <c r="K24" s="35"/>
      <c r="L24" s="35"/>
      <c r="AA24" s="2"/>
      <c r="AB24" s="2"/>
      <c r="AD24" s="73"/>
      <c r="AF24" s="115" t="str">
        <f t="shared" si="0"/>
        <v/>
      </c>
      <c r="AG24" s="116" t="str">
        <f>IF(AF24="","",COUNTIF(AF24:AF$3000,AF24))</f>
        <v/>
      </c>
      <c r="AH24" s="117" t="str">
        <f t="shared" si="1"/>
        <v/>
      </c>
    </row>
    <row r="25" spans="6:34" x14ac:dyDescent="0.25">
      <c r="F25" s="35"/>
      <c r="J25" s="35"/>
      <c r="K25" s="35"/>
      <c r="L25" s="35"/>
      <c r="AA25" s="2"/>
      <c r="AB25" s="2"/>
      <c r="AD25" s="73"/>
      <c r="AF25" s="115" t="str">
        <f t="shared" si="0"/>
        <v/>
      </c>
      <c r="AG25" s="116" t="str">
        <f>IF(AF25="","",COUNTIF(AF25:AF$3000,AF25))</f>
        <v/>
      </c>
      <c r="AH25" s="117" t="str">
        <f t="shared" si="1"/>
        <v/>
      </c>
    </row>
    <row r="26" spans="6:34" x14ac:dyDescent="0.25">
      <c r="F26" s="35"/>
      <c r="J26" s="35"/>
      <c r="K26" s="35"/>
      <c r="L26" s="35"/>
      <c r="AA26" s="2"/>
      <c r="AB26" s="2"/>
      <c r="AD26" s="73"/>
      <c r="AF26" s="115" t="str">
        <f t="shared" si="0"/>
        <v/>
      </c>
      <c r="AG26" s="116" t="str">
        <f>IF(AF26="","",COUNTIF(AF26:AF$3000,AF26))</f>
        <v/>
      </c>
      <c r="AH26" s="117" t="str">
        <f t="shared" si="1"/>
        <v/>
      </c>
    </row>
    <row r="27" spans="6:34" x14ac:dyDescent="0.25">
      <c r="F27" s="35"/>
      <c r="J27" s="35"/>
      <c r="K27" s="35"/>
      <c r="L27" s="35"/>
      <c r="AA27" s="2"/>
      <c r="AB27" s="2"/>
      <c r="AD27" s="73"/>
      <c r="AF27" s="115" t="str">
        <f t="shared" si="0"/>
        <v/>
      </c>
      <c r="AG27" s="116" t="str">
        <f>IF(AF27="","",COUNTIF(AF27:AF$3000,AF27))</f>
        <v/>
      </c>
      <c r="AH27" s="117" t="str">
        <f t="shared" si="1"/>
        <v/>
      </c>
    </row>
    <row r="28" spans="6:34" x14ac:dyDescent="0.25">
      <c r="F28" s="35"/>
      <c r="J28" s="35"/>
      <c r="K28" s="35"/>
      <c r="L28" s="35"/>
      <c r="AA28" s="2"/>
      <c r="AB28" s="2"/>
      <c r="AD28" s="73"/>
      <c r="AF28" s="115" t="str">
        <f t="shared" si="0"/>
        <v/>
      </c>
      <c r="AG28" s="116" t="str">
        <f>IF(AF28="","",COUNTIF(AF28:AF$3000,AF28))</f>
        <v/>
      </c>
      <c r="AH28" s="117" t="str">
        <f t="shared" si="1"/>
        <v/>
      </c>
    </row>
    <row r="29" spans="6:34" x14ac:dyDescent="0.25">
      <c r="F29" s="35"/>
      <c r="J29" s="35"/>
      <c r="K29" s="35"/>
      <c r="L29" s="35"/>
      <c r="AA29" s="2"/>
      <c r="AB29" s="2"/>
      <c r="AF29" s="115" t="str">
        <f t="shared" si="0"/>
        <v/>
      </c>
      <c r="AG29" s="116" t="str">
        <f>IF(AF29="","",COUNTIF(AF29:AF$3000,AF29))</f>
        <v/>
      </c>
      <c r="AH29" s="117" t="str">
        <f t="shared" si="1"/>
        <v/>
      </c>
    </row>
    <row r="30" spans="6:34" x14ac:dyDescent="0.25">
      <c r="F30" s="35"/>
      <c r="J30" s="35"/>
      <c r="K30" s="35"/>
      <c r="L30" s="35"/>
      <c r="AA30" s="2"/>
      <c r="AB30" s="2"/>
      <c r="AF30" s="115" t="str">
        <f t="shared" si="0"/>
        <v/>
      </c>
      <c r="AG30" s="116" t="str">
        <f>IF(AF30="","",COUNTIF(AF30:AF$3000,AF30))</f>
        <v/>
      </c>
      <c r="AH30" s="117" t="str">
        <f t="shared" si="1"/>
        <v/>
      </c>
    </row>
    <row r="31" spans="6:34" x14ac:dyDescent="0.25">
      <c r="F31" s="35"/>
      <c r="J31" s="35"/>
      <c r="K31" s="35"/>
      <c r="L31" s="35"/>
      <c r="AA31" s="2"/>
      <c r="AB31" s="2"/>
      <c r="AF31" s="115" t="str">
        <f t="shared" si="0"/>
        <v/>
      </c>
      <c r="AG31" s="116" t="str">
        <f>IF(AF31="","",COUNTIF(AF31:AF$3000,AF31))</f>
        <v/>
      </c>
      <c r="AH31" s="117" t="str">
        <f t="shared" si="1"/>
        <v/>
      </c>
    </row>
    <row r="32" spans="6:34" x14ac:dyDescent="0.25">
      <c r="F32" s="35"/>
      <c r="J32" s="35"/>
      <c r="K32" s="35"/>
      <c r="L32" s="35"/>
      <c r="AA32" s="2"/>
      <c r="AB32" s="2"/>
      <c r="AF32" s="115" t="str">
        <f t="shared" si="0"/>
        <v/>
      </c>
      <c r="AG32" s="116" t="str">
        <f>IF(AF32="","",COUNTIF(AF32:AF$3000,AF32))</f>
        <v/>
      </c>
      <c r="AH32" s="117" t="str">
        <f t="shared" si="1"/>
        <v/>
      </c>
    </row>
    <row r="33" spans="6:34" x14ac:dyDescent="0.25">
      <c r="F33" s="35"/>
      <c r="J33" s="35"/>
      <c r="K33" s="35"/>
      <c r="L33" s="35"/>
      <c r="AA33" s="2"/>
      <c r="AB33" s="2"/>
      <c r="AF33" s="115" t="str">
        <f t="shared" si="0"/>
        <v/>
      </c>
      <c r="AG33" s="116" t="str">
        <f>IF(AF33="","",COUNTIF(AF33:AF$3000,AF33))</f>
        <v/>
      </c>
      <c r="AH33" s="117" t="str">
        <f t="shared" si="1"/>
        <v/>
      </c>
    </row>
    <row r="34" spans="6:34" x14ac:dyDescent="0.25">
      <c r="F34" s="35"/>
      <c r="J34" s="35"/>
      <c r="K34" s="35"/>
      <c r="L34" s="35"/>
      <c r="AA34" s="2"/>
      <c r="AB34" s="2"/>
      <c r="AF34" s="115" t="str">
        <f t="shared" si="0"/>
        <v/>
      </c>
      <c r="AG34" s="116" t="str">
        <f>IF(AF34="","",COUNTIF(AF34:AF$3000,AF34))</f>
        <v/>
      </c>
      <c r="AH34" s="117" t="str">
        <f t="shared" si="1"/>
        <v/>
      </c>
    </row>
    <row r="35" spans="6:34" x14ac:dyDescent="0.25">
      <c r="F35" s="35"/>
      <c r="J35" s="35"/>
      <c r="K35" s="35"/>
      <c r="L35" s="35"/>
      <c r="AA35" s="2"/>
      <c r="AB35" s="2"/>
      <c r="AF35" s="115" t="str">
        <f t="shared" si="0"/>
        <v/>
      </c>
      <c r="AG35" s="116" t="str">
        <f>IF(AF35="","",COUNTIF(AF35:AF$3000,AF35))</f>
        <v/>
      </c>
      <c r="AH35" s="117" t="str">
        <f t="shared" si="1"/>
        <v/>
      </c>
    </row>
    <row r="36" spans="6:34" x14ac:dyDescent="0.25">
      <c r="F36" s="35"/>
      <c r="J36" s="35"/>
      <c r="K36" s="35"/>
      <c r="L36" s="35"/>
      <c r="AA36" s="2"/>
      <c r="AB36" s="2"/>
      <c r="AF36" s="115" t="str">
        <f t="shared" si="0"/>
        <v/>
      </c>
      <c r="AG36" s="116" t="str">
        <f>IF(AF36="","",COUNTIF(AF36:AF$3000,AF36))</f>
        <v/>
      </c>
      <c r="AH36" s="117" t="str">
        <f t="shared" si="1"/>
        <v/>
      </c>
    </row>
    <row r="37" spans="6:34" x14ac:dyDescent="0.25">
      <c r="F37" s="35"/>
      <c r="J37" s="35"/>
      <c r="K37" s="35"/>
      <c r="L37" s="35"/>
      <c r="AF37" s="115" t="str">
        <f t="shared" si="0"/>
        <v/>
      </c>
      <c r="AG37" s="116" t="str">
        <f>IF(AF37="","",COUNTIF(AF37:AF$3000,AF37))</f>
        <v/>
      </c>
      <c r="AH37" s="117" t="str">
        <f t="shared" si="1"/>
        <v/>
      </c>
    </row>
    <row r="38" spans="6:34" x14ac:dyDescent="0.25">
      <c r="F38" s="35"/>
      <c r="J38" s="35"/>
      <c r="K38" s="35"/>
      <c r="L38" s="35"/>
      <c r="AF38" s="115" t="str">
        <f t="shared" si="0"/>
        <v/>
      </c>
      <c r="AG38" s="116" t="str">
        <f>IF(AF38="","",COUNTIF(AF38:AF$3000,AF38))</f>
        <v/>
      </c>
      <c r="AH38" s="117" t="str">
        <f t="shared" si="1"/>
        <v/>
      </c>
    </row>
    <row r="39" spans="6:34" x14ac:dyDescent="0.25">
      <c r="F39" s="35"/>
      <c r="J39" s="35"/>
      <c r="K39" s="35"/>
      <c r="L39" s="35"/>
      <c r="AF39" s="115" t="str">
        <f t="shared" si="0"/>
        <v/>
      </c>
      <c r="AG39" s="116" t="str">
        <f>IF(AF39="","",COUNTIF(AF39:AF$3000,AF39))</f>
        <v/>
      </c>
      <c r="AH39" s="117" t="str">
        <f t="shared" si="1"/>
        <v/>
      </c>
    </row>
    <row r="40" spans="6:34" x14ac:dyDescent="0.25">
      <c r="F40" s="35"/>
      <c r="J40" s="35"/>
      <c r="K40" s="35"/>
      <c r="L40" s="35"/>
      <c r="AF40" s="115" t="str">
        <f t="shared" si="0"/>
        <v/>
      </c>
      <c r="AG40" s="116" t="str">
        <f>IF(AF40="","",COUNTIF(AF40:AF$3000,AF40))</f>
        <v/>
      </c>
      <c r="AH40" s="117" t="str">
        <f t="shared" si="1"/>
        <v/>
      </c>
    </row>
    <row r="41" spans="6:34" x14ac:dyDescent="0.25">
      <c r="F41" s="35"/>
      <c r="J41" s="35"/>
      <c r="K41" s="35"/>
      <c r="L41" s="35"/>
      <c r="AF41" s="115" t="str">
        <f t="shared" si="0"/>
        <v/>
      </c>
      <c r="AG41" s="116" t="str">
        <f>IF(AF41="","",COUNTIF(AF41:AF$3000,AF41))</f>
        <v/>
      </c>
      <c r="AH41" s="117" t="str">
        <f t="shared" si="1"/>
        <v/>
      </c>
    </row>
    <row r="42" spans="6:34" x14ac:dyDescent="0.25">
      <c r="F42" s="35"/>
      <c r="J42" s="35"/>
      <c r="K42" s="35"/>
      <c r="L42" s="35"/>
      <c r="AF42" s="115" t="str">
        <f t="shared" si="0"/>
        <v/>
      </c>
      <c r="AG42" s="116" t="str">
        <f>IF(AF42="","",COUNTIF(AF42:AF$3000,AF42))</f>
        <v/>
      </c>
      <c r="AH42" s="117" t="str">
        <f t="shared" si="1"/>
        <v/>
      </c>
    </row>
    <row r="43" spans="6:34" x14ac:dyDescent="0.25">
      <c r="F43" s="35"/>
      <c r="J43" s="35"/>
      <c r="K43" s="35"/>
      <c r="L43" s="35"/>
      <c r="AF43" s="115" t="str">
        <f t="shared" si="0"/>
        <v/>
      </c>
      <c r="AG43" s="116" t="str">
        <f>IF(AF43="","",COUNTIF(AF43:AF$3000,AF43))</f>
        <v/>
      </c>
      <c r="AH43" s="117" t="str">
        <f t="shared" si="1"/>
        <v/>
      </c>
    </row>
    <row r="44" spans="6:34" x14ac:dyDescent="0.25">
      <c r="F44" s="35"/>
      <c r="J44" s="35"/>
      <c r="K44" s="35"/>
      <c r="L44" s="35"/>
      <c r="AF44" s="115" t="str">
        <f t="shared" si="0"/>
        <v/>
      </c>
      <c r="AG44" s="116" t="str">
        <f>IF(AF44="","",COUNTIF(AF44:AF$3000,AF44))</f>
        <v/>
      </c>
      <c r="AH44" s="117" t="str">
        <f t="shared" si="1"/>
        <v/>
      </c>
    </row>
    <row r="45" spans="6:34" x14ac:dyDescent="0.25">
      <c r="F45" s="35"/>
      <c r="J45" s="35"/>
      <c r="K45" s="35"/>
      <c r="L45" s="35"/>
      <c r="AF45" s="115" t="str">
        <f t="shared" si="0"/>
        <v/>
      </c>
      <c r="AG45" s="116" t="str">
        <f>IF(AF45="","",COUNTIF(AF45:AF$3000,AF45))</f>
        <v/>
      </c>
      <c r="AH45" s="117" t="str">
        <f t="shared" si="1"/>
        <v/>
      </c>
    </row>
    <row r="46" spans="6:34" x14ac:dyDescent="0.25">
      <c r="F46" s="35"/>
      <c r="J46" s="35"/>
      <c r="K46" s="35"/>
      <c r="L46" s="35"/>
      <c r="AF46" s="115" t="str">
        <f t="shared" si="0"/>
        <v/>
      </c>
      <c r="AG46" s="116" t="str">
        <f>IF(AF46="","",COUNTIF(AF46:AF$3000,AF46))</f>
        <v/>
      </c>
      <c r="AH46" s="117" t="str">
        <f t="shared" si="1"/>
        <v/>
      </c>
    </row>
    <row r="47" spans="6:34" x14ac:dyDescent="0.25">
      <c r="F47" s="35"/>
      <c r="J47" s="35"/>
      <c r="K47" s="35"/>
      <c r="L47" s="35"/>
      <c r="AF47" s="115" t="str">
        <f t="shared" si="0"/>
        <v/>
      </c>
      <c r="AG47" s="116" t="str">
        <f>IF(AF47="","",COUNTIF(AF47:AF$3000,AF47))</f>
        <v/>
      </c>
      <c r="AH47" s="117" t="str">
        <f t="shared" si="1"/>
        <v/>
      </c>
    </row>
    <row r="48" spans="6:34" x14ac:dyDescent="0.25">
      <c r="F48" s="35"/>
      <c r="J48" s="35"/>
      <c r="K48" s="35"/>
      <c r="L48" s="35"/>
      <c r="AF48" s="115" t="str">
        <f t="shared" si="0"/>
        <v/>
      </c>
      <c r="AG48" s="116" t="str">
        <f>IF(AF48="","",COUNTIF(AF48:AF$3000,AF48))</f>
        <v/>
      </c>
      <c r="AH48" s="117" t="str">
        <f t="shared" si="1"/>
        <v/>
      </c>
    </row>
    <row r="49" spans="6:34" x14ac:dyDescent="0.25">
      <c r="F49" s="35"/>
      <c r="J49" s="35"/>
      <c r="K49" s="35"/>
      <c r="L49" s="35"/>
      <c r="AF49" s="115" t="str">
        <f t="shared" si="0"/>
        <v/>
      </c>
      <c r="AG49" s="116" t="str">
        <f>IF(AF49="","",COUNTIF(AF49:AF$3000,AF49))</f>
        <v/>
      </c>
      <c r="AH49" s="117" t="str">
        <f t="shared" si="1"/>
        <v/>
      </c>
    </row>
    <row r="50" spans="6:34" x14ac:dyDescent="0.25">
      <c r="F50" s="35"/>
      <c r="J50" s="35"/>
      <c r="K50" s="35"/>
      <c r="L50" s="35"/>
      <c r="AF50" s="115" t="str">
        <f t="shared" si="0"/>
        <v/>
      </c>
      <c r="AG50" s="116" t="str">
        <f>IF(AF50="","",COUNTIF(AF50:AF$3000,AF50))</f>
        <v/>
      </c>
      <c r="AH50" s="117" t="str">
        <f t="shared" si="1"/>
        <v/>
      </c>
    </row>
    <row r="51" spans="6:34" x14ac:dyDescent="0.25">
      <c r="F51" s="35"/>
      <c r="J51" s="35"/>
      <c r="K51" s="35"/>
      <c r="L51" s="35"/>
      <c r="AF51" s="115" t="str">
        <f t="shared" si="0"/>
        <v/>
      </c>
      <c r="AG51" s="116" t="str">
        <f>IF(AF51="","",COUNTIF(AF51:AF$3000,AF51))</f>
        <v/>
      </c>
      <c r="AH51" s="117" t="str">
        <f t="shared" si="1"/>
        <v/>
      </c>
    </row>
    <row r="52" spans="6:34" x14ac:dyDescent="0.25">
      <c r="F52" s="35"/>
      <c r="J52" s="35"/>
      <c r="K52" s="35"/>
      <c r="L52" s="35"/>
      <c r="AF52" s="115" t="str">
        <f t="shared" si="0"/>
        <v/>
      </c>
      <c r="AG52" s="116" t="str">
        <f>IF(AF52="","",COUNTIF(AF52:AF$3000,AF52))</f>
        <v/>
      </c>
      <c r="AH52" s="117" t="str">
        <f t="shared" si="1"/>
        <v/>
      </c>
    </row>
    <row r="53" spans="6:34" x14ac:dyDescent="0.25">
      <c r="F53" s="35"/>
      <c r="J53" s="35"/>
      <c r="K53" s="35"/>
      <c r="L53" s="35"/>
      <c r="AF53" s="115" t="str">
        <f t="shared" si="0"/>
        <v/>
      </c>
      <c r="AG53" s="116" t="str">
        <f>IF(AF53="","",COUNTIF(AF53:AF$3000,AF53))</f>
        <v/>
      </c>
      <c r="AH53" s="117" t="str">
        <f t="shared" si="1"/>
        <v/>
      </c>
    </row>
    <row r="54" spans="6:34" x14ac:dyDescent="0.25">
      <c r="F54" s="35"/>
      <c r="J54" s="35"/>
      <c r="K54" s="35"/>
      <c r="L54" s="35"/>
      <c r="AF54" s="115" t="str">
        <f t="shared" si="0"/>
        <v/>
      </c>
      <c r="AG54" s="116" t="str">
        <f>IF(AF54="","",COUNTIF(AF54:AF$3000,AF54))</f>
        <v/>
      </c>
      <c r="AH54" s="117" t="str">
        <f t="shared" si="1"/>
        <v/>
      </c>
    </row>
    <row r="55" spans="6:34" x14ac:dyDescent="0.25">
      <c r="F55" s="35"/>
      <c r="J55" s="35"/>
      <c r="K55" s="35"/>
      <c r="L55" s="35"/>
      <c r="AF55" s="115" t="str">
        <f t="shared" si="0"/>
        <v/>
      </c>
      <c r="AG55" s="116" t="str">
        <f>IF(AF55="","",COUNTIF(AF55:AF$3000,AF55))</f>
        <v/>
      </c>
      <c r="AH55" s="117" t="str">
        <f t="shared" si="1"/>
        <v/>
      </c>
    </row>
    <row r="56" spans="6:34" x14ac:dyDescent="0.25">
      <c r="F56" s="35"/>
      <c r="J56" s="35"/>
      <c r="K56" s="35"/>
      <c r="L56" s="35"/>
      <c r="AF56" s="115" t="str">
        <f t="shared" si="0"/>
        <v/>
      </c>
      <c r="AG56" s="116" t="str">
        <f>IF(AF56="","",COUNTIF(AF56:AF$3000,AF56))</f>
        <v/>
      </c>
      <c r="AH56" s="117" t="str">
        <f t="shared" si="1"/>
        <v/>
      </c>
    </row>
    <row r="57" spans="6:34" x14ac:dyDescent="0.25">
      <c r="F57" s="35"/>
      <c r="J57" s="35"/>
      <c r="K57" s="35"/>
      <c r="L57" s="35"/>
      <c r="AF57" s="115" t="str">
        <f t="shared" si="0"/>
        <v/>
      </c>
      <c r="AG57" s="116" t="str">
        <f>IF(AF57="","",COUNTIF(AF57:AF$3000,AF57))</f>
        <v/>
      </c>
      <c r="AH57" s="117" t="str">
        <f t="shared" si="1"/>
        <v/>
      </c>
    </row>
    <row r="58" spans="6:34" x14ac:dyDescent="0.25">
      <c r="F58" s="35"/>
      <c r="J58" s="35"/>
      <c r="K58" s="35"/>
      <c r="L58" s="35"/>
      <c r="AF58" s="115" t="str">
        <f t="shared" si="0"/>
        <v/>
      </c>
      <c r="AG58" s="116" t="str">
        <f>IF(AF58="","",COUNTIF(AF58:AF$3000,AF58))</f>
        <v/>
      </c>
      <c r="AH58" s="117" t="str">
        <f t="shared" si="1"/>
        <v/>
      </c>
    </row>
    <row r="59" spans="6:34" x14ac:dyDescent="0.25">
      <c r="F59" s="35"/>
      <c r="J59" s="35"/>
      <c r="K59" s="35"/>
      <c r="L59" s="35"/>
      <c r="AF59" s="115" t="str">
        <f t="shared" si="0"/>
        <v/>
      </c>
      <c r="AG59" s="116" t="str">
        <f>IF(AF59="","",COUNTIF(AF59:AF$3000,AF59))</f>
        <v/>
      </c>
      <c r="AH59" s="117" t="str">
        <f t="shared" si="1"/>
        <v/>
      </c>
    </row>
    <row r="60" spans="6:34" x14ac:dyDescent="0.25">
      <c r="F60" s="35"/>
      <c r="J60" s="35"/>
      <c r="K60" s="35"/>
      <c r="L60" s="35"/>
      <c r="AF60" s="115" t="str">
        <f t="shared" si="0"/>
        <v/>
      </c>
      <c r="AG60" s="116" t="str">
        <f>IF(AF60="","",COUNTIF(AF60:AF$3000,AF60))</f>
        <v/>
      </c>
      <c r="AH60" s="117" t="str">
        <f t="shared" si="1"/>
        <v/>
      </c>
    </row>
    <row r="61" spans="6:34" x14ac:dyDescent="0.25">
      <c r="F61" s="35"/>
      <c r="J61" s="35"/>
      <c r="K61" s="35"/>
      <c r="L61" s="35"/>
      <c r="AF61" s="115" t="str">
        <f t="shared" si="0"/>
        <v/>
      </c>
      <c r="AG61" s="116" t="str">
        <f>IF(AF61="","",COUNTIF(AF61:AF$3000,AF61))</f>
        <v/>
      </c>
      <c r="AH61" s="117" t="str">
        <f t="shared" si="1"/>
        <v/>
      </c>
    </row>
    <row r="62" spans="6:34" x14ac:dyDescent="0.25">
      <c r="F62" s="35"/>
      <c r="J62" s="35"/>
      <c r="K62" s="35"/>
      <c r="L62" s="35"/>
      <c r="AF62" s="115" t="str">
        <f t="shared" si="0"/>
        <v/>
      </c>
      <c r="AG62" s="116" t="str">
        <f>IF(AF62="","",COUNTIF(AF62:AF$3000,AF62))</f>
        <v/>
      </c>
      <c r="AH62" s="117" t="str">
        <f t="shared" si="1"/>
        <v/>
      </c>
    </row>
    <row r="63" spans="6:34" x14ac:dyDescent="0.25">
      <c r="F63" s="35"/>
      <c r="J63" s="35"/>
      <c r="K63" s="35"/>
      <c r="L63" s="35"/>
      <c r="AF63" s="115" t="str">
        <f t="shared" si="0"/>
        <v/>
      </c>
      <c r="AG63" s="116" t="str">
        <f>IF(AF63="","",COUNTIF(AF63:AF$3000,AF63))</f>
        <v/>
      </c>
      <c r="AH63" s="117" t="str">
        <f t="shared" si="1"/>
        <v/>
      </c>
    </row>
    <row r="64" spans="6:34" x14ac:dyDescent="0.25">
      <c r="F64" s="35"/>
      <c r="J64" s="35"/>
      <c r="K64" s="35"/>
      <c r="L64" s="35"/>
      <c r="AF64" s="115" t="str">
        <f t="shared" si="0"/>
        <v/>
      </c>
      <c r="AG64" s="116" t="str">
        <f>IF(AF64="","",COUNTIF(AF64:AF$3000,AF64))</f>
        <v/>
      </c>
      <c r="AH64" s="117" t="str">
        <f t="shared" si="1"/>
        <v/>
      </c>
    </row>
    <row r="65" spans="6:34" x14ac:dyDescent="0.25">
      <c r="F65" s="35"/>
      <c r="J65" s="35"/>
      <c r="K65" s="35"/>
      <c r="L65" s="35"/>
      <c r="AF65" s="115" t="str">
        <f t="shared" si="0"/>
        <v/>
      </c>
      <c r="AG65" s="116" t="str">
        <f>IF(AF65="","",COUNTIF(AF65:AF$3000,AF65))</f>
        <v/>
      </c>
      <c r="AH65" s="117" t="str">
        <f t="shared" si="1"/>
        <v/>
      </c>
    </row>
    <row r="66" spans="6:34" x14ac:dyDescent="0.25">
      <c r="F66" s="35"/>
      <c r="J66" s="35"/>
      <c r="K66" s="35"/>
      <c r="L66" s="35"/>
      <c r="AF66" s="115" t="str">
        <f t="shared" si="0"/>
        <v/>
      </c>
      <c r="AG66" s="116" t="str">
        <f>IF(AF66="","",COUNTIF(AF66:AF$3000,AF66))</f>
        <v/>
      </c>
      <c r="AH66" s="117" t="str">
        <f t="shared" si="1"/>
        <v/>
      </c>
    </row>
    <row r="67" spans="6:34" x14ac:dyDescent="0.25">
      <c r="F67" s="35"/>
      <c r="J67" s="35"/>
      <c r="K67" s="35"/>
      <c r="L67" s="35"/>
      <c r="AF67" s="115" t="str">
        <f t="shared" si="0"/>
        <v/>
      </c>
      <c r="AG67" s="116" t="str">
        <f>IF(AF67="","",COUNTIF(AF67:AF$3000,AF67))</f>
        <v/>
      </c>
      <c r="AH67" s="117" t="str">
        <f t="shared" si="1"/>
        <v/>
      </c>
    </row>
    <row r="68" spans="6:34" x14ac:dyDescent="0.25">
      <c r="F68" s="35"/>
      <c r="J68" s="35"/>
      <c r="K68" s="35"/>
      <c r="L68" s="35"/>
      <c r="AF68" s="115" t="str">
        <f t="shared" ref="AF68:AF131" si="2">IF(B68="","",TEXT(J68,"DD/MM/AA")&amp;"_"&amp;S68&amp;"_"&amp;V68)</f>
        <v/>
      </c>
      <c r="AG68" s="116" t="str">
        <f>IF(AF68="","",COUNTIF(AF68:AF$3000,AF68))</f>
        <v/>
      </c>
      <c r="AH68" s="117" t="str">
        <f t="shared" ref="AH68:AH131" si="3">IF(AA68="","",
IF(AG68&gt;1,"",
IF(SUMIF(AF$3:AF$31,AF68,H$3:H$31)/10&lt;1,1,SUMIF(AF$3:AF$31,AF68,H$3:H$31)/10)))</f>
        <v/>
      </c>
    </row>
    <row r="69" spans="6:34" x14ac:dyDescent="0.25">
      <c r="F69" s="35"/>
      <c r="J69" s="35"/>
      <c r="K69" s="35"/>
      <c r="L69" s="35"/>
      <c r="AF69" s="115" t="str">
        <f t="shared" si="2"/>
        <v/>
      </c>
      <c r="AG69" s="116" t="str">
        <f>IF(AF69="","",COUNTIF(AF69:AF$3000,AF69))</f>
        <v/>
      </c>
      <c r="AH69" s="117" t="str">
        <f t="shared" si="3"/>
        <v/>
      </c>
    </row>
    <row r="70" spans="6:34" x14ac:dyDescent="0.25">
      <c r="F70" s="35"/>
      <c r="J70" s="35"/>
      <c r="K70" s="35"/>
      <c r="L70" s="35"/>
      <c r="AF70" s="115" t="str">
        <f t="shared" si="2"/>
        <v/>
      </c>
      <c r="AG70" s="116" t="str">
        <f>IF(AF70="","",COUNTIF(AF70:AF$3000,AF70))</f>
        <v/>
      </c>
      <c r="AH70" s="117" t="str">
        <f t="shared" si="3"/>
        <v/>
      </c>
    </row>
    <row r="71" spans="6:34" x14ac:dyDescent="0.25">
      <c r="F71" s="35"/>
      <c r="J71" s="35"/>
      <c r="K71" s="35"/>
      <c r="L71" s="35"/>
      <c r="AF71" s="115" t="str">
        <f t="shared" si="2"/>
        <v/>
      </c>
      <c r="AG71" s="116" t="str">
        <f>IF(AF71="","",COUNTIF(AF71:AF$3000,AF71))</f>
        <v/>
      </c>
      <c r="AH71" s="117" t="str">
        <f t="shared" si="3"/>
        <v/>
      </c>
    </row>
    <row r="72" spans="6:34" x14ac:dyDescent="0.25">
      <c r="F72" s="35"/>
      <c r="J72" s="35"/>
      <c r="K72" s="35"/>
      <c r="L72" s="35"/>
      <c r="AF72" s="115" t="str">
        <f t="shared" si="2"/>
        <v/>
      </c>
      <c r="AG72" s="116" t="str">
        <f>IF(AF72="","",COUNTIF(AF72:AF$3000,AF72))</f>
        <v/>
      </c>
      <c r="AH72" s="117" t="str">
        <f t="shared" si="3"/>
        <v/>
      </c>
    </row>
    <row r="73" spans="6:34" x14ac:dyDescent="0.25">
      <c r="F73" s="35"/>
      <c r="J73" s="35"/>
      <c r="K73" s="35"/>
      <c r="L73" s="35"/>
      <c r="AF73" s="115" t="str">
        <f t="shared" si="2"/>
        <v/>
      </c>
      <c r="AG73" s="116" t="str">
        <f>IF(AF73="","",COUNTIF(AF73:AF$3000,AF73))</f>
        <v/>
      </c>
      <c r="AH73" s="117" t="str">
        <f t="shared" si="3"/>
        <v/>
      </c>
    </row>
    <row r="74" spans="6:34" x14ac:dyDescent="0.25">
      <c r="F74" s="35"/>
      <c r="J74" s="35"/>
      <c r="K74" s="35"/>
      <c r="L74" s="35"/>
      <c r="AF74" s="115" t="str">
        <f t="shared" si="2"/>
        <v/>
      </c>
      <c r="AG74" s="116" t="str">
        <f>IF(AF74="","",COUNTIF(AF74:AF$3000,AF74))</f>
        <v/>
      </c>
      <c r="AH74" s="117" t="str">
        <f t="shared" si="3"/>
        <v/>
      </c>
    </row>
    <row r="75" spans="6:34" x14ac:dyDescent="0.25">
      <c r="F75" s="35"/>
      <c r="J75" s="35"/>
      <c r="K75" s="35"/>
      <c r="L75" s="35"/>
      <c r="AF75" s="115" t="str">
        <f t="shared" si="2"/>
        <v/>
      </c>
      <c r="AG75" s="116" t="str">
        <f>IF(AF75="","",COUNTIF(AF75:AF$3000,AF75))</f>
        <v/>
      </c>
      <c r="AH75" s="117" t="str">
        <f t="shared" si="3"/>
        <v/>
      </c>
    </row>
    <row r="76" spans="6:34" x14ac:dyDescent="0.25">
      <c r="F76" s="35"/>
      <c r="J76" s="35"/>
      <c r="K76" s="35"/>
      <c r="L76" s="35"/>
      <c r="AF76" s="115" t="str">
        <f t="shared" si="2"/>
        <v/>
      </c>
      <c r="AG76" s="116" t="str">
        <f>IF(AF76="","",COUNTIF(AF76:AF$3000,AF76))</f>
        <v/>
      </c>
      <c r="AH76" s="117" t="str">
        <f t="shared" si="3"/>
        <v/>
      </c>
    </row>
    <row r="77" spans="6:34" x14ac:dyDescent="0.25">
      <c r="F77" s="35"/>
      <c r="J77" s="35"/>
      <c r="K77" s="35"/>
      <c r="L77" s="35"/>
      <c r="AF77" s="115" t="str">
        <f t="shared" si="2"/>
        <v/>
      </c>
      <c r="AG77" s="116" t="str">
        <f>IF(AF77="","",COUNTIF(AF77:AF$3000,AF77))</f>
        <v/>
      </c>
      <c r="AH77" s="117" t="str">
        <f t="shared" si="3"/>
        <v/>
      </c>
    </row>
    <row r="78" spans="6:34" x14ac:dyDescent="0.25">
      <c r="F78" s="35"/>
      <c r="J78" s="35"/>
      <c r="K78" s="35"/>
      <c r="L78" s="35"/>
      <c r="AF78" s="115" t="str">
        <f t="shared" si="2"/>
        <v/>
      </c>
      <c r="AG78" s="116" t="str">
        <f>IF(AF78="","",COUNTIF(AF78:AF$3000,AF78))</f>
        <v/>
      </c>
      <c r="AH78" s="117" t="str">
        <f t="shared" si="3"/>
        <v/>
      </c>
    </row>
    <row r="79" spans="6:34" x14ac:dyDescent="0.25">
      <c r="F79" s="35"/>
      <c r="J79" s="35"/>
      <c r="K79" s="35"/>
      <c r="L79" s="35"/>
      <c r="AF79" s="115" t="str">
        <f t="shared" si="2"/>
        <v/>
      </c>
      <c r="AG79" s="116" t="str">
        <f>IF(AF79="","",COUNTIF(AF79:AF$3000,AF79))</f>
        <v/>
      </c>
      <c r="AH79" s="117" t="str">
        <f t="shared" si="3"/>
        <v/>
      </c>
    </row>
    <row r="80" spans="6:34" x14ac:dyDescent="0.25">
      <c r="F80" s="35"/>
      <c r="J80" s="35"/>
      <c r="K80" s="35"/>
      <c r="L80" s="35"/>
      <c r="AF80" s="115" t="str">
        <f t="shared" si="2"/>
        <v/>
      </c>
      <c r="AG80" s="116" t="str">
        <f>IF(AF80="","",COUNTIF(AF80:AF$3000,AF80))</f>
        <v/>
      </c>
      <c r="AH80" s="117" t="str">
        <f t="shared" si="3"/>
        <v/>
      </c>
    </row>
    <row r="81" spans="6:34" x14ac:dyDescent="0.25">
      <c r="F81" s="35"/>
      <c r="J81" s="35"/>
      <c r="K81" s="35"/>
      <c r="L81" s="35"/>
      <c r="AF81" s="115" t="str">
        <f t="shared" si="2"/>
        <v/>
      </c>
      <c r="AG81" s="116" t="str">
        <f>IF(AF81="","",COUNTIF(AF81:AF$3000,AF81))</f>
        <v/>
      </c>
      <c r="AH81" s="117" t="str">
        <f t="shared" si="3"/>
        <v/>
      </c>
    </row>
    <row r="82" spans="6:34" x14ac:dyDescent="0.25">
      <c r="F82" s="35"/>
      <c r="J82" s="35"/>
      <c r="K82" s="35"/>
      <c r="L82" s="35"/>
      <c r="AF82" s="115" t="str">
        <f t="shared" si="2"/>
        <v/>
      </c>
      <c r="AG82" s="116" t="str">
        <f>IF(AF82="","",COUNTIF(AF82:AF$3000,AF82))</f>
        <v/>
      </c>
      <c r="AH82" s="117" t="str">
        <f t="shared" si="3"/>
        <v/>
      </c>
    </row>
    <row r="83" spans="6:34" x14ac:dyDescent="0.25">
      <c r="F83" s="35"/>
      <c r="J83" s="35"/>
      <c r="K83" s="35"/>
      <c r="L83" s="35"/>
      <c r="AF83" s="115" t="str">
        <f t="shared" si="2"/>
        <v/>
      </c>
      <c r="AG83" s="116" t="str">
        <f>IF(AF83="","",COUNTIF(AF83:AF$3000,AF83))</f>
        <v/>
      </c>
      <c r="AH83" s="117" t="str">
        <f t="shared" si="3"/>
        <v/>
      </c>
    </row>
    <row r="84" spans="6:34" x14ac:dyDescent="0.25">
      <c r="F84" s="35"/>
      <c r="J84" s="35"/>
      <c r="K84" s="35"/>
      <c r="L84" s="35"/>
      <c r="AF84" s="115" t="str">
        <f t="shared" si="2"/>
        <v/>
      </c>
      <c r="AG84" s="116" t="str">
        <f>IF(AF84="","",COUNTIF(AF84:AF$3000,AF84))</f>
        <v/>
      </c>
      <c r="AH84" s="117" t="str">
        <f t="shared" si="3"/>
        <v/>
      </c>
    </row>
    <row r="85" spans="6:34" x14ac:dyDescent="0.25">
      <c r="F85" s="35"/>
      <c r="J85" s="35"/>
      <c r="K85" s="35"/>
      <c r="L85" s="35"/>
      <c r="AF85" s="115" t="str">
        <f t="shared" si="2"/>
        <v/>
      </c>
      <c r="AG85" s="116" t="str">
        <f>IF(AF85="","",COUNTIF(AF85:AF$3000,AF85))</f>
        <v/>
      </c>
      <c r="AH85" s="117" t="str">
        <f t="shared" si="3"/>
        <v/>
      </c>
    </row>
    <row r="86" spans="6:34" x14ac:dyDescent="0.25">
      <c r="F86" s="35"/>
      <c r="J86" s="35"/>
      <c r="K86" s="35"/>
      <c r="L86" s="35"/>
      <c r="AF86" s="115" t="str">
        <f t="shared" si="2"/>
        <v/>
      </c>
      <c r="AG86" s="116" t="str">
        <f>IF(AF86="","",COUNTIF(AF86:AF$3000,AF86))</f>
        <v/>
      </c>
      <c r="AH86" s="117" t="str">
        <f t="shared" si="3"/>
        <v/>
      </c>
    </row>
    <row r="87" spans="6:34" x14ac:dyDescent="0.25">
      <c r="F87" s="35"/>
      <c r="J87" s="35"/>
      <c r="K87" s="35"/>
      <c r="L87" s="35"/>
      <c r="AF87" s="115" t="str">
        <f t="shared" si="2"/>
        <v/>
      </c>
      <c r="AG87" s="116" t="str">
        <f>IF(AF87="","",COUNTIF(AF87:AF$3000,AF87))</f>
        <v/>
      </c>
      <c r="AH87" s="117" t="str">
        <f t="shared" si="3"/>
        <v/>
      </c>
    </row>
    <row r="88" spans="6:34" x14ac:dyDescent="0.25">
      <c r="F88" s="35"/>
      <c r="J88" s="35"/>
      <c r="K88" s="35"/>
      <c r="L88" s="35"/>
      <c r="AF88" s="115" t="str">
        <f t="shared" si="2"/>
        <v/>
      </c>
      <c r="AG88" s="116" t="str">
        <f>IF(AF88="","",COUNTIF(AF88:AF$3000,AF88))</f>
        <v/>
      </c>
      <c r="AH88" s="117" t="str">
        <f t="shared" si="3"/>
        <v/>
      </c>
    </row>
    <row r="89" spans="6:34" x14ac:dyDescent="0.25">
      <c r="F89" s="35"/>
      <c r="J89" s="35"/>
      <c r="K89" s="35"/>
      <c r="L89" s="35"/>
      <c r="AF89" s="115" t="str">
        <f t="shared" si="2"/>
        <v/>
      </c>
      <c r="AG89" s="116" t="str">
        <f>IF(AF89="","",COUNTIF(AF89:AF$3000,AF89))</f>
        <v/>
      </c>
      <c r="AH89" s="117" t="str">
        <f t="shared" si="3"/>
        <v/>
      </c>
    </row>
    <row r="90" spans="6:34" x14ac:dyDescent="0.25">
      <c r="F90" s="35"/>
      <c r="J90" s="35"/>
      <c r="K90" s="35"/>
      <c r="L90" s="35"/>
      <c r="AF90" s="115" t="str">
        <f t="shared" si="2"/>
        <v/>
      </c>
      <c r="AG90" s="116" t="str">
        <f>IF(AF90="","",COUNTIF(AF90:AF$3000,AF90))</f>
        <v/>
      </c>
      <c r="AH90" s="117" t="str">
        <f t="shared" si="3"/>
        <v/>
      </c>
    </row>
    <row r="91" spans="6:34" x14ac:dyDescent="0.25">
      <c r="F91" s="35"/>
      <c r="J91" s="35"/>
      <c r="K91" s="35"/>
      <c r="L91" s="35"/>
      <c r="AF91" s="115" t="str">
        <f t="shared" si="2"/>
        <v/>
      </c>
      <c r="AG91" s="116" t="str">
        <f>IF(AF91="","",COUNTIF(AF91:AF$3000,AF91))</f>
        <v/>
      </c>
      <c r="AH91" s="117" t="str">
        <f t="shared" si="3"/>
        <v/>
      </c>
    </row>
    <row r="92" spans="6:34" x14ac:dyDescent="0.25">
      <c r="F92" s="35"/>
      <c r="J92" s="35"/>
      <c r="K92" s="35"/>
      <c r="L92" s="35"/>
      <c r="AF92" s="115" t="str">
        <f t="shared" si="2"/>
        <v/>
      </c>
      <c r="AG92" s="116" t="str">
        <f>IF(AF92="","",COUNTIF(AF92:AF$3000,AF92))</f>
        <v/>
      </c>
      <c r="AH92" s="117" t="str">
        <f t="shared" si="3"/>
        <v/>
      </c>
    </row>
    <row r="93" spans="6:34" x14ac:dyDescent="0.25">
      <c r="F93" s="35"/>
      <c r="J93" s="35"/>
      <c r="K93" s="35"/>
      <c r="L93" s="35"/>
      <c r="AF93" s="115" t="str">
        <f t="shared" si="2"/>
        <v/>
      </c>
      <c r="AG93" s="116" t="str">
        <f>IF(AF93="","",COUNTIF(AF93:AF$3000,AF93))</f>
        <v/>
      </c>
      <c r="AH93" s="117" t="str">
        <f t="shared" si="3"/>
        <v/>
      </c>
    </row>
    <row r="94" spans="6:34" x14ac:dyDescent="0.25">
      <c r="F94" s="35"/>
      <c r="J94" s="35"/>
      <c r="K94" s="35"/>
      <c r="L94" s="35"/>
      <c r="AF94" s="115" t="str">
        <f t="shared" si="2"/>
        <v/>
      </c>
      <c r="AG94" s="116" t="str">
        <f>IF(AF94="","",COUNTIF(AF94:AF$3000,AF94))</f>
        <v/>
      </c>
      <c r="AH94" s="117" t="str">
        <f t="shared" si="3"/>
        <v/>
      </c>
    </row>
    <row r="95" spans="6:34" x14ac:dyDescent="0.25">
      <c r="F95" s="35"/>
      <c r="J95" s="35"/>
      <c r="K95" s="35"/>
      <c r="L95" s="35"/>
      <c r="AF95" s="115" t="str">
        <f t="shared" si="2"/>
        <v/>
      </c>
      <c r="AG95" s="116" t="str">
        <f>IF(AF95="","",COUNTIF(AF95:AF$3000,AF95))</f>
        <v/>
      </c>
      <c r="AH95" s="117" t="str">
        <f t="shared" si="3"/>
        <v/>
      </c>
    </row>
    <row r="96" spans="6:34" x14ac:dyDescent="0.25">
      <c r="F96" s="35"/>
      <c r="J96" s="35"/>
      <c r="K96" s="35"/>
      <c r="L96" s="35"/>
      <c r="AF96" s="115" t="str">
        <f t="shared" si="2"/>
        <v/>
      </c>
      <c r="AG96" s="116" t="str">
        <f>IF(AF96="","",COUNTIF(AF96:AF$3000,AF96))</f>
        <v/>
      </c>
      <c r="AH96" s="117" t="str">
        <f t="shared" si="3"/>
        <v/>
      </c>
    </row>
    <row r="97" spans="6:34" x14ac:dyDescent="0.25">
      <c r="F97" s="35"/>
      <c r="J97" s="35"/>
      <c r="K97" s="35"/>
      <c r="L97" s="35"/>
      <c r="AF97" s="115" t="str">
        <f t="shared" si="2"/>
        <v/>
      </c>
      <c r="AG97" s="116" t="str">
        <f>IF(AF97="","",COUNTIF(AF97:AF$3000,AF97))</f>
        <v/>
      </c>
      <c r="AH97" s="117" t="str">
        <f t="shared" si="3"/>
        <v/>
      </c>
    </row>
    <row r="98" spans="6:34" x14ac:dyDescent="0.25">
      <c r="F98" s="35"/>
      <c r="J98" s="35"/>
      <c r="K98" s="35"/>
      <c r="L98" s="35"/>
      <c r="AF98" s="115" t="str">
        <f t="shared" si="2"/>
        <v/>
      </c>
      <c r="AG98" s="116" t="str">
        <f>IF(AF98="","",COUNTIF(AF98:AF$3000,AF98))</f>
        <v/>
      </c>
      <c r="AH98" s="117" t="str">
        <f t="shared" si="3"/>
        <v/>
      </c>
    </row>
    <row r="99" spans="6:34" x14ac:dyDescent="0.25">
      <c r="F99" s="35"/>
      <c r="J99" s="35"/>
      <c r="K99" s="35"/>
      <c r="L99" s="35"/>
      <c r="AF99" s="115" t="str">
        <f t="shared" si="2"/>
        <v/>
      </c>
      <c r="AG99" s="116" t="str">
        <f>IF(AF99="","",COUNTIF(AF99:AF$3000,AF99))</f>
        <v/>
      </c>
      <c r="AH99" s="117" t="str">
        <f t="shared" si="3"/>
        <v/>
      </c>
    </row>
    <row r="100" spans="6:34" x14ac:dyDescent="0.25">
      <c r="F100" s="35"/>
      <c r="J100" s="35"/>
      <c r="K100" s="35"/>
      <c r="L100" s="35"/>
      <c r="AF100" s="115" t="str">
        <f t="shared" si="2"/>
        <v/>
      </c>
      <c r="AG100" s="116" t="str">
        <f>IF(AF100="","",COUNTIF(AF100:AF$3000,AF100))</f>
        <v/>
      </c>
      <c r="AH100" s="117" t="str">
        <f t="shared" si="3"/>
        <v/>
      </c>
    </row>
    <row r="101" spans="6:34" x14ac:dyDescent="0.25">
      <c r="F101" s="35"/>
      <c r="J101" s="35"/>
      <c r="K101" s="35"/>
      <c r="L101" s="35"/>
      <c r="AF101" s="115" t="str">
        <f t="shared" si="2"/>
        <v/>
      </c>
      <c r="AG101" s="116" t="str">
        <f>IF(AF101="","",COUNTIF(AF101:AF$3000,AF101))</f>
        <v/>
      </c>
      <c r="AH101" s="117" t="str">
        <f t="shared" si="3"/>
        <v/>
      </c>
    </row>
    <row r="102" spans="6:34" x14ac:dyDescent="0.25">
      <c r="F102" s="35"/>
      <c r="J102" s="35"/>
      <c r="K102" s="35"/>
      <c r="L102" s="35"/>
      <c r="AF102" s="115" t="str">
        <f t="shared" si="2"/>
        <v/>
      </c>
      <c r="AG102" s="116" t="str">
        <f>IF(AF102="","",COUNTIF(AF102:AF$3000,AF102))</f>
        <v/>
      </c>
      <c r="AH102" s="117" t="str">
        <f t="shared" si="3"/>
        <v/>
      </c>
    </row>
    <row r="103" spans="6:34" x14ac:dyDescent="0.25">
      <c r="F103" s="35"/>
      <c r="J103" s="35"/>
      <c r="K103" s="35"/>
      <c r="L103" s="35"/>
      <c r="AF103" s="115" t="str">
        <f t="shared" si="2"/>
        <v/>
      </c>
      <c r="AG103" s="116" t="str">
        <f>IF(AF103="","",COUNTIF(AF103:AF$3000,AF103))</f>
        <v/>
      </c>
      <c r="AH103" s="117" t="str">
        <f t="shared" si="3"/>
        <v/>
      </c>
    </row>
    <row r="104" spans="6:34" x14ac:dyDescent="0.25">
      <c r="F104" s="35"/>
      <c r="J104" s="35"/>
      <c r="K104" s="35"/>
      <c r="L104" s="35"/>
      <c r="AF104" s="115" t="str">
        <f t="shared" si="2"/>
        <v/>
      </c>
      <c r="AG104" s="116" t="str">
        <f>IF(AF104="","",COUNTIF(AF104:AF$3000,AF104))</f>
        <v/>
      </c>
      <c r="AH104" s="117" t="str">
        <f t="shared" si="3"/>
        <v/>
      </c>
    </row>
    <row r="105" spans="6:34" x14ac:dyDescent="0.25">
      <c r="F105" s="35"/>
      <c r="J105" s="35"/>
      <c r="K105" s="35"/>
      <c r="L105" s="35"/>
      <c r="AF105" s="115" t="str">
        <f t="shared" si="2"/>
        <v/>
      </c>
      <c r="AG105" s="116" t="str">
        <f>IF(AF105="","",COUNTIF(AF105:AF$3000,AF105))</f>
        <v/>
      </c>
      <c r="AH105" s="117" t="str">
        <f t="shared" si="3"/>
        <v/>
      </c>
    </row>
    <row r="106" spans="6:34" x14ac:dyDescent="0.25">
      <c r="F106" s="35"/>
      <c r="J106" s="35"/>
      <c r="K106" s="35"/>
      <c r="L106" s="35"/>
      <c r="AF106" s="115" t="str">
        <f t="shared" si="2"/>
        <v/>
      </c>
      <c r="AG106" s="116" t="str">
        <f>IF(AF106="","",COUNTIF(AF106:AF$3000,AF106))</f>
        <v/>
      </c>
      <c r="AH106" s="117" t="str">
        <f t="shared" si="3"/>
        <v/>
      </c>
    </row>
    <row r="107" spans="6:34" x14ac:dyDescent="0.25">
      <c r="F107" s="35"/>
      <c r="J107" s="35"/>
      <c r="K107" s="35"/>
      <c r="L107" s="35"/>
      <c r="AF107" s="115" t="str">
        <f t="shared" si="2"/>
        <v/>
      </c>
      <c r="AG107" s="116" t="str">
        <f>IF(AF107="","",COUNTIF(AF107:AF$3000,AF107))</f>
        <v/>
      </c>
      <c r="AH107" s="117" t="str">
        <f t="shared" si="3"/>
        <v/>
      </c>
    </row>
    <row r="108" spans="6:34" x14ac:dyDescent="0.25">
      <c r="F108" s="35"/>
      <c r="J108" s="35"/>
      <c r="K108" s="35"/>
      <c r="L108" s="35"/>
      <c r="AF108" s="115" t="str">
        <f t="shared" si="2"/>
        <v/>
      </c>
      <c r="AG108" s="116" t="str">
        <f>IF(AF108="","",COUNTIF(AF108:AF$3000,AF108))</f>
        <v/>
      </c>
      <c r="AH108" s="117" t="str">
        <f t="shared" si="3"/>
        <v/>
      </c>
    </row>
    <row r="109" spans="6:34" x14ac:dyDescent="0.25">
      <c r="F109" s="35"/>
      <c r="J109" s="35"/>
      <c r="K109" s="35"/>
      <c r="L109" s="35"/>
      <c r="AF109" s="115" t="str">
        <f t="shared" si="2"/>
        <v/>
      </c>
      <c r="AG109" s="116" t="str">
        <f>IF(AF109="","",COUNTIF(AF109:AF$3000,AF109))</f>
        <v/>
      </c>
      <c r="AH109" s="117" t="str">
        <f t="shared" si="3"/>
        <v/>
      </c>
    </row>
    <row r="110" spans="6:34" x14ac:dyDescent="0.25">
      <c r="F110" s="35"/>
      <c r="J110" s="35"/>
      <c r="K110" s="35"/>
      <c r="L110" s="35"/>
      <c r="AF110" s="115" t="str">
        <f t="shared" si="2"/>
        <v/>
      </c>
      <c r="AG110" s="116" t="str">
        <f>IF(AF110="","",COUNTIF(AF110:AF$3000,AF110))</f>
        <v/>
      </c>
      <c r="AH110" s="117" t="str">
        <f t="shared" si="3"/>
        <v/>
      </c>
    </row>
    <row r="111" spans="6:34" x14ac:dyDescent="0.25">
      <c r="F111" s="35"/>
      <c r="J111" s="35"/>
      <c r="K111" s="35"/>
      <c r="L111" s="35"/>
      <c r="AF111" s="115" t="str">
        <f t="shared" si="2"/>
        <v/>
      </c>
      <c r="AG111" s="116" t="str">
        <f>IF(AF111="","",COUNTIF(AF111:AF$3000,AF111))</f>
        <v/>
      </c>
      <c r="AH111" s="117" t="str">
        <f t="shared" si="3"/>
        <v/>
      </c>
    </row>
    <row r="112" spans="6:34" x14ac:dyDescent="0.25">
      <c r="F112" s="35"/>
      <c r="J112" s="35"/>
      <c r="K112" s="35"/>
      <c r="L112" s="35"/>
      <c r="AF112" s="115" t="str">
        <f t="shared" si="2"/>
        <v/>
      </c>
      <c r="AG112" s="116" t="str">
        <f>IF(AF112="","",COUNTIF(AF112:AF$3000,AF112))</f>
        <v/>
      </c>
      <c r="AH112" s="117" t="str">
        <f t="shared" si="3"/>
        <v/>
      </c>
    </row>
    <row r="113" spans="6:34" x14ac:dyDescent="0.25">
      <c r="F113" s="35"/>
      <c r="J113" s="35"/>
      <c r="K113" s="35"/>
      <c r="L113" s="35"/>
      <c r="AF113" s="115" t="str">
        <f t="shared" si="2"/>
        <v/>
      </c>
      <c r="AG113" s="116" t="str">
        <f>IF(AF113="","",COUNTIF(AF113:AF$3000,AF113))</f>
        <v/>
      </c>
      <c r="AH113" s="117" t="str">
        <f t="shared" si="3"/>
        <v/>
      </c>
    </row>
    <row r="114" spans="6:34" x14ac:dyDescent="0.25">
      <c r="F114" s="35"/>
      <c r="J114" s="35"/>
      <c r="K114" s="35"/>
      <c r="L114" s="35"/>
      <c r="AF114" s="115" t="str">
        <f t="shared" si="2"/>
        <v/>
      </c>
      <c r="AG114" s="116" t="str">
        <f>IF(AF114="","",COUNTIF(AF114:AF$3000,AF114))</f>
        <v/>
      </c>
      <c r="AH114" s="117" t="str">
        <f t="shared" si="3"/>
        <v/>
      </c>
    </row>
    <row r="115" spans="6:34" x14ac:dyDescent="0.25">
      <c r="F115" s="35"/>
      <c r="J115" s="35"/>
      <c r="K115" s="35"/>
      <c r="L115" s="35"/>
      <c r="AF115" s="115" t="str">
        <f t="shared" si="2"/>
        <v/>
      </c>
      <c r="AG115" s="116" t="str">
        <f>IF(AF115="","",COUNTIF(AF115:AF$3000,AF115))</f>
        <v/>
      </c>
      <c r="AH115" s="117" t="str">
        <f t="shared" si="3"/>
        <v/>
      </c>
    </row>
    <row r="116" spans="6:34" x14ac:dyDescent="0.25">
      <c r="F116" s="35"/>
      <c r="J116" s="35"/>
      <c r="K116" s="35"/>
      <c r="L116" s="35"/>
      <c r="AF116" s="115" t="str">
        <f t="shared" si="2"/>
        <v/>
      </c>
      <c r="AG116" s="116" t="str">
        <f>IF(AF116="","",COUNTIF(AF116:AF$3000,AF116))</f>
        <v/>
      </c>
      <c r="AH116" s="117" t="str">
        <f t="shared" si="3"/>
        <v/>
      </c>
    </row>
    <row r="117" spans="6:34" x14ac:dyDescent="0.25">
      <c r="F117" s="35"/>
      <c r="J117" s="35"/>
      <c r="K117" s="35"/>
      <c r="L117" s="35"/>
      <c r="AF117" s="115" t="str">
        <f t="shared" si="2"/>
        <v/>
      </c>
      <c r="AG117" s="116" t="str">
        <f>IF(AF117="","",COUNTIF(AF117:AF$3000,AF117))</f>
        <v/>
      </c>
      <c r="AH117" s="117" t="str">
        <f t="shared" si="3"/>
        <v/>
      </c>
    </row>
    <row r="118" spans="6:34" x14ac:dyDescent="0.25">
      <c r="F118" s="35"/>
      <c r="J118" s="35"/>
      <c r="K118" s="35"/>
      <c r="L118" s="35"/>
      <c r="AF118" s="115" t="str">
        <f t="shared" si="2"/>
        <v/>
      </c>
      <c r="AG118" s="116" t="str">
        <f>IF(AF118="","",COUNTIF(AF118:AF$3000,AF118))</f>
        <v/>
      </c>
      <c r="AH118" s="117" t="str">
        <f t="shared" si="3"/>
        <v/>
      </c>
    </row>
    <row r="119" spans="6:34" x14ac:dyDescent="0.25">
      <c r="F119" s="35"/>
      <c r="J119" s="35"/>
      <c r="K119" s="35"/>
      <c r="L119" s="35"/>
      <c r="AF119" s="115" t="str">
        <f t="shared" si="2"/>
        <v/>
      </c>
      <c r="AG119" s="116" t="str">
        <f>IF(AF119="","",COUNTIF(AF119:AF$3000,AF119))</f>
        <v/>
      </c>
      <c r="AH119" s="117" t="str">
        <f t="shared" si="3"/>
        <v/>
      </c>
    </row>
    <row r="120" spans="6:34" x14ac:dyDescent="0.25">
      <c r="F120" s="35"/>
      <c r="J120" s="35"/>
      <c r="K120" s="35"/>
      <c r="L120" s="35"/>
      <c r="AF120" s="115" t="str">
        <f t="shared" si="2"/>
        <v/>
      </c>
      <c r="AG120" s="116" t="str">
        <f>IF(AF120="","",COUNTIF(AF120:AF$3000,AF120))</f>
        <v/>
      </c>
      <c r="AH120" s="117" t="str">
        <f t="shared" si="3"/>
        <v/>
      </c>
    </row>
    <row r="121" spans="6:34" x14ac:dyDescent="0.25">
      <c r="F121" s="35"/>
      <c r="J121" s="35"/>
      <c r="K121" s="35"/>
      <c r="L121" s="35"/>
      <c r="AF121" s="115" t="str">
        <f t="shared" si="2"/>
        <v/>
      </c>
      <c r="AG121" s="116" t="str">
        <f>IF(AF121="","",COUNTIF(AF121:AF$3000,AF121))</f>
        <v/>
      </c>
      <c r="AH121" s="117" t="str">
        <f t="shared" si="3"/>
        <v/>
      </c>
    </row>
    <row r="122" spans="6:34" x14ac:dyDescent="0.25">
      <c r="F122" s="35"/>
      <c r="J122" s="35"/>
      <c r="K122" s="35"/>
      <c r="L122" s="35"/>
      <c r="AF122" s="115" t="str">
        <f t="shared" si="2"/>
        <v/>
      </c>
      <c r="AG122" s="116" t="str">
        <f>IF(AF122="","",COUNTIF(AF122:AF$3000,AF122))</f>
        <v/>
      </c>
      <c r="AH122" s="117" t="str">
        <f t="shared" si="3"/>
        <v/>
      </c>
    </row>
    <row r="123" spans="6:34" x14ac:dyDescent="0.25">
      <c r="F123" s="35"/>
      <c r="J123" s="35"/>
      <c r="K123" s="35"/>
      <c r="L123" s="35"/>
      <c r="AF123" s="115" t="str">
        <f t="shared" si="2"/>
        <v/>
      </c>
      <c r="AG123" s="116" t="str">
        <f>IF(AF123="","",COUNTIF(AF123:AF$3000,AF123))</f>
        <v/>
      </c>
      <c r="AH123" s="117" t="str">
        <f t="shared" si="3"/>
        <v/>
      </c>
    </row>
    <row r="124" spans="6:34" x14ac:dyDescent="0.25">
      <c r="F124" s="35"/>
      <c r="J124" s="35"/>
      <c r="K124" s="35"/>
      <c r="L124" s="35"/>
      <c r="AF124" s="115" t="str">
        <f t="shared" si="2"/>
        <v/>
      </c>
      <c r="AG124" s="116" t="str">
        <f>IF(AF124="","",COUNTIF(AF124:AF$3000,AF124))</f>
        <v/>
      </c>
      <c r="AH124" s="117" t="str">
        <f t="shared" si="3"/>
        <v/>
      </c>
    </row>
    <row r="125" spans="6:34" x14ac:dyDescent="0.25">
      <c r="F125" s="35"/>
      <c r="J125" s="35"/>
      <c r="K125" s="35"/>
      <c r="L125" s="35"/>
      <c r="AF125" s="115" t="str">
        <f t="shared" si="2"/>
        <v/>
      </c>
      <c r="AG125" s="116" t="str">
        <f>IF(AF125="","",COUNTIF(AF125:AF$3000,AF125))</f>
        <v/>
      </c>
      <c r="AH125" s="117" t="str">
        <f t="shared" si="3"/>
        <v/>
      </c>
    </row>
    <row r="126" spans="6:34" x14ac:dyDescent="0.25">
      <c r="F126" s="35"/>
      <c r="J126" s="35"/>
      <c r="K126" s="35"/>
      <c r="L126" s="35"/>
      <c r="AF126" s="115" t="str">
        <f t="shared" si="2"/>
        <v/>
      </c>
      <c r="AG126" s="116" t="str">
        <f>IF(AF126="","",COUNTIF(AF126:AF$3000,AF126))</f>
        <v/>
      </c>
      <c r="AH126" s="117" t="str">
        <f t="shared" si="3"/>
        <v/>
      </c>
    </row>
    <row r="127" spans="6:34" x14ac:dyDescent="0.25">
      <c r="F127" s="35"/>
      <c r="J127" s="35"/>
      <c r="K127" s="35"/>
      <c r="L127" s="35"/>
      <c r="AF127" s="115" t="str">
        <f t="shared" si="2"/>
        <v/>
      </c>
      <c r="AG127" s="116" t="str">
        <f>IF(AF127="","",COUNTIF(AF127:AF$3000,AF127))</f>
        <v/>
      </c>
      <c r="AH127" s="117" t="str">
        <f t="shared" si="3"/>
        <v/>
      </c>
    </row>
    <row r="128" spans="6:34" x14ac:dyDescent="0.25">
      <c r="F128" s="35"/>
      <c r="J128" s="35"/>
      <c r="K128" s="35"/>
      <c r="L128" s="35"/>
      <c r="AF128" s="115" t="str">
        <f t="shared" si="2"/>
        <v/>
      </c>
      <c r="AG128" s="116" t="str">
        <f>IF(AF128="","",COUNTIF(AF128:AF$3000,AF128))</f>
        <v/>
      </c>
      <c r="AH128" s="117" t="str">
        <f t="shared" si="3"/>
        <v/>
      </c>
    </row>
    <row r="129" spans="6:34" x14ac:dyDescent="0.25">
      <c r="F129" s="35"/>
      <c r="J129" s="35"/>
      <c r="K129" s="35"/>
      <c r="L129" s="35"/>
      <c r="AF129" s="115" t="str">
        <f t="shared" si="2"/>
        <v/>
      </c>
      <c r="AG129" s="116" t="str">
        <f>IF(AF129="","",COUNTIF(AF129:AF$3000,AF129))</f>
        <v/>
      </c>
      <c r="AH129" s="117" t="str">
        <f t="shared" si="3"/>
        <v/>
      </c>
    </row>
    <row r="130" spans="6:34" x14ac:dyDescent="0.25">
      <c r="F130" s="35"/>
      <c r="J130" s="35"/>
      <c r="K130" s="35"/>
      <c r="L130" s="35"/>
      <c r="AF130" s="115" t="str">
        <f t="shared" si="2"/>
        <v/>
      </c>
      <c r="AG130" s="116" t="str">
        <f>IF(AF130="","",COUNTIF(AF130:AF$3000,AF130))</f>
        <v/>
      </c>
      <c r="AH130" s="117" t="str">
        <f t="shared" si="3"/>
        <v/>
      </c>
    </row>
    <row r="131" spans="6:34" x14ac:dyDescent="0.25">
      <c r="F131" s="35"/>
      <c r="J131" s="35"/>
      <c r="K131" s="35"/>
      <c r="L131" s="35"/>
      <c r="AF131" s="115" t="str">
        <f t="shared" si="2"/>
        <v/>
      </c>
      <c r="AG131" s="116" t="str">
        <f>IF(AF131="","",COUNTIF(AF131:AF$3000,AF131))</f>
        <v/>
      </c>
      <c r="AH131" s="117" t="str">
        <f t="shared" si="3"/>
        <v/>
      </c>
    </row>
    <row r="132" spans="6:34" x14ac:dyDescent="0.25">
      <c r="F132" s="35"/>
      <c r="J132" s="35"/>
      <c r="K132" s="35"/>
      <c r="L132" s="35"/>
      <c r="AF132" s="115" t="str">
        <f t="shared" ref="AF132:AF195" si="4">IF(B132="","",TEXT(J132,"DD/MM/AA")&amp;"_"&amp;S132&amp;"_"&amp;V132)</f>
        <v/>
      </c>
      <c r="AG132" s="116" t="str">
        <f>IF(AF132="","",COUNTIF(AF132:AF$3000,AF132))</f>
        <v/>
      </c>
      <c r="AH132" s="117" t="str">
        <f t="shared" ref="AH132:AH195" si="5">IF(AA132="","",
IF(AG132&gt;1,"",
IF(SUMIF(AF$3:AF$31,AF132,H$3:H$31)/10&lt;1,1,SUMIF(AF$3:AF$31,AF132,H$3:H$31)/10)))</f>
        <v/>
      </c>
    </row>
    <row r="133" spans="6:34" x14ac:dyDescent="0.25">
      <c r="F133" s="35"/>
      <c r="J133" s="35"/>
      <c r="K133" s="35"/>
      <c r="L133" s="35"/>
      <c r="AF133" s="115" t="str">
        <f t="shared" si="4"/>
        <v/>
      </c>
      <c r="AG133" s="116" t="str">
        <f>IF(AF133="","",COUNTIF(AF133:AF$3000,AF133))</f>
        <v/>
      </c>
      <c r="AH133" s="117" t="str">
        <f t="shared" si="5"/>
        <v/>
      </c>
    </row>
    <row r="134" spans="6:34" x14ac:dyDescent="0.25">
      <c r="F134" s="35"/>
      <c r="J134" s="35"/>
      <c r="K134" s="35"/>
      <c r="L134" s="35"/>
      <c r="AF134" s="115" t="str">
        <f t="shared" si="4"/>
        <v/>
      </c>
      <c r="AG134" s="116" t="str">
        <f>IF(AF134="","",COUNTIF(AF134:AF$3000,AF134))</f>
        <v/>
      </c>
      <c r="AH134" s="117" t="str">
        <f t="shared" si="5"/>
        <v/>
      </c>
    </row>
    <row r="135" spans="6:34" x14ac:dyDescent="0.25">
      <c r="F135" s="35"/>
      <c r="J135" s="35"/>
      <c r="K135" s="35"/>
      <c r="L135" s="35"/>
      <c r="AF135" s="115" t="str">
        <f t="shared" si="4"/>
        <v/>
      </c>
      <c r="AG135" s="116" t="str">
        <f>IF(AF135="","",COUNTIF(AF135:AF$3000,AF135))</f>
        <v/>
      </c>
      <c r="AH135" s="117" t="str">
        <f t="shared" si="5"/>
        <v/>
      </c>
    </row>
    <row r="136" spans="6:34" x14ac:dyDescent="0.25">
      <c r="F136" s="35"/>
      <c r="J136" s="35"/>
      <c r="K136" s="35"/>
      <c r="L136" s="35"/>
      <c r="AF136" s="115" t="str">
        <f t="shared" si="4"/>
        <v/>
      </c>
      <c r="AG136" s="116" t="str">
        <f>IF(AF136="","",COUNTIF(AF136:AF$3000,AF136))</f>
        <v/>
      </c>
      <c r="AH136" s="117" t="str">
        <f t="shared" si="5"/>
        <v/>
      </c>
    </row>
    <row r="137" spans="6:34" x14ac:dyDescent="0.25">
      <c r="F137" s="35"/>
      <c r="J137" s="35"/>
      <c r="K137" s="35"/>
      <c r="L137" s="35"/>
      <c r="AF137" s="115" t="str">
        <f t="shared" si="4"/>
        <v/>
      </c>
      <c r="AG137" s="116" t="str">
        <f>IF(AF137="","",COUNTIF(AF137:AF$3000,AF137))</f>
        <v/>
      </c>
      <c r="AH137" s="117" t="str">
        <f t="shared" si="5"/>
        <v/>
      </c>
    </row>
    <row r="138" spans="6:34" x14ac:dyDescent="0.25">
      <c r="F138" s="35"/>
      <c r="J138" s="35"/>
      <c r="K138" s="35"/>
      <c r="L138" s="35"/>
      <c r="AF138" s="115" t="str">
        <f t="shared" si="4"/>
        <v/>
      </c>
      <c r="AG138" s="116" t="str">
        <f>IF(AF138="","",COUNTIF(AF138:AF$3000,AF138))</f>
        <v/>
      </c>
      <c r="AH138" s="117" t="str">
        <f t="shared" si="5"/>
        <v/>
      </c>
    </row>
    <row r="139" spans="6:34" x14ac:dyDescent="0.25">
      <c r="F139" s="35"/>
      <c r="J139" s="35"/>
      <c r="K139" s="35"/>
      <c r="L139" s="35"/>
      <c r="AF139" s="115" t="str">
        <f t="shared" si="4"/>
        <v/>
      </c>
      <c r="AG139" s="116" t="str">
        <f>IF(AF139="","",COUNTIF(AF139:AF$3000,AF139))</f>
        <v/>
      </c>
      <c r="AH139" s="117" t="str">
        <f t="shared" si="5"/>
        <v/>
      </c>
    </row>
    <row r="140" spans="6:34" x14ac:dyDescent="0.25">
      <c r="F140" s="35"/>
      <c r="J140" s="35"/>
      <c r="K140" s="35"/>
      <c r="L140" s="35"/>
      <c r="AF140" s="115" t="str">
        <f t="shared" si="4"/>
        <v/>
      </c>
      <c r="AG140" s="116" t="str">
        <f>IF(AF140="","",COUNTIF(AF140:AF$3000,AF140))</f>
        <v/>
      </c>
      <c r="AH140" s="117" t="str">
        <f t="shared" si="5"/>
        <v/>
      </c>
    </row>
    <row r="141" spans="6:34" x14ac:dyDescent="0.25">
      <c r="F141" s="35"/>
      <c r="J141" s="35"/>
      <c r="K141" s="35"/>
      <c r="L141" s="35"/>
      <c r="AF141" s="115" t="str">
        <f t="shared" si="4"/>
        <v/>
      </c>
      <c r="AG141" s="116" t="str">
        <f>IF(AF141="","",COUNTIF(AF141:AF$3000,AF141))</f>
        <v/>
      </c>
      <c r="AH141" s="117" t="str">
        <f t="shared" si="5"/>
        <v/>
      </c>
    </row>
    <row r="142" spans="6:34" x14ac:dyDescent="0.25">
      <c r="F142" s="35"/>
      <c r="J142" s="35"/>
      <c r="K142" s="35"/>
      <c r="L142" s="35"/>
      <c r="AF142" s="115" t="str">
        <f t="shared" si="4"/>
        <v/>
      </c>
      <c r="AG142" s="116" t="str">
        <f>IF(AF142="","",COUNTIF(AF142:AF$3000,AF142))</f>
        <v/>
      </c>
      <c r="AH142" s="117" t="str">
        <f t="shared" si="5"/>
        <v/>
      </c>
    </row>
    <row r="143" spans="6:34" x14ac:dyDescent="0.25">
      <c r="F143" s="35"/>
      <c r="J143" s="35"/>
      <c r="K143" s="35"/>
      <c r="L143" s="35"/>
      <c r="AF143" s="115" t="str">
        <f t="shared" si="4"/>
        <v/>
      </c>
      <c r="AG143" s="116" t="str">
        <f>IF(AF143="","",COUNTIF(AF143:AF$3000,AF143))</f>
        <v/>
      </c>
      <c r="AH143" s="117" t="str">
        <f t="shared" si="5"/>
        <v/>
      </c>
    </row>
    <row r="144" spans="6:34" x14ac:dyDescent="0.25">
      <c r="F144" s="35"/>
      <c r="J144" s="35"/>
      <c r="K144" s="35"/>
      <c r="L144" s="35"/>
      <c r="AF144" s="115" t="str">
        <f t="shared" si="4"/>
        <v/>
      </c>
      <c r="AG144" s="116" t="str">
        <f>IF(AF144="","",COUNTIF(AF144:AF$3000,AF144))</f>
        <v/>
      </c>
      <c r="AH144" s="117" t="str">
        <f t="shared" si="5"/>
        <v/>
      </c>
    </row>
    <row r="145" spans="6:34" x14ac:dyDescent="0.25">
      <c r="F145" s="35"/>
      <c r="J145" s="35"/>
      <c r="K145" s="35"/>
      <c r="L145" s="35"/>
      <c r="AF145" s="115" t="str">
        <f t="shared" si="4"/>
        <v/>
      </c>
      <c r="AG145" s="116" t="str">
        <f>IF(AF145="","",COUNTIF(AF145:AF$3000,AF145))</f>
        <v/>
      </c>
      <c r="AH145" s="117" t="str">
        <f t="shared" si="5"/>
        <v/>
      </c>
    </row>
    <row r="146" spans="6:34" x14ac:dyDescent="0.25">
      <c r="F146" s="35"/>
      <c r="J146" s="35"/>
      <c r="K146" s="35"/>
      <c r="L146" s="35"/>
      <c r="AF146" s="115" t="str">
        <f t="shared" si="4"/>
        <v/>
      </c>
      <c r="AG146" s="116" t="str">
        <f>IF(AF146="","",COUNTIF(AF146:AF$3000,AF146))</f>
        <v/>
      </c>
      <c r="AH146" s="117" t="str">
        <f t="shared" si="5"/>
        <v/>
      </c>
    </row>
    <row r="147" spans="6:34" x14ac:dyDescent="0.25">
      <c r="F147" s="35"/>
      <c r="J147" s="35"/>
      <c r="K147" s="35"/>
      <c r="L147" s="35"/>
      <c r="AF147" s="115" t="str">
        <f t="shared" si="4"/>
        <v/>
      </c>
      <c r="AG147" s="116" t="str">
        <f>IF(AF147="","",COUNTIF(AF147:AF$3000,AF147))</f>
        <v/>
      </c>
      <c r="AH147" s="117" t="str">
        <f t="shared" si="5"/>
        <v/>
      </c>
    </row>
    <row r="148" spans="6:34" x14ac:dyDescent="0.25">
      <c r="F148" s="35"/>
      <c r="J148" s="35"/>
      <c r="K148" s="35"/>
      <c r="L148" s="35"/>
      <c r="AF148" s="115" t="str">
        <f t="shared" si="4"/>
        <v/>
      </c>
      <c r="AG148" s="116" t="str">
        <f>IF(AF148="","",COUNTIF(AF148:AF$3000,AF148))</f>
        <v/>
      </c>
      <c r="AH148" s="117" t="str">
        <f t="shared" si="5"/>
        <v/>
      </c>
    </row>
    <row r="149" spans="6:34" x14ac:dyDescent="0.25">
      <c r="F149" s="35"/>
      <c r="J149" s="35"/>
      <c r="K149" s="35"/>
      <c r="L149" s="35"/>
      <c r="AF149" s="115" t="str">
        <f t="shared" si="4"/>
        <v/>
      </c>
      <c r="AG149" s="116" t="str">
        <f>IF(AF149="","",COUNTIF(AF149:AF$3000,AF149))</f>
        <v/>
      </c>
      <c r="AH149" s="117" t="str">
        <f t="shared" si="5"/>
        <v/>
      </c>
    </row>
    <row r="150" spans="6:34" x14ac:dyDescent="0.25">
      <c r="F150" s="35"/>
      <c r="J150" s="35"/>
      <c r="K150" s="35"/>
      <c r="L150" s="35"/>
      <c r="AF150" s="115" t="str">
        <f t="shared" si="4"/>
        <v/>
      </c>
      <c r="AG150" s="116" t="str">
        <f>IF(AF150="","",COUNTIF(AF150:AF$3000,AF150))</f>
        <v/>
      </c>
      <c r="AH150" s="117" t="str">
        <f t="shared" si="5"/>
        <v/>
      </c>
    </row>
    <row r="151" spans="6:34" x14ac:dyDescent="0.25">
      <c r="F151" s="35"/>
      <c r="J151" s="35"/>
      <c r="K151" s="35"/>
      <c r="L151" s="35"/>
      <c r="AF151" s="115" t="str">
        <f t="shared" si="4"/>
        <v/>
      </c>
      <c r="AG151" s="116" t="str">
        <f>IF(AF151="","",COUNTIF(AF151:AF$3000,AF151))</f>
        <v/>
      </c>
      <c r="AH151" s="117" t="str">
        <f t="shared" si="5"/>
        <v/>
      </c>
    </row>
    <row r="152" spans="6:34" x14ac:dyDescent="0.25">
      <c r="F152" s="35"/>
      <c r="J152" s="35"/>
      <c r="K152" s="35"/>
      <c r="L152" s="35"/>
      <c r="AF152" s="115" t="str">
        <f t="shared" si="4"/>
        <v/>
      </c>
      <c r="AG152" s="116" t="str">
        <f>IF(AF152="","",COUNTIF(AF152:AF$3000,AF152))</f>
        <v/>
      </c>
      <c r="AH152" s="117" t="str">
        <f t="shared" si="5"/>
        <v/>
      </c>
    </row>
    <row r="153" spans="6:34" x14ac:dyDescent="0.25">
      <c r="F153" s="35"/>
      <c r="J153" s="35"/>
      <c r="K153" s="35"/>
      <c r="L153" s="35"/>
      <c r="AF153" s="115" t="str">
        <f t="shared" si="4"/>
        <v/>
      </c>
      <c r="AG153" s="116" t="str">
        <f>IF(AF153="","",COUNTIF(AF153:AF$3000,AF153))</f>
        <v/>
      </c>
      <c r="AH153" s="117" t="str">
        <f t="shared" si="5"/>
        <v/>
      </c>
    </row>
    <row r="154" spans="6:34" x14ac:dyDescent="0.25">
      <c r="F154" s="35"/>
      <c r="J154" s="35"/>
      <c r="K154" s="35"/>
      <c r="L154" s="35"/>
      <c r="AF154" s="115" t="str">
        <f t="shared" si="4"/>
        <v/>
      </c>
      <c r="AG154" s="116" t="str">
        <f>IF(AF154="","",COUNTIF(AF154:AF$3000,AF154))</f>
        <v/>
      </c>
      <c r="AH154" s="117" t="str">
        <f t="shared" si="5"/>
        <v/>
      </c>
    </row>
    <row r="155" spans="6:34" x14ac:dyDescent="0.25">
      <c r="F155" s="35"/>
      <c r="J155" s="35"/>
      <c r="K155" s="35"/>
      <c r="L155" s="35"/>
      <c r="AF155" s="115" t="str">
        <f t="shared" si="4"/>
        <v/>
      </c>
      <c r="AG155" s="116" t="str">
        <f>IF(AF155="","",COUNTIF(AF155:AF$3000,AF155))</f>
        <v/>
      </c>
      <c r="AH155" s="117" t="str">
        <f t="shared" si="5"/>
        <v/>
      </c>
    </row>
    <row r="156" spans="6:34" x14ac:dyDescent="0.25">
      <c r="F156" s="35"/>
      <c r="J156" s="35"/>
      <c r="K156" s="35"/>
      <c r="L156" s="35"/>
      <c r="AF156" s="115" t="str">
        <f t="shared" si="4"/>
        <v/>
      </c>
      <c r="AG156" s="116" t="str">
        <f>IF(AF156="","",COUNTIF(AF156:AF$3000,AF156))</f>
        <v/>
      </c>
      <c r="AH156" s="117" t="str">
        <f t="shared" si="5"/>
        <v/>
      </c>
    </row>
    <row r="157" spans="6:34" x14ac:dyDescent="0.25">
      <c r="F157" s="35"/>
      <c r="J157" s="35"/>
      <c r="K157" s="35"/>
      <c r="L157" s="35"/>
      <c r="AF157" s="115" t="str">
        <f t="shared" si="4"/>
        <v/>
      </c>
      <c r="AG157" s="116" t="str">
        <f>IF(AF157="","",COUNTIF(AF157:AF$3000,AF157))</f>
        <v/>
      </c>
      <c r="AH157" s="117" t="str">
        <f t="shared" si="5"/>
        <v/>
      </c>
    </row>
    <row r="158" spans="6:34" x14ac:dyDescent="0.25">
      <c r="F158" s="35"/>
      <c r="J158" s="35"/>
      <c r="K158" s="35"/>
      <c r="L158" s="35"/>
      <c r="AF158" s="115" t="str">
        <f t="shared" si="4"/>
        <v/>
      </c>
      <c r="AG158" s="116" t="str">
        <f>IF(AF158="","",COUNTIF(AF158:AF$3000,AF158))</f>
        <v/>
      </c>
      <c r="AH158" s="117" t="str">
        <f t="shared" si="5"/>
        <v/>
      </c>
    </row>
    <row r="159" spans="6:34" x14ac:dyDescent="0.25">
      <c r="F159" s="35"/>
      <c r="J159" s="35"/>
      <c r="K159" s="35"/>
      <c r="L159" s="35"/>
      <c r="AF159" s="115" t="str">
        <f t="shared" si="4"/>
        <v/>
      </c>
      <c r="AG159" s="116" t="str">
        <f>IF(AF159="","",COUNTIF(AF159:AF$3000,AF159))</f>
        <v/>
      </c>
      <c r="AH159" s="117" t="str">
        <f t="shared" si="5"/>
        <v/>
      </c>
    </row>
    <row r="160" spans="6:34" x14ac:dyDescent="0.25">
      <c r="F160" s="35"/>
      <c r="J160" s="35"/>
      <c r="K160" s="35"/>
      <c r="L160" s="35"/>
      <c r="AF160" s="115" t="str">
        <f t="shared" si="4"/>
        <v/>
      </c>
      <c r="AG160" s="116" t="str">
        <f>IF(AF160="","",COUNTIF(AF160:AF$3000,AF160))</f>
        <v/>
      </c>
      <c r="AH160" s="117" t="str">
        <f t="shared" si="5"/>
        <v/>
      </c>
    </row>
    <row r="161" spans="6:34" x14ac:dyDescent="0.25">
      <c r="F161" s="35"/>
      <c r="J161" s="35"/>
      <c r="K161" s="35"/>
      <c r="L161" s="35"/>
      <c r="AF161" s="115" t="str">
        <f t="shared" si="4"/>
        <v/>
      </c>
      <c r="AG161" s="116" t="str">
        <f>IF(AF161="","",COUNTIF(AF161:AF$3000,AF161))</f>
        <v/>
      </c>
      <c r="AH161" s="117" t="str">
        <f t="shared" si="5"/>
        <v/>
      </c>
    </row>
    <row r="162" spans="6:34" x14ac:dyDescent="0.25">
      <c r="F162" s="35"/>
      <c r="J162" s="35"/>
      <c r="K162" s="35"/>
      <c r="L162" s="35"/>
      <c r="AF162" s="115" t="str">
        <f t="shared" si="4"/>
        <v/>
      </c>
      <c r="AG162" s="116" t="str">
        <f>IF(AF162="","",COUNTIF(AF162:AF$3000,AF162))</f>
        <v/>
      </c>
      <c r="AH162" s="117" t="str">
        <f t="shared" si="5"/>
        <v/>
      </c>
    </row>
    <row r="163" spans="6:34" x14ac:dyDescent="0.25">
      <c r="F163" s="35"/>
      <c r="J163" s="35"/>
      <c r="K163" s="35"/>
      <c r="L163" s="35"/>
      <c r="AF163" s="115" t="str">
        <f t="shared" si="4"/>
        <v/>
      </c>
      <c r="AG163" s="116" t="str">
        <f>IF(AF163="","",COUNTIF(AF163:AF$3000,AF163))</f>
        <v/>
      </c>
      <c r="AH163" s="117" t="str">
        <f t="shared" si="5"/>
        <v/>
      </c>
    </row>
    <row r="164" spans="6:34" x14ac:dyDescent="0.25">
      <c r="F164" s="35"/>
      <c r="J164" s="35"/>
      <c r="K164" s="35"/>
      <c r="L164" s="35"/>
      <c r="AF164" s="115" t="str">
        <f t="shared" si="4"/>
        <v/>
      </c>
      <c r="AG164" s="116" t="str">
        <f>IF(AF164="","",COUNTIF(AF164:AF$3000,AF164))</f>
        <v/>
      </c>
      <c r="AH164" s="117" t="str">
        <f t="shared" si="5"/>
        <v/>
      </c>
    </row>
    <row r="165" spans="6:34" x14ac:dyDescent="0.25">
      <c r="F165" s="35"/>
      <c r="J165" s="35"/>
      <c r="K165" s="35"/>
      <c r="L165" s="35"/>
      <c r="AF165" s="115" t="str">
        <f t="shared" si="4"/>
        <v/>
      </c>
      <c r="AG165" s="116" t="str">
        <f>IF(AF165="","",COUNTIF(AF165:AF$3000,AF165))</f>
        <v/>
      </c>
      <c r="AH165" s="117" t="str">
        <f t="shared" si="5"/>
        <v/>
      </c>
    </row>
    <row r="166" spans="6:34" x14ac:dyDescent="0.25">
      <c r="F166" s="35"/>
      <c r="J166" s="35"/>
      <c r="K166" s="35"/>
      <c r="L166" s="35"/>
      <c r="AF166" s="115" t="str">
        <f t="shared" si="4"/>
        <v/>
      </c>
      <c r="AG166" s="116" t="str">
        <f>IF(AF166="","",COUNTIF(AF166:AF$3000,AF166))</f>
        <v/>
      </c>
      <c r="AH166" s="117" t="str">
        <f t="shared" si="5"/>
        <v/>
      </c>
    </row>
    <row r="167" spans="6:34" x14ac:dyDescent="0.25">
      <c r="F167" s="35"/>
      <c r="J167" s="35"/>
      <c r="K167" s="35"/>
      <c r="L167" s="35"/>
      <c r="AF167" s="115" t="str">
        <f t="shared" si="4"/>
        <v/>
      </c>
      <c r="AG167" s="116" t="str">
        <f>IF(AF167="","",COUNTIF(AF167:AF$3000,AF167))</f>
        <v/>
      </c>
      <c r="AH167" s="117" t="str">
        <f t="shared" si="5"/>
        <v/>
      </c>
    </row>
    <row r="168" spans="6:34" x14ac:dyDescent="0.25">
      <c r="F168" s="35"/>
      <c r="J168" s="35"/>
      <c r="K168" s="35"/>
      <c r="L168" s="35"/>
      <c r="AF168" s="115" t="str">
        <f t="shared" si="4"/>
        <v/>
      </c>
      <c r="AG168" s="116" t="str">
        <f>IF(AF168="","",COUNTIF(AF168:AF$3000,AF168))</f>
        <v/>
      </c>
      <c r="AH168" s="117" t="str">
        <f t="shared" si="5"/>
        <v/>
      </c>
    </row>
    <row r="169" spans="6:34" x14ac:dyDescent="0.25">
      <c r="F169" s="35"/>
      <c r="J169" s="35"/>
      <c r="K169" s="35"/>
      <c r="L169" s="35"/>
      <c r="AF169" s="115" t="str">
        <f t="shared" si="4"/>
        <v/>
      </c>
      <c r="AG169" s="116" t="str">
        <f>IF(AF169="","",COUNTIF(AF169:AF$3000,AF169))</f>
        <v/>
      </c>
      <c r="AH169" s="117" t="str">
        <f t="shared" si="5"/>
        <v/>
      </c>
    </row>
    <row r="170" spans="6:34" x14ac:dyDescent="0.25">
      <c r="F170" s="35"/>
      <c r="J170" s="35"/>
      <c r="K170" s="35"/>
      <c r="L170" s="35"/>
      <c r="AF170" s="115" t="str">
        <f t="shared" si="4"/>
        <v/>
      </c>
      <c r="AG170" s="116" t="str">
        <f>IF(AF170="","",COUNTIF(AF170:AF$3000,AF170))</f>
        <v/>
      </c>
      <c r="AH170" s="117" t="str">
        <f t="shared" si="5"/>
        <v/>
      </c>
    </row>
    <row r="171" spans="6:34" x14ac:dyDescent="0.25">
      <c r="F171" s="35"/>
      <c r="J171" s="35"/>
      <c r="K171" s="35"/>
      <c r="L171" s="35"/>
      <c r="AF171" s="115" t="str">
        <f t="shared" si="4"/>
        <v/>
      </c>
      <c r="AG171" s="116" t="str">
        <f>IF(AF171="","",COUNTIF(AF171:AF$3000,AF171))</f>
        <v/>
      </c>
      <c r="AH171" s="117" t="str">
        <f t="shared" si="5"/>
        <v/>
      </c>
    </row>
    <row r="172" spans="6:34" x14ac:dyDescent="0.25">
      <c r="F172" s="35"/>
      <c r="J172" s="35"/>
      <c r="K172" s="35"/>
      <c r="L172" s="35"/>
      <c r="AF172" s="115" t="str">
        <f t="shared" si="4"/>
        <v/>
      </c>
      <c r="AG172" s="116" t="str">
        <f>IF(AF172="","",COUNTIF(AF172:AF$3000,AF172))</f>
        <v/>
      </c>
      <c r="AH172" s="117" t="str">
        <f t="shared" si="5"/>
        <v/>
      </c>
    </row>
    <row r="173" spans="6:34" x14ac:dyDescent="0.25">
      <c r="F173" s="35"/>
      <c r="J173" s="35"/>
      <c r="K173" s="35"/>
      <c r="L173" s="35"/>
      <c r="AF173" s="115" t="str">
        <f t="shared" si="4"/>
        <v/>
      </c>
      <c r="AG173" s="116" t="str">
        <f>IF(AF173="","",COUNTIF(AF173:AF$3000,AF173))</f>
        <v/>
      </c>
      <c r="AH173" s="117" t="str">
        <f t="shared" si="5"/>
        <v/>
      </c>
    </row>
    <row r="174" spans="6:34" x14ac:dyDescent="0.25">
      <c r="F174" s="35"/>
      <c r="J174" s="35"/>
      <c r="K174" s="35"/>
      <c r="L174" s="35"/>
      <c r="AF174" s="115" t="str">
        <f t="shared" si="4"/>
        <v/>
      </c>
      <c r="AG174" s="116" t="str">
        <f>IF(AF174="","",COUNTIF(AF174:AF$3000,AF174))</f>
        <v/>
      </c>
      <c r="AH174" s="117" t="str">
        <f t="shared" si="5"/>
        <v/>
      </c>
    </row>
    <row r="175" spans="6:34" x14ac:dyDescent="0.25">
      <c r="F175" s="35"/>
      <c r="J175" s="35"/>
      <c r="K175" s="35"/>
      <c r="L175" s="35"/>
      <c r="AF175" s="115" t="str">
        <f t="shared" si="4"/>
        <v/>
      </c>
      <c r="AG175" s="116" t="str">
        <f>IF(AF175="","",COUNTIF(AF175:AF$3000,AF175))</f>
        <v/>
      </c>
      <c r="AH175" s="117" t="str">
        <f t="shared" si="5"/>
        <v/>
      </c>
    </row>
    <row r="176" spans="6:34" x14ac:dyDescent="0.25">
      <c r="F176" s="35"/>
      <c r="J176" s="35"/>
      <c r="K176" s="35"/>
      <c r="L176" s="35"/>
      <c r="AF176" s="115" t="str">
        <f t="shared" si="4"/>
        <v/>
      </c>
      <c r="AG176" s="116" t="str">
        <f>IF(AF176="","",COUNTIF(AF176:AF$3000,AF176))</f>
        <v/>
      </c>
      <c r="AH176" s="117" t="str">
        <f t="shared" si="5"/>
        <v/>
      </c>
    </row>
    <row r="177" spans="6:34" x14ac:dyDescent="0.25">
      <c r="F177" s="35"/>
      <c r="J177" s="35"/>
      <c r="K177" s="35"/>
      <c r="L177" s="35"/>
      <c r="AF177" s="115" t="str">
        <f t="shared" si="4"/>
        <v/>
      </c>
      <c r="AG177" s="116" t="str">
        <f>IF(AF177="","",COUNTIF(AF177:AF$3000,AF177))</f>
        <v/>
      </c>
      <c r="AH177" s="117" t="str">
        <f t="shared" si="5"/>
        <v/>
      </c>
    </row>
    <row r="178" spans="6:34" x14ac:dyDescent="0.25">
      <c r="F178" s="35"/>
      <c r="J178" s="35"/>
      <c r="K178" s="35"/>
      <c r="L178" s="35"/>
      <c r="AF178" s="115" t="str">
        <f t="shared" si="4"/>
        <v/>
      </c>
      <c r="AG178" s="116" t="str">
        <f>IF(AF178="","",COUNTIF(AF178:AF$3000,AF178))</f>
        <v/>
      </c>
      <c r="AH178" s="117" t="str">
        <f t="shared" si="5"/>
        <v/>
      </c>
    </row>
    <row r="179" spans="6:34" x14ac:dyDescent="0.25">
      <c r="F179" s="35"/>
      <c r="J179" s="35"/>
      <c r="K179" s="35"/>
      <c r="L179" s="35"/>
      <c r="AF179" s="115" t="str">
        <f t="shared" si="4"/>
        <v/>
      </c>
      <c r="AG179" s="116" t="str">
        <f>IF(AF179="","",COUNTIF(AF179:AF$3000,AF179))</f>
        <v/>
      </c>
      <c r="AH179" s="117" t="str">
        <f t="shared" si="5"/>
        <v/>
      </c>
    </row>
    <row r="180" spans="6:34" x14ac:dyDescent="0.25">
      <c r="F180" s="35"/>
      <c r="J180" s="35"/>
      <c r="K180" s="35"/>
      <c r="L180" s="35"/>
      <c r="AF180" s="115" t="str">
        <f t="shared" si="4"/>
        <v/>
      </c>
      <c r="AG180" s="116" t="str">
        <f>IF(AF180="","",COUNTIF(AF180:AF$3000,AF180))</f>
        <v/>
      </c>
      <c r="AH180" s="117" t="str">
        <f t="shared" si="5"/>
        <v/>
      </c>
    </row>
    <row r="181" spans="6:34" x14ac:dyDescent="0.25">
      <c r="F181" s="35"/>
      <c r="J181" s="35"/>
      <c r="K181" s="35"/>
      <c r="L181" s="35"/>
      <c r="AF181" s="115" t="str">
        <f t="shared" si="4"/>
        <v/>
      </c>
      <c r="AG181" s="116" t="str">
        <f>IF(AF181="","",COUNTIF(AF181:AF$3000,AF181))</f>
        <v/>
      </c>
      <c r="AH181" s="117" t="str">
        <f t="shared" si="5"/>
        <v/>
      </c>
    </row>
    <row r="182" spans="6:34" x14ac:dyDescent="0.25">
      <c r="F182" s="35"/>
      <c r="J182" s="35"/>
      <c r="K182" s="35"/>
      <c r="L182" s="35"/>
      <c r="AF182" s="115" t="str">
        <f t="shared" si="4"/>
        <v/>
      </c>
      <c r="AG182" s="116" t="str">
        <f>IF(AF182="","",COUNTIF(AF182:AF$3000,AF182))</f>
        <v/>
      </c>
      <c r="AH182" s="117" t="str">
        <f t="shared" si="5"/>
        <v/>
      </c>
    </row>
    <row r="183" spans="6:34" x14ac:dyDescent="0.25">
      <c r="F183" s="35"/>
      <c r="J183" s="35"/>
      <c r="K183" s="35"/>
      <c r="L183" s="35"/>
      <c r="AF183" s="115" t="str">
        <f t="shared" si="4"/>
        <v/>
      </c>
      <c r="AG183" s="116" t="str">
        <f>IF(AF183="","",COUNTIF(AF183:AF$3000,AF183))</f>
        <v/>
      </c>
      <c r="AH183" s="117" t="str">
        <f t="shared" si="5"/>
        <v/>
      </c>
    </row>
    <row r="184" spans="6:34" x14ac:dyDescent="0.25">
      <c r="F184" s="35"/>
      <c r="J184" s="35"/>
      <c r="K184" s="35"/>
      <c r="L184" s="35"/>
      <c r="AF184" s="115" t="str">
        <f t="shared" si="4"/>
        <v/>
      </c>
      <c r="AG184" s="116" t="str">
        <f>IF(AF184="","",COUNTIF(AF184:AF$3000,AF184))</f>
        <v/>
      </c>
      <c r="AH184" s="117" t="str">
        <f t="shared" si="5"/>
        <v/>
      </c>
    </row>
    <row r="185" spans="6:34" x14ac:dyDescent="0.25">
      <c r="F185" s="35"/>
      <c r="J185" s="35"/>
      <c r="K185" s="35"/>
      <c r="L185" s="35"/>
      <c r="AF185" s="115" t="str">
        <f t="shared" si="4"/>
        <v/>
      </c>
      <c r="AG185" s="116" t="str">
        <f>IF(AF185="","",COUNTIF(AF185:AF$3000,AF185))</f>
        <v/>
      </c>
      <c r="AH185" s="117" t="str">
        <f t="shared" si="5"/>
        <v/>
      </c>
    </row>
    <row r="186" spans="6:34" x14ac:dyDescent="0.25">
      <c r="F186" s="35"/>
      <c r="J186" s="35"/>
      <c r="K186" s="35"/>
      <c r="L186" s="35"/>
      <c r="AF186" s="115" t="str">
        <f t="shared" si="4"/>
        <v/>
      </c>
      <c r="AG186" s="116" t="str">
        <f>IF(AF186="","",COUNTIF(AF186:AF$3000,AF186))</f>
        <v/>
      </c>
      <c r="AH186" s="117" t="str">
        <f t="shared" si="5"/>
        <v/>
      </c>
    </row>
    <row r="187" spans="6:34" x14ac:dyDescent="0.25">
      <c r="F187" s="35"/>
      <c r="J187" s="35"/>
      <c r="K187" s="35"/>
      <c r="L187" s="35"/>
      <c r="AF187" s="115" t="str">
        <f t="shared" si="4"/>
        <v/>
      </c>
      <c r="AG187" s="116" t="str">
        <f>IF(AF187="","",COUNTIF(AF187:AF$3000,AF187))</f>
        <v/>
      </c>
      <c r="AH187" s="117" t="str">
        <f t="shared" si="5"/>
        <v/>
      </c>
    </row>
    <row r="188" spans="6:34" x14ac:dyDescent="0.25">
      <c r="F188" s="35"/>
      <c r="J188" s="35"/>
      <c r="K188" s="35"/>
      <c r="L188" s="35"/>
      <c r="AF188" s="115" t="str">
        <f t="shared" si="4"/>
        <v/>
      </c>
      <c r="AG188" s="116" t="str">
        <f>IF(AF188="","",COUNTIF(AF188:AF$3000,AF188))</f>
        <v/>
      </c>
      <c r="AH188" s="117" t="str">
        <f t="shared" si="5"/>
        <v/>
      </c>
    </row>
    <row r="189" spans="6:34" x14ac:dyDescent="0.25">
      <c r="F189" s="35"/>
      <c r="J189" s="35"/>
      <c r="K189" s="35"/>
      <c r="L189" s="35"/>
      <c r="AF189" s="115" t="str">
        <f t="shared" si="4"/>
        <v/>
      </c>
      <c r="AG189" s="116" t="str">
        <f>IF(AF189="","",COUNTIF(AF189:AF$3000,AF189))</f>
        <v/>
      </c>
      <c r="AH189" s="117" t="str">
        <f t="shared" si="5"/>
        <v/>
      </c>
    </row>
    <row r="190" spans="6:34" x14ac:dyDescent="0.25">
      <c r="F190" s="35"/>
      <c r="J190" s="35"/>
      <c r="K190" s="35"/>
      <c r="L190" s="35"/>
      <c r="AF190" s="115" t="str">
        <f t="shared" si="4"/>
        <v/>
      </c>
      <c r="AG190" s="116" t="str">
        <f>IF(AF190="","",COUNTIF(AF190:AF$3000,AF190))</f>
        <v/>
      </c>
      <c r="AH190" s="117" t="str">
        <f t="shared" si="5"/>
        <v/>
      </c>
    </row>
    <row r="191" spans="6:34" x14ac:dyDescent="0.25">
      <c r="F191" s="35"/>
      <c r="J191" s="35"/>
      <c r="K191" s="35"/>
      <c r="L191" s="35"/>
      <c r="AF191" s="115" t="str">
        <f t="shared" si="4"/>
        <v/>
      </c>
      <c r="AG191" s="116" t="str">
        <f>IF(AF191="","",COUNTIF(AF191:AF$3000,AF191))</f>
        <v/>
      </c>
      <c r="AH191" s="117" t="str">
        <f t="shared" si="5"/>
        <v/>
      </c>
    </row>
    <row r="192" spans="6:34" x14ac:dyDescent="0.25">
      <c r="F192" s="35"/>
      <c r="J192" s="35"/>
      <c r="K192" s="35"/>
      <c r="L192" s="35"/>
      <c r="AF192" s="115" t="str">
        <f t="shared" si="4"/>
        <v/>
      </c>
      <c r="AG192" s="116" t="str">
        <f>IF(AF192="","",COUNTIF(AF192:AF$3000,AF192))</f>
        <v/>
      </c>
      <c r="AH192" s="117" t="str">
        <f t="shared" si="5"/>
        <v/>
      </c>
    </row>
    <row r="193" spans="6:34" x14ac:dyDescent="0.25">
      <c r="F193" s="35"/>
      <c r="J193" s="35"/>
      <c r="K193" s="35"/>
      <c r="L193" s="35"/>
      <c r="AF193" s="115" t="str">
        <f t="shared" si="4"/>
        <v/>
      </c>
      <c r="AG193" s="116" t="str">
        <f>IF(AF193="","",COUNTIF(AF193:AF$3000,AF193))</f>
        <v/>
      </c>
      <c r="AH193" s="117" t="str">
        <f t="shared" si="5"/>
        <v/>
      </c>
    </row>
    <row r="194" spans="6:34" x14ac:dyDescent="0.25">
      <c r="F194" s="35"/>
      <c r="J194" s="35"/>
      <c r="K194" s="35"/>
      <c r="L194" s="35"/>
      <c r="AF194" s="115" t="str">
        <f t="shared" si="4"/>
        <v/>
      </c>
      <c r="AG194" s="116" t="str">
        <f>IF(AF194="","",COUNTIF(AF194:AF$3000,AF194))</f>
        <v/>
      </c>
      <c r="AH194" s="117" t="str">
        <f t="shared" si="5"/>
        <v/>
      </c>
    </row>
    <row r="195" spans="6:34" x14ac:dyDescent="0.25">
      <c r="F195" s="35"/>
      <c r="J195" s="35"/>
      <c r="K195" s="35"/>
      <c r="L195" s="35"/>
      <c r="AF195" s="115" t="str">
        <f t="shared" si="4"/>
        <v/>
      </c>
      <c r="AG195" s="116" t="str">
        <f>IF(AF195="","",COUNTIF(AF195:AF$3000,AF195))</f>
        <v/>
      </c>
      <c r="AH195" s="117" t="str">
        <f t="shared" si="5"/>
        <v/>
      </c>
    </row>
    <row r="196" spans="6:34" x14ac:dyDescent="0.25">
      <c r="F196" s="35"/>
      <c r="J196" s="35"/>
      <c r="K196" s="35"/>
      <c r="L196" s="35"/>
      <c r="AF196" s="115" t="str">
        <f t="shared" ref="AF196:AF259" si="6">IF(B196="","",TEXT(J196,"DD/MM/AA")&amp;"_"&amp;S196&amp;"_"&amp;V196)</f>
        <v/>
      </c>
      <c r="AG196" s="116" t="str">
        <f>IF(AF196="","",COUNTIF(AF196:AF$3000,AF196))</f>
        <v/>
      </c>
      <c r="AH196" s="117" t="str">
        <f t="shared" ref="AH196:AH259" si="7">IF(AA196="","",
IF(AG196&gt;1,"",
IF(SUMIF(AF$3:AF$31,AF196,H$3:H$31)/10&lt;1,1,SUMIF(AF$3:AF$31,AF196,H$3:H$31)/10)))</f>
        <v/>
      </c>
    </row>
    <row r="197" spans="6:34" x14ac:dyDescent="0.25">
      <c r="F197" s="35"/>
      <c r="J197" s="35"/>
      <c r="K197" s="35"/>
      <c r="L197" s="35"/>
      <c r="AF197" s="115" t="str">
        <f t="shared" si="6"/>
        <v/>
      </c>
      <c r="AG197" s="116" t="str">
        <f>IF(AF197="","",COUNTIF(AF197:AF$3000,AF197))</f>
        <v/>
      </c>
      <c r="AH197" s="117" t="str">
        <f t="shared" si="7"/>
        <v/>
      </c>
    </row>
    <row r="198" spans="6:34" x14ac:dyDescent="0.25">
      <c r="F198" s="35"/>
      <c r="J198" s="35"/>
      <c r="K198" s="35"/>
      <c r="L198" s="35"/>
      <c r="AF198" s="115" t="str">
        <f t="shared" si="6"/>
        <v/>
      </c>
      <c r="AG198" s="116" t="str">
        <f>IF(AF198="","",COUNTIF(AF198:AF$3000,AF198))</f>
        <v/>
      </c>
      <c r="AH198" s="117" t="str">
        <f t="shared" si="7"/>
        <v/>
      </c>
    </row>
    <row r="199" spans="6:34" x14ac:dyDescent="0.25">
      <c r="F199" s="35"/>
      <c r="J199" s="35"/>
      <c r="K199" s="35"/>
      <c r="L199" s="35"/>
      <c r="AF199" s="115" t="str">
        <f t="shared" si="6"/>
        <v/>
      </c>
      <c r="AG199" s="116" t="str">
        <f>IF(AF199="","",COUNTIF(AF199:AF$3000,AF199))</f>
        <v/>
      </c>
      <c r="AH199" s="117" t="str">
        <f t="shared" si="7"/>
        <v/>
      </c>
    </row>
    <row r="200" spans="6:34" x14ac:dyDescent="0.25">
      <c r="F200" s="35"/>
      <c r="J200" s="35"/>
      <c r="K200" s="35"/>
      <c r="L200" s="35"/>
      <c r="AF200" s="115" t="str">
        <f t="shared" si="6"/>
        <v/>
      </c>
      <c r="AG200" s="116" t="str">
        <f>IF(AF200="","",COUNTIF(AF200:AF$3000,AF200))</f>
        <v/>
      </c>
      <c r="AH200" s="117" t="str">
        <f t="shared" si="7"/>
        <v/>
      </c>
    </row>
    <row r="201" spans="6:34" x14ac:dyDescent="0.25">
      <c r="F201" s="35"/>
      <c r="J201" s="35"/>
      <c r="K201" s="35"/>
      <c r="L201" s="35"/>
      <c r="AF201" s="115" t="str">
        <f t="shared" si="6"/>
        <v/>
      </c>
      <c r="AG201" s="116" t="str">
        <f>IF(AF201="","",COUNTIF(AF201:AF$3000,AF201))</f>
        <v/>
      </c>
      <c r="AH201" s="117" t="str">
        <f t="shared" si="7"/>
        <v/>
      </c>
    </row>
    <row r="202" spans="6:34" x14ac:dyDescent="0.25">
      <c r="F202" s="35"/>
      <c r="J202" s="35"/>
      <c r="K202" s="35"/>
      <c r="L202" s="35"/>
      <c r="AF202" s="115" t="str">
        <f t="shared" si="6"/>
        <v/>
      </c>
      <c r="AG202" s="116" t="str">
        <f>IF(AF202="","",COUNTIF(AF202:AF$3000,AF202))</f>
        <v/>
      </c>
      <c r="AH202" s="117" t="str">
        <f t="shared" si="7"/>
        <v/>
      </c>
    </row>
    <row r="203" spans="6:34" x14ac:dyDescent="0.25">
      <c r="F203" s="35"/>
      <c r="J203" s="35"/>
      <c r="K203" s="35"/>
      <c r="L203" s="35"/>
      <c r="AF203" s="115" t="str">
        <f t="shared" si="6"/>
        <v/>
      </c>
      <c r="AG203" s="116" t="str">
        <f>IF(AF203="","",COUNTIF(AF203:AF$3000,AF203))</f>
        <v/>
      </c>
      <c r="AH203" s="117" t="str">
        <f t="shared" si="7"/>
        <v/>
      </c>
    </row>
    <row r="204" spans="6:34" x14ac:dyDescent="0.25">
      <c r="F204" s="35"/>
      <c r="J204" s="35"/>
      <c r="K204" s="35"/>
      <c r="L204" s="35"/>
      <c r="AF204" s="115" t="str">
        <f t="shared" si="6"/>
        <v/>
      </c>
      <c r="AG204" s="116" t="str">
        <f>IF(AF204="","",COUNTIF(AF204:AF$3000,AF204))</f>
        <v/>
      </c>
      <c r="AH204" s="117" t="str">
        <f t="shared" si="7"/>
        <v/>
      </c>
    </row>
    <row r="205" spans="6:34" x14ac:dyDescent="0.25">
      <c r="F205" s="35"/>
      <c r="J205" s="35"/>
      <c r="K205" s="35"/>
      <c r="L205" s="35"/>
      <c r="AF205" s="115" t="str">
        <f t="shared" si="6"/>
        <v/>
      </c>
      <c r="AG205" s="116" t="str">
        <f>IF(AF205="","",COUNTIF(AF205:AF$3000,AF205))</f>
        <v/>
      </c>
      <c r="AH205" s="117" t="str">
        <f t="shared" si="7"/>
        <v/>
      </c>
    </row>
    <row r="206" spans="6:34" x14ac:dyDescent="0.25">
      <c r="F206" s="35"/>
      <c r="J206" s="35"/>
      <c r="K206" s="35"/>
      <c r="L206" s="35"/>
      <c r="AF206" s="115" t="str">
        <f t="shared" si="6"/>
        <v/>
      </c>
      <c r="AG206" s="116" t="str">
        <f>IF(AF206="","",COUNTIF(AF206:AF$3000,AF206))</f>
        <v/>
      </c>
      <c r="AH206" s="117" t="str">
        <f t="shared" si="7"/>
        <v/>
      </c>
    </row>
    <row r="207" spans="6:34" x14ac:dyDescent="0.25">
      <c r="F207" s="35"/>
      <c r="J207" s="35"/>
      <c r="K207" s="35"/>
      <c r="L207" s="35"/>
      <c r="AF207" s="115" t="str">
        <f t="shared" si="6"/>
        <v/>
      </c>
      <c r="AG207" s="116" t="str">
        <f>IF(AF207="","",COUNTIF(AF207:AF$3000,AF207))</f>
        <v/>
      </c>
      <c r="AH207" s="117" t="str">
        <f t="shared" si="7"/>
        <v/>
      </c>
    </row>
    <row r="208" spans="6:34" x14ac:dyDescent="0.25">
      <c r="F208" s="35"/>
      <c r="J208" s="35"/>
      <c r="K208" s="35"/>
      <c r="L208" s="35"/>
      <c r="AF208" s="115" t="str">
        <f t="shared" si="6"/>
        <v/>
      </c>
      <c r="AG208" s="116" t="str">
        <f>IF(AF208="","",COUNTIF(AF208:AF$3000,AF208))</f>
        <v/>
      </c>
      <c r="AH208" s="117" t="str">
        <f t="shared" si="7"/>
        <v/>
      </c>
    </row>
    <row r="209" spans="6:34" x14ac:dyDescent="0.25">
      <c r="F209" s="35"/>
      <c r="J209" s="35"/>
      <c r="K209" s="35"/>
      <c r="L209" s="35"/>
      <c r="AF209" s="115" t="str">
        <f t="shared" si="6"/>
        <v/>
      </c>
      <c r="AG209" s="116" t="str">
        <f>IF(AF209="","",COUNTIF(AF209:AF$3000,AF209))</f>
        <v/>
      </c>
      <c r="AH209" s="117" t="str">
        <f t="shared" si="7"/>
        <v/>
      </c>
    </row>
    <row r="210" spans="6:34" x14ac:dyDescent="0.25">
      <c r="F210" s="35"/>
      <c r="J210" s="35"/>
      <c r="K210" s="35"/>
      <c r="L210" s="35"/>
      <c r="AF210" s="115" t="str">
        <f t="shared" si="6"/>
        <v/>
      </c>
      <c r="AG210" s="116" t="str">
        <f>IF(AF210="","",COUNTIF(AF210:AF$3000,AF210))</f>
        <v/>
      </c>
      <c r="AH210" s="117" t="str">
        <f t="shared" si="7"/>
        <v/>
      </c>
    </row>
    <row r="211" spans="6:34" x14ac:dyDescent="0.25">
      <c r="F211" s="35"/>
      <c r="J211" s="35"/>
      <c r="K211" s="35"/>
      <c r="L211" s="35"/>
      <c r="AF211" s="115" t="str">
        <f t="shared" si="6"/>
        <v/>
      </c>
      <c r="AG211" s="116" t="str">
        <f>IF(AF211="","",COUNTIF(AF211:AF$3000,AF211))</f>
        <v/>
      </c>
      <c r="AH211" s="117" t="str">
        <f t="shared" si="7"/>
        <v/>
      </c>
    </row>
    <row r="212" spans="6:34" x14ac:dyDescent="0.25">
      <c r="F212" s="35"/>
      <c r="J212" s="35"/>
      <c r="K212" s="35"/>
      <c r="L212" s="35"/>
      <c r="AF212" s="115" t="str">
        <f t="shared" si="6"/>
        <v/>
      </c>
      <c r="AG212" s="116" t="str">
        <f>IF(AF212="","",COUNTIF(AF212:AF$3000,AF212))</f>
        <v/>
      </c>
      <c r="AH212" s="117" t="str">
        <f t="shared" si="7"/>
        <v/>
      </c>
    </row>
    <row r="213" spans="6:34" x14ac:dyDescent="0.25">
      <c r="F213" s="35"/>
      <c r="J213" s="35"/>
      <c r="K213" s="35"/>
      <c r="L213" s="35"/>
      <c r="AF213" s="115" t="str">
        <f t="shared" si="6"/>
        <v/>
      </c>
      <c r="AG213" s="116" t="str">
        <f>IF(AF213="","",COUNTIF(AF213:AF$3000,AF213))</f>
        <v/>
      </c>
      <c r="AH213" s="117" t="str">
        <f t="shared" si="7"/>
        <v/>
      </c>
    </row>
    <row r="214" spans="6:34" x14ac:dyDescent="0.25">
      <c r="F214" s="35"/>
      <c r="J214" s="35"/>
      <c r="K214" s="35"/>
      <c r="L214" s="35"/>
      <c r="AF214" s="115" t="str">
        <f t="shared" si="6"/>
        <v/>
      </c>
      <c r="AG214" s="116" t="str">
        <f>IF(AF214="","",COUNTIF(AF214:AF$3000,AF214))</f>
        <v/>
      </c>
      <c r="AH214" s="117" t="str">
        <f t="shared" si="7"/>
        <v/>
      </c>
    </row>
    <row r="215" spans="6:34" x14ac:dyDescent="0.25">
      <c r="F215" s="35"/>
      <c r="J215" s="35"/>
      <c r="K215" s="35"/>
      <c r="L215" s="35"/>
      <c r="AF215" s="115" t="str">
        <f t="shared" si="6"/>
        <v/>
      </c>
      <c r="AG215" s="116" t="str">
        <f>IF(AF215="","",COUNTIF(AF215:AF$3000,AF215))</f>
        <v/>
      </c>
      <c r="AH215" s="117" t="str">
        <f t="shared" si="7"/>
        <v/>
      </c>
    </row>
    <row r="216" spans="6:34" x14ac:dyDescent="0.25">
      <c r="F216" s="35"/>
      <c r="J216" s="35"/>
      <c r="K216" s="35"/>
      <c r="L216" s="35"/>
      <c r="AF216" s="115" t="str">
        <f t="shared" si="6"/>
        <v/>
      </c>
      <c r="AG216" s="116" t="str">
        <f>IF(AF216="","",COUNTIF(AF216:AF$3000,AF216))</f>
        <v/>
      </c>
      <c r="AH216" s="117" t="str">
        <f t="shared" si="7"/>
        <v/>
      </c>
    </row>
    <row r="217" spans="6:34" x14ac:dyDescent="0.25">
      <c r="F217" s="35"/>
      <c r="J217" s="35"/>
      <c r="K217" s="35"/>
      <c r="L217" s="35"/>
      <c r="AF217" s="115" t="str">
        <f t="shared" si="6"/>
        <v/>
      </c>
      <c r="AG217" s="116" t="str">
        <f>IF(AF217="","",COUNTIF(AF217:AF$3000,AF217))</f>
        <v/>
      </c>
      <c r="AH217" s="117" t="str">
        <f t="shared" si="7"/>
        <v/>
      </c>
    </row>
    <row r="218" spans="6:34" x14ac:dyDescent="0.25">
      <c r="F218" s="35"/>
      <c r="J218" s="35"/>
      <c r="K218" s="35"/>
      <c r="L218" s="35"/>
      <c r="AF218" s="115" t="str">
        <f t="shared" si="6"/>
        <v/>
      </c>
      <c r="AG218" s="116" t="str">
        <f>IF(AF218="","",COUNTIF(AF218:AF$3000,AF218))</f>
        <v/>
      </c>
      <c r="AH218" s="117" t="str">
        <f t="shared" si="7"/>
        <v/>
      </c>
    </row>
    <row r="219" spans="6:34" x14ac:dyDescent="0.25">
      <c r="F219" s="35"/>
      <c r="J219" s="35"/>
      <c r="K219" s="35"/>
      <c r="L219" s="35"/>
      <c r="AF219" s="115" t="str">
        <f t="shared" si="6"/>
        <v/>
      </c>
      <c r="AG219" s="116" t="str">
        <f>IF(AF219="","",COUNTIF(AF219:AF$3000,AF219))</f>
        <v/>
      </c>
      <c r="AH219" s="117" t="str">
        <f t="shared" si="7"/>
        <v/>
      </c>
    </row>
    <row r="220" spans="6:34" x14ac:dyDescent="0.25">
      <c r="F220" s="35"/>
      <c r="J220" s="35"/>
      <c r="K220" s="35"/>
      <c r="L220" s="35"/>
      <c r="AF220" s="115" t="str">
        <f t="shared" si="6"/>
        <v/>
      </c>
      <c r="AG220" s="116" t="str">
        <f>IF(AF220="","",COUNTIF(AF220:AF$3000,AF220))</f>
        <v/>
      </c>
      <c r="AH220" s="117" t="str">
        <f t="shared" si="7"/>
        <v/>
      </c>
    </row>
    <row r="221" spans="6:34" x14ac:dyDescent="0.25">
      <c r="F221" s="35"/>
      <c r="J221" s="35"/>
      <c r="K221" s="35"/>
      <c r="L221" s="35"/>
      <c r="AF221" s="115" t="str">
        <f t="shared" si="6"/>
        <v/>
      </c>
      <c r="AG221" s="116" t="str">
        <f>IF(AF221="","",COUNTIF(AF221:AF$3000,AF221))</f>
        <v/>
      </c>
      <c r="AH221" s="117" t="str">
        <f t="shared" si="7"/>
        <v/>
      </c>
    </row>
    <row r="222" spans="6:34" x14ac:dyDescent="0.25">
      <c r="F222" s="35"/>
      <c r="J222" s="35"/>
      <c r="K222" s="35"/>
      <c r="L222" s="35"/>
      <c r="AF222" s="115" t="str">
        <f t="shared" si="6"/>
        <v/>
      </c>
      <c r="AG222" s="116" t="str">
        <f>IF(AF222="","",COUNTIF(AF222:AF$3000,AF222))</f>
        <v/>
      </c>
      <c r="AH222" s="117" t="str">
        <f t="shared" si="7"/>
        <v/>
      </c>
    </row>
    <row r="223" spans="6:34" x14ac:dyDescent="0.25">
      <c r="F223" s="35"/>
      <c r="J223" s="35"/>
      <c r="K223" s="35"/>
      <c r="L223" s="35"/>
      <c r="AF223" s="115" t="str">
        <f t="shared" si="6"/>
        <v/>
      </c>
      <c r="AG223" s="116" t="str">
        <f>IF(AF223="","",COUNTIF(AF223:AF$3000,AF223))</f>
        <v/>
      </c>
      <c r="AH223" s="117" t="str">
        <f t="shared" si="7"/>
        <v/>
      </c>
    </row>
    <row r="224" spans="6:34" x14ac:dyDescent="0.25">
      <c r="F224" s="35"/>
      <c r="J224" s="35"/>
      <c r="K224" s="35"/>
      <c r="L224" s="35"/>
      <c r="AF224" s="115" t="str">
        <f t="shared" si="6"/>
        <v/>
      </c>
      <c r="AG224" s="116" t="str">
        <f>IF(AF224="","",COUNTIF(AF224:AF$3000,AF224))</f>
        <v/>
      </c>
      <c r="AH224" s="117" t="str">
        <f t="shared" si="7"/>
        <v/>
      </c>
    </row>
    <row r="225" spans="6:34" x14ac:dyDescent="0.25">
      <c r="F225" s="35"/>
      <c r="J225" s="35"/>
      <c r="K225" s="35"/>
      <c r="L225" s="35"/>
      <c r="AF225" s="115" t="str">
        <f t="shared" si="6"/>
        <v/>
      </c>
      <c r="AG225" s="116" t="str">
        <f>IF(AF225="","",COUNTIF(AF225:AF$3000,AF225))</f>
        <v/>
      </c>
      <c r="AH225" s="117" t="str">
        <f t="shared" si="7"/>
        <v/>
      </c>
    </row>
    <row r="226" spans="6:34" x14ac:dyDescent="0.25">
      <c r="F226" s="35"/>
      <c r="J226" s="35"/>
      <c r="K226" s="35"/>
      <c r="L226" s="35"/>
      <c r="AF226" s="115" t="str">
        <f t="shared" si="6"/>
        <v/>
      </c>
      <c r="AG226" s="116" t="str">
        <f>IF(AF226="","",COUNTIF(AF226:AF$3000,AF226))</f>
        <v/>
      </c>
      <c r="AH226" s="117" t="str">
        <f t="shared" si="7"/>
        <v/>
      </c>
    </row>
    <row r="227" spans="6:34" x14ac:dyDescent="0.25">
      <c r="F227" s="35"/>
      <c r="J227" s="35"/>
      <c r="K227" s="35"/>
      <c r="L227" s="35"/>
      <c r="AF227" s="115" t="str">
        <f t="shared" si="6"/>
        <v/>
      </c>
      <c r="AG227" s="116" t="str">
        <f>IF(AF227="","",COUNTIF(AF227:AF$3000,AF227))</f>
        <v/>
      </c>
      <c r="AH227" s="117" t="str">
        <f t="shared" si="7"/>
        <v/>
      </c>
    </row>
    <row r="228" spans="6:34" x14ac:dyDescent="0.25">
      <c r="F228" s="35"/>
      <c r="J228" s="35"/>
      <c r="K228" s="35"/>
      <c r="L228" s="35"/>
      <c r="AF228" s="115" t="str">
        <f t="shared" si="6"/>
        <v/>
      </c>
      <c r="AG228" s="116" t="str">
        <f>IF(AF228="","",COUNTIF(AF228:AF$3000,AF228))</f>
        <v/>
      </c>
      <c r="AH228" s="117" t="str">
        <f t="shared" si="7"/>
        <v/>
      </c>
    </row>
    <row r="229" spans="6:34" x14ac:dyDescent="0.25">
      <c r="F229" s="35"/>
      <c r="J229" s="35"/>
      <c r="K229" s="35"/>
      <c r="L229" s="35"/>
      <c r="AF229" s="115" t="str">
        <f t="shared" si="6"/>
        <v/>
      </c>
      <c r="AG229" s="116" t="str">
        <f>IF(AF229="","",COUNTIF(AF229:AF$3000,AF229))</f>
        <v/>
      </c>
      <c r="AH229" s="117" t="str">
        <f t="shared" si="7"/>
        <v/>
      </c>
    </row>
    <row r="230" spans="6:34" x14ac:dyDescent="0.25">
      <c r="F230" s="35"/>
      <c r="J230" s="35"/>
      <c r="K230" s="35"/>
      <c r="L230" s="35"/>
      <c r="AF230" s="115" t="str">
        <f t="shared" si="6"/>
        <v/>
      </c>
      <c r="AG230" s="116" t="str">
        <f>IF(AF230="","",COUNTIF(AF230:AF$3000,AF230))</f>
        <v/>
      </c>
      <c r="AH230" s="117" t="str">
        <f t="shared" si="7"/>
        <v/>
      </c>
    </row>
    <row r="231" spans="6:34" x14ac:dyDescent="0.25">
      <c r="F231" s="35"/>
      <c r="J231" s="35"/>
      <c r="K231" s="35"/>
      <c r="L231" s="35"/>
      <c r="AF231" s="115" t="str">
        <f t="shared" si="6"/>
        <v/>
      </c>
      <c r="AG231" s="116" t="str">
        <f>IF(AF231="","",COUNTIF(AF231:AF$3000,AF231))</f>
        <v/>
      </c>
      <c r="AH231" s="117" t="str">
        <f t="shared" si="7"/>
        <v/>
      </c>
    </row>
    <row r="232" spans="6:34" x14ac:dyDescent="0.25">
      <c r="F232" s="35"/>
      <c r="J232" s="35"/>
      <c r="K232" s="35"/>
      <c r="L232" s="35"/>
      <c r="AF232" s="115" t="str">
        <f t="shared" si="6"/>
        <v/>
      </c>
      <c r="AG232" s="116" t="str">
        <f>IF(AF232="","",COUNTIF(AF232:AF$3000,AF232))</f>
        <v/>
      </c>
      <c r="AH232" s="117" t="str">
        <f t="shared" si="7"/>
        <v/>
      </c>
    </row>
    <row r="233" spans="6:34" x14ac:dyDescent="0.25">
      <c r="F233" s="35"/>
      <c r="J233" s="35"/>
      <c r="K233" s="35"/>
      <c r="L233" s="35"/>
      <c r="AF233" s="115" t="str">
        <f t="shared" si="6"/>
        <v/>
      </c>
      <c r="AG233" s="116" t="str">
        <f>IF(AF233="","",COUNTIF(AF233:AF$3000,AF233))</f>
        <v/>
      </c>
      <c r="AH233" s="117" t="str">
        <f t="shared" si="7"/>
        <v/>
      </c>
    </row>
    <row r="234" spans="6:34" x14ac:dyDescent="0.25">
      <c r="F234" s="35"/>
      <c r="J234" s="35"/>
      <c r="K234" s="35"/>
      <c r="L234" s="35"/>
      <c r="AF234" s="115" t="str">
        <f t="shared" si="6"/>
        <v/>
      </c>
      <c r="AG234" s="116" t="str">
        <f>IF(AF234="","",COUNTIF(AF234:AF$3000,AF234))</f>
        <v/>
      </c>
      <c r="AH234" s="117" t="str">
        <f t="shared" si="7"/>
        <v/>
      </c>
    </row>
    <row r="235" spans="6:34" x14ac:dyDescent="0.25">
      <c r="F235" s="35"/>
      <c r="J235" s="35"/>
      <c r="K235" s="35"/>
      <c r="L235" s="35"/>
      <c r="AF235" s="115" t="str">
        <f t="shared" si="6"/>
        <v/>
      </c>
      <c r="AG235" s="116" t="str">
        <f>IF(AF235="","",COUNTIF(AF235:AF$3000,AF235))</f>
        <v/>
      </c>
      <c r="AH235" s="117" t="str">
        <f t="shared" si="7"/>
        <v/>
      </c>
    </row>
    <row r="236" spans="6:34" x14ac:dyDescent="0.25">
      <c r="F236" s="35"/>
      <c r="J236" s="35"/>
      <c r="K236" s="35"/>
      <c r="L236" s="35"/>
      <c r="AF236" s="115" t="str">
        <f t="shared" si="6"/>
        <v/>
      </c>
      <c r="AG236" s="116" t="str">
        <f>IF(AF236="","",COUNTIF(AF236:AF$3000,AF236))</f>
        <v/>
      </c>
      <c r="AH236" s="117" t="str">
        <f t="shared" si="7"/>
        <v/>
      </c>
    </row>
    <row r="237" spans="6:34" x14ac:dyDescent="0.25">
      <c r="F237" s="35"/>
      <c r="J237" s="35"/>
      <c r="K237" s="35"/>
      <c r="L237" s="35"/>
      <c r="AF237" s="115" t="str">
        <f t="shared" si="6"/>
        <v/>
      </c>
      <c r="AG237" s="116" t="str">
        <f>IF(AF237="","",COUNTIF(AF237:AF$3000,AF237))</f>
        <v/>
      </c>
      <c r="AH237" s="117" t="str">
        <f t="shared" si="7"/>
        <v/>
      </c>
    </row>
    <row r="238" spans="6:34" x14ac:dyDescent="0.25">
      <c r="F238" s="35"/>
      <c r="J238" s="35"/>
      <c r="K238" s="35"/>
      <c r="L238" s="35"/>
      <c r="AF238" s="115" t="str">
        <f t="shared" si="6"/>
        <v/>
      </c>
      <c r="AG238" s="116" t="str">
        <f>IF(AF238="","",COUNTIF(AF238:AF$3000,AF238))</f>
        <v/>
      </c>
      <c r="AH238" s="117" t="str">
        <f t="shared" si="7"/>
        <v/>
      </c>
    </row>
    <row r="239" spans="6:34" x14ac:dyDescent="0.25">
      <c r="F239" s="35"/>
      <c r="J239" s="35"/>
      <c r="K239" s="35"/>
      <c r="L239" s="35"/>
      <c r="AF239" s="115" t="str">
        <f t="shared" si="6"/>
        <v/>
      </c>
      <c r="AG239" s="116" t="str">
        <f>IF(AF239="","",COUNTIF(AF239:AF$3000,AF239))</f>
        <v/>
      </c>
      <c r="AH239" s="117" t="str">
        <f t="shared" si="7"/>
        <v/>
      </c>
    </row>
    <row r="240" spans="6:34" x14ac:dyDescent="0.25">
      <c r="F240" s="35"/>
      <c r="J240" s="35"/>
      <c r="K240" s="35"/>
      <c r="L240" s="35"/>
      <c r="AF240" s="115" t="str">
        <f t="shared" si="6"/>
        <v/>
      </c>
      <c r="AG240" s="116" t="str">
        <f>IF(AF240="","",COUNTIF(AF240:AF$3000,AF240))</f>
        <v/>
      </c>
      <c r="AH240" s="117" t="str">
        <f t="shared" si="7"/>
        <v/>
      </c>
    </row>
    <row r="241" spans="6:34" x14ac:dyDescent="0.25">
      <c r="F241" s="35"/>
      <c r="J241" s="35"/>
      <c r="K241" s="35"/>
      <c r="L241" s="35"/>
      <c r="AF241" s="115" t="str">
        <f t="shared" si="6"/>
        <v/>
      </c>
      <c r="AG241" s="116" t="str">
        <f>IF(AF241="","",COUNTIF(AF241:AF$3000,AF241))</f>
        <v/>
      </c>
      <c r="AH241" s="117" t="str">
        <f t="shared" si="7"/>
        <v/>
      </c>
    </row>
    <row r="242" spans="6:34" x14ac:dyDescent="0.25">
      <c r="F242" s="35"/>
      <c r="J242" s="35"/>
      <c r="K242" s="35"/>
      <c r="L242" s="35"/>
      <c r="AF242" s="115" t="str">
        <f t="shared" si="6"/>
        <v/>
      </c>
      <c r="AG242" s="116" t="str">
        <f>IF(AF242="","",COUNTIF(AF242:AF$3000,AF242))</f>
        <v/>
      </c>
      <c r="AH242" s="117" t="str">
        <f t="shared" si="7"/>
        <v/>
      </c>
    </row>
    <row r="243" spans="6:34" x14ac:dyDescent="0.25">
      <c r="F243" s="35"/>
      <c r="J243" s="35"/>
      <c r="K243" s="35"/>
      <c r="L243" s="35"/>
      <c r="AF243" s="115" t="str">
        <f t="shared" si="6"/>
        <v/>
      </c>
      <c r="AG243" s="116" t="str">
        <f>IF(AF243="","",COUNTIF(AF243:AF$3000,AF243))</f>
        <v/>
      </c>
      <c r="AH243" s="117" t="str">
        <f t="shared" si="7"/>
        <v/>
      </c>
    </row>
    <row r="244" spans="6:34" x14ac:dyDescent="0.25">
      <c r="F244" s="35"/>
      <c r="J244" s="35"/>
      <c r="K244" s="35"/>
      <c r="L244" s="35"/>
      <c r="AF244" s="115" t="str">
        <f t="shared" si="6"/>
        <v/>
      </c>
      <c r="AG244" s="116" t="str">
        <f>IF(AF244="","",COUNTIF(AF244:AF$3000,AF244))</f>
        <v/>
      </c>
      <c r="AH244" s="117" t="str">
        <f t="shared" si="7"/>
        <v/>
      </c>
    </row>
    <row r="245" spans="6:34" x14ac:dyDescent="0.25">
      <c r="F245" s="35"/>
      <c r="J245" s="35"/>
      <c r="K245" s="35"/>
      <c r="L245" s="35"/>
      <c r="AF245" s="115" t="str">
        <f t="shared" si="6"/>
        <v/>
      </c>
      <c r="AG245" s="116" t="str">
        <f>IF(AF245="","",COUNTIF(AF245:AF$3000,AF245))</f>
        <v/>
      </c>
      <c r="AH245" s="117" t="str">
        <f t="shared" si="7"/>
        <v/>
      </c>
    </row>
    <row r="246" spans="6:34" x14ac:dyDescent="0.25">
      <c r="F246" s="35"/>
      <c r="J246" s="35"/>
      <c r="K246" s="35"/>
      <c r="L246" s="35"/>
      <c r="AF246" s="115" t="str">
        <f t="shared" si="6"/>
        <v/>
      </c>
      <c r="AG246" s="116" t="str">
        <f>IF(AF246="","",COUNTIF(AF246:AF$3000,AF246))</f>
        <v/>
      </c>
      <c r="AH246" s="117" t="str">
        <f t="shared" si="7"/>
        <v/>
      </c>
    </row>
    <row r="247" spans="6:34" x14ac:dyDescent="0.25">
      <c r="F247" s="35"/>
      <c r="J247" s="35"/>
      <c r="K247" s="35"/>
      <c r="L247" s="35"/>
      <c r="AF247" s="115" t="str">
        <f t="shared" si="6"/>
        <v/>
      </c>
      <c r="AG247" s="116" t="str">
        <f>IF(AF247="","",COUNTIF(AF247:AF$3000,AF247))</f>
        <v/>
      </c>
      <c r="AH247" s="117" t="str">
        <f t="shared" si="7"/>
        <v/>
      </c>
    </row>
    <row r="248" spans="6:34" x14ac:dyDescent="0.25">
      <c r="F248" s="35"/>
      <c r="J248" s="35"/>
      <c r="K248" s="35"/>
      <c r="L248" s="35"/>
      <c r="AF248" s="115" t="str">
        <f t="shared" si="6"/>
        <v/>
      </c>
      <c r="AG248" s="116" t="str">
        <f>IF(AF248="","",COUNTIF(AF248:AF$3000,AF248))</f>
        <v/>
      </c>
      <c r="AH248" s="117" t="str">
        <f t="shared" si="7"/>
        <v/>
      </c>
    </row>
    <row r="249" spans="6:34" x14ac:dyDescent="0.25">
      <c r="F249" s="35"/>
      <c r="J249" s="35"/>
      <c r="K249" s="35"/>
      <c r="L249" s="35"/>
      <c r="AF249" s="115" t="str">
        <f t="shared" si="6"/>
        <v/>
      </c>
      <c r="AG249" s="116" t="str">
        <f>IF(AF249="","",COUNTIF(AF249:AF$3000,AF249))</f>
        <v/>
      </c>
      <c r="AH249" s="117" t="str">
        <f t="shared" si="7"/>
        <v/>
      </c>
    </row>
    <row r="250" spans="6:34" x14ac:dyDescent="0.25">
      <c r="F250" s="35"/>
      <c r="J250" s="35"/>
      <c r="K250" s="35"/>
      <c r="L250" s="35"/>
      <c r="AF250" s="115" t="str">
        <f t="shared" si="6"/>
        <v/>
      </c>
      <c r="AG250" s="116" t="str">
        <f>IF(AF250="","",COUNTIF(AF250:AF$3000,AF250))</f>
        <v/>
      </c>
      <c r="AH250" s="117" t="str">
        <f t="shared" si="7"/>
        <v/>
      </c>
    </row>
    <row r="251" spans="6:34" x14ac:dyDescent="0.25">
      <c r="F251" s="35"/>
      <c r="J251" s="35"/>
      <c r="K251" s="35"/>
      <c r="L251" s="35"/>
      <c r="AF251" s="115" t="str">
        <f t="shared" si="6"/>
        <v/>
      </c>
      <c r="AG251" s="116" t="str">
        <f>IF(AF251="","",COUNTIF(AF251:AF$3000,AF251))</f>
        <v/>
      </c>
      <c r="AH251" s="117" t="str">
        <f t="shared" si="7"/>
        <v/>
      </c>
    </row>
    <row r="252" spans="6:34" x14ac:dyDescent="0.25">
      <c r="F252" s="35"/>
      <c r="J252" s="35"/>
      <c r="K252" s="35"/>
      <c r="L252" s="35"/>
      <c r="AF252" s="115" t="str">
        <f t="shared" si="6"/>
        <v/>
      </c>
      <c r="AG252" s="116" t="str">
        <f>IF(AF252="","",COUNTIF(AF252:AF$3000,AF252))</f>
        <v/>
      </c>
      <c r="AH252" s="117" t="str">
        <f t="shared" si="7"/>
        <v/>
      </c>
    </row>
    <row r="253" spans="6:34" x14ac:dyDescent="0.25">
      <c r="F253" s="35"/>
      <c r="J253" s="35"/>
      <c r="K253" s="35"/>
      <c r="L253" s="35"/>
      <c r="AF253" s="115" t="str">
        <f t="shared" si="6"/>
        <v/>
      </c>
      <c r="AG253" s="116" t="str">
        <f>IF(AF253="","",COUNTIF(AF253:AF$3000,AF253))</f>
        <v/>
      </c>
      <c r="AH253" s="117" t="str">
        <f t="shared" si="7"/>
        <v/>
      </c>
    </row>
    <row r="254" spans="6:34" x14ac:dyDescent="0.25">
      <c r="F254" s="35"/>
      <c r="J254" s="35"/>
      <c r="K254" s="35"/>
      <c r="L254" s="35"/>
      <c r="AF254" s="115" t="str">
        <f t="shared" si="6"/>
        <v/>
      </c>
      <c r="AG254" s="116" t="str">
        <f>IF(AF254="","",COUNTIF(AF254:AF$3000,AF254))</f>
        <v/>
      </c>
      <c r="AH254" s="117" t="str">
        <f t="shared" si="7"/>
        <v/>
      </c>
    </row>
    <row r="255" spans="6:34" x14ac:dyDescent="0.25">
      <c r="F255" s="35"/>
      <c r="J255" s="35"/>
      <c r="K255" s="35"/>
      <c r="L255" s="35"/>
      <c r="AF255" s="115" t="str">
        <f t="shared" si="6"/>
        <v/>
      </c>
      <c r="AG255" s="116" t="str">
        <f>IF(AF255="","",COUNTIF(AF255:AF$3000,AF255))</f>
        <v/>
      </c>
      <c r="AH255" s="117" t="str">
        <f t="shared" si="7"/>
        <v/>
      </c>
    </row>
    <row r="256" spans="6:34" x14ac:dyDescent="0.25">
      <c r="F256" s="35"/>
      <c r="J256" s="35"/>
      <c r="K256" s="35"/>
      <c r="L256" s="35"/>
      <c r="AF256" s="115" t="str">
        <f t="shared" si="6"/>
        <v/>
      </c>
      <c r="AG256" s="116" t="str">
        <f>IF(AF256="","",COUNTIF(AF256:AF$3000,AF256))</f>
        <v/>
      </c>
      <c r="AH256" s="117" t="str">
        <f t="shared" si="7"/>
        <v/>
      </c>
    </row>
    <row r="257" spans="6:34" x14ac:dyDescent="0.25">
      <c r="F257" s="35"/>
      <c r="J257" s="35"/>
      <c r="K257" s="35"/>
      <c r="L257" s="35"/>
      <c r="AF257" s="115" t="str">
        <f t="shared" si="6"/>
        <v/>
      </c>
      <c r="AG257" s="116" t="str">
        <f>IF(AF257="","",COUNTIF(AF257:AF$3000,AF257))</f>
        <v/>
      </c>
      <c r="AH257" s="117" t="str">
        <f t="shared" si="7"/>
        <v/>
      </c>
    </row>
    <row r="258" spans="6:34" x14ac:dyDescent="0.25">
      <c r="F258" s="35"/>
      <c r="J258" s="35"/>
      <c r="K258" s="35"/>
      <c r="L258" s="35"/>
      <c r="AF258" s="115" t="str">
        <f t="shared" si="6"/>
        <v/>
      </c>
      <c r="AG258" s="116" t="str">
        <f>IF(AF258="","",COUNTIF(AF258:AF$3000,AF258))</f>
        <v/>
      </c>
      <c r="AH258" s="117" t="str">
        <f t="shared" si="7"/>
        <v/>
      </c>
    </row>
    <row r="259" spans="6:34" x14ac:dyDescent="0.25">
      <c r="F259" s="35"/>
      <c r="J259" s="35"/>
      <c r="K259" s="35"/>
      <c r="L259" s="35"/>
      <c r="AF259" s="115" t="str">
        <f t="shared" si="6"/>
        <v/>
      </c>
      <c r="AG259" s="116" t="str">
        <f>IF(AF259="","",COUNTIF(AF259:AF$3000,AF259))</f>
        <v/>
      </c>
      <c r="AH259" s="117" t="str">
        <f t="shared" si="7"/>
        <v/>
      </c>
    </row>
    <row r="260" spans="6:34" x14ac:dyDescent="0.25">
      <c r="F260" s="35"/>
      <c r="J260" s="35"/>
      <c r="K260" s="35"/>
      <c r="L260" s="35"/>
      <c r="AF260" s="115" t="str">
        <f t="shared" ref="AF260:AF323" si="8">IF(B260="","",TEXT(J260,"DD/MM/AA")&amp;"_"&amp;S260&amp;"_"&amp;V260)</f>
        <v/>
      </c>
      <c r="AG260" s="116" t="str">
        <f>IF(AF260="","",COUNTIF(AF260:AF$3000,AF260))</f>
        <v/>
      </c>
      <c r="AH260" s="117" t="str">
        <f t="shared" ref="AH260:AH323" si="9">IF(AA260="","",
IF(AG260&gt;1,"",
IF(SUMIF(AF$3:AF$31,AF260,H$3:H$31)/10&lt;1,1,SUMIF(AF$3:AF$31,AF260,H$3:H$31)/10)))</f>
        <v/>
      </c>
    </row>
    <row r="261" spans="6:34" x14ac:dyDescent="0.25">
      <c r="F261" s="35"/>
      <c r="J261" s="35"/>
      <c r="K261" s="35"/>
      <c r="L261" s="35"/>
      <c r="AF261" s="115" t="str">
        <f t="shared" si="8"/>
        <v/>
      </c>
      <c r="AG261" s="116" t="str">
        <f>IF(AF261="","",COUNTIF(AF261:AF$3000,AF261))</f>
        <v/>
      </c>
      <c r="AH261" s="117" t="str">
        <f t="shared" si="9"/>
        <v/>
      </c>
    </row>
    <row r="262" spans="6:34" x14ac:dyDescent="0.25">
      <c r="F262" s="35"/>
      <c r="J262" s="35"/>
      <c r="K262" s="35"/>
      <c r="L262" s="35"/>
      <c r="AF262" s="115" t="str">
        <f t="shared" si="8"/>
        <v/>
      </c>
      <c r="AG262" s="116" t="str">
        <f>IF(AF262="","",COUNTIF(AF262:AF$3000,AF262))</f>
        <v/>
      </c>
      <c r="AH262" s="117" t="str">
        <f t="shared" si="9"/>
        <v/>
      </c>
    </row>
    <row r="263" spans="6:34" x14ac:dyDescent="0.25">
      <c r="F263" s="35"/>
      <c r="J263" s="35"/>
      <c r="K263" s="35"/>
      <c r="L263" s="35"/>
      <c r="AF263" s="115" t="str">
        <f t="shared" si="8"/>
        <v/>
      </c>
      <c r="AG263" s="116" t="str">
        <f>IF(AF263="","",COUNTIF(AF263:AF$3000,AF263))</f>
        <v/>
      </c>
      <c r="AH263" s="117" t="str">
        <f t="shared" si="9"/>
        <v/>
      </c>
    </row>
    <row r="264" spans="6:34" x14ac:dyDescent="0.25">
      <c r="F264" s="35"/>
      <c r="J264" s="35"/>
      <c r="K264" s="35"/>
      <c r="L264" s="35"/>
      <c r="AF264" s="115" t="str">
        <f t="shared" si="8"/>
        <v/>
      </c>
      <c r="AG264" s="116" t="str">
        <f>IF(AF264="","",COUNTIF(AF264:AF$3000,AF264))</f>
        <v/>
      </c>
      <c r="AH264" s="117" t="str">
        <f t="shared" si="9"/>
        <v/>
      </c>
    </row>
    <row r="265" spans="6:34" x14ac:dyDescent="0.25">
      <c r="F265" s="35"/>
      <c r="J265" s="35"/>
      <c r="K265" s="35"/>
      <c r="L265" s="35"/>
      <c r="AF265" s="115" t="str">
        <f t="shared" si="8"/>
        <v/>
      </c>
      <c r="AG265" s="116" t="str">
        <f>IF(AF265="","",COUNTIF(AF265:AF$3000,AF265))</f>
        <v/>
      </c>
      <c r="AH265" s="117" t="str">
        <f t="shared" si="9"/>
        <v/>
      </c>
    </row>
    <row r="266" spans="6:34" x14ac:dyDescent="0.25">
      <c r="F266" s="35"/>
      <c r="J266" s="35"/>
      <c r="K266" s="35"/>
      <c r="L266" s="35"/>
      <c r="AF266" s="115" t="str">
        <f t="shared" si="8"/>
        <v/>
      </c>
      <c r="AG266" s="116" t="str">
        <f>IF(AF266="","",COUNTIF(AF266:AF$3000,AF266))</f>
        <v/>
      </c>
      <c r="AH266" s="117" t="str">
        <f t="shared" si="9"/>
        <v/>
      </c>
    </row>
    <row r="267" spans="6:34" x14ac:dyDescent="0.25">
      <c r="F267" s="35"/>
      <c r="J267" s="35"/>
      <c r="K267" s="35"/>
      <c r="L267" s="35"/>
      <c r="AF267" s="115" t="str">
        <f t="shared" si="8"/>
        <v/>
      </c>
      <c r="AG267" s="116" t="str">
        <f>IF(AF267="","",COUNTIF(AF267:AF$3000,AF267))</f>
        <v/>
      </c>
      <c r="AH267" s="117" t="str">
        <f t="shared" si="9"/>
        <v/>
      </c>
    </row>
    <row r="268" spans="6:34" x14ac:dyDescent="0.25">
      <c r="F268" s="35"/>
      <c r="J268" s="35"/>
      <c r="K268" s="35"/>
      <c r="L268" s="35"/>
      <c r="AF268" s="115" t="str">
        <f t="shared" si="8"/>
        <v/>
      </c>
      <c r="AG268" s="116" t="str">
        <f>IF(AF268="","",COUNTIF(AF268:AF$3000,AF268))</f>
        <v/>
      </c>
      <c r="AH268" s="117" t="str">
        <f t="shared" si="9"/>
        <v/>
      </c>
    </row>
    <row r="269" spans="6:34" x14ac:dyDescent="0.25">
      <c r="F269" s="35"/>
      <c r="J269" s="35"/>
      <c r="K269" s="35"/>
      <c r="L269" s="35"/>
      <c r="AF269" s="115" t="str">
        <f t="shared" si="8"/>
        <v/>
      </c>
      <c r="AG269" s="116" t="str">
        <f>IF(AF269="","",COUNTIF(AF269:AF$3000,AF269))</f>
        <v/>
      </c>
      <c r="AH269" s="117" t="str">
        <f t="shared" si="9"/>
        <v/>
      </c>
    </row>
    <row r="270" spans="6:34" x14ac:dyDescent="0.25">
      <c r="F270" s="35"/>
      <c r="J270" s="35"/>
      <c r="K270" s="35"/>
      <c r="L270" s="35"/>
      <c r="AF270" s="115" t="str">
        <f t="shared" si="8"/>
        <v/>
      </c>
      <c r="AG270" s="116" t="str">
        <f>IF(AF270="","",COUNTIF(AF270:AF$3000,AF270))</f>
        <v/>
      </c>
      <c r="AH270" s="117" t="str">
        <f t="shared" si="9"/>
        <v/>
      </c>
    </row>
    <row r="271" spans="6:34" x14ac:dyDescent="0.25">
      <c r="F271" s="35"/>
      <c r="J271" s="35"/>
      <c r="K271" s="35"/>
      <c r="L271" s="35"/>
      <c r="AF271" s="115" t="str">
        <f t="shared" si="8"/>
        <v/>
      </c>
      <c r="AG271" s="116" t="str">
        <f>IF(AF271="","",COUNTIF(AF271:AF$3000,AF271))</f>
        <v/>
      </c>
      <c r="AH271" s="117" t="str">
        <f t="shared" si="9"/>
        <v/>
      </c>
    </row>
    <row r="272" spans="6:34" x14ac:dyDescent="0.25">
      <c r="F272" s="35"/>
      <c r="J272" s="35"/>
      <c r="K272" s="35"/>
      <c r="L272" s="35"/>
      <c r="AF272" s="115" t="str">
        <f t="shared" si="8"/>
        <v/>
      </c>
      <c r="AG272" s="116" t="str">
        <f>IF(AF272="","",COUNTIF(AF272:AF$3000,AF272))</f>
        <v/>
      </c>
      <c r="AH272" s="117" t="str">
        <f t="shared" si="9"/>
        <v/>
      </c>
    </row>
    <row r="273" spans="6:34" x14ac:dyDescent="0.25">
      <c r="F273" s="35"/>
      <c r="J273" s="35"/>
      <c r="K273" s="35"/>
      <c r="L273" s="35"/>
      <c r="AF273" s="115" t="str">
        <f t="shared" si="8"/>
        <v/>
      </c>
      <c r="AG273" s="116" t="str">
        <f>IF(AF273="","",COUNTIF(AF273:AF$3000,AF273))</f>
        <v/>
      </c>
      <c r="AH273" s="117" t="str">
        <f t="shared" si="9"/>
        <v/>
      </c>
    </row>
    <row r="274" spans="6:34" x14ac:dyDescent="0.25">
      <c r="F274" s="35"/>
      <c r="J274" s="35"/>
      <c r="K274" s="35"/>
      <c r="L274" s="35"/>
      <c r="AF274" s="115" t="str">
        <f t="shared" si="8"/>
        <v/>
      </c>
      <c r="AG274" s="116" t="str">
        <f>IF(AF274="","",COUNTIF(AF274:AF$3000,AF274))</f>
        <v/>
      </c>
      <c r="AH274" s="117" t="str">
        <f t="shared" si="9"/>
        <v/>
      </c>
    </row>
    <row r="275" spans="6:34" x14ac:dyDescent="0.25">
      <c r="F275" s="35"/>
      <c r="J275" s="35"/>
      <c r="K275" s="35"/>
      <c r="L275" s="35"/>
      <c r="AF275" s="115" t="str">
        <f t="shared" si="8"/>
        <v/>
      </c>
      <c r="AG275" s="116" t="str">
        <f>IF(AF275="","",COUNTIF(AF275:AF$3000,AF275))</f>
        <v/>
      </c>
      <c r="AH275" s="117" t="str">
        <f t="shared" si="9"/>
        <v/>
      </c>
    </row>
    <row r="276" spans="6:34" x14ac:dyDescent="0.25">
      <c r="F276" s="35"/>
      <c r="J276" s="35"/>
      <c r="K276" s="35"/>
      <c r="L276" s="35"/>
      <c r="AF276" s="115" t="str">
        <f t="shared" si="8"/>
        <v/>
      </c>
      <c r="AG276" s="116" t="str">
        <f>IF(AF276="","",COUNTIF(AF276:AF$3000,AF276))</f>
        <v/>
      </c>
      <c r="AH276" s="117" t="str">
        <f t="shared" si="9"/>
        <v/>
      </c>
    </row>
    <row r="277" spans="6:34" x14ac:dyDescent="0.25">
      <c r="F277" s="35"/>
      <c r="J277" s="35"/>
      <c r="K277" s="35"/>
      <c r="L277" s="35"/>
      <c r="AF277" s="115" t="str">
        <f t="shared" si="8"/>
        <v/>
      </c>
      <c r="AG277" s="116" t="str">
        <f>IF(AF277="","",COUNTIF(AF277:AF$3000,AF277))</f>
        <v/>
      </c>
      <c r="AH277" s="117" t="str">
        <f t="shared" si="9"/>
        <v/>
      </c>
    </row>
    <row r="278" spans="6:34" x14ac:dyDescent="0.25">
      <c r="F278" s="35"/>
      <c r="J278" s="35"/>
      <c r="K278" s="35"/>
      <c r="L278" s="35"/>
      <c r="AF278" s="115" t="str">
        <f t="shared" si="8"/>
        <v/>
      </c>
      <c r="AG278" s="116" t="str">
        <f>IF(AF278="","",COUNTIF(AF278:AF$3000,AF278))</f>
        <v/>
      </c>
      <c r="AH278" s="117" t="str">
        <f t="shared" si="9"/>
        <v/>
      </c>
    </row>
    <row r="279" spans="6:34" x14ac:dyDescent="0.25">
      <c r="F279" s="35"/>
      <c r="J279" s="35"/>
      <c r="K279" s="35"/>
      <c r="L279" s="35"/>
      <c r="AF279" s="115" t="str">
        <f t="shared" si="8"/>
        <v/>
      </c>
      <c r="AG279" s="116" t="str">
        <f>IF(AF279="","",COUNTIF(AF279:AF$3000,AF279))</f>
        <v/>
      </c>
      <c r="AH279" s="117" t="str">
        <f t="shared" si="9"/>
        <v/>
      </c>
    </row>
    <row r="280" spans="6:34" x14ac:dyDescent="0.25">
      <c r="F280" s="35"/>
      <c r="J280" s="35"/>
      <c r="K280" s="35"/>
      <c r="L280" s="35"/>
      <c r="AF280" s="115" t="str">
        <f t="shared" si="8"/>
        <v/>
      </c>
      <c r="AG280" s="116" t="str">
        <f>IF(AF280="","",COUNTIF(AF280:AF$3000,AF280))</f>
        <v/>
      </c>
      <c r="AH280" s="117" t="str">
        <f t="shared" si="9"/>
        <v/>
      </c>
    </row>
    <row r="281" spans="6:34" x14ac:dyDescent="0.25">
      <c r="F281" s="35"/>
      <c r="J281" s="35"/>
      <c r="K281" s="35"/>
      <c r="L281" s="35"/>
      <c r="AF281" s="115" t="str">
        <f t="shared" si="8"/>
        <v/>
      </c>
      <c r="AG281" s="116" t="str">
        <f>IF(AF281="","",COUNTIF(AF281:AF$3000,AF281))</f>
        <v/>
      </c>
      <c r="AH281" s="117" t="str">
        <f t="shared" si="9"/>
        <v/>
      </c>
    </row>
    <row r="282" spans="6:34" x14ac:dyDescent="0.25">
      <c r="F282" s="35"/>
      <c r="J282" s="35"/>
      <c r="K282" s="35"/>
      <c r="L282" s="35"/>
      <c r="AF282" s="115" t="str">
        <f t="shared" si="8"/>
        <v/>
      </c>
      <c r="AG282" s="116" t="str">
        <f>IF(AF282="","",COUNTIF(AF282:AF$3000,AF282))</f>
        <v/>
      </c>
      <c r="AH282" s="117" t="str">
        <f t="shared" si="9"/>
        <v/>
      </c>
    </row>
    <row r="283" spans="6:34" x14ac:dyDescent="0.25">
      <c r="F283" s="35"/>
      <c r="J283" s="35"/>
      <c r="K283" s="35"/>
      <c r="L283" s="35"/>
      <c r="AF283" s="115" t="str">
        <f t="shared" si="8"/>
        <v/>
      </c>
      <c r="AG283" s="116" t="str">
        <f>IF(AF283="","",COUNTIF(AF283:AF$3000,AF283))</f>
        <v/>
      </c>
      <c r="AH283" s="117" t="str">
        <f t="shared" si="9"/>
        <v/>
      </c>
    </row>
    <row r="284" spans="6:34" x14ac:dyDescent="0.25">
      <c r="F284" s="35"/>
      <c r="J284" s="35"/>
      <c r="K284" s="35"/>
      <c r="L284" s="35"/>
      <c r="AF284" s="115" t="str">
        <f t="shared" si="8"/>
        <v/>
      </c>
      <c r="AG284" s="116" t="str">
        <f>IF(AF284="","",COUNTIF(AF284:AF$3000,AF284))</f>
        <v/>
      </c>
      <c r="AH284" s="117" t="str">
        <f t="shared" si="9"/>
        <v/>
      </c>
    </row>
    <row r="285" spans="6:34" x14ac:dyDescent="0.25">
      <c r="F285" s="35"/>
      <c r="J285" s="35"/>
      <c r="K285" s="35"/>
      <c r="L285" s="35"/>
      <c r="AF285" s="115" t="str">
        <f t="shared" si="8"/>
        <v/>
      </c>
      <c r="AG285" s="116" t="str">
        <f>IF(AF285="","",COUNTIF(AF285:AF$3000,AF285))</f>
        <v/>
      </c>
      <c r="AH285" s="117" t="str">
        <f t="shared" si="9"/>
        <v/>
      </c>
    </row>
    <row r="286" spans="6:34" x14ac:dyDescent="0.25">
      <c r="F286" s="35"/>
      <c r="J286" s="35"/>
      <c r="K286" s="35"/>
      <c r="L286" s="35"/>
      <c r="AF286" s="115" t="str">
        <f t="shared" si="8"/>
        <v/>
      </c>
      <c r="AG286" s="116" t="str">
        <f>IF(AF286="","",COUNTIF(AF286:AF$3000,AF286))</f>
        <v/>
      </c>
      <c r="AH286" s="117" t="str">
        <f t="shared" si="9"/>
        <v/>
      </c>
    </row>
    <row r="287" spans="6:34" x14ac:dyDescent="0.25">
      <c r="F287" s="35"/>
      <c r="J287" s="35"/>
      <c r="K287" s="35"/>
      <c r="L287" s="35"/>
      <c r="AF287" s="115" t="str">
        <f t="shared" si="8"/>
        <v/>
      </c>
      <c r="AG287" s="116" t="str">
        <f>IF(AF287="","",COUNTIF(AF287:AF$3000,AF287))</f>
        <v/>
      </c>
      <c r="AH287" s="117" t="str">
        <f t="shared" si="9"/>
        <v/>
      </c>
    </row>
    <row r="288" spans="6:34" x14ac:dyDescent="0.25">
      <c r="F288" s="35"/>
      <c r="J288" s="35"/>
      <c r="K288" s="35"/>
      <c r="L288" s="35"/>
      <c r="AF288" s="115" t="str">
        <f t="shared" si="8"/>
        <v/>
      </c>
      <c r="AG288" s="116" t="str">
        <f>IF(AF288="","",COUNTIF(AF288:AF$3000,AF288))</f>
        <v/>
      </c>
      <c r="AH288" s="117" t="str">
        <f t="shared" si="9"/>
        <v/>
      </c>
    </row>
    <row r="289" spans="6:34" x14ac:dyDescent="0.25">
      <c r="F289" s="35"/>
      <c r="J289" s="35"/>
      <c r="K289" s="35"/>
      <c r="L289" s="35"/>
      <c r="AF289" s="115" t="str">
        <f t="shared" si="8"/>
        <v/>
      </c>
      <c r="AG289" s="116" t="str">
        <f>IF(AF289="","",COUNTIF(AF289:AF$3000,AF289))</f>
        <v/>
      </c>
      <c r="AH289" s="117" t="str">
        <f t="shared" si="9"/>
        <v/>
      </c>
    </row>
    <row r="290" spans="6:34" x14ac:dyDescent="0.25">
      <c r="F290" s="35"/>
      <c r="J290" s="35"/>
      <c r="K290" s="35"/>
      <c r="L290" s="35"/>
      <c r="AF290" s="115" t="str">
        <f t="shared" si="8"/>
        <v/>
      </c>
      <c r="AG290" s="116" t="str">
        <f>IF(AF290="","",COUNTIF(AF290:AF$3000,AF290))</f>
        <v/>
      </c>
      <c r="AH290" s="117" t="str">
        <f t="shared" si="9"/>
        <v/>
      </c>
    </row>
    <row r="291" spans="6:34" x14ac:dyDescent="0.25">
      <c r="F291" s="35"/>
      <c r="J291" s="35"/>
      <c r="K291" s="35"/>
      <c r="L291" s="35"/>
      <c r="AF291" s="115" t="str">
        <f t="shared" si="8"/>
        <v/>
      </c>
      <c r="AG291" s="116" t="str">
        <f>IF(AF291="","",COUNTIF(AF291:AF$3000,AF291))</f>
        <v/>
      </c>
      <c r="AH291" s="117" t="str">
        <f t="shared" si="9"/>
        <v/>
      </c>
    </row>
    <row r="292" spans="6:34" x14ac:dyDescent="0.25">
      <c r="F292" s="35"/>
      <c r="J292" s="35"/>
      <c r="K292" s="35"/>
      <c r="L292" s="35"/>
      <c r="AF292" s="115" t="str">
        <f t="shared" si="8"/>
        <v/>
      </c>
      <c r="AG292" s="116" t="str">
        <f>IF(AF292="","",COUNTIF(AF292:AF$3000,AF292))</f>
        <v/>
      </c>
      <c r="AH292" s="117" t="str">
        <f t="shared" si="9"/>
        <v/>
      </c>
    </row>
    <row r="293" spans="6:34" x14ac:dyDescent="0.25">
      <c r="F293" s="35"/>
      <c r="J293" s="35"/>
      <c r="K293" s="35"/>
      <c r="L293" s="35"/>
      <c r="AF293" s="115" t="str">
        <f t="shared" si="8"/>
        <v/>
      </c>
      <c r="AG293" s="116" t="str">
        <f>IF(AF293="","",COUNTIF(AF293:AF$3000,AF293))</f>
        <v/>
      </c>
      <c r="AH293" s="117" t="str">
        <f t="shared" si="9"/>
        <v/>
      </c>
    </row>
    <row r="294" spans="6:34" x14ac:dyDescent="0.25">
      <c r="F294" s="35"/>
      <c r="J294" s="35"/>
      <c r="K294" s="35"/>
      <c r="L294" s="35"/>
      <c r="AF294" s="115" t="str">
        <f t="shared" si="8"/>
        <v/>
      </c>
      <c r="AG294" s="116" t="str">
        <f>IF(AF294="","",COUNTIF(AF294:AF$3000,AF294))</f>
        <v/>
      </c>
      <c r="AH294" s="117" t="str">
        <f t="shared" si="9"/>
        <v/>
      </c>
    </row>
    <row r="295" spans="6:34" x14ac:dyDescent="0.25">
      <c r="F295" s="35"/>
      <c r="J295" s="35"/>
      <c r="K295" s="35"/>
      <c r="L295" s="35"/>
      <c r="AF295" s="115" t="str">
        <f t="shared" si="8"/>
        <v/>
      </c>
      <c r="AG295" s="116" t="str">
        <f>IF(AF295="","",COUNTIF(AF295:AF$3000,AF295))</f>
        <v/>
      </c>
      <c r="AH295" s="117" t="str">
        <f t="shared" si="9"/>
        <v/>
      </c>
    </row>
    <row r="296" spans="6:34" x14ac:dyDescent="0.25">
      <c r="F296" s="35"/>
      <c r="J296" s="35"/>
      <c r="K296" s="35"/>
      <c r="L296" s="35"/>
      <c r="AF296" s="115" t="str">
        <f t="shared" si="8"/>
        <v/>
      </c>
      <c r="AG296" s="116" t="str">
        <f>IF(AF296="","",COUNTIF(AF296:AF$3000,AF296))</f>
        <v/>
      </c>
      <c r="AH296" s="117" t="str">
        <f t="shared" si="9"/>
        <v/>
      </c>
    </row>
    <row r="297" spans="6:34" x14ac:dyDescent="0.25">
      <c r="F297" s="35"/>
      <c r="J297" s="35"/>
      <c r="K297" s="35"/>
      <c r="L297" s="35"/>
      <c r="AF297" s="115" t="str">
        <f t="shared" si="8"/>
        <v/>
      </c>
      <c r="AG297" s="116" t="str">
        <f>IF(AF297="","",COUNTIF(AF297:AF$3000,AF297))</f>
        <v/>
      </c>
      <c r="AH297" s="117" t="str">
        <f t="shared" si="9"/>
        <v/>
      </c>
    </row>
    <row r="298" spans="6:34" x14ac:dyDescent="0.25">
      <c r="F298" s="35"/>
      <c r="J298" s="35"/>
      <c r="K298" s="35"/>
      <c r="L298" s="35"/>
      <c r="AF298" s="115" t="str">
        <f t="shared" si="8"/>
        <v/>
      </c>
      <c r="AG298" s="116" t="str">
        <f>IF(AF298="","",COUNTIF(AF298:AF$3000,AF298))</f>
        <v/>
      </c>
      <c r="AH298" s="117" t="str">
        <f t="shared" si="9"/>
        <v/>
      </c>
    </row>
    <row r="299" spans="6:34" x14ac:dyDescent="0.25">
      <c r="F299" s="35"/>
      <c r="J299" s="35"/>
      <c r="K299" s="35"/>
      <c r="L299" s="35"/>
      <c r="AF299" s="115" t="str">
        <f t="shared" si="8"/>
        <v/>
      </c>
      <c r="AG299" s="116" t="str">
        <f>IF(AF299="","",COUNTIF(AF299:AF$3000,AF299))</f>
        <v/>
      </c>
      <c r="AH299" s="117" t="str">
        <f t="shared" si="9"/>
        <v/>
      </c>
    </row>
    <row r="300" spans="6:34" x14ac:dyDescent="0.25">
      <c r="F300" s="35"/>
      <c r="J300" s="35"/>
      <c r="K300" s="35"/>
      <c r="L300" s="35"/>
      <c r="AF300" s="115" t="str">
        <f t="shared" si="8"/>
        <v/>
      </c>
      <c r="AG300" s="116" t="str">
        <f>IF(AF300="","",COUNTIF(AF300:AF$3000,AF300))</f>
        <v/>
      </c>
      <c r="AH300" s="117" t="str">
        <f t="shared" si="9"/>
        <v/>
      </c>
    </row>
    <row r="301" spans="6:34" x14ac:dyDescent="0.25">
      <c r="F301" s="35"/>
      <c r="J301" s="35"/>
      <c r="K301" s="35"/>
      <c r="L301" s="35"/>
      <c r="AF301" s="115" t="str">
        <f t="shared" si="8"/>
        <v/>
      </c>
      <c r="AG301" s="116" t="str">
        <f>IF(AF301="","",COUNTIF(AF301:AF$3000,AF301))</f>
        <v/>
      </c>
      <c r="AH301" s="117" t="str">
        <f t="shared" si="9"/>
        <v/>
      </c>
    </row>
    <row r="302" spans="6:34" x14ac:dyDescent="0.25">
      <c r="F302" s="35"/>
      <c r="J302" s="35"/>
      <c r="K302" s="35"/>
      <c r="L302" s="35"/>
      <c r="AF302" s="115" t="str">
        <f t="shared" si="8"/>
        <v/>
      </c>
      <c r="AG302" s="116" t="str">
        <f>IF(AF302="","",COUNTIF(AF302:AF$3000,AF302))</f>
        <v/>
      </c>
      <c r="AH302" s="117" t="str">
        <f t="shared" si="9"/>
        <v/>
      </c>
    </row>
    <row r="303" spans="6:34" x14ac:dyDescent="0.25">
      <c r="F303" s="35"/>
      <c r="J303" s="35"/>
      <c r="K303" s="35"/>
      <c r="L303" s="35"/>
      <c r="AF303" s="115" t="str">
        <f t="shared" si="8"/>
        <v/>
      </c>
      <c r="AG303" s="116" t="str">
        <f>IF(AF303="","",COUNTIF(AF303:AF$3000,AF303))</f>
        <v/>
      </c>
      <c r="AH303" s="117" t="str">
        <f t="shared" si="9"/>
        <v/>
      </c>
    </row>
    <row r="304" spans="6:34" x14ac:dyDescent="0.25">
      <c r="F304" s="35"/>
      <c r="J304" s="35"/>
      <c r="K304" s="35"/>
      <c r="L304" s="35"/>
      <c r="AF304" s="115" t="str">
        <f t="shared" si="8"/>
        <v/>
      </c>
      <c r="AG304" s="116" t="str">
        <f>IF(AF304="","",COUNTIF(AF304:AF$3000,AF304))</f>
        <v/>
      </c>
      <c r="AH304" s="117" t="str">
        <f t="shared" si="9"/>
        <v/>
      </c>
    </row>
    <row r="305" spans="6:34" x14ac:dyDescent="0.25">
      <c r="F305" s="35"/>
      <c r="J305" s="35"/>
      <c r="K305" s="35"/>
      <c r="L305" s="35"/>
      <c r="AF305" s="115" t="str">
        <f t="shared" si="8"/>
        <v/>
      </c>
      <c r="AG305" s="116" t="str">
        <f>IF(AF305="","",COUNTIF(AF305:AF$3000,AF305))</f>
        <v/>
      </c>
      <c r="AH305" s="117" t="str">
        <f t="shared" si="9"/>
        <v/>
      </c>
    </row>
    <row r="306" spans="6:34" x14ac:dyDescent="0.25">
      <c r="F306" s="35"/>
      <c r="J306" s="35"/>
      <c r="K306" s="35"/>
      <c r="L306" s="35"/>
      <c r="AF306" s="115" t="str">
        <f t="shared" si="8"/>
        <v/>
      </c>
      <c r="AG306" s="116" t="str">
        <f>IF(AF306="","",COUNTIF(AF306:AF$3000,AF306))</f>
        <v/>
      </c>
      <c r="AH306" s="117" t="str">
        <f t="shared" si="9"/>
        <v/>
      </c>
    </row>
    <row r="307" spans="6:34" x14ac:dyDescent="0.25">
      <c r="F307" s="35"/>
      <c r="J307" s="35"/>
      <c r="K307" s="35"/>
      <c r="L307" s="35"/>
      <c r="AF307" s="115" t="str">
        <f t="shared" si="8"/>
        <v/>
      </c>
      <c r="AG307" s="116" t="str">
        <f>IF(AF307="","",COUNTIF(AF307:AF$3000,AF307))</f>
        <v/>
      </c>
      <c r="AH307" s="117" t="str">
        <f t="shared" si="9"/>
        <v/>
      </c>
    </row>
    <row r="308" spans="6:34" x14ac:dyDescent="0.25">
      <c r="F308" s="35"/>
      <c r="J308" s="35"/>
      <c r="K308" s="35"/>
      <c r="L308" s="35"/>
      <c r="AF308" s="115" t="str">
        <f t="shared" si="8"/>
        <v/>
      </c>
      <c r="AG308" s="116" t="str">
        <f>IF(AF308="","",COUNTIF(AF308:AF$3000,AF308))</f>
        <v/>
      </c>
      <c r="AH308" s="117" t="str">
        <f t="shared" si="9"/>
        <v/>
      </c>
    </row>
    <row r="309" spans="6:34" x14ac:dyDescent="0.25">
      <c r="F309" s="35"/>
      <c r="J309" s="35"/>
      <c r="K309" s="35"/>
      <c r="L309" s="35"/>
      <c r="AF309" s="115" t="str">
        <f t="shared" si="8"/>
        <v/>
      </c>
      <c r="AG309" s="116" t="str">
        <f>IF(AF309="","",COUNTIF(AF309:AF$3000,AF309))</f>
        <v/>
      </c>
      <c r="AH309" s="117" t="str">
        <f t="shared" si="9"/>
        <v/>
      </c>
    </row>
    <row r="310" spans="6:34" x14ac:dyDescent="0.25">
      <c r="F310" s="35"/>
      <c r="J310" s="35"/>
      <c r="K310" s="35"/>
      <c r="L310" s="35"/>
      <c r="AF310" s="115" t="str">
        <f t="shared" si="8"/>
        <v/>
      </c>
      <c r="AG310" s="116" t="str">
        <f>IF(AF310="","",COUNTIF(AF310:AF$3000,AF310))</f>
        <v/>
      </c>
      <c r="AH310" s="117" t="str">
        <f t="shared" si="9"/>
        <v/>
      </c>
    </row>
    <row r="311" spans="6:34" x14ac:dyDescent="0.25">
      <c r="F311" s="35"/>
      <c r="J311" s="35"/>
      <c r="K311" s="35"/>
      <c r="L311" s="35"/>
      <c r="AF311" s="115" t="str">
        <f t="shared" si="8"/>
        <v/>
      </c>
      <c r="AG311" s="116" t="str">
        <f>IF(AF311="","",COUNTIF(AF311:AF$3000,AF311))</f>
        <v/>
      </c>
      <c r="AH311" s="117" t="str">
        <f t="shared" si="9"/>
        <v/>
      </c>
    </row>
    <row r="312" spans="6:34" x14ac:dyDescent="0.25">
      <c r="F312" s="35"/>
      <c r="J312" s="35"/>
      <c r="K312" s="35"/>
      <c r="L312" s="35"/>
      <c r="AF312" s="115" t="str">
        <f t="shared" si="8"/>
        <v/>
      </c>
      <c r="AG312" s="116" t="str">
        <f>IF(AF312="","",COUNTIF(AF312:AF$3000,AF312))</f>
        <v/>
      </c>
      <c r="AH312" s="117" t="str">
        <f t="shared" si="9"/>
        <v/>
      </c>
    </row>
    <row r="313" spans="6:34" x14ac:dyDescent="0.25">
      <c r="F313" s="35"/>
      <c r="J313" s="35"/>
      <c r="K313" s="35"/>
      <c r="L313" s="35"/>
      <c r="AF313" s="115" t="str">
        <f t="shared" si="8"/>
        <v/>
      </c>
      <c r="AG313" s="116" t="str">
        <f>IF(AF313="","",COUNTIF(AF313:AF$3000,AF313))</f>
        <v/>
      </c>
      <c r="AH313" s="117" t="str">
        <f t="shared" si="9"/>
        <v/>
      </c>
    </row>
    <row r="314" spans="6:34" x14ac:dyDescent="0.25">
      <c r="F314" s="35"/>
      <c r="J314" s="35"/>
      <c r="K314" s="35"/>
      <c r="L314" s="35"/>
      <c r="AF314" s="115" t="str">
        <f t="shared" si="8"/>
        <v/>
      </c>
      <c r="AG314" s="116" t="str">
        <f>IF(AF314="","",COUNTIF(AF314:AF$3000,AF314))</f>
        <v/>
      </c>
      <c r="AH314" s="117" t="str">
        <f t="shared" si="9"/>
        <v/>
      </c>
    </row>
    <row r="315" spans="6:34" x14ac:dyDescent="0.25">
      <c r="F315" s="35"/>
      <c r="J315" s="35"/>
      <c r="K315" s="35"/>
      <c r="L315" s="35"/>
      <c r="AF315" s="115" t="str">
        <f t="shared" si="8"/>
        <v/>
      </c>
      <c r="AG315" s="116" t="str">
        <f>IF(AF315="","",COUNTIF(AF315:AF$3000,AF315))</f>
        <v/>
      </c>
      <c r="AH315" s="117" t="str">
        <f t="shared" si="9"/>
        <v/>
      </c>
    </row>
    <row r="316" spans="6:34" x14ac:dyDescent="0.25">
      <c r="F316" s="35"/>
      <c r="J316" s="35"/>
      <c r="K316" s="35"/>
      <c r="L316" s="35"/>
      <c r="AF316" s="115" t="str">
        <f t="shared" si="8"/>
        <v/>
      </c>
      <c r="AG316" s="116" t="str">
        <f>IF(AF316="","",COUNTIF(AF316:AF$3000,AF316))</f>
        <v/>
      </c>
      <c r="AH316" s="117" t="str">
        <f t="shared" si="9"/>
        <v/>
      </c>
    </row>
    <row r="317" spans="6:34" x14ac:dyDescent="0.25">
      <c r="F317" s="35"/>
      <c r="J317" s="35"/>
      <c r="K317" s="35"/>
      <c r="L317" s="35"/>
      <c r="AF317" s="115" t="str">
        <f t="shared" si="8"/>
        <v/>
      </c>
      <c r="AG317" s="116" t="str">
        <f>IF(AF317="","",COUNTIF(AF317:AF$3000,AF317))</f>
        <v/>
      </c>
      <c r="AH317" s="117" t="str">
        <f t="shared" si="9"/>
        <v/>
      </c>
    </row>
    <row r="318" spans="6:34" x14ac:dyDescent="0.25">
      <c r="F318" s="35"/>
      <c r="J318" s="35"/>
      <c r="K318" s="35"/>
      <c r="L318" s="35"/>
      <c r="AF318" s="115" t="str">
        <f t="shared" si="8"/>
        <v/>
      </c>
      <c r="AG318" s="116" t="str">
        <f>IF(AF318="","",COUNTIF(AF318:AF$3000,AF318))</f>
        <v/>
      </c>
      <c r="AH318" s="117" t="str">
        <f t="shared" si="9"/>
        <v/>
      </c>
    </row>
    <row r="319" spans="6:34" x14ac:dyDescent="0.25">
      <c r="F319" s="35"/>
      <c r="J319" s="35"/>
      <c r="K319" s="35"/>
      <c r="L319" s="35"/>
      <c r="AF319" s="115" t="str">
        <f t="shared" si="8"/>
        <v/>
      </c>
      <c r="AG319" s="116" t="str">
        <f>IF(AF319="","",COUNTIF(AF319:AF$3000,AF319))</f>
        <v/>
      </c>
      <c r="AH319" s="117" t="str">
        <f t="shared" si="9"/>
        <v/>
      </c>
    </row>
    <row r="320" spans="6:34" x14ac:dyDescent="0.25">
      <c r="F320" s="35"/>
      <c r="J320" s="35"/>
      <c r="K320" s="35"/>
      <c r="L320" s="35"/>
      <c r="AF320" s="115" t="str">
        <f t="shared" si="8"/>
        <v/>
      </c>
      <c r="AG320" s="116" t="str">
        <f>IF(AF320="","",COUNTIF(AF320:AF$3000,AF320))</f>
        <v/>
      </c>
      <c r="AH320" s="117" t="str">
        <f t="shared" si="9"/>
        <v/>
      </c>
    </row>
    <row r="321" spans="6:34" x14ac:dyDescent="0.25">
      <c r="F321" s="35"/>
      <c r="J321" s="35"/>
      <c r="K321" s="35"/>
      <c r="L321" s="35"/>
      <c r="AF321" s="115" t="str">
        <f t="shared" si="8"/>
        <v/>
      </c>
      <c r="AG321" s="116" t="str">
        <f>IF(AF321="","",COUNTIF(AF321:AF$3000,AF321))</f>
        <v/>
      </c>
      <c r="AH321" s="117" t="str">
        <f t="shared" si="9"/>
        <v/>
      </c>
    </row>
    <row r="322" spans="6:34" x14ac:dyDescent="0.25">
      <c r="F322" s="35"/>
      <c r="J322" s="35"/>
      <c r="K322" s="35"/>
      <c r="L322" s="35"/>
      <c r="AF322" s="115" t="str">
        <f t="shared" si="8"/>
        <v/>
      </c>
      <c r="AG322" s="116" t="str">
        <f>IF(AF322="","",COUNTIF(AF322:AF$3000,AF322))</f>
        <v/>
      </c>
      <c r="AH322" s="117" t="str">
        <f t="shared" si="9"/>
        <v/>
      </c>
    </row>
    <row r="323" spans="6:34" x14ac:dyDescent="0.25">
      <c r="F323" s="35"/>
      <c r="J323" s="35"/>
      <c r="K323" s="35"/>
      <c r="L323" s="35"/>
      <c r="AF323" s="115" t="str">
        <f t="shared" si="8"/>
        <v/>
      </c>
      <c r="AG323" s="116" t="str">
        <f>IF(AF323="","",COUNTIF(AF323:AF$3000,AF323))</f>
        <v/>
      </c>
      <c r="AH323" s="117" t="str">
        <f t="shared" si="9"/>
        <v/>
      </c>
    </row>
    <row r="324" spans="6:34" x14ac:dyDescent="0.25">
      <c r="F324" s="35"/>
      <c r="J324" s="35"/>
      <c r="K324" s="35"/>
      <c r="L324" s="35"/>
      <c r="AF324" s="115" t="str">
        <f t="shared" ref="AF324:AF387" si="10">IF(B324="","",TEXT(J324,"DD/MM/AA")&amp;"_"&amp;S324&amp;"_"&amp;V324)</f>
        <v/>
      </c>
      <c r="AG324" s="116" t="str">
        <f>IF(AF324="","",COUNTIF(AF324:AF$3000,AF324))</f>
        <v/>
      </c>
      <c r="AH324" s="117" t="str">
        <f t="shared" ref="AH324:AH387" si="11">IF(AA324="","",
IF(AG324&gt;1,"",
IF(SUMIF(AF$3:AF$31,AF324,H$3:H$31)/10&lt;1,1,SUMIF(AF$3:AF$31,AF324,H$3:H$31)/10)))</f>
        <v/>
      </c>
    </row>
    <row r="325" spans="6:34" x14ac:dyDescent="0.25">
      <c r="F325" s="35"/>
      <c r="J325" s="35"/>
      <c r="K325" s="35"/>
      <c r="L325" s="35"/>
      <c r="AF325" s="115" t="str">
        <f t="shared" si="10"/>
        <v/>
      </c>
      <c r="AG325" s="116" t="str">
        <f>IF(AF325="","",COUNTIF(AF325:AF$3000,AF325))</f>
        <v/>
      </c>
      <c r="AH325" s="117" t="str">
        <f t="shared" si="11"/>
        <v/>
      </c>
    </row>
    <row r="326" spans="6:34" x14ac:dyDescent="0.25">
      <c r="F326" s="35"/>
      <c r="J326" s="35"/>
      <c r="K326" s="35"/>
      <c r="L326" s="35"/>
      <c r="AF326" s="115" t="str">
        <f t="shared" si="10"/>
        <v/>
      </c>
      <c r="AG326" s="116" t="str">
        <f>IF(AF326="","",COUNTIF(AF326:AF$3000,AF326))</f>
        <v/>
      </c>
      <c r="AH326" s="117" t="str">
        <f t="shared" si="11"/>
        <v/>
      </c>
    </row>
    <row r="327" spans="6:34" x14ac:dyDescent="0.25">
      <c r="F327" s="35"/>
      <c r="J327" s="35"/>
      <c r="K327" s="35"/>
      <c r="L327" s="35"/>
      <c r="AF327" s="115" t="str">
        <f t="shared" si="10"/>
        <v/>
      </c>
      <c r="AG327" s="116" t="str">
        <f>IF(AF327="","",COUNTIF(AF327:AF$3000,AF327))</f>
        <v/>
      </c>
      <c r="AH327" s="117" t="str">
        <f t="shared" si="11"/>
        <v/>
      </c>
    </row>
    <row r="328" spans="6:34" x14ac:dyDescent="0.25">
      <c r="F328" s="35"/>
      <c r="J328" s="35"/>
      <c r="K328" s="35"/>
      <c r="L328" s="35"/>
      <c r="AF328" s="115" t="str">
        <f t="shared" si="10"/>
        <v/>
      </c>
      <c r="AG328" s="116" t="str">
        <f>IF(AF328="","",COUNTIF(AF328:AF$3000,AF328))</f>
        <v/>
      </c>
      <c r="AH328" s="117" t="str">
        <f t="shared" si="11"/>
        <v/>
      </c>
    </row>
    <row r="329" spans="6:34" x14ac:dyDescent="0.25">
      <c r="F329" s="35"/>
      <c r="J329" s="35"/>
      <c r="K329" s="35"/>
      <c r="L329" s="35"/>
      <c r="AF329" s="115" t="str">
        <f t="shared" si="10"/>
        <v/>
      </c>
      <c r="AG329" s="116" t="str">
        <f>IF(AF329="","",COUNTIF(AF329:AF$3000,AF329))</f>
        <v/>
      </c>
      <c r="AH329" s="117" t="str">
        <f t="shared" si="11"/>
        <v/>
      </c>
    </row>
    <row r="330" spans="6:34" x14ac:dyDescent="0.25">
      <c r="F330" s="35"/>
      <c r="J330" s="35"/>
      <c r="K330" s="35"/>
      <c r="L330" s="35"/>
      <c r="AF330" s="115" t="str">
        <f t="shared" si="10"/>
        <v/>
      </c>
      <c r="AG330" s="116" t="str">
        <f>IF(AF330="","",COUNTIF(AF330:AF$3000,AF330))</f>
        <v/>
      </c>
      <c r="AH330" s="117" t="str">
        <f t="shared" si="11"/>
        <v/>
      </c>
    </row>
    <row r="331" spans="6:34" x14ac:dyDescent="0.25">
      <c r="F331" s="35"/>
      <c r="J331" s="35"/>
      <c r="K331" s="35"/>
      <c r="L331" s="35"/>
      <c r="AF331" s="115" t="str">
        <f t="shared" si="10"/>
        <v/>
      </c>
      <c r="AG331" s="116" t="str">
        <f>IF(AF331="","",COUNTIF(AF331:AF$3000,AF331))</f>
        <v/>
      </c>
      <c r="AH331" s="117" t="str">
        <f t="shared" si="11"/>
        <v/>
      </c>
    </row>
    <row r="332" spans="6:34" x14ac:dyDescent="0.25">
      <c r="F332" s="35"/>
      <c r="J332" s="35"/>
      <c r="K332" s="35"/>
      <c r="L332" s="35"/>
      <c r="AF332" s="115" t="str">
        <f t="shared" si="10"/>
        <v/>
      </c>
      <c r="AG332" s="116" t="str">
        <f>IF(AF332="","",COUNTIF(AF332:AF$3000,AF332))</f>
        <v/>
      </c>
      <c r="AH332" s="117" t="str">
        <f t="shared" si="11"/>
        <v/>
      </c>
    </row>
    <row r="333" spans="6:34" x14ac:dyDescent="0.25">
      <c r="F333" s="35"/>
      <c r="J333" s="35"/>
      <c r="K333" s="35"/>
      <c r="L333" s="35"/>
      <c r="AF333" s="115" t="str">
        <f t="shared" si="10"/>
        <v/>
      </c>
      <c r="AG333" s="116" t="str">
        <f>IF(AF333="","",COUNTIF(AF333:AF$3000,AF333))</f>
        <v/>
      </c>
      <c r="AH333" s="117" t="str">
        <f t="shared" si="11"/>
        <v/>
      </c>
    </row>
    <row r="334" spans="6:34" x14ac:dyDescent="0.25">
      <c r="F334" s="35"/>
      <c r="J334" s="35"/>
      <c r="K334" s="35"/>
      <c r="L334" s="35"/>
      <c r="AF334" s="115" t="str">
        <f t="shared" si="10"/>
        <v/>
      </c>
      <c r="AG334" s="116" t="str">
        <f>IF(AF334="","",COUNTIF(AF334:AF$3000,AF334))</f>
        <v/>
      </c>
      <c r="AH334" s="117" t="str">
        <f t="shared" si="11"/>
        <v/>
      </c>
    </row>
    <row r="335" spans="6:34" x14ac:dyDescent="0.25">
      <c r="F335" s="35"/>
      <c r="J335" s="35"/>
      <c r="K335" s="35"/>
      <c r="L335" s="35"/>
      <c r="AF335" s="115" t="str">
        <f t="shared" si="10"/>
        <v/>
      </c>
      <c r="AG335" s="116" t="str">
        <f>IF(AF335="","",COUNTIF(AF335:AF$3000,AF335))</f>
        <v/>
      </c>
      <c r="AH335" s="117" t="str">
        <f t="shared" si="11"/>
        <v/>
      </c>
    </row>
    <row r="336" spans="6:34" x14ac:dyDescent="0.25">
      <c r="F336" s="35"/>
      <c r="J336" s="35"/>
      <c r="K336" s="35"/>
      <c r="L336" s="35"/>
      <c r="AF336" s="115" t="str">
        <f t="shared" si="10"/>
        <v/>
      </c>
      <c r="AG336" s="116" t="str">
        <f>IF(AF336="","",COUNTIF(AF336:AF$3000,AF336))</f>
        <v/>
      </c>
      <c r="AH336" s="117" t="str">
        <f t="shared" si="11"/>
        <v/>
      </c>
    </row>
    <row r="337" spans="6:34" x14ac:dyDescent="0.25">
      <c r="F337" s="35"/>
      <c r="J337" s="35"/>
      <c r="K337" s="35"/>
      <c r="L337" s="35"/>
      <c r="AF337" s="115" t="str">
        <f t="shared" si="10"/>
        <v/>
      </c>
      <c r="AG337" s="116" t="str">
        <f>IF(AF337="","",COUNTIF(AF337:AF$3000,AF337))</f>
        <v/>
      </c>
      <c r="AH337" s="117" t="str">
        <f t="shared" si="11"/>
        <v/>
      </c>
    </row>
    <row r="338" spans="6:34" x14ac:dyDescent="0.25">
      <c r="F338" s="35"/>
      <c r="J338" s="35"/>
      <c r="K338" s="35"/>
      <c r="L338" s="35"/>
      <c r="AF338" s="115" t="str">
        <f t="shared" si="10"/>
        <v/>
      </c>
      <c r="AG338" s="116" t="str">
        <f>IF(AF338="","",COUNTIF(AF338:AF$3000,AF338))</f>
        <v/>
      </c>
      <c r="AH338" s="117" t="str">
        <f t="shared" si="11"/>
        <v/>
      </c>
    </row>
    <row r="339" spans="6:34" x14ac:dyDescent="0.25">
      <c r="F339" s="35"/>
      <c r="J339" s="35"/>
      <c r="K339" s="35"/>
      <c r="L339" s="35"/>
      <c r="AF339" s="115" t="str">
        <f t="shared" si="10"/>
        <v/>
      </c>
      <c r="AG339" s="116" t="str">
        <f>IF(AF339="","",COUNTIF(AF339:AF$3000,AF339))</f>
        <v/>
      </c>
      <c r="AH339" s="117" t="str">
        <f t="shared" si="11"/>
        <v/>
      </c>
    </row>
    <row r="340" spans="6:34" x14ac:dyDescent="0.25">
      <c r="F340" s="35"/>
      <c r="J340" s="35"/>
      <c r="K340" s="35"/>
      <c r="L340" s="35"/>
      <c r="AF340" s="115" t="str">
        <f t="shared" si="10"/>
        <v/>
      </c>
      <c r="AG340" s="116" t="str">
        <f>IF(AF340="","",COUNTIF(AF340:AF$3000,AF340))</f>
        <v/>
      </c>
      <c r="AH340" s="117" t="str">
        <f t="shared" si="11"/>
        <v/>
      </c>
    </row>
    <row r="341" spans="6:34" x14ac:dyDescent="0.25">
      <c r="F341" s="35"/>
      <c r="J341" s="35"/>
      <c r="K341" s="35"/>
      <c r="L341" s="35"/>
      <c r="AF341" s="115" t="str">
        <f t="shared" si="10"/>
        <v/>
      </c>
      <c r="AG341" s="116" t="str">
        <f>IF(AF341="","",COUNTIF(AF341:AF$3000,AF341))</f>
        <v/>
      </c>
      <c r="AH341" s="117" t="str">
        <f t="shared" si="11"/>
        <v/>
      </c>
    </row>
    <row r="342" spans="6:34" x14ac:dyDescent="0.25">
      <c r="F342" s="35"/>
      <c r="J342" s="35"/>
      <c r="K342" s="35"/>
      <c r="L342" s="35"/>
      <c r="AF342" s="115" t="str">
        <f t="shared" si="10"/>
        <v/>
      </c>
      <c r="AG342" s="116" t="str">
        <f>IF(AF342="","",COUNTIF(AF342:AF$3000,AF342))</f>
        <v/>
      </c>
      <c r="AH342" s="117" t="str">
        <f t="shared" si="11"/>
        <v/>
      </c>
    </row>
    <row r="343" spans="6:34" x14ac:dyDescent="0.25">
      <c r="F343" s="35"/>
      <c r="J343" s="35"/>
      <c r="K343" s="35"/>
      <c r="L343" s="35"/>
      <c r="AF343" s="115" t="str">
        <f t="shared" si="10"/>
        <v/>
      </c>
      <c r="AG343" s="116" t="str">
        <f>IF(AF343="","",COUNTIF(AF343:AF$3000,AF343))</f>
        <v/>
      </c>
      <c r="AH343" s="117" t="str">
        <f t="shared" si="11"/>
        <v/>
      </c>
    </row>
    <row r="344" spans="6:34" x14ac:dyDescent="0.25">
      <c r="F344" s="35"/>
      <c r="J344" s="35"/>
      <c r="K344" s="35"/>
      <c r="L344" s="35"/>
      <c r="AF344" s="115" t="str">
        <f t="shared" si="10"/>
        <v/>
      </c>
      <c r="AG344" s="116" t="str">
        <f>IF(AF344="","",COUNTIF(AF344:AF$3000,AF344))</f>
        <v/>
      </c>
      <c r="AH344" s="117" t="str">
        <f t="shared" si="11"/>
        <v/>
      </c>
    </row>
    <row r="345" spans="6:34" x14ac:dyDescent="0.25">
      <c r="F345" s="35"/>
      <c r="J345" s="35"/>
      <c r="K345" s="35"/>
      <c r="L345" s="35"/>
      <c r="AF345" s="115" t="str">
        <f t="shared" si="10"/>
        <v/>
      </c>
      <c r="AG345" s="116" t="str">
        <f>IF(AF345="","",COUNTIF(AF345:AF$3000,AF345))</f>
        <v/>
      </c>
      <c r="AH345" s="117" t="str">
        <f t="shared" si="11"/>
        <v/>
      </c>
    </row>
    <row r="346" spans="6:34" x14ac:dyDescent="0.25">
      <c r="F346" s="35"/>
      <c r="J346" s="35"/>
      <c r="K346" s="35"/>
      <c r="L346" s="35"/>
      <c r="AF346" s="115" t="str">
        <f t="shared" si="10"/>
        <v/>
      </c>
      <c r="AG346" s="116" t="str">
        <f>IF(AF346="","",COUNTIF(AF346:AF$3000,AF346))</f>
        <v/>
      </c>
      <c r="AH346" s="117" t="str">
        <f t="shared" si="11"/>
        <v/>
      </c>
    </row>
    <row r="347" spans="6:34" x14ac:dyDescent="0.25">
      <c r="F347" s="35"/>
      <c r="J347" s="35"/>
      <c r="K347" s="35"/>
      <c r="L347" s="35"/>
      <c r="AF347" s="115" t="str">
        <f t="shared" si="10"/>
        <v/>
      </c>
      <c r="AG347" s="116" t="str">
        <f>IF(AF347="","",COUNTIF(AF347:AF$3000,AF347))</f>
        <v/>
      </c>
      <c r="AH347" s="117" t="str">
        <f t="shared" si="11"/>
        <v/>
      </c>
    </row>
    <row r="348" spans="6:34" x14ac:dyDescent="0.25">
      <c r="F348" s="35"/>
      <c r="J348" s="35"/>
      <c r="K348" s="35"/>
      <c r="L348" s="35"/>
      <c r="AF348" s="115" t="str">
        <f t="shared" si="10"/>
        <v/>
      </c>
      <c r="AG348" s="116" t="str">
        <f>IF(AF348="","",COUNTIF(AF348:AF$3000,AF348))</f>
        <v/>
      </c>
      <c r="AH348" s="117" t="str">
        <f t="shared" si="11"/>
        <v/>
      </c>
    </row>
    <row r="349" spans="6:34" x14ac:dyDescent="0.25">
      <c r="F349" s="35"/>
      <c r="J349" s="35"/>
      <c r="K349" s="35"/>
      <c r="L349" s="35"/>
      <c r="AF349" s="115" t="str">
        <f t="shared" si="10"/>
        <v/>
      </c>
      <c r="AG349" s="116" t="str">
        <f>IF(AF349="","",COUNTIF(AF349:AF$3000,AF349))</f>
        <v/>
      </c>
      <c r="AH349" s="117" t="str">
        <f t="shared" si="11"/>
        <v/>
      </c>
    </row>
    <row r="350" spans="6:34" x14ac:dyDescent="0.25">
      <c r="F350" s="35"/>
      <c r="J350" s="35"/>
      <c r="K350" s="35"/>
      <c r="L350" s="35"/>
      <c r="AF350" s="115" t="str">
        <f t="shared" si="10"/>
        <v/>
      </c>
      <c r="AG350" s="116" t="str">
        <f>IF(AF350="","",COUNTIF(AF350:AF$3000,AF350))</f>
        <v/>
      </c>
      <c r="AH350" s="117" t="str">
        <f t="shared" si="11"/>
        <v/>
      </c>
    </row>
    <row r="351" spans="6:34" x14ac:dyDescent="0.25">
      <c r="F351" s="35"/>
      <c r="J351" s="35"/>
      <c r="K351" s="35"/>
      <c r="L351" s="35"/>
      <c r="AF351" s="115" t="str">
        <f t="shared" si="10"/>
        <v/>
      </c>
      <c r="AG351" s="116" t="str">
        <f>IF(AF351="","",COUNTIF(AF351:AF$3000,AF351))</f>
        <v/>
      </c>
      <c r="AH351" s="117" t="str">
        <f t="shared" si="11"/>
        <v/>
      </c>
    </row>
    <row r="352" spans="6:34" x14ac:dyDescent="0.25">
      <c r="F352" s="35"/>
      <c r="J352" s="35"/>
      <c r="K352" s="35"/>
      <c r="L352" s="35"/>
      <c r="AF352" s="115" t="str">
        <f t="shared" si="10"/>
        <v/>
      </c>
      <c r="AG352" s="116" t="str">
        <f>IF(AF352="","",COUNTIF(AF352:AF$3000,AF352))</f>
        <v/>
      </c>
      <c r="AH352" s="117" t="str">
        <f t="shared" si="11"/>
        <v/>
      </c>
    </row>
    <row r="353" spans="6:34" x14ac:dyDescent="0.25">
      <c r="F353" s="35"/>
      <c r="J353" s="35"/>
      <c r="K353" s="35"/>
      <c r="L353" s="35"/>
      <c r="AF353" s="115" t="str">
        <f t="shared" si="10"/>
        <v/>
      </c>
      <c r="AG353" s="116" t="str">
        <f>IF(AF353="","",COUNTIF(AF353:AF$3000,AF353))</f>
        <v/>
      </c>
      <c r="AH353" s="117" t="str">
        <f t="shared" si="11"/>
        <v/>
      </c>
    </row>
    <row r="354" spans="6:34" x14ac:dyDescent="0.25">
      <c r="F354" s="35"/>
      <c r="J354" s="35"/>
      <c r="K354" s="35"/>
      <c r="L354" s="35"/>
      <c r="AF354" s="115" t="str">
        <f t="shared" si="10"/>
        <v/>
      </c>
      <c r="AG354" s="116" t="str">
        <f>IF(AF354="","",COUNTIF(AF354:AF$3000,AF354))</f>
        <v/>
      </c>
      <c r="AH354" s="117" t="str">
        <f t="shared" si="11"/>
        <v/>
      </c>
    </row>
    <row r="355" spans="6:34" x14ac:dyDescent="0.25">
      <c r="F355" s="35"/>
      <c r="J355" s="35"/>
      <c r="K355" s="35"/>
      <c r="L355" s="35"/>
      <c r="AF355" s="115" t="str">
        <f t="shared" si="10"/>
        <v/>
      </c>
      <c r="AG355" s="116" t="str">
        <f>IF(AF355="","",COUNTIF(AF355:AF$3000,AF355))</f>
        <v/>
      </c>
      <c r="AH355" s="117" t="str">
        <f t="shared" si="11"/>
        <v/>
      </c>
    </row>
    <row r="356" spans="6:34" x14ac:dyDescent="0.25">
      <c r="F356" s="35"/>
      <c r="J356" s="35"/>
      <c r="K356" s="35"/>
      <c r="L356" s="35"/>
      <c r="AF356" s="115" t="str">
        <f t="shared" si="10"/>
        <v/>
      </c>
      <c r="AG356" s="116" t="str">
        <f>IF(AF356="","",COUNTIF(AF356:AF$3000,AF356))</f>
        <v/>
      </c>
      <c r="AH356" s="117" t="str">
        <f t="shared" si="11"/>
        <v/>
      </c>
    </row>
    <row r="357" spans="6:34" x14ac:dyDescent="0.25">
      <c r="F357" s="35"/>
      <c r="J357" s="35"/>
      <c r="K357" s="35"/>
      <c r="L357" s="35"/>
      <c r="AF357" s="115" t="str">
        <f t="shared" si="10"/>
        <v/>
      </c>
      <c r="AG357" s="116" t="str">
        <f>IF(AF357="","",COUNTIF(AF357:AF$3000,AF357))</f>
        <v/>
      </c>
      <c r="AH357" s="117" t="str">
        <f t="shared" si="11"/>
        <v/>
      </c>
    </row>
    <row r="358" spans="6:34" x14ac:dyDescent="0.25">
      <c r="F358" s="35"/>
      <c r="J358" s="35"/>
      <c r="K358" s="35"/>
      <c r="L358" s="35"/>
      <c r="AF358" s="115" t="str">
        <f t="shared" si="10"/>
        <v/>
      </c>
      <c r="AG358" s="116" t="str">
        <f>IF(AF358="","",COUNTIF(AF358:AF$3000,AF358))</f>
        <v/>
      </c>
      <c r="AH358" s="117" t="str">
        <f t="shared" si="11"/>
        <v/>
      </c>
    </row>
    <row r="359" spans="6:34" x14ac:dyDescent="0.25">
      <c r="F359" s="35"/>
      <c r="J359" s="35"/>
      <c r="K359" s="35"/>
      <c r="L359" s="35"/>
      <c r="AF359" s="115" t="str">
        <f t="shared" si="10"/>
        <v/>
      </c>
      <c r="AG359" s="116" t="str">
        <f>IF(AF359="","",COUNTIF(AF359:AF$3000,AF359))</f>
        <v/>
      </c>
      <c r="AH359" s="117" t="str">
        <f t="shared" si="11"/>
        <v/>
      </c>
    </row>
    <row r="360" spans="6:34" x14ac:dyDescent="0.25">
      <c r="F360" s="35"/>
      <c r="J360" s="35"/>
      <c r="K360" s="35"/>
      <c r="L360" s="35"/>
      <c r="AF360" s="115" t="str">
        <f t="shared" si="10"/>
        <v/>
      </c>
      <c r="AG360" s="116" t="str">
        <f>IF(AF360="","",COUNTIF(AF360:AF$3000,AF360))</f>
        <v/>
      </c>
      <c r="AH360" s="117" t="str">
        <f t="shared" si="11"/>
        <v/>
      </c>
    </row>
    <row r="361" spans="6:34" x14ac:dyDescent="0.25">
      <c r="F361" s="35"/>
      <c r="J361" s="35"/>
      <c r="K361" s="35"/>
      <c r="L361" s="35"/>
      <c r="AF361" s="115" t="str">
        <f t="shared" si="10"/>
        <v/>
      </c>
      <c r="AG361" s="116" t="str">
        <f>IF(AF361="","",COUNTIF(AF361:AF$3000,AF361))</f>
        <v/>
      </c>
      <c r="AH361" s="117" t="str">
        <f t="shared" si="11"/>
        <v/>
      </c>
    </row>
    <row r="362" spans="6:34" x14ac:dyDescent="0.25">
      <c r="F362" s="35"/>
      <c r="J362" s="35"/>
      <c r="K362" s="35"/>
      <c r="L362" s="35"/>
      <c r="AF362" s="115" t="str">
        <f t="shared" si="10"/>
        <v/>
      </c>
      <c r="AG362" s="116" t="str">
        <f>IF(AF362="","",COUNTIF(AF362:AF$3000,AF362))</f>
        <v/>
      </c>
      <c r="AH362" s="117" t="str">
        <f t="shared" si="11"/>
        <v/>
      </c>
    </row>
    <row r="363" spans="6:34" x14ac:dyDescent="0.25">
      <c r="F363" s="35"/>
      <c r="J363" s="35"/>
      <c r="K363" s="35"/>
      <c r="L363" s="35"/>
      <c r="AF363" s="115" t="str">
        <f t="shared" si="10"/>
        <v/>
      </c>
      <c r="AG363" s="116" t="str">
        <f>IF(AF363="","",COUNTIF(AF363:AF$3000,AF363))</f>
        <v/>
      </c>
      <c r="AH363" s="117" t="str">
        <f t="shared" si="11"/>
        <v/>
      </c>
    </row>
    <row r="364" spans="6:34" x14ac:dyDescent="0.25">
      <c r="F364" s="35"/>
      <c r="J364" s="35"/>
      <c r="K364" s="35"/>
      <c r="L364" s="35"/>
      <c r="AF364" s="115" t="str">
        <f t="shared" si="10"/>
        <v/>
      </c>
      <c r="AG364" s="116" t="str">
        <f>IF(AF364="","",COUNTIF(AF364:AF$3000,AF364))</f>
        <v/>
      </c>
      <c r="AH364" s="117" t="str">
        <f t="shared" si="11"/>
        <v/>
      </c>
    </row>
    <row r="365" spans="6:34" x14ac:dyDescent="0.25">
      <c r="F365" s="35"/>
      <c r="J365" s="35"/>
      <c r="K365" s="35"/>
      <c r="L365" s="35"/>
      <c r="AF365" s="115" t="str">
        <f t="shared" si="10"/>
        <v/>
      </c>
      <c r="AG365" s="116" t="str">
        <f>IF(AF365="","",COUNTIF(AF365:AF$3000,AF365))</f>
        <v/>
      </c>
      <c r="AH365" s="117" t="str">
        <f t="shared" si="11"/>
        <v/>
      </c>
    </row>
    <row r="366" spans="6:34" x14ac:dyDescent="0.25">
      <c r="F366" s="35"/>
      <c r="J366" s="35"/>
      <c r="K366" s="35"/>
      <c r="L366" s="35"/>
      <c r="AF366" s="115" t="str">
        <f t="shared" si="10"/>
        <v/>
      </c>
      <c r="AG366" s="116" t="str">
        <f>IF(AF366="","",COUNTIF(AF366:AF$3000,AF366))</f>
        <v/>
      </c>
      <c r="AH366" s="117" t="str">
        <f t="shared" si="11"/>
        <v/>
      </c>
    </row>
    <row r="367" spans="6:34" x14ac:dyDescent="0.25">
      <c r="F367" s="35"/>
      <c r="J367" s="35"/>
      <c r="K367" s="35"/>
      <c r="L367" s="35"/>
      <c r="AF367" s="115" t="str">
        <f t="shared" si="10"/>
        <v/>
      </c>
      <c r="AG367" s="116" t="str">
        <f>IF(AF367="","",COUNTIF(AF367:AF$3000,AF367))</f>
        <v/>
      </c>
      <c r="AH367" s="117" t="str">
        <f t="shared" si="11"/>
        <v/>
      </c>
    </row>
    <row r="368" spans="6:34" x14ac:dyDescent="0.25">
      <c r="F368" s="35"/>
      <c r="J368" s="35"/>
      <c r="K368" s="35"/>
      <c r="L368" s="35"/>
      <c r="AF368" s="115" t="str">
        <f t="shared" si="10"/>
        <v/>
      </c>
      <c r="AG368" s="116" t="str">
        <f>IF(AF368="","",COUNTIF(AF368:AF$3000,AF368))</f>
        <v/>
      </c>
      <c r="AH368" s="117" t="str">
        <f t="shared" si="11"/>
        <v/>
      </c>
    </row>
    <row r="369" spans="6:34" x14ac:dyDescent="0.25">
      <c r="F369" s="35"/>
      <c r="J369" s="35"/>
      <c r="K369" s="35"/>
      <c r="L369" s="35"/>
      <c r="AF369" s="115" t="str">
        <f t="shared" si="10"/>
        <v/>
      </c>
      <c r="AG369" s="116" t="str">
        <f>IF(AF369="","",COUNTIF(AF369:AF$3000,AF369))</f>
        <v/>
      </c>
      <c r="AH369" s="117" t="str">
        <f t="shared" si="11"/>
        <v/>
      </c>
    </row>
    <row r="370" spans="6:34" x14ac:dyDescent="0.25">
      <c r="F370" s="35"/>
      <c r="J370" s="35"/>
      <c r="K370" s="35"/>
      <c r="L370" s="35"/>
      <c r="AF370" s="115" t="str">
        <f t="shared" si="10"/>
        <v/>
      </c>
      <c r="AG370" s="116" t="str">
        <f>IF(AF370="","",COUNTIF(AF370:AF$3000,AF370))</f>
        <v/>
      </c>
      <c r="AH370" s="117" t="str">
        <f t="shared" si="11"/>
        <v/>
      </c>
    </row>
    <row r="371" spans="6:34" x14ac:dyDescent="0.25">
      <c r="F371" s="35"/>
      <c r="J371" s="35"/>
      <c r="K371" s="35"/>
      <c r="L371" s="35"/>
      <c r="AF371" s="115" t="str">
        <f t="shared" si="10"/>
        <v/>
      </c>
      <c r="AG371" s="116" t="str">
        <f>IF(AF371="","",COUNTIF(AF371:AF$3000,AF371))</f>
        <v/>
      </c>
      <c r="AH371" s="117" t="str">
        <f t="shared" si="11"/>
        <v/>
      </c>
    </row>
    <row r="372" spans="6:34" x14ac:dyDescent="0.25">
      <c r="F372" s="35"/>
      <c r="J372" s="35"/>
      <c r="K372" s="35"/>
      <c r="L372" s="35"/>
      <c r="AF372" s="115" t="str">
        <f t="shared" si="10"/>
        <v/>
      </c>
      <c r="AG372" s="116" t="str">
        <f>IF(AF372="","",COUNTIF(AF372:AF$3000,AF372))</f>
        <v/>
      </c>
      <c r="AH372" s="117" t="str">
        <f t="shared" si="11"/>
        <v/>
      </c>
    </row>
    <row r="373" spans="6:34" x14ac:dyDescent="0.25">
      <c r="F373" s="35"/>
      <c r="J373" s="35"/>
      <c r="K373" s="35"/>
      <c r="L373" s="35"/>
      <c r="AF373" s="115" t="str">
        <f t="shared" si="10"/>
        <v/>
      </c>
      <c r="AG373" s="116" t="str">
        <f>IF(AF373="","",COUNTIF(AF373:AF$3000,AF373))</f>
        <v/>
      </c>
      <c r="AH373" s="117" t="str">
        <f t="shared" si="11"/>
        <v/>
      </c>
    </row>
    <row r="374" spans="6:34" x14ac:dyDescent="0.25">
      <c r="F374" s="35"/>
      <c r="J374" s="35"/>
      <c r="K374" s="35"/>
      <c r="L374" s="35"/>
      <c r="AF374" s="115" t="str">
        <f t="shared" si="10"/>
        <v/>
      </c>
      <c r="AG374" s="116" t="str">
        <f>IF(AF374="","",COUNTIF(AF374:AF$3000,AF374))</f>
        <v/>
      </c>
      <c r="AH374" s="117" t="str">
        <f t="shared" si="11"/>
        <v/>
      </c>
    </row>
    <row r="375" spans="6:34" x14ac:dyDescent="0.25">
      <c r="F375" s="35"/>
      <c r="J375" s="35"/>
      <c r="K375" s="35"/>
      <c r="L375" s="35"/>
      <c r="AF375" s="115" t="str">
        <f t="shared" si="10"/>
        <v/>
      </c>
      <c r="AG375" s="116" t="str">
        <f>IF(AF375="","",COUNTIF(AF375:AF$3000,AF375))</f>
        <v/>
      </c>
      <c r="AH375" s="117" t="str">
        <f t="shared" si="11"/>
        <v/>
      </c>
    </row>
    <row r="376" spans="6:34" x14ac:dyDescent="0.25">
      <c r="F376" s="35"/>
      <c r="J376" s="35"/>
      <c r="K376" s="35"/>
      <c r="L376" s="35"/>
      <c r="AF376" s="115" t="str">
        <f t="shared" si="10"/>
        <v/>
      </c>
      <c r="AG376" s="116" t="str">
        <f>IF(AF376="","",COUNTIF(AF376:AF$3000,AF376))</f>
        <v/>
      </c>
      <c r="AH376" s="117" t="str">
        <f t="shared" si="11"/>
        <v/>
      </c>
    </row>
    <row r="377" spans="6:34" x14ac:dyDescent="0.25">
      <c r="F377" s="35"/>
      <c r="J377" s="35"/>
      <c r="K377" s="35"/>
      <c r="L377" s="35"/>
      <c r="AF377" s="115" t="str">
        <f t="shared" si="10"/>
        <v/>
      </c>
      <c r="AG377" s="116" t="str">
        <f>IF(AF377="","",COUNTIF(AF377:AF$3000,AF377))</f>
        <v/>
      </c>
      <c r="AH377" s="117" t="str">
        <f t="shared" si="11"/>
        <v/>
      </c>
    </row>
    <row r="378" spans="6:34" x14ac:dyDescent="0.25">
      <c r="F378" s="35"/>
      <c r="J378" s="35"/>
      <c r="K378" s="35"/>
      <c r="L378" s="35"/>
      <c r="AF378" s="115" t="str">
        <f t="shared" si="10"/>
        <v/>
      </c>
      <c r="AG378" s="116" t="str">
        <f>IF(AF378="","",COUNTIF(AF378:AF$3000,AF378))</f>
        <v/>
      </c>
      <c r="AH378" s="117" t="str">
        <f t="shared" si="11"/>
        <v/>
      </c>
    </row>
    <row r="379" spans="6:34" x14ac:dyDescent="0.25">
      <c r="F379" s="35"/>
      <c r="J379" s="35"/>
      <c r="K379" s="35"/>
      <c r="L379" s="35"/>
      <c r="AF379" s="115" t="str">
        <f t="shared" si="10"/>
        <v/>
      </c>
      <c r="AG379" s="116" t="str">
        <f>IF(AF379="","",COUNTIF(AF379:AF$3000,AF379))</f>
        <v/>
      </c>
      <c r="AH379" s="117" t="str">
        <f t="shared" si="11"/>
        <v/>
      </c>
    </row>
    <row r="380" spans="6:34" x14ac:dyDescent="0.25">
      <c r="F380" s="35"/>
      <c r="J380" s="35"/>
      <c r="K380" s="35"/>
      <c r="L380" s="35"/>
      <c r="AF380" s="115" t="str">
        <f t="shared" si="10"/>
        <v/>
      </c>
      <c r="AG380" s="116" t="str">
        <f>IF(AF380="","",COUNTIF(AF380:AF$3000,AF380))</f>
        <v/>
      </c>
      <c r="AH380" s="117" t="str">
        <f t="shared" si="11"/>
        <v/>
      </c>
    </row>
    <row r="381" spans="6:34" x14ac:dyDescent="0.25">
      <c r="F381" s="35"/>
      <c r="J381" s="35"/>
      <c r="K381" s="35"/>
      <c r="L381" s="35"/>
      <c r="AF381" s="115" t="str">
        <f t="shared" si="10"/>
        <v/>
      </c>
      <c r="AG381" s="116" t="str">
        <f>IF(AF381="","",COUNTIF(AF381:AF$3000,AF381))</f>
        <v/>
      </c>
      <c r="AH381" s="117" t="str">
        <f t="shared" si="11"/>
        <v/>
      </c>
    </row>
    <row r="382" spans="6:34" x14ac:dyDescent="0.25">
      <c r="F382" s="35"/>
      <c r="J382" s="35"/>
      <c r="K382" s="35"/>
      <c r="L382" s="35"/>
      <c r="AF382" s="115" t="str">
        <f t="shared" si="10"/>
        <v/>
      </c>
      <c r="AG382" s="116" t="str">
        <f>IF(AF382="","",COUNTIF(AF382:AF$3000,AF382))</f>
        <v/>
      </c>
      <c r="AH382" s="117" t="str">
        <f t="shared" si="11"/>
        <v/>
      </c>
    </row>
    <row r="383" spans="6:34" x14ac:dyDescent="0.25">
      <c r="F383" s="35"/>
      <c r="J383" s="35"/>
      <c r="K383" s="35"/>
      <c r="L383" s="35"/>
      <c r="AF383" s="115" t="str">
        <f t="shared" si="10"/>
        <v/>
      </c>
      <c r="AG383" s="116" t="str">
        <f>IF(AF383="","",COUNTIF(AF383:AF$3000,AF383))</f>
        <v/>
      </c>
      <c r="AH383" s="117" t="str">
        <f t="shared" si="11"/>
        <v/>
      </c>
    </row>
    <row r="384" spans="6:34" x14ac:dyDescent="0.25">
      <c r="F384" s="35"/>
      <c r="J384" s="35"/>
      <c r="K384" s="35"/>
      <c r="L384" s="35"/>
      <c r="AF384" s="115" t="str">
        <f t="shared" si="10"/>
        <v/>
      </c>
      <c r="AG384" s="116" t="str">
        <f>IF(AF384="","",COUNTIF(AF384:AF$3000,AF384))</f>
        <v/>
      </c>
      <c r="AH384" s="117" t="str">
        <f t="shared" si="11"/>
        <v/>
      </c>
    </row>
    <row r="385" spans="6:34" x14ac:dyDescent="0.25">
      <c r="F385" s="35"/>
      <c r="J385" s="35"/>
      <c r="K385" s="35"/>
      <c r="L385" s="35"/>
      <c r="AF385" s="115" t="str">
        <f t="shared" si="10"/>
        <v/>
      </c>
      <c r="AG385" s="116" t="str">
        <f>IF(AF385="","",COUNTIF(AF385:AF$3000,AF385))</f>
        <v/>
      </c>
      <c r="AH385" s="117" t="str">
        <f t="shared" si="11"/>
        <v/>
      </c>
    </row>
    <row r="386" spans="6:34" x14ac:dyDescent="0.25">
      <c r="F386" s="35"/>
      <c r="J386" s="35"/>
      <c r="K386" s="35"/>
      <c r="L386" s="35"/>
      <c r="AF386" s="115" t="str">
        <f t="shared" si="10"/>
        <v/>
      </c>
      <c r="AG386" s="116" t="str">
        <f>IF(AF386="","",COUNTIF(AF386:AF$3000,AF386))</f>
        <v/>
      </c>
      <c r="AH386" s="117" t="str">
        <f t="shared" si="11"/>
        <v/>
      </c>
    </row>
    <row r="387" spans="6:34" x14ac:dyDescent="0.25">
      <c r="F387" s="35"/>
      <c r="J387" s="35"/>
      <c r="K387" s="35"/>
      <c r="L387" s="35"/>
      <c r="AF387" s="115" t="str">
        <f t="shared" si="10"/>
        <v/>
      </c>
      <c r="AG387" s="116" t="str">
        <f>IF(AF387="","",COUNTIF(AF387:AF$3000,AF387))</f>
        <v/>
      </c>
      <c r="AH387" s="117" t="str">
        <f t="shared" si="11"/>
        <v/>
      </c>
    </row>
    <row r="388" spans="6:34" x14ac:dyDescent="0.25">
      <c r="F388" s="35"/>
      <c r="J388" s="35"/>
      <c r="K388" s="35"/>
      <c r="L388" s="35"/>
      <c r="AF388" s="115" t="str">
        <f t="shared" ref="AF388:AF451" si="12">IF(B388="","",TEXT(J388,"DD/MM/AA")&amp;"_"&amp;S388&amp;"_"&amp;V388)</f>
        <v/>
      </c>
      <c r="AG388" s="116" t="str">
        <f>IF(AF388="","",COUNTIF(AF388:AF$3000,AF388))</f>
        <v/>
      </c>
      <c r="AH388" s="117" t="str">
        <f t="shared" ref="AH388:AH451" si="13">IF(AA388="","",
IF(AG388&gt;1,"",
IF(SUMIF(AF$3:AF$31,AF388,H$3:H$31)/10&lt;1,1,SUMIF(AF$3:AF$31,AF388,H$3:H$31)/10)))</f>
        <v/>
      </c>
    </row>
    <row r="389" spans="6:34" x14ac:dyDescent="0.25">
      <c r="F389" s="35"/>
      <c r="J389" s="35"/>
      <c r="K389" s="35"/>
      <c r="L389" s="35"/>
      <c r="AF389" s="115" t="str">
        <f t="shared" si="12"/>
        <v/>
      </c>
      <c r="AG389" s="116" t="str">
        <f>IF(AF389="","",COUNTIF(AF389:AF$3000,AF389))</f>
        <v/>
      </c>
      <c r="AH389" s="117" t="str">
        <f t="shared" si="13"/>
        <v/>
      </c>
    </row>
    <row r="390" spans="6:34" x14ac:dyDescent="0.25">
      <c r="F390" s="35"/>
      <c r="J390" s="35"/>
      <c r="K390" s="35"/>
      <c r="L390" s="35"/>
      <c r="AF390" s="115" t="str">
        <f t="shared" si="12"/>
        <v/>
      </c>
      <c r="AG390" s="116" t="str">
        <f>IF(AF390="","",COUNTIF(AF390:AF$3000,AF390))</f>
        <v/>
      </c>
      <c r="AH390" s="117" t="str">
        <f t="shared" si="13"/>
        <v/>
      </c>
    </row>
    <row r="391" spans="6:34" x14ac:dyDescent="0.25">
      <c r="F391" s="35"/>
      <c r="J391" s="35"/>
      <c r="K391" s="35"/>
      <c r="L391" s="35"/>
      <c r="AF391" s="115" t="str">
        <f t="shared" si="12"/>
        <v/>
      </c>
      <c r="AG391" s="116" t="str">
        <f>IF(AF391="","",COUNTIF(AF391:AF$3000,AF391))</f>
        <v/>
      </c>
      <c r="AH391" s="117" t="str">
        <f t="shared" si="13"/>
        <v/>
      </c>
    </row>
    <row r="392" spans="6:34" x14ac:dyDescent="0.25">
      <c r="F392" s="35"/>
      <c r="J392" s="35"/>
      <c r="K392" s="35"/>
      <c r="L392" s="35"/>
      <c r="AF392" s="115" t="str">
        <f t="shared" si="12"/>
        <v/>
      </c>
      <c r="AG392" s="116" t="str">
        <f>IF(AF392="","",COUNTIF(AF392:AF$3000,AF392))</f>
        <v/>
      </c>
      <c r="AH392" s="117" t="str">
        <f t="shared" si="13"/>
        <v/>
      </c>
    </row>
    <row r="393" spans="6:34" x14ac:dyDescent="0.25">
      <c r="F393" s="35"/>
      <c r="J393" s="35"/>
      <c r="K393" s="35"/>
      <c r="L393" s="35"/>
      <c r="AF393" s="115" t="str">
        <f t="shared" si="12"/>
        <v/>
      </c>
      <c r="AG393" s="116" t="str">
        <f>IF(AF393="","",COUNTIF(AF393:AF$3000,AF393))</f>
        <v/>
      </c>
      <c r="AH393" s="117" t="str">
        <f t="shared" si="13"/>
        <v/>
      </c>
    </row>
    <row r="394" spans="6:34" x14ac:dyDescent="0.25">
      <c r="F394" s="35"/>
      <c r="J394" s="35"/>
      <c r="K394" s="35"/>
      <c r="L394" s="35"/>
      <c r="AF394" s="115" t="str">
        <f t="shared" si="12"/>
        <v/>
      </c>
      <c r="AG394" s="116" t="str">
        <f>IF(AF394="","",COUNTIF(AF394:AF$3000,AF394))</f>
        <v/>
      </c>
      <c r="AH394" s="117" t="str">
        <f t="shared" si="13"/>
        <v/>
      </c>
    </row>
    <row r="395" spans="6:34" x14ac:dyDescent="0.25">
      <c r="F395" s="35"/>
      <c r="J395" s="35"/>
      <c r="K395" s="35"/>
      <c r="L395" s="35"/>
      <c r="AF395" s="115" t="str">
        <f t="shared" si="12"/>
        <v/>
      </c>
      <c r="AG395" s="116" t="str">
        <f>IF(AF395="","",COUNTIF(AF395:AF$3000,AF395))</f>
        <v/>
      </c>
      <c r="AH395" s="117" t="str">
        <f t="shared" si="13"/>
        <v/>
      </c>
    </row>
    <row r="396" spans="6:34" x14ac:dyDescent="0.25">
      <c r="F396" s="35"/>
      <c r="J396" s="35"/>
      <c r="K396" s="35"/>
      <c r="L396" s="35"/>
      <c r="AF396" s="115" t="str">
        <f t="shared" si="12"/>
        <v/>
      </c>
      <c r="AG396" s="116" t="str">
        <f>IF(AF396="","",COUNTIF(AF396:AF$3000,AF396))</f>
        <v/>
      </c>
      <c r="AH396" s="117" t="str">
        <f t="shared" si="13"/>
        <v/>
      </c>
    </row>
    <row r="397" spans="6:34" x14ac:dyDescent="0.25">
      <c r="F397" s="35"/>
      <c r="J397" s="35"/>
      <c r="K397" s="35"/>
      <c r="L397" s="35"/>
      <c r="AF397" s="115" t="str">
        <f t="shared" si="12"/>
        <v/>
      </c>
      <c r="AG397" s="116" t="str">
        <f>IF(AF397="","",COUNTIF(AF397:AF$3000,AF397))</f>
        <v/>
      </c>
      <c r="AH397" s="117" t="str">
        <f t="shared" si="13"/>
        <v/>
      </c>
    </row>
    <row r="398" spans="6:34" x14ac:dyDescent="0.25">
      <c r="F398" s="35"/>
      <c r="J398" s="35"/>
      <c r="K398" s="35"/>
      <c r="L398" s="35"/>
      <c r="AF398" s="115" t="str">
        <f t="shared" si="12"/>
        <v/>
      </c>
      <c r="AG398" s="116" t="str">
        <f>IF(AF398="","",COUNTIF(AF398:AF$3000,AF398))</f>
        <v/>
      </c>
      <c r="AH398" s="117" t="str">
        <f t="shared" si="13"/>
        <v/>
      </c>
    </row>
    <row r="399" spans="6:34" x14ac:dyDescent="0.25">
      <c r="F399" s="35"/>
      <c r="J399" s="35"/>
      <c r="K399" s="35"/>
      <c r="L399" s="35"/>
      <c r="AF399" s="115" t="str">
        <f t="shared" si="12"/>
        <v/>
      </c>
      <c r="AG399" s="116" t="str">
        <f>IF(AF399="","",COUNTIF(AF399:AF$3000,AF399))</f>
        <v/>
      </c>
      <c r="AH399" s="117" t="str">
        <f t="shared" si="13"/>
        <v/>
      </c>
    </row>
    <row r="400" spans="6:34" x14ac:dyDescent="0.25">
      <c r="F400" s="35"/>
      <c r="J400" s="35"/>
      <c r="K400" s="35"/>
      <c r="L400" s="35"/>
      <c r="AF400" s="115" t="str">
        <f t="shared" si="12"/>
        <v/>
      </c>
      <c r="AG400" s="116" t="str">
        <f>IF(AF400="","",COUNTIF(AF400:AF$3000,AF400))</f>
        <v/>
      </c>
      <c r="AH400" s="117" t="str">
        <f t="shared" si="13"/>
        <v/>
      </c>
    </row>
    <row r="401" spans="6:34" x14ac:dyDescent="0.25">
      <c r="F401" s="35"/>
      <c r="J401" s="35"/>
      <c r="K401" s="35"/>
      <c r="L401" s="35"/>
      <c r="AF401" s="115" t="str">
        <f t="shared" si="12"/>
        <v/>
      </c>
      <c r="AG401" s="116" t="str">
        <f>IF(AF401="","",COUNTIF(AF401:AF$3000,AF401))</f>
        <v/>
      </c>
      <c r="AH401" s="117" t="str">
        <f t="shared" si="13"/>
        <v/>
      </c>
    </row>
    <row r="402" spans="6:34" x14ac:dyDescent="0.25">
      <c r="F402" s="35"/>
      <c r="J402" s="35"/>
      <c r="K402" s="35"/>
      <c r="L402" s="35"/>
      <c r="AF402" s="115" t="str">
        <f t="shared" si="12"/>
        <v/>
      </c>
      <c r="AG402" s="116" t="str">
        <f>IF(AF402="","",COUNTIF(AF402:AF$3000,AF402))</f>
        <v/>
      </c>
      <c r="AH402" s="117" t="str">
        <f t="shared" si="13"/>
        <v/>
      </c>
    </row>
    <row r="403" spans="6:34" x14ac:dyDescent="0.25">
      <c r="F403" s="35"/>
      <c r="J403" s="35"/>
      <c r="K403" s="35"/>
      <c r="L403" s="35"/>
      <c r="AF403" s="115" t="str">
        <f t="shared" si="12"/>
        <v/>
      </c>
      <c r="AG403" s="116" t="str">
        <f>IF(AF403="","",COUNTIF(AF403:AF$3000,AF403))</f>
        <v/>
      </c>
      <c r="AH403" s="117" t="str">
        <f t="shared" si="13"/>
        <v/>
      </c>
    </row>
    <row r="404" spans="6:34" x14ac:dyDescent="0.25">
      <c r="F404" s="35"/>
      <c r="J404" s="35"/>
      <c r="K404" s="35"/>
      <c r="L404" s="35"/>
      <c r="AF404" s="115" t="str">
        <f t="shared" si="12"/>
        <v/>
      </c>
      <c r="AG404" s="116" t="str">
        <f>IF(AF404="","",COUNTIF(AF404:AF$3000,AF404))</f>
        <v/>
      </c>
      <c r="AH404" s="117" t="str">
        <f t="shared" si="13"/>
        <v/>
      </c>
    </row>
    <row r="405" spans="6:34" x14ac:dyDescent="0.25">
      <c r="F405" s="35"/>
      <c r="J405" s="35"/>
      <c r="K405" s="35"/>
      <c r="L405" s="35"/>
      <c r="AF405" s="115" t="str">
        <f t="shared" si="12"/>
        <v/>
      </c>
      <c r="AG405" s="116" t="str">
        <f>IF(AF405="","",COUNTIF(AF405:AF$3000,AF405))</f>
        <v/>
      </c>
      <c r="AH405" s="117" t="str">
        <f t="shared" si="13"/>
        <v/>
      </c>
    </row>
    <row r="406" spans="6:34" x14ac:dyDescent="0.25">
      <c r="F406" s="35"/>
      <c r="J406" s="35"/>
      <c r="K406" s="35"/>
      <c r="L406" s="35"/>
      <c r="AF406" s="115" t="str">
        <f t="shared" si="12"/>
        <v/>
      </c>
      <c r="AG406" s="116" t="str">
        <f>IF(AF406="","",COUNTIF(AF406:AF$3000,AF406))</f>
        <v/>
      </c>
      <c r="AH406" s="117" t="str">
        <f t="shared" si="13"/>
        <v/>
      </c>
    </row>
    <row r="407" spans="6:34" x14ac:dyDescent="0.25">
      <c r="F407" s="35"/>
      <c r="J407" s="35"/>
      <c r="K407" s="35"/>
      <c r="L407" s="35"/>
      <c r="AF407" s="115" t="str">
        <f t="shared" si="12"/>
        <v/>
      </c>
      <c r="AG407" s="116" t="str">
        <f>IF(AF407="","",COUNTIF(AF407:AF$3000,AF407))</f>
        <v/>
      </c>
      <c r="AH407" s="117" t="str">
        <f t="shared" si="13"/>
        <v/>
      </c>
    </row>
    <row r="408" spans="6:34" x14ac:dyDescent="0.25">
      <c r="F408" s="35"/>
      <c r="J408" s="35"/>
      <c r="K408" s="35"/>
      <c r="L408" s="35"/>
      <c r="AF408" s="115" t="str">
        <f t="shared" si="12"/>
        <v/>
      </c>
      <c r="AG408" s="116" t="str">
        <f>IF(AF408="","",COUNTIF(AF408:AF$3000,AF408))</f>
        <v/>
      </c>
      <c r="AH408" s="117" t="str">
        <f t="shared" si="13"/>
        <v/>
      </c>
    </row>
    <row r="409" spans="6:34" x14ac:dyDescent="0.25">
      <c r="F409" s="35"/>
      <c r="J409" s="35"/>
      <c r="K409" s="35"/>
      <c r="L409" s="35"/>
      <c r="AF409" s="115" t="str">
        <f t="shared" si="12"/>
        <v/>
      </c>
      <c r="AG409" s="116" t="str">
        <f>IF(AF409="","",COUNTIF(AF409:AF$3000,AF409))</f>
        <v/>
      </c>
      <c r="AH409" s="117" t="str">
        <f t="shared" si="13"/>
        <v/>
      </c>
    </row>
    <row r="410" spans="6:34" x14ac:dyDescent="0.25">
      <c r="F410" s="35"/>
      <c r="J410" s="35"/>
      <c r="K410" s="35"/>
      <c r="L410" s="35"/>
      <c r="AF410" s="115" t="str">
        <f t="shared" si="12"/>
        <v/>
      </c>
      <c r="AG410" s="116" t="str">
        <f>IF(AF410="","",COUNTIF(AF410:AF$3000,AF410))</f>
        <v/>
      </c>
      <c r="AH410" s="117" t="str">
        <f t="shared" si="13"/>
        <v/>
      </c>
    </row>
    <row r="411" spans="6:34" x14ac:dyDescent="0.25">
      <c r="F411" s="35"/>
      <c r="J411" s="35"/>
      <c r="K411" s="35"/>
      <c r="L411" s="35"/>
      <c r="AF411" s="115" t="str">
        <f t="shared" si="12"/>
        <v/>
      </c>
      <c r="AG411" s="116" t="str">
        <f>IF(AF411="","",COUNTIF(AF411:AF$3000,AF411))</f>
        <v/>
      </c>
      <c r="AH411" s="117" t="str">
        <f t="shared" si="13"/>
        <v/>
      </c>
    </row>
    <row r="412" spans="6:34" x14ac:dyDescent="0.25">
      <c r="F412" s="35"/>
      <c r="J412" s="35"/>
      <c r="K412" s="35"/>
      <c r="L412" s="35"/>
      <c r="AF412" s="115" t="str">
        <f t="shared" si="12"/>
        <v/>
      </c>
      <c r="AG412" s="116" t="str">
        <f>IF(AF412="","",COUNTIF(AF412:AF$3000,AF412))</f>
        <v/>
      </c>
      <c r="AH412" s="117" t="str">
        <f t="shared" si="13"/>
        <v/>
      </c>
    </row>
    <row r="413" spans="6:34" x14ac:dyDescent="0.25">
      <c r="F413" s="35"/>
      <c r="J413" s="35"/>
      <c r="K413" s="35"/>
      <c r="L413" s="35"/>
      <c r="AF413" s="115" t="str">
        <f t="shared" si="12"/>
        <v/>
      </c>
      <c r="AG413" s="116" t="str">
        <f>IF(AF413="","",COUNTIF(AF413:AF$3000,AF413))</f>
        <v/>
      </c>
      <c r="AH413" s="117" t="str">
        <f t="shared" si="13"/>
        <v/>
      </c>
    </row>
    <row r="414" spans="6:34" x14ac:dyDescent="0.25">
      <c r="F414" s="35"/>
      <c r="J414" s="35"/>
      <c r="K414" s="35"/>
      <c r="L414" s="35"/>
      <c r="AF414" s="115" t="str">
        <f t="shared" si="12"/>
        <v/>
      </c>
      <c r="AG414" s="116" t="str">
        <f>IF(AF414="","",COUNTIF(AF414:AF$3000,AF414))</f>
        <v/>
      </c>
      <c r="AH414" s="117" t="str">
        <f t="shared" si="13"/>
        <v/>
      </c>
    </row>
    <row r="415" spans="6:34" x14ac:dyDescent="0.25">
      <c r="F415" s="35"/>
      <c r="J415" s="35"/>
      <c r="K415" s="35"/>
      <c r="L415" s="35"/>
      <c r="AF415" s="115" t="str">
        <f t="shared" si="12"/>
        <v/>
      </c>
      <c r="AG415" s="116" t="str">
        <f>IF(AF415="","",COUNTIF(AF415:AF$3000,AF415))</f>
        <v/>
      </c>
      <c r="AH415" s="117" t="str">
        <f t="shared" si="13"/>
        <v/>
      </c>
    </row>
    <row r="416" spans="6:34" x14ac:dyDescent="0.25">
      <c r="F416" s="35"/>
      <c r="J416" s="35"/>
      <c r="K416" s="35"/>
      <c r="L416" s="35"/>
      <c r="AF416" s="115" t="str">
        <f t="shared" si="12"/>
        <v/>
      </c>
      <c r="AG416" s="116" t="str">
        <f>IF(AF416="","",COUNTIF(AF416:AF$3000,AF416))</f>
        <v/>
      </c>
      <c r="AH416" s="117" t="str">
        <f t="shared" si="13"/>
        <v/>
      </c>
    </row>
    <row r="417" spans="6:34" x14ac:dyDescent="0.25">
      <c r="F417" s="35"/>
      <c r="J417" s="35"/>
      <c r="K417" s="35"/>
      <c r="L417" s="35"/>
      <c r="AF417" s="115" t="str">
        <f t="shared" si="12"/>
        <v/>
      </c>
      <c r="AG417" s="116" t="str">
        <f>IF(AF417="","",COUNTIF(AF417:AF$3000,AF417))</f>
        <v/>
      </c>
      <c r="AH417" s="117" t="str">
        <f t="shared" si="13"/>
        <v/>
      </c>
    </row>
    <row r="418" spans="6:34" x14ac:dyDescent="0.25">
      <c r="F418" s="35"/>
      <c r="J418" s="35"/>
      <c r="K418" s="35"/>
      <c r="L418" s="35"/>
      <c r="AF418" s="115" t="str">
        <f t="shared" si="12"/>
        <v/>
      </c>
      <c r="AG418" s="116" t="str">
        <f>IF(AF418="","",COUNTIF(AF418:AF$3000,AF418))</f>
        <v/>
      </c>
      <c r="AH418" s="117" t="str">
        <f t="shared" si="13"/>
        <v/>
      </c>
    </row>
    <row r="419" spans="6:34" x14ac:dyDescent="0.25">
      <c r="F419" s="35"/>
      <c r="J419" s="35"/>
      <c r="K419" s="35"/>
      <c r="L419" s="35"/>
      <c r="AF419" s="115" t="str">
        <f t="shared" si="12"/>
        <v/>
      </c>
      <c r="AG419" s="116" t="str">
        <f>IF(AF419="","",COUNTIF(AF419:AF$3000,AF419))</f>
        <v/>
      </c>
      <c r="AH419" s="117" t="str">
        <f t="shared" si="13"/>
        <v/>
      </c>
    </row>
    <row r="420" spans="6:34" x14ac:dyDescent="0.25">
      <c r="F420" s="35"/>
      <c r="J420" s="35"/>
      <c r="K420" s="35"/>
      <c r="L420" s="35"/>
      <c r="AF420" s="115" t="str">
        <f t="shared" si="12"/>
        <v/>
      </c>
      <c r="AG420" s="116" t="str">
        <f>IF(AF420="","",COUNTIF(AF420:AF$3000,AF420))</f>
        <v/>
      </c>
      <c r="AH420" s="117" t="str">
        <f t="shared" si="13"/>
        <v/>
      </c>
    </row>
    <row r="421" spans="6:34" x14ac:dyDescent="0.25">
      <c r="F421" s="35"/>
      <c r="J421" s="35"/>
      <c r="K421" s="35"/>
      <c r="L421" s="35"/>
      <c r="AF421" s="115" t="str">
        <f t="shared" si="12"/>
        <v/>
      </c>
      <c r="AG421" s="116" t="str">
        <f>IF(AF421="","",COUNTIF(AF421:AF$3000,AF421))</f>
        <v/>
      </c>
      <c r="AH421" s="117" t="str">
        <f t="shared" si="13"/>
        <v/>
      </c>
    </row>
    <row r="422" spans="6:34" x14ac:dyDescent="0.25">
      <c r="F422" s="35"/>
      <c r="J422" s="35"/>
      <c r="K422" s="35"/>
      <c r="L422" s="35"/>
      <c r="AF422" s="115" t="str">
        <f t="shared" si="12"/>
        <v/>
      </c>
      <c r="AG422" s="116" t="str">
        <f>IF(AF422="","",COUNTIF(AF422:AF$3000,AF422))</f>
        <v/>
      </c>
      <c r="AH422" s="117" t="str">
        <f t="shared" si="13"/>
        <v/>
      </c>
    </row>
    <row r="423" spans="6:34" x14ac:dyDescent="0.25">
      <c r="F423" s="35"/>
      <c r="J423" s="35"/>
      <c r="K423" s="35"/>
      <c r="L423" s="35"/>
      <c r="AF423" s="115" t="str">
        <f t="shared" si="12"/>
        <v/>
      </c>
      <c r="AG423" s="116" t="str">
        <f>IF(AF423="","",COUNTIF(AF423:AF$3000,AF423))</f>
        <v/>
      </c>
      <c r="AH423" s="117" t="str">
        <f t="shared" si="13"/>
        <v/>
      </c>
    </row>
    <row r="424" spans="6:34" x14ac:dyDescent="0.25">
      <c r="F424" s="35"/>
      <c r="J424" s="35"/>
      <c r="K424" s="35"/>
      <c r="L424" s="35"/>
      <c r="AF424" s="115" t="str">
        <f t="shared" si="12"/>
        <v/>
      </c>
      <c r="AG424" s="116" t="str">
        <f>IF(AF424="","",COUNTIF(AF424:AF$3000,AF424))</f>
        <v/>
      </c>
      <c r="AH424" s="117" t="str">
        <f t="shared" si="13"/>
        <v/>
      </c>
    </row>
    <row r="425" spans="6:34" x14ac:dyDescent="0.25">
      <c r="F425" s="35"/>
      <c r="J425" s="35"/>
      <c r="K425" s="35"/>
      <c r="L425" s="35"/>
      <c r="AF425" s="115" t="str">
        <f t="shared" si="12"/>
        <v/>
      </c>
      <c r="AG425" s="116" t="str">
        <f>IF(AF425="","",COUNTIF(AF425:AF$3000,AF425))</f>
        <v/>
      </c>
      <c r="AH425" s="117" t="str">
        <f t="shared" si="13"/>
        <v/>
      </c>
    </row>
    <row r="426" spans="6:34" x14ac:dyDescent="0.25">
      <c r="F426" s="35"/>
      <c r="J426" s="35"/>
      <c r="K426" s="35"/>
      <c r="L426" s="35"/>
      <c r="AF426" s="115" t="str">
        <f t="shared" si="12"/>
        <v/>
      </c>
      <c r="AG426" s="116" t="str">
        <f>IF(AF426="","",COUNTIF(AF426:AF$3000,AF426))</f>
        <v/>
      </c>
      <c r="AH426" s="117" t="str">
        <f t="shared" si="13"/>
        <v/>
      </c>
    </row>
    <row r="427" spans="6:34" x14ac:dyDescent="0.25">
      <c r="F427" s="35"/>
      <c r="J427" s="35"/>
      <c r="K427" s="35"/>
      <c r="L427" s="35"/>
      <c r="AF427" s="115" t="str">
        <f t="shared" si="12"/>
        <v/>
      </c>
      <c r="AG427" s="116" t="str">
        <f>IF(AF427="","",COUNTIF(AF427:AF$3000,AF427))</f>
        <v/>
      </c>
      <c r="AH427" s="117" t="str">
        <f t="shared" si="13"/>
        <v/>
      </c>
    </row>
    <row r="428" spans="6:34" x14ac:dyDescent="0.25">
      <c r="F428" s="35"/>
      <c r="J428" s="35"/>
      <c r="K428" s="35"/>
      <c r="L428" s="35"/>
      <c r="AF428" s="115" t="str">
        <f t="shared" si="12"/>
        <v/>
      </c>
      <c r="AG428" s="116" t="str">
        <f>IF(AF428="","",COUNTIF(AF428:AF$3000,AF428))</f>
        <v/>
      </c>
      <c r="AH428" s="117" t="str">
        <f t="shared" si="13"/>
        <v/>
      </c>
    </row>
    <row r="429" spans="6:34" x14ac:dyDescent="0.25">
      <c r="F429" s="35"/>
      <c r="J429" s="35"/>
      <c r="K429" s="35"/>
      <c r="L429" s="35"/>
      <c r="AF429" s="115" t="str">
        <f t="shared" si="12"/>
        <v/>
      </c>
      <c r="AG429" s="116" t="str">
        <f>IF(AF429="","",COUNTIF(AF429:AF$3000,AF429))</f>
        <v/>
      </c>
      <c r="AH429" s="117" t="str">
        <f t="shared" si="13"/>
        <v/>
      </c>
    </row>
    <row r="430" spans="6:34" x14ac:dyDescent="0.25">
      <c r="F430" s="35"/>
      <c r="J430" s="35"/>
      <c r="K430" s="35"/>
      <c r="L430" s="35"/>
      <c r="AF430" s="115" t="str">
        <f t="shared" si="12"/>
        <v/>
      </c>
      <c r="AG430" s="116" t="str">
        <f>IF(AF430="","",COUNTIF(AF430:AF$3000,AF430))</f>
        <v/>
      </c>
      <c r="AH430" s="117" t="str">
        <f t="shared" si="13"/>
        <v/>
      </c>
    </row>
    <row r="431" spans="6:34" x14ac:dyDescent="0.25">
      <c r="F431" s="35"/>
      <c r="J431" s="35"/>
      <c r="K431" s="35"/>
      <c r="L431" s="35"/>
      <c r="AF431" s="115" t="str">
        <f t="shared" si="12"/>
        <v/>
      </c>
      <c r="AG431" s="116" t="str">
        <f>IF(AF431="","",COUNTIF(AF431:AF$3000,AF431))</f>
        <v/>
      </c>
      <c r="AH431" s="117" t="str">
        <f t="shared" si="13"/>
        <v/>
      </c>
    </row>
    <row r="432" spans="6:34" x14ac:dyDescent="0.25">
      <c r="F432" s="35"/>
      <c r="J432" s="35"/>
      <c r="K432" s="35"/>
      <c r="L432" s="35"/>
      <c r="AF432" s="115" t="str">
        <f t="shared" si="12"/>
        <v/>
      </c>
      <c r="AG432" s="116" t="str">
        <f>IF(AF432="","",COUNTIF(AF432:AF$3000,AF432))</f>
        <v/>
      </c>
      <c r="AH432" s="117" t="str">
        <f t="shared" si="13"/>
        <v/>
      </c>
    </row>
    <row r="433" spans="6:34" x14ac:dyDescent="0.25">
      <c r="F433" s="35"/>
      <c r="J433" s="35"/>
      <c r="K433" s="35"/>
      <c r="L433" s="35"/>
      <c r="AF433" s="115" t="str">
        <f t="shared" si="12"/>
        <v/>
      </c>
      <c r="AG433" s="116" t="str">
        <f>IF(AF433="","",COUNTIF(AF433:AF$3000,AF433))</f>
        <v/>
      </c>
      <c r="AH433" s="117" t="str">
        <f t="shared" si="13"/>
        <v/>
      </c>
    </row>
    <row r="434" spans="6:34" x14ac:dyDescent="0.25">
      <c r="F434" s="35"/>
      <c r="J434" s="35"/>
      <c r="K434" s="35"/>
      <c r="L434" s="35"/>
      <c r="AF434" s="115" t="str">
        <f t="shared" si="12"/>
        <v/>
      </c>
      <c r="AG434" s="116" t="str">
        <f>IF(AF434="","",COUNTIF(AF434:AF$3000,AF434))</f>
        <v/>
      </c>
      <c r="AH434" s="117" t="str">
        <f t="shared" si="13"/>
        <v/>
      </c>
    </row>
    <row r="435" spans="6:34" x14ac:dyDescent="0.25">
      <c r="F435" s="35"/>
      <c r="J435" s="35"/>
      <c r="K435" s="35"/>
      <c r="L435" s="35"/>
      <c r="AF435" s="115" t="str">
        <f t="shared" si="12"/>
        <v/>
      </c>
      <c r="AG435" s="116" t="str">
        <f>IF(AF435="","",COUNTIF(AF435:AF$3000,AF435))</f>
        <v/>
      </c>
      <c r="AH435" s="117" t="str">
        <f t="shared" si="13"/>
        <v/>
      </c>
    </row>
    <row r="436" spans="6:34" x14ac:dyDescent="0.25">
      <c r="F436" s="35"/>
      <c r="J436" s="35"/>
      <c r="K436" s="35"/>
      <c r="L436" s="35"/>
      <c r="AF436" s="115" t="str">
        <f t="shared" si="12"/>
        <v/>
      </c>
      <c r="AG436" s="116" t="str">
        <f>IF(AF436="","",COUNTIF(AF436:AF$3000,AF436))</f>
        <v/>
      </c>
      <c r="AH436" s="117" t="str">
        <f t="shared" si="13"/>
        <v/>
      </c>
    </row>
    <row r="437" spans="6:34" x14ac:dyDescent="0.25">
      <c r="F437" s="35"/>
      <c r="J437" s="35"/>
      <c r="K437" s="35"/>
      <c r="L437" s="35"/>
      <c r="AF437" s="115" t="str">
        <f t="shared" si="12"/>
        <v/>
      </c>
      <c r="AG437" s="116" t="str">
        <f>IF(AF437="","",COUNTIF(AF437:AF$3000,AF437))</f>
        <v/>
      </c>
      <c r="AH437" s="117" t="str">
        <f t="shared" si="13"/>
        <v/>
      </c>
    </row>
    <row r="438" spans="6:34" x14ac:dyDescent="0.25">
      <c r="F438" s="35"/>
      <c r="J438" s="35"/>
      <c r="K438" s="35"/>
      <c r="L438" s="35"/>
      <c r="AF438" s="115" t="str">
        <f t="shared" si="12"/>
        <v/>
      </c>
      <c r="AG438" s="116" t="str">
        <f>IF(AF438="","",COUNTIF(AF438:AF$3000,AF438))</f>
        <v/>
      </c>
      <c r="AH438" s="117" t="str">
        <f t="shared" si="13"/>
        <v/>
      </c>
    </row>
    <row r="439" spans="6:34" x14ac:dyDescent="0.25">
      <c r="F439" s="35"/>
      <c r="J439" s="35"/>
      <c r="K439" s="35"/>
      <c r="L439" s="35"/>
      <c r="AF439" s="115" t="str">
        <f t="shared" si="12"/>
        <v/>
      </c>
      <c r="AG439" s="116" t="str">
        <f>IF(AF439="","",COUNTIF(AF439:AF$3000,AF439))</f>
        <v/>
      </c>
      <c r="AH439" s="117" t="str">
        <f t="shared" si="13"/>
        <v/>
      </c>
    </row>
    <row r="440" spans="6:34" x14ac:dyDescent="0.25">
      <c r="F440" s="35"/>
      <c r="J440" s="35"/>
      <c r="K440" s="35"/>
      <c r="L440" s="35"/>
      <c r="AF440" s="115" t="str">
        <f t="shared" si="12"/>
        <v/>
      </c>
      <c r="AG440" s="116" t="str">
        <f>IF(AF440="","",COUNTIF(AF440:AF$3000,AF440))</f>
        <v/>
      </c>
      <c r="AH440" s="117" t="str">
        <f t="shared" si="13"/>
        <v/>
      </c>
    </row>
    <row r="441" spans="6:34" x14ac:dyDescent="0.25">
      <c r="F441" s="35"/>
      <c r="J441" s="35"/>
      <c r="K441" s="35"/>
      <c r="L441" s="35"/>
      <c r="AF441" s="115" t="str">
        <f t="shared" si="12"/>
        <v/>
      </c>
      <c r="AG441" s="116" t="str">
        <f>IF(AF441="","",COUNTIF(AF441:AF$3000,AF441))</f>
        <v/>
      </c>
      <c r="AH441" s="117" t="str">
        <f t="shared" si="13"/>
        <v/>
      </c>
    </row>
    <row r="442" spans="6:34" x14ac:dyDescent="0.25">
      <c r="F442" s="35"/>
      <c r="J442" s="35"/>
      <c r="K442" s="35"/>
      <c r="L442" s="35"/>
      <c r="AF442" s="115" t="str">
        <f t="shared" si="12"/>
        <v/>
      </c>
      <c r="AG442" s="116" t="str">
        <f>IF(AF442="","",COUNTIF(AF442:AF$3000,AF442))</f>
        <v/>
      </c>
      <c r="AH442" s="117" t="str">
        <f t="shared" si="13"/>
        <v/>
      </c>
    </row>
    <row r="443" spans="6:34" x14ac:dyDescent="0.25">
      <c r="F443" s="35"/>
      <c r="J443" s="35"/>
      <c r="K443" s="35"/>
      <c r="L443" s="35"/>
      <c r="AF443" s="115" t="str">
        <f t="shared" si="12"/>
        <v/>
      </c>
      <c r="AG443" s="116" t="str">
        <f>IF(AF443="","",COUNTIF(AF443:AF$3000,AF443))</f>
        <v/>
      </c>
      <c r="AH443" s="117" t="str">
        <f t="shared" si="13"/>
        <v/>
      </c>
    </row>
    <row r="444" spans="6:34" x14ac:dyDescent="0.25">
      <c r="F444" s="35"/>
      <c r="J444" s="35"/>
      <c r="K444" s="35"/>
      <c r="L444" s="35"/>
      <c r="AF444" s="115" t="str">
        <f t="shared" si="12"/>
        <v/>
      </c>
      <c r="AG444" s="116" t="str">
        <f>IF(AF444="","",COUNTIF(AF444:AF$3000,AF444))</f>
        <v/>
      </c>
      <c r="AH444" s="117" t="str">
        <f t="shared" si="13"/>
        <v/>
      </c>
    </row>
    <row r="445" spans="6:34" x14ac:dyDescent="0.25">
      <c r="F445" s="35"/>
      <c r="J445" s="35"/>
      <c r="K445" s="35"/>
      <c r="L445" s="35"/>
      <c r="AF445" s="115" t="str">
        <f t="shared" si="12"/>
        <v/>
      </c>
      <c r="AG445" s="116" t="str">
        <f>IF(AF445="","",COUNTIF(AF445:AF$3000,AF445))</f>
        <v/>
      </c>
      <c r="AH445" s="117" t="str">
        <f t="shared" si="13"/>
        <v/>
      </c>
    </row>
    <row r="446" spans="6:34" x14ac:dyDescent="0.25">
      <c r="F446" s="35"/>
      <c r="J446" s="35"/>
      <c r="K446" s="35"/>
      <c r="L446" s="35"/>
      <c r="AF446" s="115" t="str">
        <f t="shared" si="12"/>
        <v/>
      </c>
      <c r="AG446" s="116" t="str">
        <f>IF(AF446="","",COUNTIF(AF446:AF$3000,AF446))</f>
        <v/>
      </c>
      <c r="AH446" s="117" t="str">
        <f t="shared" si="13"/>
        <v/>
      </c>
    </row>
    <row r="447" spans="6:34" x14ac:dyDescent="0.25">
      <c r="F447" s="35"/>
      <c r="J447" s="35"/>
      <c r="K447" s="35"/>
      <c r="L447" s="35"/>
      <c r="AF447" s="115" t="str">
        <f t="shared" si="12"/>
        <v/>
      </c>
      <c r="AG447" s="116" t="str">
        <f>IF(AF447="","",COUNTIF(AF447:AF$3000,AF447))</f>
        <v/>
      </c>
      <c r="AH447" s="117" t="str">
        <f t="shared" si="13"/>
        <v/>
      </c>
    </row>
    <row r="448" spans="6:34" x14ac:dyDescent="0.25">
      <c r="F448" s="35"/>
      <c r="J448" s="35"/>
      <c r="K448" s="35"/>
      <c r="L448" s="35"/>
      <c r="AF448" s="115" t="str">
        <f t="shared" si="12"/>
        <v/>
      </c>
      <c r="AG448" s="116" t="str">
        <f>IF(AF448="","",COUNTIF(AF448:AF$3000,AF448))</f>
        <v/>
      </c>
      <c r="AH448" s="117" t="str">
        <f t="shared" si="13"/>
        <v/>
      </c>
    </row>
    <row r="449" spans="6:34" x14ac:dyDescent="0.25">
      <c r="F449" s="35"/>
      <c r="J449" s="35"/>
      <c r="K449" s="35"/>
      <c r="L449" s="35"/>
      <c r="AF449" s="115" t="str">
        <f t="shared" si="12"/>
        <v/>
      </c>
      <c r="AG449" s="116" t="str">
        <f>IF(AF449="","",COUNTIF(AF449:AF$3000,AF449))</f>
        <v/>
      </c>
      <c r="AH449" s="117" t="str">
        <f t="shared" si="13"/>
        <v/>
      </c>
    </row>
    <row r="450" spans="6:34" x14ac:dyDescent="0.25">
      <c r="F450" s="35"/>
      <c r="J450" s="35"/>
      <c r="K450" s="35"/>
      <c r="L450" s="35"/>
      <c r="AF450" s="115" t="str">
        <f t="shared" si="12"/>
        <v/>
      </c>
      <c r="AG450" s="116" t="str">
        <f>IF(AF450="","",COUNTIF(AF450:AF$3000,AF450))</f>
        <v/>
      </c>
      <c r="AH450" s="117" t="str">
        <f t="shared" si="13"/>
        <v/>
      </c>
    </row>
    <row r="451" spans="6:34" x14ac:dyDescent="0.25">
      <c r="F451" s="35"/>
      <c r="J451" s="35"/>
      <c r="K451" s="35"/>
      <c r="L451" s="35"/>
      <c r="AF451" s="115" t="str">
        <f t="shared" si="12"/>
        <v/>
      </c>
      <c r="AG451" s="116" t="str">
        <f>IF(AF451="","",COUNTIF(AF451:AF$3000,AF451))</f>
        <v/>
      </c>
      <c r="AH451" s="117" t="str">
        <f t="shared" si="13"/>
        <v/>
      </c>
    </row>
    <row r="452" spans="6:34" x14ac:dyDescent="0.25">
      <c r="F452" s="35"/>
      <c r="J452" s="35"/>
      <c r="K452" s="35"/>
      <c r="L452" s="35"/>
      <c r="AF452" s="115" t="str">
        <f t="shared" ref="AF452:AF515" si="14">IF(B452="","",TEXT(J452,"DD/MM/AA")&amp;"_"&amp;S452&amp;"_"&amp;V452)</f>
        <v/>
      </c>
      <c r="AG452" s="116" t="str">
        <f>IF(AF452="","",COUNTIF(AF452:AF$3000,AF452))</f>
        <v/>
      </c>
      <c r="AH452" s="117" t="str">
        <f t="shared" ref="AH452:AH515" si="15">IF(AA452="","",
IF(AG452&gt;1,"",
IF(SUMIF(AF$3:AF$31,AF452,H$3:H$31)/10&lt;1,1,SUMIF(AF$3:AF$31,AF452,H$3:H$31)/10)))</f>
        <v/>
      </c>
    </row>
    <row r="453" spans="6:34" x14ac:dyDescent="0.25">
      <c r="F453" s="35"/>
      <c r="J453" s="35"/>
      <c r="K453" s="35"/>
      <c r="L453" s="35"/>
      <c r="AF453" s="115" t="str">
        <f t="shared" si="14"/>
        <v/>
      </c>
      <c r="AG453" s="116" t="str">
        <f>IF(AF453="","",COUNTIF(AF453:AF$3000,AF453))</f>
        <v/>
      </c>
      <c r="AH453" s="117" t="str">
        <f t="shared" si="15"/>
        <v/>
      </c>
    </row>
    <row r="454" spans="6:34" x14ac:dyDescent="0.25">
      <c r="F454" s="35"/>
      <c r="J454" s="35"/>
      <c r="K454" s="35"/>
      <c r="L454" s="35"/>
      <c r="AF454" s="115" t="str">
        <f t="shared" si="14"/>
        <v/>
      </c>
      <c r="AG454" s="116" t="str">
        <f>IF(AF454="","",COUNTIF(AF454:AF$3000,AF454))</f>
        <v/>
      </c>
      <c r="AH454" s="117" t="str">
        <f t="shared" si="15"/>
        <v/>
      </c>
    </row>
    <row r="455" spans="6:34" x14ac:dyDescent="0.25">
      <c r="F455" s="35"/>
      <c r="J455" s="35"/>
      <c r="K455" s="35"/>
      <c r="L455" s="35"/>
      <c r="AF455" s="115" t="str">
        <f t="shared" si="14"/>
        <v/>
      </c>
      <c r="AG455" s="116" t="str">
        <f>IF(AF455="","",COUNTIF(AF455:AF$3000,AF455))</f>
        <v/>
      </c>
      <c r="AH455" s="117" t="str">
        <f t="shared" si="15"/>
        <v/>
      </c>
    </row>
    <row r="456" spans="6:34" x14ac:dyDescent="0.25">
      <c r="F456" s="35"/>
      <c r="J456" s="35"/>
      <c r="K456" s="35"/>
      <c r="L456" s="35"/>
      <c r="AF456" s="115" t="str">
        <f t="shared" si="14"/>
        <v/>
      </c>
      <c r="AG456" s="116" t="str">
        <f>IF(AF456="","",COUNTIF(AF456:AF$3000,AF456))</f>
        <v/>
      </c>
      <c r="AH456" s="117" t="str">
        <f t="shared" si="15"/>
        <v/>
      </c>
    </row>
    <row r="457" spans="6:34" x14ac:dyDescent="0.25">
      <c r="F457" s="35"/>
      <c r="J457" s="35"/>
      <c r="K457" s="35"/>
      <c r="L457" s="35"/>
      <c r="AF457" s="115" t="str">
        <f t="shared" si="14"/>
        <v/>
      </c>
      <c r="AG457" s="116" t="str">
        <f>IF(AF457="","",COUNTIF(AF457:AF$3000,AF457))</f>
        <v/>
      </c>
      <c r="AH457" s="117" t="str">
        <f t="shared" si="15"/>
        <v/>
      </c>
    </row>
    <row r="458" spans="6:34" x14ac:dyDescent="0.25">
      <c r="F458" s="35"/>
      <c r="J458" s="35"/>
      <c r="K458" s="35"/>
      <c r="L458" s="35"/>
      <c r="AF458" s="115" t="str">
        <f t="shared" si="14"/>
        <v/>
      </c>
      <c r="AG458" s="116" t="str">
        <f>IF(AF458="","",COUNTIF(AF458:AF$3000,AF458))</f>
        <v/>
      </c>
      <c r="AH458" s="117" t="str">
        <f t="shared" si="15"/>
        <v/>
      </c>
    </row>
    <row r="459" spans="6:34" x14ac:dyDescent="0.25">
      <c r="F459" s="35"/>
      <c r="J459" s="35"/>
      <c r="K459" s="35"/>
      <c r="L459" s="35"/>
      <c r="AF459" s="115" t="str">
        <f t="shared" si="14"/>
        <v/>
      </c>
      <c r="AG459" s="116" t="str">
        <f>IF(AF459="","",COUNTIF(AF459:AF$3000,AF459))</f>
        <v/>
      </c>
      <c r="AH459" s="117" t="str">
        <f t="shared" si="15"/>
        <v/>
      </c>
    </row>
    <row r="460" spans="6:34" x14ac:dyDescent="0.25">
      <c r="F460" s="35"/>
      <c r="J460" s="35"/>
      <c r="K460" s="35"/>
      <c r="L460" s="35"/>
      <c r="AF460" s="115" t="str">
        <f t="shared" si="14"/>
        <v/>
      </c>
      <c r="AG460" s="116" t="str">
        <f>IF(AF460="","",COUNTIF(AF460:AF$3000,AF460))</f>
        <v/>
      </c>
      <c r="AH460" s="117" t="str">
        <f t="shared" si="15"/>
        <v/>
      </c>
    </row>
    <row r="461" spans="6:34" x14ac:dyDescent="0.25">
      <c r="F461" s="35"/>
      <c r="J461" s="35"/>
      <c r="K461" s="35"/>
      <c r="L461" s="35"/>
      <c r="AF461" s="115" t="str">
        <f t="shared" si="14"/>
        <v/>
      </c>
      <c r="AG461" s="116" t="str">
        <f>IF(AF461="","",COUNTIF(AF461:AF$3000,AF461))</f>
        <v/>
      </c>
      <c r="AH461" s="117" t="str">
        <f t="shared" si="15"/>
        <v/>
      </c>
    </row>
    <row r="462" spans="6:34" x14ac:dyDescent="0.25">
      <c r="F462" s="35"/>
      <c r="J462" s="35"/>
      <c r="K462" s="35"/>
      <c r="L462" s="35"/>
      <c r="AF462" s="115" t="str">
        <f t="shared" si="14"/>
        <v/>
      </c>
      <c r="AG462" s="116" t="str">
        <f>IF(AF462="","",COUNTIF(AF462:AF$3000,AF462))</f>
        <v/>
      </c>
      <c r="AH462" s="117" t="str">
        <f t="shared" si="15"/>
        <v/>
      </c>
    </row>
    <row r="463" spans="6:34" x14ac:dyDescent="0.25">
      <c r="F463" s="35"/>
      <c r="J463" s="35"/>
      <c r="K463" s="35"/>
      <c r="L463" s="35"/>
      <c r="AF463" s="115" t="str">
        <f t="shared" si="14"/>
        <v/>
      </c>
      <c r="AG463" s="116" t="str">
        <f>IF(AF463="","",COUNTIF(AF463:AF$3000,AF463))</f>
        <v/>
      </c>
      <c r="AH463" s="117" t="str">
        <f t="shared" si="15"/>
        <v/>
      </c>
    </row>
    <row r="464" spans="6:34" x14ac:dyDescent="0.25">
      <c r="F464" s="35"/>
      <c r="J464" s="35"/>
      <c r="K464" s="35"/>
      <c r="L464" s="35"/>
      <c r="AF464" s="115" t="str">
        <f t="shared" si="14"/>
        <v/>
      </c>
      <c r="AG464" s="116" t="str">
        <f>IF(AF464="","",COUNTIF(AF464:AF$3000,AF464))</f>
        <v/>
      </c>
      <c r="AH464" s="117" t="str">
        <f t="shared" si="15"/>
        <v/>
      </c>
    </row>
    <row r="465" spans="6:34" x14ac:dyDescent="0.25">
      <c r="F465" s="35"/>
      <c r="J465" s="35"/>
      <c r="K465" s="35"/>
      <c r="L465" s="35"/>
      <c r="AF465" s="115" t="str">
        <f t="shared" si="14"/>
        <v/>
      </c>
      <c r="AG465" s="116" t="str">
        <f>IF(AF465="","",COUNTIF(AF465:AF$3000,AF465))</f>
        <v/>
      </c>
      <c r="AH465" s="117" t="str">
        <f t="shared" si="15"/>
        <v/>
      </c>
    </row>
    <row r="466" spans="6:34" x14ac:dyDescent="0.25">
      <c r="F466" s="35"/>
      <c r="J466" s="35"/>
      <c r="K466" s="35"/>
      <c r="L466" s="35"/>
      <c r="AF466" s="115" t="str">
        <f t="shared" si="14"/>
        <v/>
      </c>
      <c r="AG466" s="116" t="str">
        <f>IF(AF466="","",COUNTIF(AF466:AF$3000,AF466))</f>
        <v/>
      </c>
      <c r="AH466" s="117" t="str">
        <f t="shared" si="15"/>
        <v/>
      </c>
    </row>
    <row r="467" spans="6:34" x14ac:dyDescent="0.25">
      <c r="F467" s="35"/>
      <c r="J467" s="35"/>
      <c r="K467" s="35"/>
      <c r="L467" s="35"/>
      <c r="AF467" s="115" t="str">
        <f t="shared" si="14"/>
        <v/>
      </c>
      <c r="AG467" s="116" t="str">
        <f>IF(AF467="","",COUNTIF(AF467:AF$3000,AF467))</f>
        <v/>
      </c>
      <c r="AH467" s="117" t="str">
        <f t="shared" si="15"/>
        <v/>
      </c>
    </row>
    <row r="468" spans="6:34" x14ac:dyDescent="0.25">
      <c r="F468" s="35"/>
      <c r="J468" s="35"/>
      <c r="K468" s="35"/>
      <c r="L468" s="35"/>
      <c r="AF468" s="115" t="str">
        <f t="shared" si="14"/>
        <v/>
      </c>
      <c r="AG468" s="116" t="str">
        <f>IF(AF468="","",COUNTIF(AF468:AF$3000,AF468))</f>
        <v/>
      </c>
      <c r="AH468" s="117" t="str">
        <f t="shared" si="15"/>
        <v/>
      </c>
    </row>
    <row r="469" spans="6:34" x14ac:dyDescent="0.25">
      <c r="F469" s="35"/>
      <c r="J469" s="35"/>
      <c r="K469" s="35"/>
      <c r="L469" s="35"/>
      <c r="AF469" s="115" t="str">
        <f t="shared" si="14"/>
        <v/>
      </c>
      <c r="AG469" s="116" t="str">
        <f>IF(AF469="","",COUNTIF(AF469:AF$3000,AF469))</f>
        <v/>
      </c>
      <c r="AH469" s="117" t="str">
        <f t="shared" si="15"/>
        <v/>
      </c>
    </row>
    <row r="470" spans="6:34" x14ac:dyDescent="0.25">
      <c r="F470" s="35"/>
      <c r="J470" s="35"/>
      <c r="K470" s="35"/>
      <c r="L470" s="35"/>
      <c r="AF470" s="115" t="str">
        <f t="shared" si="14"/>
        <v/>
      </c>
      <c r="AG470" s="116" t="str">
        <f>IF(AF470="","",COUNTIF(AF470:AF$3000,AF470))</f>
        <v/>
      </c>
      <c r="AH470" s="117" t="str">
        <f t="shared" si="15"/>
        <v/>
      </c>
    </row>
    <row r="471" spans="6:34" x14ac:dyDescent="0.25">
      <c r="F471" s="35"/>
      <c r="J471" s="35"/>
      <c r="K471" s="35"/>
      <c r="L471" s="35"/>
      <c r="AF471" s="115" t="str">
        <f t="shared" si="14"/>
        <v/>
      </c>
      <c r="AG471" s="116" t="str">
        <f>IF(AF471="","",COUNTIF(AF471:AF$3000,AF471))</f>
        <v/>
      </c>
      <c r="AH471" s="117" t="str">
        <f t="shared" si="15"/>
        <v/>
      </c>
    </row>
    <row r="472" spans="6:34" x14ac:dyDescent="0.25">
      <c r="F472" s="35"/>
      <c r="J472" s="35"/>
      <c r="K472" s="35"/>
      <c r="L472" s="35"/>
      <c r="AF472" s="115" t="str">
        <f t="shared" si="14"/>
        <v/>
      </c>
      <c r="AG472" s="116" t="str">
        <f>IF(AF472="","",COUNTIF(AF472:AF$3000,AF472))</f>
        <v/>
      </c>
      <c r="AH472" s="117" t="str">
        <f t="shared" si="15"/>
        <v/>
      </c>
    </row>
    <row r="473" spans="6:34" x14ac:dyDescent="0.25">
      <c r="F473" s="35"/>
      <c r="J473" s="35"/>
      <c r="K473" s="35"/>
      <c r="L473" s="35"/>
      <c r="AF473" s="115" t="str">
        <f t="shared" si="14"/>
        <v/>
      </c>
      <c r="AG473" s="116" t="str">
        <f>IF(AF473="","",COUNTIF(AF473:AF$3000,AF473))</f>
        <v/>
      </c>
      <c r="AH473" s="117" t="str">
        <f t="shared" si="15"/>
        <v/>
      </c>
    </row>
    <row r="474" spans="6:34" x14ac:dyDescent="0.25">
      <c r="F474" s="35"/>
      <c r="J474" s="35"/>
      <c r="K474" s="35"/>
      <c r="L474" s="35"/>
      <c r="AF474" s="115" t="str">
        <f t="shared" si="14"/>
        <v/>
      </c>
      <c r="AG474" s="116" t="str">
        <f>IF(AF474="","",COUNTIF(AF474:AF$3000,AF474))</f>
        <v/>
      </c>
      <c r="AH474" s="117" t="str">
        <f t="shared" si="15"/>
        <v/>
      </c>
    </row>
    <row r="475" spans="6:34" x14ac:dyDescent="0.25">
      <c r="F475" s="35"/>
      <c r="J475" s="35"/>
      <c r="K475" s="35"/>
      <c r="L475" s="35"/>
      <c r="AF475" s="115" t="str">
        <f t="shared" si="14"/>
        <v/>
      </c>
      <c r="AG475" s="116" t="str">
        <f>IF(AF475="","",COUNTIF(AF475:AF$3000,AF475))</f>
        <v/>
      </c>
      <c r="AH475" s="117" t="str">
        <f t="shared" si="15"/>
        <v/>
      </c>
    </row>
    <row r="476" spans="6:34" x14ac:dyDescent="0.25">
      <c r="F476" s="35"/>
      <c r="J476" s="35"/>
      <c r="K476" s="35"/>
      <c r="L476" s="35"/>
      <c r="AF476" s="115" t="str">
        <f t="shared" si="14"/>
        <v/>
      </c>
      <c r="AG476" s="116" t="str">
        <f>IF(AF476="","",COUNTIF(AF476:AF$3000,AF476))</f>
        <v/>
      </c>
      <c r="AH476" s="117" t="str">
        <f t="shared" si="15"/>
        <v/>
      </c>
    </row>
    <row r="477" spans="6:34" x14ac:dyDescent="0.25">
      <c r="F477" s="35"/>
      <c r="J477" s="35"/>
      <c r="K477" s="35"/>
      <c r="L477" s="35"/>
      <c r="AF477" s="115" t="str">
        <f t="shared" si="14"/>
        <v/>
      </c>
      <c r="AG477" s="116" t="str">
        <f>IF(AF477="","",COUNTIF(AF477:AF$3000,AF477))</f>
        <v/>
      </c>
      <c r="AH477" s="117" t="str">
        <f t="shared" si="15"/>
        <v/>
      </c>
    </row>
    <row r="478" spans="6:34" x14ac:dyDescent="0.25">
      <c r="F478" s="35"/>
      <c r="J478" s="35"/>
      <c r="K478" s="35"/>
      <c r="L478" s="35"/>
      <c r="AF478" s="115" t="str">
        <f t="shared" si="14"/>
        <v/>
      </c>
      <c r="AG478" s="116" t="str">
        <f>IF(AF478="","",COUNTIF(AF478:AF$3000,AF478))</f>
        <v/>
      </c>
      <c r="AH478" s="117" t="str">
        <f t="shared" si="15"/>
        <v/>
      </c>
    </row>
    <row r="479" spans="6:34" x14ac:dyDescent="0.25">
      <c r="F479" s="35"/>
      <c r="J479" s="35"/>
      <c r="K479" s="35"/>
      <c r="L479" s="35"/>
      <c r="AF479" s="115" t="str">
        <f t="shared" si="14"/>
        <v/>
      </c>
      <c r="AG479" s="116" t="str">
        <f>IF(AF479="","",COUNTIF(AF479:AF$3000,AF479))</f>
        <v/>
      </c>
      <c r="AH479" s="117" t="str">
        <f t="shared" si="15"/>
        <v/>
      </c>
    </row>
    <row r="480" spans="6:34" x14ac:dyDescent="0.25">
      <c r="F480" s="35"/>
      <c r="J480" s="35"/>
      <c r="K480" s="35"/>
      <c r="L480" s="35"/>
      <c r="AF480" s="115" t="str">
        <f t="shared" si="14"/>
        <v/>
      </c>
      <c r="AG480" s="116" t="str">
        <f>IF(AF480="","",COUNTIF(AF480:AF$3000,AF480))</f>
        <v/>
      </c>
      <c r="AH480" s="117" t="str">
        <f t="shared" si="15"/>
        <v/>
      </c>
    </row>
    <row r="481" spans="6:34" x14ac:dyDescent="0.25">
      <c r="F481" s="35"/>
      <c r="J481" s="35"/>
      <c r="K481" s="35"/>
      <c r="L481" s="35"/>
      <c r="AF481" s="115" t="str">
        <f t="shared" si="14"/>
        <v/>
      </c>
      <c r="AG481" s="116" t="str">
        <f>IF(AF481="","",COUNTIF(AF481:AF$3000,AF481))</f>
        <v/>
      </c>
      <c r="AH481" s="117" t="str">
        <f t="shared" si="15"/>
        <v/>
      </c>
    </row>
    <row r="482" spans="6:34" x14ac:dyDescent="0.25">
      <c r="F482" s="35"/>
      <c r="J482" s="35"/>
      <c r="K482" s="35"/>
      <c r="L482" s="35"/>
      <c r="AF482" s="115" t="str">
        <f t="shared" si="14"/>
        <v/>
      </c>
      <c r="AG482" s="116" t="str">
        <f>IF(AF482="","",COUNTIF(AF482:AF$3000,AF482))</f>
        <v/>
      </c>
      <c r="AH482" s="117" t="str">
        <f t="shared" si="15"/>
        <v/>
      </c>
    </row>
    <row r="483" spans="6:34" x14ac:dyDescent="0.25">
      <c r="F483" s="35"/>
      <c r="J483" s="35"/>
      <c r="K483" s="35"/>
      <c r="L483" s="35"/>
      <c r="AF483" s="115" t="str">
        <f t="shared" si="14"/>
        <v/>
      </c>
      <c r="AG483" s="116" t="str">
        <f>IF(AF483="","",COUNTIF(AF483:AF$3000,AF483))</f>
        <v/>
      </c>
      <c r="AH483" s="117" t="str">
        <f t="shared" si="15"/>
        <v/>
      </c>
    </row>
    <row r="484" spans="6:34" x14ac:dyDescent="0.25">
      <c r="F484" s="35"/>
      <c r="J484" s="35"/>
      <c r="K484" s="35"/>
      <c r="L484" s="35"/>
      <c r="AF484" s="115" t="str">
        <f t="shared" si="14"/>
        <v/>
      </c>
      <c r="AG484" s="116" t="str">
        <f>IF(AF484="","",COUNTIF(AF484:AF$3000,AF484))</f>
        <v/>
      </c>
      <c r="AH484" s="117" t="str">
        <f t="shared" si="15"/>
        <v/>
      </c>
    </row>
    <row r="485" spans="6:34" x14ac:dyDescent="0.25">
      <c r="F485" s="35"/>
      <c r="J485" s="35"/>
      <c r="K485" s="35"/>
      <c r="L485" s="35"/>
      <c r="AF485" s="115" t="str">
        <f t="shared" si="14"/>
        <v/>
      </c>
      <c r="AG485" s="116" t="str">
        <f>IF(AF485="","",COUNTIF(AF485:AF$3000,AF485))</f>
        <v/>
      </c>
      <c r="AH485" s="117" t="str">
        <f t="shared" si="15"/>
        <v/>
      </c>
    </row>
    <row r="486" spans="6:34" x14ac:dyDescent="0.25">
      <c r="F486" s="35"/>
      <c r="J486" s="35"/>
      <c r="K486" s="35"/>
      <c r="L486" s="35"/>
      <c r="AF486" s="115" t="str">
        <f t="shared" si="14"/>
        <v/>
      </c>
      <c r="AG486" s="116" t="str">
        <f>IF(AF486="","",COUNTIF(AF486:AF$3000,AF486))</f>
        <v/>
      </c>
      <c r="AH486" s="117" t="str">
        <f t="shared" si="15"/>
        <v/>
      </c>
    </row>
    <row r="487" spans="6:34" x14ac:dyDescent="0.25">
      <c r="F487" s="35"/>
      <c r="J487" s="35"/>
      <c r="K487" s="35"/>
      <c r="L487" s="35"/>
      <c r="AF487" s="115" t="str">
        <f t="shared" si="14"/>
        <v/>
      </c>
      <c r="AG487" s="116" t="str">
        <f>IF(AF487="","",COUNTIF(AF487:AF$3000,AF487))</f>
        <v/>
      </c>
      <c r="AH487" s="117" t="str">
        <f t="shared" si="15"/>
        <v/>
      </c>
    </row>
    <row r="488" spans="6:34" x14ac:dyDescent="0.25">
      <c r="F488" s="35"/>
      <c r="J488" s="35"/>
      <c r="K488" s="35"/>
      <c r="L488" s="35"/>
      <c r="AF488" s="115" t="str">
        <f t="shared" si="14"/>
        <v/>
      </c>
      <c r="AG488" s="116" t="str">
        <f>IF(AF488="","",COUNTIF(AF488:AF$3000,AF488))</f>
        <v/>
      </c>
      <c r="AH488" s="117" t="str">
        <f t="shared" si="15"/>
        <v/>
      </c>
    </row>
    <row r="489" spans="6:34" x14ac:dyDescent="0.25">
      <c r="F489" s="35"/>
      <c r="J489" s="35"/>
      <c r="K489" s="35"/>
      <c r="L489" s="35"/>
      <c r="AF489" s="115" t="str">
        <f t="shared" si="14"/>
        <v/>
      </c>
      <c r="AG489" s="116" t="str">
        <f>IF(AF489="","",COUNTIF(AF489:AF$3000,AF489))</f>
        <v/>
      </c>
      <c r="AH489" s="117" t="str">
        <f t="shared" si="15"/>
        <v/>
      </c>
    </row>
    <row r="490" spans="6:34" x14ac:dyDescent="0.25">
      <c r="F490" s="35"/>
      <c r="J490" s="35"/>
      <c r="K490" s="35"/>
      <c r="L490" s="35"/>
      <c r="AF490" s="115" t="str">
        <f t="shared" si="14"/>
        <v/>
      </c>
      <c r="AG490" s="116" t="str">
        <f>IF(AF490="","",COUNTIF(AF490:AF$3000,AF490))</f>
        <v/>
      </c>
      <c r="AH490" s="117" t="str">
        <f t="shared" si="15"/>
        <v/>
      </c>
    </row>
    <row r="491" spans="6:34" x14ac:dyDescent="0.25">
      <c r="F491" s="35"/>
      <c r="J491" s="35"/>
      <c r="K491" s="35"/>
      <c r="L491" s="35"/>
      <c r="AF491" s="115" t="str">
        <f t="shared" si="14"/>
        <v/>
      </c>
      <c r="AG491" s="116" t="str">
        <f>IF(AF491="","",COUNTIF(AF491:AF$3000,AF491))</f>
        <v/>
      </c>
      <c r="AH491" s="117" t="str">
        <f t="shared" si="15"/>
        <v/>
      </c>
    </row>
    <row r="492" spans="6:34" x14ac:dyDescent="0.25">
      <c r="F492" s="35"/>
      <c r="J492" s="35"/>
      <c r="K492" s="35"/>
      <c r="L492" s="35"/>
      <c r="AF492" s="115" t="str">
        <f t="shared" si="14"/>
        <v/>
      </c>
      <c r="AG492" s="116" t="str">
        <f>IF(AF492="","",COUNTIF(AF492:AF$3000,AF492))</f>
        <v/>
      </c>
      <c r="AH492" s="117" t="str">
        <f t="shared" si="15"/>
        <v/>
      </c>
    </row>
    <row r="493" spans="6:34" x14ac:dyDescent="0.25">
      <c r="F493" s="35"/>
      <c r="J493" s="35"/>
      <c r="K493" s="35"/>
      <c r="L493" s="35"/>
      <c r="AF493" s="115" t="str">
        <f t="shared" si="14"/>
        <v/>
      </c>
      <c r="AG493" s="116" t="str">
        <f>IF(AF493="","",COUNTIF(AF493:AF$3000,AF493))</f>
        <v/>
      </c>
      <c r="AH493" s="117" t="str">
        <f t="shared" si="15"/>
        <v/>
      </c>
    </row>
    <row r="494" spans="6:34" x14ac:dyDescent="0.25">
      <c r="F494" s="35"/>
      <c r="J494" s="35"/>
      <c r="K494" s="35"/>
      <c r="L494" s="35"/>
      <c r="AF494" s="115" t="str">
        <f t="shared" si="14"/>
        <v/>
      </c>
      <c r="AG494" s="116" t="str">
        <f>IF(AF494="","",COUNTIF(AF494:AF$3000,AF494))</f>
        <v/>
      </c>
      <c r="AH494" s="117" t="str">
        <f t="shared" si="15"/>
        <v/>
      </c>
    </row>
    <row r="495" spans="6:34" x14ac:dyDescent="0.25">
      <c r="F495" s="35"/>
      <c r="J495" s="35"/>
      <c r="K495" s="35"/>
      <c r="L495" s="35"/>
      <c r="AF495" s="115" t="str">
        <f t="shared" si="14"/>
        <v/>
      </c>
      <c r="AG495" s="116" t="str">
        <f>IF(AF495="","",COUNTIF(AF495:AF$3000,AF495))</f>
        <v/>
      </c>
      <c r="AH495" s="117" t="str">
        <f t="shared" si="15"/>
        <v/>
      </c>
    </row>
    <row r="496" spans="6:34" x14ac:dyDescent="0.25">
      <c r="F496" s="35"/>
      <c r="J496" s="35"/>
      <c r="K496" s="35"/>
      <c r="L496" s="35"/>
      <c r="AF496" s="115" t="str">
        <f t="shared" si="14"/>
        <v/>
      </c>
      <c r="AG496" s="116" t="str">
        <f>IF(AF496="","",COUNTIF(AF496:AF$3000,AF496))</f>
        <v/>
      </c>
      <c r="AH496" s="117" t="str">
        <f t="shared" si="15"/>
        <v/>
      </c>
    </row>
    <row r="497" spans="6:34" x14ac:dyDescent="0.25">
      <c r="F497" s="35"/>
      <c r="J497" s="35"/>
      <c r="K497" s="35"/>
      <c r="L497" s="35"/>
      <c r="AF497" s="115" t="str">
        <f t="shared" si="14"/>
        <v/>
      </c>
      <c r="AG497" s="116" t="str">
        <f>IF(AF497="","",COUNTIF(AF497:AF$3000,AF497))</f>
        <v/>
      </c>
      <c r="AH497" s="117" t="str">
        <f t="shared" si="15"/>
        <v/>
      </c>
    </row>
    <row r="498" spans="6:34" x14ac:dyDescent="0.25">
      <c r="F498" s="35"/>
      <c r="J498" s="35"/>
      <c r="K498" s="35"/>
      <c r="L498" s="35"/>
      <c r="AF498" s="115" t="str">
        <f t="shared" si="14"/>
        <v/>
      </c>
      <c r="AG498" s="116" t="str">
        <f>IF(AF498="","",COUNTIF(AF498:AF$3000,AF498))</f>
        <v/>
      </c>
      <c r="AH498" s="117" t="str">
        <f t="shared" si="15"/>
        <v/>
      </c>
    </row>
    <row r="499" spans="6:34" x14ac:dyDescent="0.25">
      <c r="F499" s="35"/>
      <c r="J499" s="35"/>
      <c r="K499" s="35"/>
      <c r="L499" s="35"/>
      <c r="AF499" s="115" t="str">
        <f t="shared" si="14"/>
        <v/>
      </c>
      <c r="AG499" s="116" t="str">
        <f>IF(AF499="","",COUNTIF(AF499:AF$3000,AF499))</f>
        <v/>
      </c>
      <c r="AH499" s="117" t="str">
        <f t="shared" si="15"/>
        <v/>
      </c>
    </row>
    <row r="500" spans="6:34" x14ac:dyDescent="0.25">
      <c r="F500" s="35"/>
      <c r="J500" s="35"/>
      <c r="K500" s="35"/>
      <c r="L500" s="35"/>
      <c r="AF500" s="115" t="str">
        <f t="shared" si="14"/>
        <v/>
      </c>
      <c r="AG500" s="116" t="str">
        <f>IF(AF500="","",COUNTIF(AF500:AF$3000,AF500))</f>
        <v/>
      </c>
      <c r="AH500" s="117" t="str">
        <f t="shared" si="15"/>
        <v/>
      </c>
    </row>
    <row r="501" spans="6:34" x14ac:dyDescent="0.25">
      <c r="F501" s="35"/>
      <c r="J501" s="35"/>
      <c r="K501" s="35"/>
      <c r="L501" s="35"/>
      <c r="AF501" s="115" t="str">
        <f t="shared" si="14"/>
        <v/>
      </c>
      <c r="AG501" s="116" t="str">
        <f>IF(AF501="","",COUNTIF(AF501:AF$3000,AF501))</f>
        <v/>
      </c>
      <c r="AH501" s="117" t="str">
        <f t="shared" si="15"/>
        <v/>
      </c>
    </row>
    <row r="502" spans="6:34" x14ac:dyDescent="0.25">
      <c r="F502" s="35"/>
      <c r="J502" s="35"/>
      <c r="K502" s="35"/>
      <c r="L502" s="35"/>
      <c r="AF502" s="115" t="str">
        <f t="shared" si="14"/>
        <v/>
      </c>
      <c r="AG502" s="116" t="str">
        <f>IF(AF502="","",COUNTIF(AF502:AF$3000,AF502))</f>
        <v/>
      </c>
      <c r="AH502" s="117" t="str">
        <f t="shared" si="15"/>
        <v/>
      </c>
    </row>
    <row r="503" spans="6:34" x14ac:dyDescent="0.25">
      <c r="F503" s="35"/>
      <c r="J503" s="35"/>
      <c r="K503" s="35"/>
      <c r="L503" s="35"/>
      <c r="AF503" s="115" t="str">
        <f t="shared" si="14"/>
        <v/>
      </c>
      <c r="AG503" s="116" t="str">
        <f>IF(AF503="","",COUNTIF(AF503:AF$3000,AF503))</f>
        <v/>
      </c>
      <c r="AH503" s="117" t="str">
        <f t="shared" si="15"/>
        <v/>
      </c>
    </row>
    <row r="504" spans="6:34" x14ac:dyDescent="0.25">
      <c r="F504" s="35"/>
      <c r="J504" s="35"/>
      <c r="K504" s="35"/>
      <c r="L504" s="35"/>
      <c r="AF504" s="115" t="str">
        <f t="shared" si="14"/>
        <v/>
      </c>
      <c r="AG504" s="116" t="str">
        <f>IF(AF504="","",COUNTIF(AF504:AF$3000,AF504))</f>
        <v/>
      </c>
      <c r="AH504" s="117" t="str">
        <f t="shared" si="15"/>
        <v/>
      </c>
    </row>
    <row r="505" spans="6:34" x14ac:dyDescent="0.25">
      <c r="F505" s="35"/>
      <c r="J505" s="35"/>
      <c r="K505" s="35"/>
      <c r="L505" s="35"/>
      <c r="AF505" s="115" t="str">
        <f t="shared" si="14"/>
        <v/>
      </c>
      <c r="AG505" s="116" t="str">
        <f>IF(AF505="","",COUNTIF(AF505:AF$3000,AF505))</f>
        <v/>
      </c>
      <c r="AH505" s="117" t="str">
        <f t="shared" si="15"/>
        <v/>
      </c>
    </row>
    <row r="506" spans="6:34" x14ac:dyDescent="0.25">
      <c r="F506" s="35"/>
      <c r="J506" s="35"/>
      <c r="K506" s="35"/>
      <c r="L506" s="35"/>
      <c r="AF506" s="115" t="str">
        <f t="shared" si="14"/>
        <v/>
      </c>
      <c r="AG506" s="116" t="str">
        <f>IF(AF506="","",COUNTIF(AF506:AF$3000,AF506))</f>
        <v/>
      </c>
      <c r="AH506" s="117" t="str">
        <f t="shared" si="15"/>
        <v/>
      </c>
    </row>
    <row r="507" spans="6:34" x14ac:dyDescent="0.25">
      <c r="F507" s="35"/>
      <c r="J507" s="35"/>
      <c r="K507" s="35"/>
      <c r="L507" s="35"/>
      <c r="AF507" s="115" t="str">
        <f t="shared" si="14"/>
        <v/>
      </c>
      <c r="AG507" s="116" t="str">
        <f>IF(AF507="","",COUNTIF(AF507:AF$3000,AF507))</f>
        <v/>
      </c>
      <c r="AH507" s="117" t="str">
        <f t="shared" si="15"/>
        <v/>
      </c>
    </row>
    <row r="508" spans="6:34" x14ac:dyDescent="0.25">
      <c r="F508" s="35"/>
      <c r="J508" s="35"/>
      <c r="K508" s="35"/>
      <c r="L508" s="35"/>
      <c r="AF508" s="115" t="str">
        <f t="shared" si="14"/>
        <v/>
      </c>
      <c r="AG508" s="116" t="str">
        <f>IF(AF508="","",COUNTIF(AF508:AF$3000,AF508))</f>
        <v/>
      </c>
      <c r="AH508" s="117" t="str">
        <f t="shared" si="15"/>
        <v/>
      </c>
    </row>
    <row r="509" spans="6:34" x14ac:dyDescent="0.25">
      <c r="F509" s="35"/>
      <c r="J509" s="35"/>
      <c r="K509" s="35"/>
      <c r="L509" s="35"/>
      <c r="AF509" s="115" t="str">
        <f t="shared" si="14"/>
        <v/>
      </c>
      <c r="AG509" s="116" t="str">
        <f>IF(AF509="","",COUNTIF(AF509:AF$3000,AF509))</f>
        <v/>
      </c>
      <c r="AH509" s="117" t="str">
        <f t="shared" si="15"/>
        <v/>
      </c>
    </row>
    <row r="510" spans="6:34" x14ac:dyDescent="0.25">
      <c r="F510" s="35"/>
      <c r="J510" s="35"/>
      <c r="K510" s="35"/>
      <c r="L510" s="35"/>
      <c r="AF510" s="115" t="str">
        <f t="shared" si="14"/>
        <v/>
      </c>
      <c r="AG510" s="116" t="str">
        <f>IF(AF510="","",COUNTIF(AF510:AF$3000,AF510))</f>
        <v/>
      </c>
      <c r="AH510" s="117" t="str">
        <f t="shared" si="15"/>
        <v/>
      </c>
    </row>
    <row r="511" spans="6:34" x14ac:dyDescent="0.25">
      <c r="F511" s="35"/>
      <c r="J511" s="35"/>
      <c r="K511" s="35"/>
      <c r="L511" s="35"/>
      <c r="AF511" s="115" t="str">
        <f t="shared" si="14"/>
        <v/>
      </c>
      <c r="AG511" s="116" t="str">
        <f>IF(AF511="","",COUNTIF(AF511:AF$3000,AF511))</f>
        <v/>
      </c>
      <c r="AH511" s="117" t="str">
        <f t="shared" si="15"/>
        <v/>
      </c>
    </row>
    <row r="512" spans="6:34" x14ac:dyDescent="0.25">
      <c r="F512" s="35"/>
      <c r="J512" s="35"/>
      <c r="K512" s="35"/>
      <c r="L512" s="35"/>
      <c r="AF512" s="115" t="str">
        <f t="shared" si="14"/>
        <v/>
      </c>
      <c r="AG512" s="116" t="str">
        <f>IF(AF512="","",COUNTIF(AF512:AF$3000,AF512))</f>
        <v/>
      </c>
      <c r="AH512" s="117" t="str">
        <f t="shared" si="15"/>
        <v/>
      </c>
    </row>
    <row r="513" spans="6:34" x14ac:dyDescent="0.25">
      <c r="F513" s="35"/>
      <c r="J513" s="35"/>
      <c r="K513" s="35"/>
      <c r="L513" s="35"/>
      <c r="AF513" s="115" t="str">
        <f t="shared" si="14"/>
        <v/>
      </c>
      <c r="AG513" s="116" t="str">
        <f>IF(AF513="","",COUNTIF(AF513:AF$3000,AF513))</f>
        <v/>
      </c>
      <c r="AH513" s="117" t="str">
        <f t="shared" si="15"/>
        <v/>
      </c>
    </row>
    <row r="514" spans="6:34" x14ac:dyDescent="0.25">
      <c r="F514" s="35"/>
      <c r="J514" s="35"/>
      <c r="K514" s="35"/>
      <c r="L514" s="35"/>
      <c r="AF514" s="115" t="str">
        <f t="shared" si="14"/>
        <v/>
      </c>
      <c r="AG514" s="116" t="str">
        <f>IF(AF514="","",COUNTIF(AF514:AF$3000,AF514))</f>
        <v/>
      </c>
      <c r="AH514" s="117" t="str">
        <f t="shared" si="15"/>
        <v/>
      </c>
    </row>
    <row r="515" spans="6:34" x14ac:dyDescent="0.25">
      <c r="F515" s="35"/>
      <c r="J515" s="35"/>
      <c r="K515" s="35"/>
      <c r="L515" s="35"/>
      <c r="AF515" s="115" t="str">
        <f t="shared" si="14"/>
        <v/>
      </c>
      <c r="AG515" s="116" t="str">
        <f>IF(AF515="","",COUNTIF(AF515:AF$3000,AF515))</f>
        <v/>
      </c>
      <c r="AH515" s="117" t="str">
        <f t="shared" si="15"/>
        <v/>
      </c>
    </row>
    <row r="516" spans="6:34" x14ac:dyDescent="0.25">
      <c r="F516" s="35"/>
      <c r="J516" s="35"/>
      <c r="K516" s="35"/>
      <c r="L516" s="35"/>
      <c r="AF516" s="115" t="str">
        <f t="shared" ref="AF516:AF579" si="16">IF(B516="","",TEXT(J516,"DD/MM/AA")&amp;"_"&amp;S516&amp;"_"&amp;V516)</f>
        <v/>
      </c>
      <c r="AG516" s="116" t="str">
        <f>IF(AF516="","",COUNTIF(AF516:AF$3000,AF516))</f>
        <v/>
      </c>
      <c r="AH516" s="117" t="str">
        <f t="shared" ref="AH516:AH579" si="17">IF(AA516="","",
IF(AG516&gt;1,"",
IF(SUMIF(AF$3:AF$31,AF516,H$3:H$31)/10&lt;1,1,SUMIF(AF$3:AF$31,AF516,H$3:H$31)/10)))</f>
        <v/>
      </c>
    </row>
    <row r="517" spans="6:34" x14ac:dyDescent="0.25">
      <c r="F517" s="35"/>
      <c r="J517" s="35"/>
      <c r="K517" s="35"/>
      <c r="L517" s="35"/>
      <c r="AF517" s="115" t="str">
        <f t="shared" si="16"/>
        <v/>
      </c>
      <c r="AG517" s="116" t="str">
        <f>IF(AF517="","",COUNTIF(AF517:AF$3000,AF517))</f>
        <v/>
      </c>
      <c r="AH517" s="117" t="str">
        <f t="shared" si="17"/>
        <v/>
      </c>
    </row>
    <row r="518" spans="6:34" x14ac:dyDescent="0.25">
      <c r="F518" s="35"/>
      <c r="J518" s="35"/>
      <c r="K518" s="35"/>
      <c r="L518" s="35"/>
      <c r="AF518" s="115" t="str">
        <f t="shared" si="16"/>
        <v/>
      </c>
      <c r="AG518" s="116" t="str">
        <f>IF(AF518="","",COUNTIF(AF518:AF$3000,AF518))</f>
        <v/>
      </c>
      <c r="AH518" s="117" t="str">
        <f t="shared" si="17"/>
        <v/>
      </c>
    </row>
    <row r="519" spans="6:34" x14ac:dyDescent="0.25">
      <c r="F519" s="35"/>
      <c r="J519" s="35"/>
      <c r="K519" s="35"/>
      <c r="L519" s="35"/>
      <c r="AF519" s="115" t="str">
        <f t="shared" si="16"/>
        <v/>
      </c>
      <c r="AG519" s="116" t="str">
        <f>IF(AF519="","",COUNTIF(AF519:AF$3000,AF519))</f>
        <v/>
      </c>
      <c r="AH519" s="117" t="str">
        <f t="shared" si="17"/>
        <v/>
      </c>
    </row>
    <row r="520" spans="6:34" x14ac:dyDescent="0.25">
      <c r="F520" s="35"/>
      <c r="J520" s="35"/>
      <c r="K520" s="35"/>
      <c r="L520" s="35"/>
      <c r="AF520" s="115" t="str">
        <f t="shared" si="16"/>
        <v/>
      </c>
      <c r="AG520" s="116" t="str">
        <f>IF(AF520="","",COUNTIF(AF520:AF$3000,AF520))</f>
        <v/>
      </c>
      <c r="AH520" s="117" t="str">
        <f t="shared" si="17"/>
        <v/>
      </c>
    </row>
    <row r="521" spans="6:34" x14ac:dyDescent="0.25">
      <c r="F521" s="35"/>
      <c r="J521" s="35"/>
      <c r="K521" s="35"/>
      <c r="L521" s="35"/>
      <c r="AF521" s="115" t="str">
        <f t="shared" si="16"/>
        <v/>
      </c>
      <c r="AG521" s="116" t="str">
        <f>IF(AF521="","",COUNTIF(AF521:AF$3000,AF521))</f>
        <v/>
      </c>
      <c r="AH521" s="117" t="str">
        <f t="shared" si="17"/>
        <v/>
      </c>
    </row>
    <row r="522" spans="6:34" x14ac:dyDescent="0.25">
      <c r="F522" s="35"/>
      <c r="J522" s="35"/>
      <c r="K522" s="35"/>
      <c r="L522" s="35"/>
      <c r="AF522" s="115" t="str">
        <f t="shared" si="16"/>
        <v/>
      </c>
      <c r="AG522" s="116" t="str">
        <f>IF(AF522="","",COUNTIF(AF522:AF$3000,AF522))</f>
        <v/>
      </c>
      <c r="AH522" s="117" t="str">
        <f t="shared" si="17"/>
        <v/>
      </c>
    </row>
    <row r="523" spans="6:34" x14ac:dyDescent="0.25">
      <c r="F523" s="35"/>
      <c r="J523" s="35"/>
      <c r="K523" s="35"/>
      <c r="L523" s="35"/>
      <c r="AF523" s="115" t="str">
        <f t="shared" si="16"/>
        <v/>
      </c>
      <c r="AG523" s="116" t="str">
        <f>IF(AF523="","",COUNTIF(AF523:AF$3000,AF523))</f>
        <v/>
      </c>
      <c r="AH523" s="117" t="str">
        <f t="shared" si="17"/>
        <v/>
      </c>
    </row>
    <row r="524" spans="6:34" x14ac:dyDescent="0.25">
      <c r="F524" s="35"/>
      <c r="J524" s="35"/>
      <c r="K524" s="35"/>
      <c r="L524" s="35"/>
      <c r="AF524" s="115" t="str">
        <f t="shared" si="16"/>
        <v/>
      </c>
      <c r="AG524" s="116" t="str">
        <f>IF(AF524="","",COUNTIF(AF524:AF$3000,AF524))</f>
        <v/>
      </c>
      <c r="AH524" s="117" t="str">
        <f t="shared" si="17"/>
        <v/>
      </c>
    </row>
    <row r="525" spans="6:34" x14ac:dyDescent="0.25">
      <c r="F525" s="35"/>
      <c r="J525" s="35"/>
      <c r="K525" s="35"/>
      <c r="L525" s="35"/>
      <c r="AF525" s="115" t="str">
        <f t="shared" si="16"/>
        <v/>
      </c>
      <c r="AG525" s="116" t="str">
        <f>IF(AF525="","",COUNTIF(AF525:AF$3000,AF525))</f>
        <v/>
      </c>
      <c r="AH525" s="117" t="str">
        <f t="shared" si="17"/>
        <v/>
      </c>
    </row>
    <row r="526" spans="6:34" x14ac:dyDescent="0.25">
      <c r="F526" s="35"/>
      <c r="J526" s="35"/>
      <c r="K526" s="35"/>
      <c r="L526" s="35"/>
      <c r="AF526" s="115" t="str">
        <f t="shared" si="16"/>
        <v/>
      </c>
      <c r="AG526" s="116" t="str">
        <f>IF(AF526="","",COUNTIF(AF526:AF$3000,AF526))</f>
        <v/>
      </c>
      <c r="AH526" s="117" t="str">
        <f t="shared" si="17"/>
        <v/>
      </c>
    </row>
    <row r="527" spans="6:34" x14ac:dyDescent="0.25">
      <c r="F527" s="35"/>
      <c r="J527" s="35"/>
      <c r="K527" s="35"/>
      <c r="L527" s="35"/>
      <c r="AF527" s="115" t="str">
        <f t="shared" si="16"/>
        <v/>
      </c>
      <c r="AG527" s="116" t="str">
        <f>IF(AF527="","",COUNTIF(AF527:AF$3000,AF527))</f>
        <v/>
      </c>
      <c r="AH527" s="117" t="str">
        <f t="shared" si="17"/>
        <v/>
      </c>
    </row>
    <row r="528" spans="6:34" x14ac:dyDescent="0.25">
      <c r="F528" s="35"/>
      <c r="J528" s="35"/>
      <c r="K528" s="35"/>
      <c r="L528" s="35"/>
      <c r="AF528" s="115" t="str">
        <f t="shared" si="16"/>
        <v/>
      </c>
      <c r="AG528" s="116" t="str">
        <f>IF(AF528="","",COUNTIF(AF528:AF$3000,AF528))</f>
        <v/>
      </c>
      <c r="AH528" s="117" t="str">
        <f t="shared" si="17"/>
        <v/>
      </c>
    </row>
    <row r="529" spans="6:34" x14ac:dyDescent="0.25">
      <c r="F529" s="35"/>
      <c r="J529" s="35"/>
      <c r="K529" s="35"/>
      <c r="L529" s="35"/>
      <c r="AF529" s="115" t="str">
        <f t="shared" si="16"/>
        <v/>
      </c>
      <c r="AG529" s="116" t="str">
        <f>IF(AF529="","",COUNTIF(AF529:AF$3000,AF529))</f>
        <v/>
      </c>
      <c r="AH529" s="117" t="str">
        <f t="shared" si="17"/>
        <v/>
      </c>
    </row>
    <row r="530" spans="6:34" x14ac:dyDescent="0.25">
      <c r="F530" s="35"/>
      <c r="J530" s="35"/>
      <c r="K530" s="35"/>
      <c r="L530" s="35"/>
      <c r="AF530" s="115" t="str">
        <f t="shared" si="16"/>
        <v/>
      </c>
      <c r="AG530" s="116" t="str">
        <f>IF(AF530="","",COUNTIF(AF530:AF$3000,AF530))</f>
        <v/>
      </c>
      <c r="AH530" s="117" t="str">
        <f t="shared" si="17"/>
        <v/>
      </c>
    </row>
    <row r="531" spans="6:34" x14ac:dyDescent="0.25">
      <c r="F531" s="35"/>
      <c r="J531" s="35"/>
      <c r="K531" s="35"/>
      <c r="L531" s="35"/>
      <c r="AF531" s="115" t="str">
        <f t="shared" si="16"/>
        <v/>
      </c>
      <c r="AG531" s="116" t="str">
        <f>IF(AF531="","",COUNTIF(AF531:AF$3000,AF531))</f>
        <v/>
      </c>
      <c r="AH531" s="117" t="str">
        <f t="shared" si="17"/>
        <v/>
      </c>
    </row>
    <row r="532" spans="6:34" x14ac:dyDescent="0.25">
      <c r="F532" s="35"/>
      <c r="J532" s="35"/>
      <c r="K532" s="35"/>
      <c r="L532" s="35"/>
      <c r="AF532" s="115" t="str">
        <f t="shared" si="16"/>
        <v/>
      </c>
      <c r="AG532" s="116" t="str">
        <f>IF(AF532="","",COUNTIF(AF532:AF$3000,AF532))</f>
        <v/>
      </c>
      <c r="AH532" s="117" t="str">
        <f t="shared" si="17"/>
        <v/>
      </c>
    </row>
    <row r="533" spans="6:34" x14ac:dyDescent="0.25">
      <c r="F533" s="35"/>
      <c r="J533" s="35"/>
      <c r="K533" s="35"/>
      <c r="L533" s="35"/>
      <c r="AF533" s="115" t="str">
        <f t="shared" si="16"/>
        <v/>
      </c>
      <c r="AG533" s="116" t="str">
        <f>IF(AF533="","",COUNTIF(AF533:AF$3000,AF533))</f>
        <v/>
      </c>
      <c r="AH533" s="117" t="str">
        <f t="shared" si="17"/>
        <v/>
      </c>
    </row>
    <row r="534" spans="6:34" x14ac:dyDescent="0.25">
      <c r="F534" s="35"/>
      <c r="J534" s="35"/>
      <c r="K534" s="35"/>
      <c r="L534" s="35"/>
      <c r="AF534" s="115" t="str">
        <f t="shared" si="16"/>
        <v/>
      </c>
      <c r="AG534" s="116" t="str">
        <f>IF(AF534="","",COUNTIF(AF534:AF$3000,AF534))</f>
        <v/>
      </c>
      <c r="AH534" s="117" t="str">
        <f t="shared" si="17"/>
        <v/>
      </c>
    </row>
    <row r="535" spans="6:34" x14ac:dyDescent="0.25">
      <c r="F535" s="35"/>
      <c r="J535" s="35"/>
      <c r="K535" s="35"/>
      <c r="L535" s="35"/>
      <c r="AF535" s="115" t="str">
        <f t="shared" si="16"/>
        <v/>
      </c>
      <c r="AG535" s="116" t="str">
        <f>IF(AF535="","",COUNTIF(AF535:AF$3000,AF535))</f>
        <v/>
      </c>
      <c r="AH535" s="117" t="str">
        <f t="shared" si="17"/>
        <v/>
      </c>
    </row>
    <row r="536" spans="6:34" x14ac:dyDescent="0.25">
      <c r="F536" s="35"/>
      <c r="J536" s="35"/>
      <c r="K536" s="35"/>
      <c r="L536" s="35"/>
      <c r="AF536" s="115" t="str">
        <f t="shared" si="16"/>
        <v/>
      </c>
      <c r="AG536" s="116" t="str">
        <f>IF(AF536="","",COUNTIF(AF536:AF$3000,AF536))</f>
        <v/>
      </c>
      <c r="AH536" s="117" t="str">
        <f t="shared" si="17"/>
        <v/>
      </c>
    </row>
    <row r="537" spans="6:34" x14ac:dyDescent="0.25">
      <c r="F537" s="35"/>
      <c r="J537" s="35"/>
      <c r="K537" s="35"/>
      <c r="L537" s="35"/>
      <c r="AF537" s="115" t="str">
        <f t="shared" si="16"/>
        <v/>
      </c>
      <c r="AG537" s="116" t="str">
        <f>IF(AF537="","",COUNTIF(AF537:AF$3000,AF537))</f>
        <v/>
      </c>
      <c r="AH537" s="117" t="str">
        <f t="shared" si="17"/>
        <v/>
      </c>
    </row>
    <row r="538" spans="6:34" x14ac:dyDescent="0.25">
      <c r="F538" s="35"/>
      <c r="J538" s="35"/>
      <c r="K538" s="35"/>
      <c r="L538" s="35"/>
      <c r="AF538" s="115" t="str">
        <f t="shared" si="16"/>
        <v/>
      </c>
      <c r="AG538" s="116" t="str">
        <f>IF(AF538="","",COUNTIF(AF538:AF$3000,AF538))</f>
        <v/>
      </c>
      <c r="AH538" s="117" t="str">
        <f t="shared" si="17"/>
        <v/>
      </c>
    </row>
    <row r="539" spans="6:34" x14ac:dyDescent="0.25">
      <c r="F539" s="35"/>
      <c r="J539" s="35"/>
      <c r="K539" s="35"/>
      <c r="L539" s="35"/>
      <c r="AF539" s="115" t="str">
        <f t="shared" si="16"/>
        <v/>
      </c>
      <c r="AG539" s="116" t="str">
        <f>IF(AF539="","",COUNTIF(AF539:AF$3000,AF539))</f>
        <v/>
      </c>
      <c r="AH539" s="117" t="str">
        <f t="shared" si="17"/>
        <v/>
      </c>
    </row>
    <row r="540" spans="6:34" x14ac:dyDescent="0.25">
      <c r="F540" s="35"/>
      <c r="J540" s="35"/>
      <c r="K540" s="35"/>
      <c r="L540" s="35"/>
      <c r="AF540" s="115" t="str">
        <f t="shared" si="16"/>
        <v/>
      </c>
      <c r="AG540" s="116" t="str">
        <f>IF(AF540="","",COUNTIF(AF540:AF$3000,AF540))</f>
        <v/>
      </c>
      <c r="AH540" s="117" t="str">
        <f t="shared" si="17"/>
        <v/>
      </c>
    </row>
    <row r="541" spans="6:34" x14ac:dyDescent="0.25">
      <c r="F541" s="35"/>
      <c r="J541" s="35"/>
      <c r="K541" s="35"/>
      <c r="L541" s="35"/>
      <c r="AF541" s="115" t="str">
        <f t="shared" si="16"/>
        <v/>
      </c>
      <c r="AG541" s="116" t="str">
        <f>IF(AF541="","",COUNTIF(AF541:AF$3000,AF541))</f>
        <v/>
      </c>
      <c r="AH541" s="117" t="str">
        <f t="shared" si="17"/>
        <v/>
      </c>
    </row>
    <row r="542" spans="6:34" x14ac:dyDescent="0.25">
      <c r="F542" s="35"/>
      <c r="J542" s="35"/>
      <c r="K542" s="35"/>
      <c r="L542" s="35"/>
      <c r="AF542" s="115" t="str">
        <f t="shared" si="16"/>
        <v/>
      </c>
      <c r="AG542" s="116" t="str">
        <f>IF(AF542="","",COUNTIF(AF542:AF$3000,AF542))</f>
        <v/>
      </c>
      <c r="AH542" s="117" t="str">
        <f t="shared" si="17"/>
        <v/>
      </c>
    </row>
    <row r="543" spans="6:34" x14ac:dyDescent="0.25">
      <c r="F543" s="35"/>
      <c r="J543" s="35"/>
      <c r="K543" s="35"/>
      <c r="L543" s="35"/>
      <c r="AF543" s="115" t="str">
        <f t="shared" si="16"/>
        <v/>
      </c>
      <c r="AG543" s="116" t="str">
        <f>IF(AF543="","",COUNTIF(AF543:AF$3000,AF543))</f>
        <v/>
      </c>
      <c r="AH543" s="117" t="str">
        <f t="shared" si="17"/>
        <v/>
      </c>
    </row>
    <row r="544" spans="6:34" x14ac:dyDescent="0.25">
      <c r="F544" s="35"/>
      <c r="J544" s="35"/>
      <c r="K544" s="35"/>
      <c r="L544" s="35"/>
      <c r="AF544" s="115" t="str">
        <f t="shared" si="16"/>
        <v/>
      </c>
      <c r="AG544" s="116" t="str">
        <f>IF(AF544="","",COUNTIF(AF544:AF$3000,AF544))</f>
        <v/>
      </c>
      <c r="AH544" s="117" t="str">
        <f t="shared" si="17"/>
        <v/>
      </c>
    </row>
    <row r="545" spans="6:34" x14ac:dyDescent="0.25">
      <c r="F545" s="35"/>
      <c r="J545" s="35"/>
      <c r="K545" s="35"/>
      <c r="L545" s="35"/>
      <c r="AF545" s="115" t="str">
        <f t="shared" si="16"/>
        <v/>
      </c>
      <c r="AG545" s="116" t="str">
        <f>IF(AF545="","",COUNTIF(AF545:AF$3000,AF545))</f>
        <v/>
      </c>
      <c r="AH545" s="117" t="str">
        <f t="shared" si="17"/>
        <v/>
      </c>
    </row>
    <row r="546" spans="6:34" x14ac:dyDescent="0.25">
      <c r="F546" s="35"/>
      <c r="J546" s="35"/>
      <c r="K546" s="35"/>
      <c r="L546" s="35"/>
      <c r="AF546" s="115" t="str">
        <f t="shared" si="16"/>
        <v/>
      </c>
      <c r="AG546" s="116" t="str">
        <f>IF(AF546="","",COUNTIF(AF546:AF$3000,AF546))</f>
        <v/>
      </c>
      <c r="AH546" s="117" t="str">
        <f t="shared" si="17"/>
        <v/>
      </c>
    </row>
    <row r="547" spans="6:34" x14ac:dyDescent="0.25">
      <c r="F547" s="35"/>
      <c r="J547" s="35"/>
      <c r="K547" s="35"/>
      <c r="L547" s="35"/>
      <c r="AF547" s="115" t="str">
        <f t="shared" si="16"/>
        <v/>
      </c>
      <c r="AG547" s="116" t="str">
        <f>IF(AF547="","",COUNTIF(AF547:AF$3000,AF547))</f>
        <v/>
      </c>
      <c r="AH547" s="117" t="str">
        <f t="shared" si="17"/>
        <v/>
      </c>
    </row>
    <row r="548" spans="6:34" x14ac:dyDescent="0.25">
      <c r="F548" s="35"/>
      <c r="J548" s="35"/>
      <c r="K548" s="35"/>
      <c r="L548" s="35"/>
      <c r="AF548" s="115" t="str">
        <f t="shared" si="16"/>
        <v/>
      </c>
      <c r="AG548" s="116" t="str">
        <f>IF(AF548="","",COUNTIF(AF548:AF$3000,AF548))</f>
        <v/>
      </c>
      <c r="AH548" s="117" t="str">
        <f t="shared" si="17"/>
        <v/>
      </c>
    </row>
    <row r="549" spans="6:34" x14ac:dyDescent="0.25">
      <c r="F549" s="35"/>
      <c r="J549" s="35"/>
      <c r="K549" s="35"/>
      <c r="L549" s="35"/>
      <c r="AF549" s="115" t="str">
        <f t="shared" si="16"/>
        <v/>
      </c>
      <c r="AG549" s="116" t="str">
        <f>IF(AF549="","",COUNTIF(AF549:AF$3000,AF549))</f>
        <v/>
      </c>
      <c r="AH549" s="117" t="str">
        <f t="shared" si="17"/>
        <v/>
      </c>
    </row>
    <row r="550" spans="6:34" x14ac:dyDescent="0.25">
      <c r="F550" s="35"/>
      <c r="J550" s="35"/>
      <c r="K550" s="35"/>
      <c r="L550" s="35"/>
      <c r="AF550" s="115" t="str">
        <f t="shared" si="16"/>
        <v/>
      </c>
      <c r="AG550" s="116" t="str">
        <f>IF(AF550="","",COUNTIF(AF550:AF$3000,AF550))</f>
        <v/>
      </c>
      <c r="AH550" s="117" t="str">
        <f t="shared" si="17"/>
        <v/>
      </c>
    </row>
    <row r="551" spans="6:34" x14ac:dyDescent="0.25">
      <c r="F551" s="35"/>
      <c r="J551" s="35"/>
      <c r="K551" s="35"/>
      <c r="L551" s="35"/>
      <c r="AF551" s="115" t="str">
        <f t="shared" si="16"/>
        <v/>
      </c>
      <c r="AG551" s="116" t="str">
        <f>IF(AF551="","",COUNTIF(AF551:AF$3000,AF551))</f>
        <v/>
      </c>
      <c r="AH551" s="117" t="str">
        <f t="shared" si="17"/>
        <v/>
      </c>
    </row>
    <row r="552" spans="6:34" x14ac:dyDescent="0.25">
      <c r="F552" s="35"/>
      <c r="J552" s="35"/>
      <c r="K552" s="35"/>
      <c r="L552" s="35"/>
      <c r="AF552" s="115" t="str">
        <f t="shared" si="16"/>
        <v/>
      </c>
      <c r="AG552" s="116" t="str">
        <f>IF(AF552="","",COUNTIF(AF552:AF$3000,AF552))</f>
        <v/>
      </c>
      <c r="AH552" s="117" t="str">
        <f t="shared" si="17"/>
        <v/>
      </c>
    </row>
    <row r="553" spans="6:34" x14ac:dyDescent="0.25">
      <c r="F553" s="35"/>
      <c r="J553" s="35"/>
      <c r="K553" s="35"/>
      <c r="L553" s="35"/>
      <c r="AF553" s="115" t="str">
        <f t="shared" si="16"/>
        <v/>
      </c>
      <c r="AG553" s="116" t="str">
        <f>IF(AF553="","",COUNTIF(AF553:AF$3000,AF553))</f>
        <v/>
      </c>
      <c r="AH553" s="117" t="str">
        <f t="shared" si="17"/>
        <v/>
      </c>
    </row>
    <row r="554" spans="6:34" x14ac:dyDescent="0.25">
      <c r="F554" s="35"/>
      <c r="J554" s="35"/>
      <c r="K554" s="35"/>
      <c r="L554" s="35"/>
      <c r="AF554" s="115" t="str">
        <f t="shared" si="16"/>
        <v/>
      </c>
      <c r="AG554" s="116" t="str">
        <f>IF(AF554="","",COUNTIF(AF554:AF$3000,AF554))</f>
        <v/>
      </c>
      <c r="AH554" s="117" t="str">
        <f t="shared" si="17"/>
        <v/>
      </c>
    </row>
    <row r="555" spans="6:34" x14ac:dyDescent="0.25">
      <c r="F555" s="35"/>
      <c r="J555" s="35"/>
      <c r="K555" s="35"/>
      <c r="L555" s="35"/>
      <c r="AF555" s="115" t="str">
        <f t="shared" si="16"/>
        <v/>
      </c>
      <c r="AG555" s="116" t="str">
        <f>IF(AF555="","",COUNTIF(AF555:AF$3000,AF555))</f>
        <v/>
      </c>
      <c r="AH555" s="117" t="str">
        <f t="shared" si="17"/>
        <v/>
      </c>
    </row>
    <row r="556" spans="6:34" x14ac:dyDescent="0.25">
      <c r="F556" s="35"/>
      <c r="J556" s="35"/>
      <c r="K556" s="35"/>
      <c r="L556" s="35"/>
      <c r="AF556" s="115" t="str">
        <f t="shared" si="16"/>
        <v/>
      </c>
      <c r="AG556" s="116" t="str">
        <f>IF(AF556="","",COUNTIF(AF556:AF$3000,AF556))</f>
        <v/>
      </c>
      <c r="AH556" s="117" t="str">
        <f t="shared" si="17"/>
        <v/>
      </c>
    </row>
    <row r="557" spans="6:34" x14ac:dyDescent="0.25">
      <c r="F557" s="35"/>
      <c r="J557" s="35"/>
      <c r="K557" s="35"/>
      <c r="L557" s="35"/>
      <c r="AF557" s="115" t="str">
        <f t="shared" si="16"/>
        <v/>
      </c>
      <c r="AG557" s="116" t="str">
        <f>IF(AF557="","",COUNTIF(AF557:AF$3000,AF557))</f>
        <v/>
      </c>
      <c r="AH557" s="117" t="str">
        <f t="shared" si="17"/>
        <v/>
      </c>
    </row>
    <row r="558" spans="6:34" x14ac:dyDescent="0.25">
      <c r="F558" s="35"/>
      <c r="J558" s="35"/>
      <c r="K558" s="35"/>
      <c r="L558" s="35"/>
      <c r="AF558" s="115" t="str">
        <f t="shared" si="16"/>
        <v/>
      </c>
      <c r="AG558" s="116" t="str">
        <f>IF(AF558="","",COUNTIF(AF558:AF$3000,AF558))</f>
        <v/>
      </c>
      <c r="AH558" s="117" t="str">
        <f t="shared" si="17"/>
        <v/>
      </c>
    </row>
    <row r="559" spans="6:34" x14ac:dyDescent="0.25">
      <c r="F559" s="35"/>
      <c r="J559" s="35"/>
      <c r="K559" s="35"/>
      <c r="L559" s="35"/>
      <c r="AF559" s="115" t="str">
        <f t="shared" si="16"/>
        <v/>
      </c>
      <c r="AG559" s="116" t="str">
        <f>IF(AF559="","",COUNTIF(AF559:AF$3000,AF559))</f>
        <v/>
      </c>
      <c r="AH559" s="117" t="str">
        <f t="shared" si="17"/>
        <v/>
      </c>
    </row>
    <row r="560" spans="6:34" x14ac:dyDescent="0.25">
      <c r="F560" s="35"/>
      <c r="J560" s="35"/>
      <c r="K560" s="35"/>
      <c r="L560" s="35"/>
      <c r="AF560" s="115" t="str">
        <f t="shared" si="16"/>
        <v/>
      </c>
      <c r="AG560" s="116" t="str">
        <f>IF(AF560="","",COUNTIF(AF560:AF$3000,AF560))</f>
        <v/>
      </c>
      <c r="AH560" s="117" t="str">
        <f t="shared" si="17"/>
        <v/>
      </c>
    </row>
    <row r="561" spans="6:34" x14ac:dyDescent="0.25">
      <c r="F561" s="35"/>
      <c r="J561" s="35"/>
      <c r="K561" s="35"/>
      <c r="L561" s="35"/>
      <c r="AF561" s="115" t="str">
        <f t="shared" si="16"/>
        <v/>
      </c>
      <c r="AG561" s="116" t="str">
        <f>IF(AF561="","",COUNTIF(AF561:AF$3000,AF561))</f>
        <v/>
      </c>
      <c r="AH561" s="117" t="str">
        <f t="shared" si="17"/>
        <v/>
      </c>
    </row>
    <row r="562" spans="6:34" x14ac:dyDescent="0.25">
      <c r="F562" s="35"/>
      <c r="J562" s="35"/>
      <c r="K562" s="35"/>
      <c r="L562" s="35"/>
      <c r="AF562" s="115" t="str">
        <f t="shared" si="16"/>
        <v/>
      </c>
      <c r="AG562" s="116" t="str">
        <f>IF(AF562="","",COUNTIF(AF562:AF$3000,AF562))</f>
        <v/>
      </c>
      <c r="AH562" s="117" t="str">
        <f t="shared" si="17"/>
        <v/>
      </c>
    </row>
    <row r="563" spans="6:34" x14ac:dyDescent="0.25">
      <c r="F563" s="35"/>
      <c r="J563" s="35"/>
      <c r="K563" s="35"/>
      <c r="L563" s="35"/>
      <c r="AF563" s="115" t="str">
        <f t="shared" si="16"/>
        <v/>
      </c>
      <c r="AG563" s="116" t="str">
        <f>IF(AF563="","",COUNTIF(AF563:AF$3000,AF563))</f>
        <v/>
      </c>
      <c r="AH563" s="117" t="str">
        <f t="shared" si="17"/>
        <v/>
      </c>
    </row>
    <row r="564" spans="6:34" x14ac:dyDescent="0.25">
      <c r="F564" s="35"/>
      <c r="J564" s="35"/>
      <c r="K564" s="35"/>
      <c r="L564" s="35"/>
      <c r="AF564" s="115" t="str">
        <f t="shared" si="16"/>
        <v/>
      </c>
      <c r="AG564" s="116" t="str">
        <f>IF(AF564="","",COUNTIF(AF564:AF$3000,AF564))</f>
        <v/>
      </c>
      <c r="AH564" s="117" t="str">
        <f t="shared" si="17"/>
        <v/>
      </c>
    </row>
    <row r="565" spans="6:34" x14ac:dyDescent="0.25">
      <c r="F565" s="35"/>
      <c r="J565" s="35"/>
      <c r="K565" s="35"/>
      <c r="L565" s="35"/>
      <c r="AF565" s="115" t="str">
        <f t="shared" si="16"/>
        <v/>
      </c>
      <c r="AG565" s="116" t="str">
        <f>IF(AF565="","",COUNTIF(AF565:AF$3000,AF565))</f>
        <v/>
      </c>
      <c r="AH565" s="117" t="str">
        <f t="shared" si="17"/>
        <v/>
      </c>
    </row>
    <row r="566" spans="6:34" x14ac:dyDescent="0.25">
      <c r="F566" s="35"/>
      <c r="J566" s="35"/>
      <c r="K566" s="35"/>
      <c r="L566" s="35"/>
      <c r="AF566" s="115" t="str">
        <f t="shared" si="16"/>
        <v/>
      </c>
      <c r="AG566" s="116" t="str">
        <f>IF(AF566="","",COUNTIF(AF566:AF$3000,AF566))</f>
        <v/>
      </c>
      <c r="AH566" s="117" t="str">
        <f t="shared" si="17"/>
        <v/>
      </c>
    </row>
    <row r="567" spans="6:34" x14ac:dyDescent="0.25">
      <c r="F567" s="35"/>
      <c r="J567" s="35"/>
      <c r="K567" s="35"/>
      <c r="L567" s="35"/>
      <c r="AF567" s="115" t="str">
        <f t="shared" si="16"/>
        <v/>
      </c>
      <c r="AG567" s="116" t="str">
        <f>IF(AF567="","",COUNTIF(AF567:AF$3000,AF567))</f>
        <v/>
      </c>
      <c r="AH567" s="117" t="str">
        <f t="shared" si="17"/>
        <v/>
      </c>
    </row>
    <row r="568" spans="6:34" x14ac:dyDescent="0.25">
      <c r="F568" s="35"/>
      <c r="J568" s="35"/>
      <c r="K568" s="35"/>
      <c r="L568" s="35"/>
      <c r="AF568" s="115" t="str">
        <f t="shared" si="16"/>
        <v/>
      </c>
      <c r="AG568" s="116" t="str">
        <f>IF(AF568="","",COUNTIF(AF568:AF$3000,AF568))</f>
        <v/>
      </c>
      <c r="AH568" s="117" t="str">
        <f t="shared" si="17"/>
        <v/>
      </c>
    </row>
    <row r="569" spans="6:34" x14ac:dyDescent="0.25">
      <c r="F569" s="35"/>
      <c r="J569" s="35"/>
      <c r="K569" s="35"/>
      <c r="L569" s="35"/>
      <c r="AF569" s="115" t="str">
        <f t="shared" si="16"/>
        <v/>
      </c>
      <c r="AG569" s="116" t="str">
        <f>IF(AF569="","",COUNTIF(AF569:AF$3000,AF569))</f>
        <v/>
      </c>
      <c r="AH569" s="117" t="str">
        <f t="shared" si="17"/>
        <v/>
      </c>
    </row>
    <row r="570" spans="6:34" x14ac:dyDescent="0.25">
      <c r="F570" s="35"/>
      <c r="J570" s="35"/>
      <c r="K570" s="35"/>
      <c r="L570" s="35"/>
      <c r="AF570" s="115" t="str">
        <f t="shared" si="16"/>
        <v/>
      </c>
      <c r="AG570" s="116" t="str">
        <f>IF(AF570="","",COUNTIF(AF570:AF$3000,AF570))</f>
        <v/>
      </c>
      <c r="AH570" s="117" t="str">
        <f t="shared" si="17"/>
        <v/>
      </c>
    </row>
    <row r="571" spans="6:34" x14ac:dyDescent="0.25">
      <c r="F571" s="35"/>
      <c r="J571" s="35"/>
      <c r="K571" s="35"/>
      <c r="L571" s="35"/>
      <c r="AF571" s="115" t="str">
        <f t="shared" si="16"/>
        <v/>
      </c>
      <c r="AG571" s="116" t="str">
        <f>IF(AF571="","",COUNTIF(AF571:AF$3000,AF571))</f>
        <v/>
      </c>
      <c r="AH571" s="117" t="str">
        <f t="shared" si="17"/>
        <v/>
      </c>
    </row>
    <row r="572" spans="6:34" x14ac:dyDescent="0.25">
      <c r="F572" s="35"/>
      <c r="J572" s="35"/>
      <c r="K572" s="35"/>
      <c r="L572" s="35"/>
      <c r="AF572" s="115" t="str">
        <f t="shared" si="16"/>
        <v/>
      </c>
      <c r="AG572" s="116" t="str">
        <f>IF(AF572="","",COUNTIF(AF572:AF$3000,AF572))</f>
        <v/>
      </c>
      <c r="AH572" s="117" t="str">
        <f t="shared" si="17"/>
        <v/>
      </c>
    </row>
    <row r="573" spans="6:34" x14ac:dyDescent="0.25">
      <c r="F573" s="35"/>
      <c r="J573" s="35"/>
      <c r="K573" s="35"/>
      <c r="L573" s="35"/>
      <c r="AF573" s="115" t="str">
        <f t="shared" si="16"/>
        <v/>
      </c>
      <c r="AG573" s="116" t="str">
        <f>IF(AF573="","",COUNTIF(AF573:AF$3000,AF573))</f>
        <v/>
      </c>
      <c r="AH573" s="117" t="str">
        <f t="shared" si="17"/>
        <v/>
      </c>
    </row>
    <row r="574" spans="6:34" x14ac:dyDescent="0.25">
      <c r="F574" s="35"/>
      <c r="J574" s="35"/>
      <c r="K574" s="35"/>
      <c r="L574" s="35"/>
      <c r="AF574" s="115" t="str">
        <f t="shared" si="16"/>
        <v/>
      </c>
      <c r="AG574" s="116" t="str">
        <f>IF(AF574="","",COUNTIF(AF574:AF$3000,AF574))</f>
        <v/>
      </c>
      <c r="AH574" s="117" t="str">
        <f t="shared" si="17"/>
        <v/>
      </c>
    </row>
    <row r="575" spans="6:34" x14ac:dyDescent="0.25">
      <c r="F575" s="35"/>
      <c r="J575" s="35"/>
      <c r="K575" s="35"/>
      <c r="L575" s="35"/>
      <c r="AF575" s="115" t="str">
        <f t="shared" si="16"/>
        <v/>
      </c>
      <c r="AG575" s="116" t="str">
        <f>IF(AF575="","",COUNTIF(AF575:AF$3000,AF575))</f>
        <v/>
      </c>
      <c r="AH575" s="117" t="str">
        <f t="shared" si="17"/>
        <v/>
      </c>
    </row>
    <row r="576" spans="6:34" x14ac:dyDescent="0.25">
      <c r="F576" s="35"/>
      <c r="J576" s="35"/>
      <c r="K576" s="35"/>
      <c r="L576" s="35"/>
      <c r="AF576" s="115" t="str">
        <f t="shared" si="16"/>
        <v/>
      </c>
      <c r="AG576" s="116" t="str">
        <f>IF(AF576="","",COUNTIF(AF576:AF$3000,AF576))</f>
        <v/>
      </c>
      <c r="AH576" s="117" t="str">
        <f t="shared" si="17"/>
        <v/>
      </c>
    </row>
    <row r="577" spans="6:34" x14ac:dyDescent="0.25">
      <c r="F577" s="35"/>
      <c r="J577" s="35"/>
      <c r="K577" s="35"/>
      <c r="L577" s="35"/>
      <c r="AF577" s="115" t="str">
        <f t="shared" si="16"/>
        <v/>
      </c>
      <c r="AG577" s="116" t="str">
        <f>IF(AF577="","",COUNTIF(AF577:AF$3000,AF577))</f>
        <v/>
      </c>
      <c r="AH577" s="117" t="str">
        <f t="shared" si="17"/>
        <v/>
      </c>
    </row>
    <row r="578" spans="6:34" x14ac:dyDescent="0.25">
      <c r="F578" s="35"/>
      <c r="J578" s="35"/>
      <c r="K578" s="35"/>
      <c r="L578" s="35"/>
      <c r="AF578" s="115" t="str">
        <f t="shared" si="16"/>
        <v/>
      </c>
      <c r="AG578" s="116" t="str">
        <f>IF(AF578="","",COUNTIF(AF578:AF$3000,AF578))</f>
        <v/>
      </c>
      <c r="AH578" s="117" t="str">
        <f t="shared" si="17"/>
        <v/>
      </c>
    </row>
    <row r="579" spans="6:34" x14ac:dyDescent="0.25">
      <c r="F579" s="35"/>
      <c r="J579" s="35"/>
      <c r="K579" s="35"/>
      <c r="L579" s="35"/>
      <c r="AF579" s="115" t="str">
        <f t="shared" si="16"/>
        <v/>
      </c>
      <c r="AG579" s="116" t="str">
        <f>IF(AF579="","",COUNTIF(AF579:AF$3000,AF579))</f>
        <v/>
      </c>
      <c r="AH579" s="117" t="str">
        <f t="shared" si="17"/>
        <v/>
      </c>
    </row>
    <row r="580" spans="6:34" x14ac:dyDescent="0.25">
      <c r="F580" s="35"/>
      <c r="J580" s="35"/>
      <c r="K580" s="35"/>
      <c r="L580" s="35"/>
      <c r="AF580" s="115" t="str">
        <f t="shared" ref="AF580:AF643" si="18">IF(B580="","",TEXT(J580,"DD/MM/AA")&amp;"_"&amp;S580&amp;"_"&amp;V580)</f>
        <v/>
      </c>
      <c r="AG580" s="116" t="str">
        <f>IF(AF580="","",COUNTIF(AF580:AF$3000,AF580))</f>
        <v/>
      </c>
      <c r="AH580" s="117" t="str">
        <f t="shared" ref="AH580:AH643" si="19">IF(AA580="","",
IF(AG580&gt;1,"",
IF(SUMIF(AF$3:AF$31,AF580,H$3:H$31)/10&lt;1,1,SUMIF(AF$3:AF$31,AF580,H$3:H$31)/10)))</f>
        <v/>
      </c>
    </row>
    <row r="581" spans="6:34" x14ac:dyDescent="0.25">
      <c r="F581" s="35"/>
      <c r="J581" s="35"/>
      <c r="K581" s="35"/>
      <c r="L581" s="35"/>
      <c r="AF581" s="115" t="str">
        <f t="shared" si="18"/>
        <v/>
      </c>
      <c r="AG581" s="116" t="str">
        <f>IF(AF581="","",COUNTIF(AF581:AF$3000,AF581))</f>
        <v/>
      </c>
      <c r="AH581" s="117" t="str">
        <f t="shared" si="19"/>
        <v/>
      </c>
    </row>
    <row r="582" spans="6:34" x14ac:dyDescent="0.25">
      <c r="F582" s="35"/>
      <c r="J582" s="35"/>
      <c r="K582" s="35"/>
      <c r="L582" s="35"/>
      <c r="AF582" s="115" t="str">
        <f t="shared" si="18"/>
        <v/>
      </c>
      <c r="AG582" s="116" t="str">
        <f>IF(AF582="","",COUNTIF(AF582:AF$3000,AF582))</f>
        <v/>
      </c>
      <c r="AH582" s="117" t="str">
        <f t="shared" si="19"/>
        <v/>
      </c>
    </row>
    <row r="583" spans="6:34" x14ac:dyDescent="0.25">
      <c r="F583" s="35"/>
      <c r="J583" s="35"/>
      <c r="K583" s="35"/>
      <c r="L583" s="35"/>
      <c r="AF583" s="115" t="str">
        <f t="shared" si="18"/>
        <v/>
      </c>
      <c r="AG583" s="116" t="str">
        <f>IF(AF583="","",COUNTIF(AF583:AF$3000,AF583))</f>
        <v/>
      </c>
      <c r="AH583" s="117" t="str">
        <f t="shared" si="19"/>
        <v/>
      </c>
    </row>
    <row r="584" spans="6:34" x14ac:dyDescent="0.25">
      <c r="F584" s="35"/>
      <c r="J584" s="35"/>
      <c r="K584" s="35"/>
      <c r="L584" s="35"/>
      <c r="AF584" s="115" t="str">
        <f t="shared" si="18"/>
        <v/>
      </c>
      <c r="AG584" s="116" t="str">
        <f>IF(AF584="","",COUNTIF(AF584:AF$3000,AF584))</f>
        <v/>
      </c>
      <c r="AH584" s="117" t="str">
        <f t="shared" si="19"/>
        <v/>
      </c>
    </row>
    <row r="585" spans="6:34" x14ac:dyDescent="0.25">
      <c r="F585" s="35"/>
      <c r="J585" s="35"/>
      <c r="K585" s="35"/>
      <c r="L585" s="35"/>
      <c r="AF585" s="115" t="str">
        <f t="shared" si="18"/>
        <v/>
      </c>
      <c r="AG585" s="116" t="str">
        <f>IF(AF585="","",COUNTIF(AF585:AF$3000,AF585))</f>
        <v/>
      </c>
      <c r="AH585" s="117" t="str">
        <f t="shared" si="19"/>
        <v/>
      </c>
    </row>
    <row r="586" spans="6:34" x14ac:dyDescent="0.25">
      <c r="F586" s="35"/>
      <c r="J586" s="35"/>
      <c r="K586" s="35"/>
      <c r="L586" s="35"/>
      <c r="AF586" s="115" t="str">
        <f t="shared" si="18"/>
        <v/>
      </c>
      <c r="AG586" s="116" t="str">
        <f>IF(AF586="","",COUNTIF(AF586:AF$3000,AF586))</f>
        <v/>
      </c>
      <c r="AH586" s="117" t="str">
        <f t="shared" si="19"/>
        <v/>
      </c>
    </row>
    <row r="587" spans="6:34" x14ac:dyDescent="0.25">
      <c r="F587" s="35"/>
      <c r="J587" s="35"/>
      <c r="K587" s="35"/>
      <c r="L587" s="35"/>
      <c r="AF587" s="115" t="str">
        <f t="shared" si="18"/>
        <v/>
      </c>
      <c r="AG587" s="116" t="str">
        <f>IF(AF587="","",COUNTIF(AF587:AF$3000,AF587))</f>
        <v/>
      </c>
      <c r="AH587" s="117" t="str">
        <f t="shared" si="19"/>
        <v/>
      </c>
    </row>
    <row r="588" spans="6:34" x14ac:dyDescent="0.25">
      <c r="F588" s="35"/>
      <c r="J588" s="35"/>
      <c r="K588" s="35"/>
      <c r="L588" s="35"/>
      <c r="AF588" s="115" t="str">
        <f t="shared" si="18"/>
        <v/>
      </c>
      <c r="AG588" s="116" t="str">
        <f>IF(AF588="","",COUNTIF(AF588:AF$3000,AF588))</f>
        <v/>
      </c>
      <c r="AH588" s="117" t="str">
        <f t="shared" si="19"/>
        <v/>
      </c>
    </row>
    <row r="589" spans="6:34" x14ac:dyDescent="0.25">
      <c r="F589" s="35"/>
      <c r="J589" s="35"/>
      <c r="K589" s="35"/>
      <c r="L589" s="35"/>
      <c r="AF589" s="115" t="str">
        <f t="shared" si="18"/>
        <v/>
      </c>
      <c r="AG589" s="116" t="str">
        <f>IF(AF589="","",COUNTIF(AF589:AF$3000,AF589))</f>
        <v/>
      </c>
      <c r="AH589" s="117" t="str">
        <f t="shared" si="19"/>
        <v/>
      </c>
    </row>
    <row r="590" spans="6:34" x14ac:dyDescent="0.25">
      <c r="F590" s="35"/>
      <c r="J590" s="35"/>
      <c r="K590" s="35"/>
      <c r="L590" s="35"/>
      <c r="AF590" s="115" t="str">
        <f t="shared" si="18"/>
        <v/>
      </c>
      <c r="AG590" s="116" t="str">
        <f>IF(AF590="","",COUNTIF(AF590:AF$3000,AF590))</f>
        <v/>
      </c>
      <c r="AH590" s="117" t="str">
        <f t="shared" si="19"/>
        <v/>
      </c>
    </row>
    <row r="591" spans="6:34" x14ac:dyDescent="0.25">
      <c r="F591" s="35"/>
      <c r="J591" s="35"/>
      <c r="K591" s="35"/>
      <c r="L591" s="35"/>
      <c r="AF591" s="115" t="str">
        <f t="shared" si="18"/>
        <v/>
      </c>
      <c r="AG591" s="116" t="str">
        <f>IF(AF591="","",COUNTIF(AF591:AF$3000,AF591))</f>
        <v/>
      </c>
      <c r="AH591" s="117" t="str">
        <f t="shared" si="19"/>
        <v/>
      </c>
    </row>
    <row r="592" spans="6:34" x14ac:dyDescent="0.25">
      <c r="F592" s="35"/>
      <c r="J592" s="35"/>
      <c r="K592" s="35"/>
      <c r="L592" s="35"/>
      <c r="AF592" s="115" t="str">
        <f t="shared" si="18"/>
        <v/>
      </c>
      <c r="AG592" s="116" t="str">
        <f>IF(AF592="","",COUNTIF(AF592:AF$3000,AF592))</f>
        <v/>
      </c>
      <c r="AH592" s="117" t="str">
        <f t="shared" si="19"/>
        <v/>
      </c>
    </row>
    <row r="593" spans="6:34" x14ac:dyDescent="0.25">
      <c r="F593" s="35"/>
      <c r="J593" s="35"/>
      <c r="K593" s="35"/>
      <c r="L593" s="35"/>
      <c r="AF593" s="115" t="str">
        <f t="shared" si="18"/>
        <v/>
      </c>
      <c r="AG593" s="116" t="str">
        <f>IF(AF593="","",COUNTIF(AF593:AF$3000,AF593))</f>
        <v/>
      </c>
      <c r="AH593" s="117" t="str">
        <f t="shared" si="19"/>
        <v/>
      </c>
    </row>
    <row r="594" spans="6:34" x14ac:dyDescent="0.25">
      <c r="F594" s="35"/>
      <c r="J594" s="35"/>
      <c r="K594" s="35"/>
      <c r="L594" s="35"/>
      <c r="AF594" s="115" t="str">
        <f t="shared" si="18"/>
        <v/>
      </c>
      <c r="AG594" s="116" t="str">
        <f>IF(AF594="","",COUNTIF(AF594:AF$3000,AF594))</f>
        <v/>
      </c>
      <c r="AH594" s="117" t="str">
        <f t="shared" si="19"/>
        <v/>
      </c>
    </row>
    <row r="595" spans="6:34" x14ac:dyDescent="0.25">
      <c r="F595" s="35"/>
      <c r="J595" s="35"/>
      <c r="K595" s="35"/>
      <c r="L595" s="35"/>
      <c r="AF595" s="115" t="str">
        <f t="shared" si="18"/>
        <v/>
      </c>
      <c r="AG595" s="116" t="str">
        <f>IF(AF595="","",COUNTIF(AF595:AF$3000,AF595))</f>
        <v/>
      </c>
      <c r="AH595" s="117" t="str">
        <f t="shared" si="19"/>
        <v/>
      </c>
    </row>
    <row r="596" spans="6:34" x14ac:dyDescent="0.25">
      <c r="F596" s="35"/>
      <c r="J596" s="35"/>
      <c r="K596" s="35"/>
      <c r="L596" s="35"/>
      <c r="AF596" s="115" t="str">
        <f t="shared" si="18"/>
        <v/>
      </c>
      <c r="AG596" s="116" t="str">
        <f>IF(AF596="","",COUNTIF(AF596:AF$3000,AF596))</f>
        <v/>
      </c>
      <c r="AH596" s="117" t="str">
        <f t="shared" si="19"/>
        <v/>
      </c>
    </row>
    <row r="597" spans="6:34" x14ac:dyDescent="0.25">
      <c r="F597" s="35"/>
      <c r="J597" s="35"/>
      <c r="K597" s="35"/>
      <c r="L597" s="35"/>
      <c r="AF597" s="115" t="str">
        <f t="shared" si="18"/>
        <v/>
      </c>
      <c r="AG597" s="116" t="str">
        <f>IF(AF597="","",COUNTIF(AF597:AF$3000,AF597))</f>
        <v/>
      </c>
      <c r="AH597" s="117" t="str">
        <f t="shared" si="19"/>
        <v/>
      </c>
    </row>
    <row r="598" spans="6:34" x14ac:dyDescent="0.25">
      <c r="F598" s="35"/>
      <c r="J598" s="35"/>
      <c r="K598" s="35"/>
      <c r="L598" s="35"/>
      <c r="AF598" s="115" t="str">
        <f t="shared" si="18"/>
        <v/>
      </c>
      <c r="AG598" s="116" t="str">
        <f>IF(AF598="","",COUNTIF(AF598:AF$3000,AF598))</f>
        <v/>
      </c>
      <c r="AH598" s="117" t="str">
        <f t="shared" si="19"/>
        <v/>
      </c>
    </row>
    <row r="599" spans="6:34" x14ac:dyDescent="0.25">
      <c r="F599" s="35"/>
      <c r="J599" s="35"/>
      <c r="K599" s="35"/>
      <c r="L599" s="35"/>
      <c r="AF599" s="115" t="str">
        <f t="shared" si="18"/>
        <v/>
      </c>
      <c r="AG599" s="116" t="str">
        <f>IF(AF599="","",COUNTIF(AF599:AF$3000,AF599))</f>
        <v/>
      </c>
      <c r="AH599" s="117" t="str">
        <f t="shared" si="19"/>
        <v/>
      </c>
    </row>
    <row r="600" spans="6:34" x14ac:dyDescent="0.25">
      <c r="F600" s="35"/>
      <c r="J600" s="35"/>
      <c r="K600" s="35"/>
      <c r="L600" s="35"/>
      <c r="AF600" s="115" t="str">
        <f t="shared" si="18"/>
        <v/>
      </c>
      <c r="AG600" s="116" t="str">
        <f>IF(AF600="","",COUNTIF(AF600:AF$3000,AF600))</f>
        <v/>
      </c>
      <c r="AH600" s="117" t="str">
        <f t="shared" si="19"/>
        <v/>
      </c>
    </row>
    <row r="601" spans="6:34" x14ac:dyDescent="0.25">
      <c r="F601" s="35"/>
      <c r="J601" s="35"/>
      <c r="K601" s="35"/>
      <c r="L601" s="35"/>
      <c r="AF601" s="115" t="str">
        <f t="shared" si="18"/>
        <v/>
      </c>
      <c r="AG601" s="116" t="str">
        <f>IF(AF601="","",COUNTIF(AF601:AF$3000,AF601))</f>
        <v/>
      </c>
      <c r="AH601" s="117" t="str">
        <f t="shared" si="19"/>
        <v/>
      </c>
    </row>
    <row r="602" spans="6:34" x14ac:dyDescent="0.25">
      <c r="F602" s="35"/>
      <c r="J602" s="35"/>
      <c r="K602" s="35"/>
      <c r="L602" s="35"/>
      <c r="AF602" s="115" t="str">
        <f t="shared" si="18"/>
        <v/>
      </c>
      <c r="AG602" s="116" t="str">
        <f>IF(AF602="","",COUNTIF(AF602:AF$3000,AF602))</f>
        <v/>
      </c>
      <c r="AH602" s="117" t="str">
        <f t="shared" si="19"/>
        <v/>
      </c>
    </row>
    <row r="603" spans="6:34" x14ac:dyDescent="0.25">
      <c r="F603" s="35"/>
      <c r="J603" s="35"/>
      <c r="K603" s="35"/>
      <c r="L603" s="35"/>
      <c r="AF603" s="115" t="str">
        <f t="shared" si="18"/>
        <v/>
      </c>
      <c r="AG603" s="116" t="str">
        <f>IF(AF603="","",COUNTIF(AF603:AF$3000,AF603))</f>
        <v/>
      </c>
      <c r="AH603" s="117" t="str">
        <f t="shared" si="19"/>
        <v/>
      </c>
    </row>
    <row r="604" spans="6:34" x14ac:dyDescent="0.25">
      <c r="F604" s="35"/>
      <c r="J604" s="35"/>
      <c r="K604" s="35"/>
      <c r="L604" s="35"/>
      <c r="AF604" s="115" t="str">
        <f t="shared" si="18"/>
        <v/>
      </c>
      <c r="AG604" s="116" t="str">
        <f>IF(AF604="","",COUNTIF(AF604:AF$3000,AF604))</f>
        <v/>
      </c>
      <c r="AH604" s="117" t="str">
        <f t="shared" si="19"/>
        <v/>
      </c>
    </row>
    <row r="605" spans="6:34" x14ac:dyDescent="0.25">
      <c r="F605" s="35"/>
      <c r="J605" s="35"/>
      <c r="K605" s="35"/>
      <c r="L605" s="35"/>
      <c r="AF605" s="115" t="str">
        <f t="shared" si="18"/>
        <v/>
      </c>
      <c r="AG605" s="116" t="str">
        <f>IF(AF605="","",COUNTIF(AF605:AF$3000,AF605))</f>
        <v/>
      </c>
      <c r="AH605" s="117" t="str">
        <f t="shared" si="19"/>
        <v/>
      </c>
    </row>
    <row r="606" spans="6:34" x14ac:dyDescent="0.25">
      <c r="F606" s="35"/>
      <c r="J606" s="35"/>
      <c r="K606" s="35"/>
      <c r="L606" s="35"/>
      <c r="AF606" s="115" t="str">
        <f t="shared" si="18"/>
        <v/>
      </c>
      <c r="AG606" s="116" t="str">
        <f>IF(AF606="","",COUNTIF(AF606:AF$3000,AF606))</f>
        <v/>
      </c>
      <c r="AH606" s="117" t="str">
        <f t="shared" si="19"/>
        <v/>
      </c>
    </row>
    <row r="607" spans="6:34" x14ac:dyDescent="0.25">
      <c r="F607" s="35"/>
      <c r="J607" s="35"/>
      <c r="K607" s="35"/>
      <c r="L607" s="35"/>
      <c r="AF607" s="115" t="str">
        <f t="shared" si="18"/>
        <v/>
      </c>
      <c r="AG607" s="116" t="str">
        <f>IF(AF607="","",COUNTIF(AF607:AF$3000,AF607))</f>
        <v/>
      </c>
      <c r="AH607" s="117" t="str">
        <f t="shared" si="19"/>
        <v/>
      </c>
    </row>
    <row r="608" spans="6:34" x14ac:dyDescent="0.25">
      <c r="F608" s="35"/>
      <c r="J608" s="35"/>
      <c r="K608" s="35"/>
      <c r="L608" s="35"/>
      <c r="AF608" s="115" t="str">
        <f t="shared" si="18"/>
        <v/>
      </c>
      <c r="AG608" s="116" t="str">
        <f>IF(AF608="","",COUNTIF(AF608:AF$3000,AF608))</f>
        <v/>
      </c>
      <c r="AH608" s="117" t="str">
        <f t="shared" si="19"/>
        <v/>
      </c>
    </row>
    <row r="609" spans="6:34" x14ac:dyDescent="0.25">
      <c r="F609" s="35"/>
      <c r="J609" s="35"/>
      <c r="K609" s="35"/>
      <c r="L609" s="35"/>
      <c r="AF609" s="115" t="str">
        <f t="shared" si="18"/>
        <v/>
      </c>
      <c r="AG609" s="116" t="str">
        <f>IF(AF609="","",COUNTIF(AF609:AF$3000,AF609))</f>
        <v/>
      </c>
      <c r="AH609" s="117" t="str">
        <f t="shared" si="19"/>
        <v/>
      </c>
    </row>
    <row r="610" spans="6:34" x14ac:dyDescent="0.25">
      <c r="F610" s="35"/>
      <c r="J610" s="35"/>
      <c r="K610" s="35"/>
      <c r="L610" s="35"/>
      <c r="AF610" s="115" t="str">
        <f t="shared" si="18"/>
        <v/>
      </c>
      <c r="AG610" s="116" t="str">
        <f>IF(AF610="","",COUNTIF(AF610:AF$3000,AF610))</f>
        <v/>
      </c>
      <c r="AH610" s="117" t="str">
        <f t="shared" si="19"/>
        <v/>
      </c>
    </row>
    <row r="611" spans="6:34" x14ac:dyDescent="0.25">
      <c r="F611" s="35"/>
      <c r="J611" s="35"/>
      <c r="K611" s="35"/>
      <c r="L611" s="35"/>
      <c r="AF611" s="115" t="str">
        <f t="shared" si="18"/>
        <v/>
      </c>
      <c r="AG611" s="116" t="str">
        <f>IF(AF611="","",COUNTIF(AF611:AF$3000,AF611))</f>
        <v/>
      </c>
      <c r="AH611" s="117" t="str">
        <f t="shared" si="19"/>
        <v/>
      </c>
    </row>
    <row r="612" spans="6:34" x14ac:dyDescent="0.25">
      <c r="F612" s="35"/>
      <c r="J612" s="35"/>
      <c r="K612" s="35"/>
      <c r="L612" s="35"/>
      <c r="AF612" s="115" t="str">
        <f t="shared" si="18"/>
        <v/>
      </c>
      <c r="AG612" s="116" t="str">
        <f>IF(AF612="","",COUNTIF(AF612:AF$3000,AF612))</f>
        <v/>
      </c>
      <c r="AH612" s="117" t="str">
        <f t="shared" si="19"/>
        <v/>
      </c>
    </row>
    <row r="613" spans="6:34" x14ac:dyDescent="0.25">
      <c r="F613" s="35"/>
      <c r="J613" s="35"/>
      <c r="K613" s="35"/>
      <c r="L613" s="35"/>
      <c r="AF613" s="115" t="str">
        <f t="shared" si="18"/>
        <v/>
      </c>
      <c r="AG613" s="116" t="str">
        <f>IF(AF613="","",COUNTIF(AF613:AF$3000,AF613))</f>
        <v/>
      </c>
      <c r="AH613" s="117" t="str">
        <f t="shared" si="19"/>
        <v/>
      </c>
    </row>
    <row r="614" spans="6:34" x14ac:dyDescent="0.25">
      <c r="F614" s="35"/>
      <c r="J614" s="35"/>
      <c r="K614" s="35"/>
      <c r="L614" s="35"/>
      <c r="AF614" s="115" t="str">
        <f t="shared" si="18"/>
        <v/>
      </c>
      <c r="AG614" s="116" t="str">
        <f>IF(AF614="","",COUNTIF(AF614:AF$3000,AF614))</f>
        <v/>
      </c>
      <c r="AH614" s="117" t="str">
        <f t="shared" si="19"/>
        <v/>
      </c>
    </row>
    <row r="615" spans="6:34" x14ac:dyDescent="0.25">
      <c r="F615" s="35"/>
      <c r="J615" s="35"/>
      <c r="K615" s="35"/>
      <c r="L615" s="35"/>
      <c r="AF615" s="115" t="str">
        <f t="shared" si="18"/>
        <v/>
      </c>
      <c r="AG615" s="116" t="str">
        <f>IF(AF615="","",COUNTIF(AF615:AF$3000,AF615))</f>
        <v/>
      </c>
      <c r="AH615" s="117" t="str">
        <f t="shared" si="19"/>
        <v/>
      </c>
    </row>
    <row r="616" spans="6:34" x14ac:dyDescent="0.25">
      <c r="F616" s="35"/>
      <c r="J616" s="35"/>
      <c r="K616" s="35"/>
      <c r="L616" s="35"/>
      <c r="AF616" s="115" t="str">
        <f t="shared" si="18"/>
        <v/>
      </c>
      <c r="AG616" s="116" t="str">
        <f>IF(AF616="","",COUNTIF(AF616:AF$3000,AF616))</f>
        <v/>
      </c>
      <c r="AH616" s="117" t="str">
        <f t="shared" si="19"/>
        <v/>
      </c>
    </row>
    <row r="617" spans="6:34" x14ac:dyDescent="0.25">
      <c r="F617" s="35"/>
      <c r="J617" s="35"/>
      <c r="K617" s="35"/>
      <c r="L617" s="35"/>
      <c r="AF617" s="115" t="str">
        <f t="shared" si="18"/>
        <v/>
      </c>
      <c r="AG617" s="116" t="str">
        <f>IF(AF617="","",COUNTIF(AF617:AF$3000,AF617))</f>
        <v/>
      </c>
      <c r="AH617" s="117" t="str">
        <f t="shared" si="19"/>
        <v/>
      </c>
    </row>
    <row r="618" spans="6:34" x14ac:dyDescent="0.25">
      <c r="F618" s="35"/>
      <c r="J618" s="35"/>
      <c r="K618" s="35"/>
      <c r="L618" s="35"/>
      <c r="AF618" s="115" t="str">
        <f t="shared" si="18"/>
        <v/>
      </c>
      <c r="AG618" s="116" t="str">
        <f>IF(AF618="","",COUNTIF(AF618:AF$3000,AF618))</f>
        <v/>
      </c>
      <c r="AH618" s="117" t="str">
        <f t="shared" si="19"/>
        <v/>
      </c>
    </row>
    <row r="619" spans="6:34" x14ac:dyDescent="0.25">
      <c r="F619" s="35"/>
      <c r="J619" s="35"/>
      <c r="K619" s="35"/>
      <c r="L619" s="35"/>
      <c r="AF619" s="115" t="str">
        <f t="shared" si="18"/>
        <v/>
      </c>
      <c r="AG619" s="116" t="str">
        <f>IF(AF619="","",COUNTIF(AF619:AF$3000,AF619))</f>
        <v/>
      </c>
      <c r="AH619" s="117" t="str">
        <f t="shared" si="19"/>
        <v/>
      </c>
    </row>
    <row r="620" spans="6:34" x14ac:dyDescent="0.25">
      <c r="F620" s="35"/>
      <c r="J620" s="35"/>
      <c r="K620" s="35"/>
      <c r="L620" s="35"/>
      <c r="AF620" s="115" t="str">
        <f t="shared" si="18"/>
        <v/>
      </c>
      <c r="AG620" s="116" t="str">
        <f>IF(AF620="","",COUNTIF(AF620:AF$3000,AF620))</f>
        <v/>
      </c>
      <c r="AH620" s="117" t="str">
        <f t="shared" si="19"/>
        <v/>
      </c>
    </row>
    <row r="621" spans="6:34" x14ac:dyDescent="0.25">
      <c r="F621" s="35"/>
      <c r="J621" s="35"/>
      <c r="K621" s="35"/>
      <c r="L621" s="35"/>
      <c r="AF621" s="115" t="str">
        <f t="shared" si="18"/>
        <v/>
      </c>
      <c r="AG621" s="116" t="str">
        <f>IF(AF621="","",COUNTIF(AF621:AF$3000,AF621))</f>
        <v/>
      </c>
      <c r="AH621" s="117" t="str">
        <f t="shared" si="19"/>
        <v/>
      </c>
    </row>
    <row r="622" spans="6:34" x14ac:dyDescent="0.25">
      <c r="F622" s="35"/>
      <c r="J622" s="35"/>
      <c r="K622" s="35"/>
      <c r="L622" s="35"/>
      <c r="AF622" s="115" t="str">
        <f t="shared" si="18"/>
        <v/>
      </c>
      <c r="AG622" s="116" t="str">
        <f>IF(AF622="","",COUNTIF(AF622:AF$3000,AF622))</f>
        <v/>
      </c>
      <c r="AH622" s="117" t="str">
        <f t="shared" si="19"/>
        <v/>
      </c>
    </row>
    <row r="623" spans="6:34" x14ac:dyDescent="0.25">
      <c r="F623" s="35"/>
      <c r="J623" s="35"/>
      <c r="K623" s="35"/>
      <c r="L623" s="35"/>
      <c r="AF623" s="115" t="str">
        <f t="shared" si="18"/>
        <v/>
      </c>
      <c r="AG623" s="116" t="str">
        <f>IF(AF623="","",COUNTIF(AF623:AF$3000,AF623))</f>
        <v/>
      </c>
      <c r="AH623" s="117" t="str">
        <f t="shared" si="19"/>
        <v/>
      </c>
    </row>
    <row r="624" spans="6:34" x14ac:dyDescent="0.25">
      <c r="F624" s="35"/>
      <c r="J624" s="35"/>
      <c r="K624" s="35"/>
      <c r="L624" s="35"/>
      <c r="AF624" s="115" t="str">
        <f t="shared" si="18"/>
        <v/>
      </c>
      <c r="AG624" s="116" t="str">
        <f>IF(AF624="","",COUNTIF(AF624:AF$3000,AF624))</f>
        <v/>
      </c>
      <c r="AH624" s="117" t="str">
        <f t="shared" si="19"/>
        <v/>
      </c>
    </row>
    <row r="625" spans="6:34" x14ac:dyDescent="0.25">
      <c r="F625" s="35"/>
      <c r="J625" s="35"/>
      <c r="K625" s="35"/>
      <c r="L625" s="35"/>
      <c r="AF625" s="115" t="str">
        <f t="shared" si="18"/>
        <v/>
      </c>
      <c r="AG625" s="116" t="str">
        <f>IF(AF625="","",COUNTIF(AF625:AF$3000,AF625))</f>
        <v/>
      </c>
      <c r="AH625" s="117" t="str">
        <f t="shared" si="19"/>
        <v/>
      </c>
    </row>
    <row r="626" spans="6:34" x14ac:dyDescent="0.25">
      <c r="F626" s="35"/>
      <c r="J626" s="35"/>
      <c r="K626" s="35"/>
      <c r="L626" s="35"/>
      <c r="AF626" s="115" t="str">
        <f t="shared" si="18"/>
        <v/>
      </c>
      <c r="AG626" s="116" t="str">
        <f>IF(AF626="","",COUNTIF(AF626:AF$3000,AF626))</f>
        <v/>
      </c>
      <c r="AH626" s="117" t="str">
        <f t="shared" si="19"/>
        <v/>
      </c>
    </row>
    <row r="627" spans="6:34" x14ac:dyDescent="0.25">
      <c r="F627" s="35"/>
      <c r="J627" s="35"/>
      <c r="K627" s="35"/>
      <c r="L627" s="35"/>
      <c r="AF627" s="115" t="str">
        <f t="shared" si="18"/>
        <v/>
      </c>
      <c r="AG627" s="116" t="str">
        <f>IF(AF627="","",COUNTIF(AF627:AF$3000,AF627))</f>
        <v/>
      </c>
      <c r="AH627" s="117" t="str">
        <f t="shared" si="19"/>
        <v/>
      </c>
    </row>
    <row r="628" spans="6:34" x14ac:dyDescent="0.25">
      <c r="F628" s="35"/>
      <c r="J628" s="35"/>
      <c r="K628" s="35"/>
      <c r="L628" s="35"/>
      <c r="AF628" s="115" t="str">
        <f t="shared" si="18"/>
        <v/>
      </c>
      <c r="AG628" s="116" t="str">
        <f>IF(AF628="","",COUNTIF(AF628:AF$3000,AF628))</f>
        <v/>
      </c>
      <c r="AH628" s="117" t="str">
        <f t="shared" si="19"/>
        <v/>
      </c>
    </row>
    <row r="629" spans="6:34" x14ac:dyDescent="0.25">
      <c r="F629" s="35"/>
      <c r="J629" s="35"/>
      <c r="K629" s="35"/>
      <c r="L629" s="35"/>
      <c r="AF629" s="115" t="str">
        <f t="shared" si="18"/>
        <v/>
      </c>
      <c r="AG629" s="116" t="str">
        <f>IF(AF629="","",COUNTIF(AF629:AF$3000,AF629))</f>
        <v/>
      </c>
      <c r="AH629" s="117" t="str">
        <f t="shared" si="19"/>
        <v/>
      </c>
    </row>
    <row r="630" spans="6:34" x14ac:dyDescent="0.25">
      <c r="F630" s="35"/>
      <c r="J630" s="35"/>
      <c r="K630" s="35"/>
      <c r="L630" s="35"/>
      <c r="AF630" s="115" t="str">
        <f t="shared" si="18"/>
        <v/>
      </c>
      <c r="AG630" s="116" t="str">
        <f>IF(AF630="","",COUNTIF(AF630:AF$3000,AF630))</f>
        <v/>
      </c>
      <c r="AH630" s="117" t="str">
        <f t="shared" si="19"/>
        <v/>
      </c>
    </row>
    <row r="631" spans="6:34" x14ac:dyDescent="0.25">
      <c r="F631" s="35"/>
      <c r="J631" s="35"/>
      <c r="K631" s="35"/>
      <c r="L631" s="35"/>
      <c r="AF631" s="115" t="str">
        <f t="shared" si="18"/>
        <v/>
      </c>
      <c r="AG631" s="116" t="str">
        <f>IF(AF631="","",COUNTIF(AF631:AF$3000,AF631))</f>
        <v/>
      </c>
      <c r="AH631" s="117" t="str">
        <f t="shared" si="19"/>
        <v/>
      </c>
    </row>
    <row r="632" spans="6:34" x14ac:dyDescent="0.25">
      <c r="F632" s="35"/>
      <c r="J632" s="35"/>
      <c r="K632" s="35"/>
      <c r="L632" s="35"/>
      <c r="AF632" s="115" t="str">
        <f t="shared" si="18"/>
        <v/>
      </c>
      <c r="AG632" s="116" t="str">
        <f>IF(AF632="","",COUNTIF(AF632:AF$3000,AF632))</f>
        <v/>
      </c>
      <c r="AH632" s="117" t="str">
        <f t="shared" si="19"/>
        <v/>
      </c>
    </row>
    <row r="633" spans="6:34" x14ac:dyDescent="0.25">
      <c r="F633" s="35"/>
      <c r="J633" s="35"/>
      <c r="K633" s="35"/>
      <c r="L633" s="35"/>
      <c r="AF633" s="115" t="str">
        <f t="shared" si="18"/>
        <v/>
      </c>
      <c r="AG633" s="116" t="str">
        <f>IF(AF633="","",COUNTIF(AF633:AF$3000,AF633))</f>
        <v/>
      </c>
      <c r="AH633" s="117" t="str">
        <f t="shared" si="19"/>
        <v/>
      </c>
    </row>
    <row r="634" spans="6:34" x14ac:dyDescent="0.25">
      <c r="F634" s="35"/>
      <c r="J634" s="35"/>
      <c r="K634" s="35"/>
      <c r="L634" s="35"/>
      <c r="AF634" s="115" t="str">
        <f t="shared" si="18"/>
        <v/>
      </c>
      <c r="AG634" s="116" t="str">
        <f>IF(AF634="","",COUNTIF(AF634:AF$3000,AF634))</f>
        <v/>
      </c>
      <c r="AH634" s="117" t="str">
        <f t="shared" si="19"/>
        <v/>
      </c>
    </row>
    <row r="635" spans="6:34" x14ac:dyDescent="0.25">
      <c r="F635" s="35"/>
      <c r="J635" s="35"/>
      <c r="K635" s="35"/>
      <c r="L635" s="35"/>
      <c r="AF635" s="115" t="str">
        <f t="shared" si="18"/>
        <v/>
      </c>
      <c r="AG635" s="116" t="str">
        <f>IF(AF635="","",COUNTIF(AF635:AF$3000,AF635))</f>
        <v/>
      </c>
      <c r="AH635" s="117" t="str">
        <f t="shared" si="19"/>
        <v/>
      </c>
    </row>
    <row r="636" spans="6:34" x14ac:dyDescent="0.25">
      <c r="F636" s="35"/>
      <c r="J636" s="35"/>
      <c r="K636" s="35"/>
      <c r="L636" s="35"/>
      <c r="AF636" s="115" t="str">
        <f t="shared" si="18"/>
        <v/>
      </c>
      <c r="AG636" s="116" t="str">
        <f>IF(AF636="","",COUNTIF(AF636:AF$3000,AF636))</f>
        <v/>
      </c>
      <c r="AH636" s="117" t="str">
        <f t="shared" si="19"/>
        <v/>
      </c>
    </row>
    <row r="637" spans="6:34" x14ac:dyDescent="0.25">
      <c r="F637" s="35"/>
      <c r="J637" s="35"/>
      <c r="K637" s="35"/>
      <c r="L637" s="35"/>
      <c r="AF637" s="115" t="str">
        <f t="shared" si="18"/>
        <v/>
      </c>
      <c r="AG637" s="116" t="str">
        <f>IF(AF637="","",COUNTIF(AF637:AF$3000,AF637))</f>
        <v/>
      </c>
      <c r="AH637" s="117" t="str">
        <f t="shared" si="19"/>
        <v/>
      </c>
    </row>
    <row r="638" spans="6:34" x14ac:dyDescent="0.25">
      <c r="F638" s="35"/>
      <c r="J638" s="35"/>
      <c r="K638" s="35"/>
      <c r="L638" s="35"/>
      <c r="AF638" s="115" t="str">
        <f t="shared" si="18"/>
        <v/>
      </c>
      <c r="AG638" s="116" t="str">
        <f>IF(AF638="","",COUNTIF(AF638:AF$3000,AF638))</f>
        <v/>
      </c>
      <c r="AH638" s="117" t="str">
        <f t="shared" si="19"/>
        <v/>
      </c>
    </row>
    <row r="639" spans="6:34" x14ac:dyDescent="0.25">
      <c r="F639" s="35"/>
      <c r="J639" s="35"/>
      <c r="K639" s="35"/>
      <c r="L639" s="35"/>
      <c r="AF639" s="115" t="str">
        <f t="shared" si="18"/>
        <v/>
      </c>
      <c r="AG639" s="116" t="str">
        <f>IF(AF639="","",COUNTIF(AF639:AF$3000,AF639))</f>
        <v/>
      </c>
      <c r="AH639" s="117" t="str">
        <f t="shared" si="19"/>
        <v/>
      </c>
    </row>
    <row r="640" spans="6:34" x14ac:dyDescent="0.25">
      <c r="F640" s="35"/>
      <c r="J640" s="35"/>
      <c r="K640" s="35"/>
      <c r="L640" s="35"/>
      <c r="AF640" s="115" t="str">
        <f t="shared" si="18"/>
        <v/>
      </c>
      <c r="AG640" s="116" t="str">
        <f>IF(AF640="","",COUNTIF(AF640:AF$3000,AF640))</f>
        <v/>
      </c>
      <c r="AH640" s="117" t="str">
        <f t="shared" si="19"/>
        <v/>
      </c>
    </row>
    <row r="641" spans="6:34" x14ac:dyDescent="0.25">
      <c r="F641" s="35"/>
      <c r="J641" s="35"/>
      <c r="K641" s="35"/>
      <c r="L641" s="35"/>
      <c r="AF641" s="115" t="str">
        <f t="shared" si="18"/>
        <v/>
      </c>
      <c r="AG641" s="116" t="str">
        <f>IF(AF641="","",COUNTIF(AF641:AF$3000,AF641))</f>
        <v/>
      </c>
      <c r="AH641" s="117" t="str">
        <f t="shared" si="19"/>
        <v/>
      </c>
    </row>
    <row r="642" spans="6:34" x14ac:dyDescent="0.25">
      <c r="F642" s="35"/>
      <c r="J642" s="35"/>
      <c r="K642" s="35"/>
      <c r="L642" s="35"/>
      <c r="AF642" s="115" t="str">
        <f t="shared" si="18"/>
        <v/>
      </c>
      <c r="AG642" s="116" t="str">
        <f>IF(AF642="","",COUNTIF(AF642:AF$3000,AF642))</f>
        <v/>
      </c>
      <c r="AH642" s="117" t="str">
        <f t="shared" si="19"/>
        <v/>
      </c>
    </row>
    <row r="643" spans="6:34" x14ac:dyDescent="0.25">
      <c r="F643" s="35"/>
      <c r="J643" s="35"/>
      <c r="K643" s="35"/>
      <c r="L643" s="35"/>
      <c r="AF643" s="115" t="str">
        <f t="shared" si="18"/>
        <v/>
      </c>
      <c r="AG643" s="116" t="str">
        <f>IF(AF643="","",COUNTIF(AF643:AF$3000,AF643))</f>
        <v/>
      </c>
      <c r="AH643" s="117" t="str">
        <f t="shared" si="19"/>
        <v/>
      </c>
    </row>
    <row r="644" spans="6:34" x14ac:dyDescent="0.25">
      <c r="F644" s="35"/>
      <c r="J644" s="35"/>
      <c r="K644" s="35"/>
      <c r="L644" s="35"/>
      <c r="AF644" s="115" t="str">
        <f t="shared" ref="AF644:AF707" si="20">IF(B644="","",TEXT(J644,"DD/MM/AA")&amp;"_"&amp;S644&amp;"_"&amp;V644)</f>
        <v/>
      </c>
      <c r="AG644" s="116" t="str">
        <f>IF(AF644="","",COUNTIF(AF644:AF$3000,AF644))</f>
        <v/>
      </c>
      <c r="AH644" s="117" t="str">
        <f t="shared" ref="AH644:AH707" si="21">IF(AA644="","",
IF(AG644&gt;1,"",
IF(SUMIF(AF$3:AF$31,AF644,H$3:H$31)/10&lt;1,1,SUMIF(AF$3:AF$31,AF644,H$3:H$31)/10)))</f>
        <v/>
      </c>
    </row>
    <row r="645" spans="6:34" x14ac:dyDescent="0.25">
      <c r="F645" s="35"/>
      <c r="J645" s="35"/>
      <c r="K645" s="35"/>
      <c r="L645" s="35"/>
      <c r="AF645" s="115" t="str">
        <f t="shared" si="20"/>
        <v/>
      </c>
      <c r="AG645" s="116" t="str">
        <f>IF(AF645="","",COUNTIF(AF645:AF$3000,AF645))</f>
        <v/>
      </c>
      <c r="AH645" s="117" t="str">
        <f t="shared" si="21"/>
        <v/>
      </c>
    </row>
    <row r="646" spans="6:34" x14ac:dyDescent="0.25">
      <c r="F646" s="35"/>
      <c r="J646" s="35"/>
      <c r="K646" s="35"/>
      <c r="L646" s="35"/>
      <c r="AF646" s="115" t="str">
        <f t="shared" si="20"/>
        <v/>
      </c>
      <c r="AG646" s="116" t="str">
        <f>IF(AF646="","",COUNTIF(AF646:AF$3000,AF646))</f>
        <v/>
      </c>
      <c r="AH646" s="117" t="str">
        <f t="shared" si="21"/>
        <v/>
      </c>
    </row>
    <row r="647" spans="6:34" x14ac:dyDescent="0.25">
      <c r="F647" s="35"/>
      <c r="J647" s="35"/>
      <c r="K647" s="35"/>
      <c r="L647" s="35"/>
      <c r="AF647" s="115" t="str">
        <f t="shared" si="20"/>
        <v/>
      </c>
      <c r="AG647" s="116" t="str">
        <f>IF(AF647="","",COUNTIF(AF647:AF$3000,AF647))</f>
        <v/>
      </c>
      <c r="AH647" s="117" t="str">
        <f t="shared" si="21"/>
        <v/>
      </c>
    </row>
    <row r="648" spans="6:34" x14ac:dyDescent="0.25">
      <c r="F648" s="35"/>
      <c r="J648" s="35"/>
      <c r="K648" s="35"/>
      <c r="L648" s="35"/>
      <c r="AF648" s="115" t="str">
        <f t="shared" si="20"/>
        <v/>
      </c>
      <c r="AG648" s="116" t="str">
        <f>IF(AF648="","",COUNTIF(AF648:AF$3000,AF648))</f>
        <v/>
      </c>
      <c r="AH648" s="117" t="str">
        <f t="shared" si="21"/>
        <v/>
      </c>
    </row>
    <row r="649" spans="6:34" x14ac:dyDescent="0.25">
      <c r="F649" s="35"/>
      <c r="J649" s="35"/>
      <c r="K649" s="35"/>
      <c r="L649" s="35"/>
      <c r="AF649" s="115" t="str">
        <f t="shared" si="20"/>
        <v/>
      </c>
      <c r="AG649" s="116" t="str">
        <f>IF(AF649="","",COUNTIF(AF649:AF$3000,AF649))</f>
        <v/>
      </c>
      <c r="AH649" s="117" t="str">
        <f t="shared" si="21"/>
        <v/>
      </c>
    </row>
    <row r="650" spans="6:34" x14ac:dyDescent="0.25">
      <c r="F650" s="35"/>
      <c r="J650" s="35"/>
      <c r="K650" s="35"/>
      <c r="L650" s="35"/>
      <c r="AF650" s="115" t="str">
        <f t="shared" si="20"/>
        <v/>
      </c>
      <c r="AG650" s="116" t="str">
        <f>IF(AF650="","",COUNTIF(AF650:AF$3000,AF650))</f>
        <v/>
      </c>
      <c r="AH650" s="117" t="str">
        <f t="shared" si="21"/>
        <v/>
      </c>
    </row>
    <row r="651" spans="6:34" x14ac:dyDescent="0.25">
      <c r="F651" s="35"/>
      <c r="J651" s="35"/>
      <c r="K651" s="35"/>
      <c r="L651" s="35"/>
      <c r="AF651" s="115" t="str">
        <f t="shared" si="20"/>
        <v/>
      </c>
      <c r="AG651" s="116" t="str">
        <f>IF(AF651="","",COUNTIF(AF651:AF$3000,AF651))</f>
        <v/>
      </c>
      <c r="AH651" s="117" t="str">
        <f t="shared" si="21"/>
        <v/>
      </c>
    </row>
    <row r="652" spans="6:34" x14ac:dyDescent="0.25">
      <c r="F652" s="35"/>
      <c r="J652" s="35"/>
      <c r="K652" s="35"/>
      <c r="L652" s="35"/>
      <c r="AF652" s="115" t="str">
        <f t="shared" si="20"/>
        <v/>
      </c>
      <c r="AG652" s="116" t="str">
        <f>IF(AF652="","",COUNTIF(AF652:AF$3000,AF652))</f>
        <v/>
      </c>
      <c r="AH652" s="117" t="str">
        <f t="shared" si="21"/>
        <v/>
      </c>
    </row>
    <row r="653" spans="6:34" x14ac:dyDescent="0.25">
      <c r="F653" s="35"/>
      <c r="J653" s="35"/>
      <c r="K653" s="35"/>
      <c r="L653" s="35"/>
      <c r="AF653" s="115" t="str">
        <f t="shared" si="20"/>
        <v/>
      </c>
      <c r="AG653" s="116" t="str">
        <f>IF(AF653="","",COUNTIF(AF653:AF$3000,AF653))</f>
        <v/>
      </c>
      <c r="AH653" s="117" t="str">
        <f t="shared" si="21"/>
        <v/>
      </c>
    </row>
    <row r="654" spans="6:34" x14ac:dyDescent="0.25">
      <c r="F654" s="35"/>
      <c r="J654" s="35"/>
      <c r="K654" s="35"/>
      <c r="L654" s="35"/>
      <c r="AF654" s="115" t="str">
        <f t="shared" si="20"/>
        <v/>
      </c>
      <c r="AG654" s="116" t="str">
        <f>IF(AF654="","",COUNTIF(AF654:AF$3000,AF654))</f>
        <v/>
      </c>
      <c r="AH654" s="117" t="str">
        <f t="shared" si="21"/>
        <v/>
      </c>
    </row>
    <row r="655" spans="6:34" x14ac:dyDescent="0.25">
      <c r="F655" s="35"/>
      <c r="J655" s="35"/>
      <c r="K655" s="35"/>
      <c r="L655" s="35"/>
      <c r="AF655" s="115" t="str">
        <f t="shared" si="20"/>
        <v/>
      </c>
      <c r="AG655" s="116" t="str">
        <f>IF(AF655="","",COUNTIF(AF655:AF$3000,AF655))</f>
        <v/>
      </c>
      <c r="AH655" s="117" t="str">
        <f t="shared" si="21"/>
        <v/>
      </c>
    </row>
    <row r="656" spans="6:34" x14ac:dyDescent="0.25">
      <c r="F656" s="35"/>
      <c r="J656" s="35"/>
      <c r="K656" s="35"/>
      <c r="L656" s="35"/>
      <c r="AF656" s="115" t="str">
        <f t="shared" si="20"/>
        <v/>
      </c>
      <c r="AG656" s="116" t="str">
        <f>IF(AF656="","",COUNTIF(AF656:AF$3000,AF656))</f>
        <v/>
      </c>
      <c r="AH656" s="117" t="str">
        <f t="shared" si="21"/>
        <v/>
      </c>
    </row>
    <row r="657" spans="6:34" x14ac:dyDescent="0.25">
      <c r="F657" s="35"/>
      <c r="J657" s="35"/>
      <c r="K657" s="35"/>
      <c r="L657" s="35"/>
      <c r="AF657" s="115" t="str">
        <f t="shared" si="20"/>
        <v/>
      </c>
      <c r="AG657" s="116" t="str">
        <f>IF(AF657="","",COUNTIF(AF657:AF$3000,AF657))</f>
        <v/>
      </c>
      <c r="AH657" s="117" t="str">
        <f t="shared" si="21"/>
        <v/>
      </c>
    </row>
    <row r="658" spans="6:34" x14ac:dyDescent="0.25">
      <c r="F658" s="35"/>
      <c r="J658" s="35"/>
      <c r="K658" s="35"/>
      <c r="L658" s="35"/>
      <c r="AF658" s="115" t="str">
        <f t="shared" si="20"/>
        <v/>
      </c>
      <c r="AG658" s="116" t="str">
        <f>IF(AF658="","",COUNTIF(AF658:AF$3000,AF658))</f>
        <v/>
      </c>
      <c r="AH658" s="117" t="str">
        <f t="shared" si="21"/>
        <v/>
      </c>
    </row>
    <row r="659" spans="6:34" x14ac:dyDescent="0.25">
      <c r="F659" s="35"/>
      <c r="J659" s="35"/>
      <c r="K659" s="35"/>
      <c r="L659" s="35"/>
      <c r="AF659" s="115" t="str">
        <f t="shared" si="20"/>
        <v/>
      </c>
      <c r="AG659" s="116" t="str">
        <f>IF(AF659="","",COUNTIF(AF659:AF$3000,AF659))</f>
        <v/>
      </c>
      <c r="AH659" s="117" t="str">
        <f t="shared" si="21"/>
        <v/>
      </c>
    </row>
    <row r="660" spans="6:34" x14ac:dyDescent="0.25">
      <c r="F660" s="35"/>
      <c r="J660" s="35"/>
      <c r="K660" s="35"/>
      <c r="L660" s="35"/>
      <c r="AF660" s="115" t="str">
        <f t="shared" si="20"/>
        <v/>
      </c>
      <c r="AG660" s="116" t="str">
        <f>IF(AF660="","",COUNTIF(AF660:AF$3000,AF660))</f>
        <v/>
      </c>
      <c r="AH660" s="117" t="str">
        <f t="shared" si="21"/>
        <v/>
      </c>
    </row>
    <row r="661" spans="6:34" x14ac:dyDescent="0.25">
      <c r="F661" s="35"/>
      <c r="J661" s="35"/>
      <c r="K661" s="35"/>
      <c r="L661" s="35"/>
      <c r="AF661" s="115" t="str">
        <f t="shared" si="20"/>
        <v/>
      </c>
      <c r="AG661" s="116" t="str">
        <f>IF(AF661="","",COUNTIF(AF661:AF$3000,AF661))</f>
        <v/>
      </c>
      <c r="AH661" s="117" t="str">
        <f t="shared" si="21"/>
        <v/>
      </c>
    </row>
    <row r="662" spans="6:34" x14ac:dyDescent="0.25">
      <c r="F662" s="35"/>
      <c r="J662" s="35"/>
      <c r="K662" s="35"/>
      <c r="L662" s="35"/>
      <c r="AF662" s="115" t="str">
        <f t="shared" si="20"/>
        <v/>
      </c>
      <c r="AG662" s="116" t="str">
        <f>IF(AF662="","",COUNTIF(AF662:AF$3000,AF662))</f>
        <v/>
      </c>
      <c r="AH662" s="117" t="str">
        <f t="shared" si="21"/>
        <v/>
      </c>
    </row>
    <row r="663" spans="6:34" x14ac:dyDescent="0.25">
      <c r="F663" s="35"/>
      <c r="J663" s="35"/>
      <c r="K663" s="35"/>
      <c r="L663" s="35"/>
      <c r="AF663" s="115" t="str">
        <f t="shared" si="20"/>
        <v/>
      </c>
      <c r="AG663" s="116" t="str">
        <f>IF(AF663="","",COUNTIF(AF663:AF$3000,AF663))</f>
        <v/>
      </c>
      <c r="AH663" s="117" t="str">
        <f t="shared" si="21"/>
        <v/>
      </c>
    </row>
    <row r="664" spans="6:34" x14ac:dyDescent="0.25">
      <c r="F664" s="35"/>
      <c r="J664" s="35"/>
      <c r="K664" s="35"/>
      <c r="L664" s="35"/>
      <c r="AF664" s="115" t="str">
        <f t="shared" si="20"/>
        <v/>
      </c>
      <c r="AG664" s="116" t="str">
        <f>IF(AF664="","",COUNTIF(AF664:AF$3000,AF664))</f>
        <v/>
      </c>
      <c r="AH664" s="117" t="str">
        <f t="shared" si="21"/>
        <v/>
      </c>
    </row>
    <row r="665" spans="6:34" x14ac:dyDescent="0.25">
      <c r="F665" s="35"/>
      <c r="J665" s="35"/>
      <c r="K665" s="35"/>
      <c r="L665" s="35"/>
      <c r="AF665" s="115" t="str">
        <f t="shared" si="20"/>
        <v/>
      </c>
      <c r="AG665" s="116" t="str">
        <f>IF(AF665="","",COUNTIF(AF665:AF$3000,AF665))</f>
        <v/>
      </c>
      <c r="AH665" s="117" t="str">
        <f t="shared" si="21"/>
        <v/>
      </c>
    </row>
    <row r="666" spans="6:34" x14ac:dyDescent="0.25">
      <c r="F666" s="35"/>
      <c r="J666" s="35"/>
      <c r="K666" s="35"/>
      <c r="L666" s="35"/>
      <c r="AF666" s="115" t="str">
        <f t="shared" si="20"/>
        <v/>
      </c>
      <c r="AG666" s="116" t="str">
        <f>IF(AF666="","",COUNTIF(AF666:AF$3000,AF666))</f>
        <v/>
      </c>
      <c r="AH666" s="117" t="str">
        <f t="shared" si="21"/>
        <v/>
      </c>
    </row>
    <row r="667" spans="6:34" x14ac:dyDescent="0.25">
      <c r="F667" s="35"/>
      <c r="J667" s="35"/>
      <c r="K667" s="35"/>
      <c r="L667" s="35"/>
      <c r="AF667" s="115" t="str">
        <f t="shared" si="20"/>
        <v/>
      </c>
      <c r="AG667" s="116" t="str">
        <f>IF(AF667="","",COUNTIF(AF667:AF$3000,AF667))</f>
        <v/>
      </c>
      <c r="AH667" s="117" t="str">
        <f t="shared" si="21"/>
        <v/>
      </c>
    </row>
    <row r="668" spans="6:34" x14ac:dyDescent="0.25">
      <c r="F668" s="35"/>
      <c r="J668" s="35"/>
      <c r="K668" s="35"/>
      <c r="L668" s="35"/>
      <c r="AF668" s="115" t="str">
        <f t="shared" si="20"/>
        <v/>
      </c>
      <c r="AG668" s="116" t="str">
        <f>IF(AF668="","",COUNTIF(AF668:AF$3000,AF668))</f>
        <v/>
      </c>
      <c r="AH668" s="117" t="str">
        <f t="shared" si="21"/>
        <v/>
      </c>
    </row>
    <row r="669" spans="6:34" x14ac:dyDescent="0.25">
      <c r="F669" s="35"/>
      <c r="J669" s="35"/>
      <c r="K669" s="35"/>
      <c r="L669" s="35"/>
      <c r="AF669" s="115" t="str">
        <f t="shared" si="20"/>
        <v/>
      </c>
      <c r="AG669" s="116" t="str">
        <f>IF(AF669="","",COUNTIF(AF669:AF$3000,AF669))</f>
        <v/>
      </c>
      <c r="AH669" s="117" t="str">
        <f t="shared" si="21"/>
        <v/>
      </c>
    </row>
    <row r="670" spans="6:34" x14ac:dyDescent="0.25">
      <c r="F670" s="35"/>
      <c r="J670" s="35"/>
      <c r="K670" s="35"/>
      <c r="L670" s="35"/>
      <c r="AF670" s="115" t="str">
        <f t="shared" si="20"/>
        <v/>
      </c>
      <c r="AG670" s="116" t="str">
        <f>IF(AF670="","",COUNTIF(AF670:AF$3000,AF670))</f>
        <v/>
      </c>
      <c r="AH670" s="117" t="str">
        <f t="shared" si="21"/>
        <v/>
      </c>
    </row>
    <row r="671" spans="6:34" x14ac:dyDescent="0.25">
      <c r="F671" s="35"/>
      <c r="J671" s="35"/>
      <c r="K671" s="35"/>
      <c r="L671" s="35"/>
      <c r="AF671" s="115" t="str">
        <f t="shared" si="20"/>
        <v/>
      </c>
      <c r="AG671" s="116" t="str">
        <f>IF(AF671="","",COUNTIF(AF671:AF$3000,AF671))</f>
        <v/>
      </c>
      <c r="AH671" s="117" t="str">
        <f t="shared" si="21"/>
        <v/>
      </c>
    </row>
    <row r="672" spans="6:34" x14ac:dyDescent="0.25">
      <c r="F672" s="35"/>
      <c r="J672" s="35"/>
      <c r="K672" s="35"/>
      <c r="L672" s="35"/>
      <c r="AF672" s="115" t="str">
        <f t="shared" si="20"/>
        <v/>
      </c>
      <c r="AG672" s="116" t="str">
        <f>IF(AF672="","",COUNTIF(AF672:AF$3000,AF672))</f>
        <v/>
      </c>
      <c r="AH672" s="117" t="str">
        <f t="shared" si="21"/>
        <v/>
      </c>
    </row>
    <row r="673" spans="6:34" x14ac:dyDescent="0.25">
      <c r="F673" s="35"/>
      <c r="J673" s="35"/>
      <c r="K673" s="35"/>
      <c r="L673" s="35"/>
      <c r="AF673" s="115" t="str">
        <f t="shared" si="20"/>
        <v/>
      </c>
      <c r="AG673" s="116" t="str">
        <f>IF(AF673="","",COUNTIF(AF673:AF$3000,AF673))</f>
        <v/>
      </c>
      <c r="AH673" s="117" t="str">
        <f t="shared" si="21"/>
        <v/>
      </c>
    </row>
    <row r="674" spans="6:34" x14ac:dyDescent="0.25">
      <c r="F674" s="35"/>
      <c r="J674" s="35"/>
      <c r="K674" s="35"/>
      <c r="L674" s="35"/>
      <c r="AF674" s="115" t="str">
        <f t="shared" si="20"/>
        <v/>
      </c>
      <c r="AG674" s="116" t="str">
        <f>IF(AF674="","",COUNTIF(AF674:AF$3000,AF674))</f>
        <v/>
      </c>
      <c r="AH674" s="117" t="str">
        <f t="shared" si="21"/>
        <v/>
      </c>
    </row>
    <row r="675" spans="6:34" x14ac:dyDescent="0.25">
      <c r="F675" s="35"/>
      <c r="J675" s="35"/>
      <c r="K675" s="35"/>
      <c r="L675" s="35"/>
      <c r="AF675" s="115" t="str">
        <f t="shared" si="20"/>
        <v/>
      </c>
      <c r="AG675" s="116" t="str">
        <f>IF(AF675="","",COUNTIF(AF675:AF$3000,AF675))</f>
        <v/>
      </c>
      <c r="AH675" s="117" t="str">
        <f t="shared" si="21"/>
        <v/>
      </c>
    </row>
    <row r="676" spans="6:34" x14ac:dyDescent="0.25">
      <c r="F676" s="35"/>
      <c r="J676" s="35"/>
      <c r="K676" s="35"/>
      <c r="L676" s="35"/>
      <c r="AF676" s="115" t="str">
        <f t="shared" si="20"/>
        <v/>
      </c>
      <c r="AG676" s="116" t="str">
        <f>IF(AF676="","",COUNTIF(AF676:AF$3000,AF676))</f>
        <v/>
      </c>
      <c r="AH676" s="117" t="str">
        <f t="shared" si="21"/>
        <v/>
      </c>
    </row>
    <row r="677" spans="6:34" x14ac:dyDescent="0.25">
      <c r="F677" s="35"/>
      <c r="J677" s="35"/>
      <c r="K677" s="35"/>
      <c r="L677" s="35"/>
      <c r="AF677" s="115" t="str">
        <f t="shared" si="20"/>
        <v/>
      </c>
      <c r="AG677" s="116" t="str">
        <f>IF(AF677="","",COUNTIF(AF677:AF$3000,AF677))</f>
        <v/>
      </c>
      <c r="AH677" s="117" t="str">
        <f t="shared" si="21"/>
        <v/>
      </c>
    </row>
    <row r="678" spans="6:34" x14ac:dyDescent="0.25">
      <c r="F678" s="35"/>
      <c r="J678" s="35"/>
      <c r="K678" s="35"/>
      <c r="L678" s="35"/>
      <c r="AF678" s="115" t="str">
        <f t="shared" si="20"/>
        <v/>
      </c>
      <c r="AG678" s="116" t="str">
        <f>IF(AF678="","",COUNTIF(AF678:AF$3000,AF678))</f>
        <v/>
      </c>
      <c r="AH678" s="117" t="str">
        <f t="shared" si="21"/>
        <v/>
      </c>
    </row>
    <row r="679" spans="6:34" x14ac:dyDescent="0.25">
      <c r="F679" s="35"/>
      <c r="J679" s="35"/>
      <c r="K679" s="35"/>
      <c r="L679" s="35"/>
      <c r="AF679" s="115" t="str">
        <f t="shared" si="20"/>
        <v/>
      </c>
      <c r="AG679" s="116" t="str">
        <f>IF(AF679="","",COUNTIF(AF679:AF$3000,AF679))</f>
        <v/>
      </c>
      <c r="AH679" s="117" t="str">
        <f t="shared" si="21"/>
        <v/>
      </c>
    </row>
    <row r="680" spans="6:34" x14ac:dyDescent="0.25">
      <c r="F680" s="35"/>
      <c r="J680" s="35"/>
      <c r="K680" s="35"/>
      <c r="L680" s="35"/>
      <c r="AF680" s="115" t="str">
        <f t="shared" si="20"/>
        <v/>
      </c>
      <c r="AG680" s="116" t="str">
        <f>IF(AF680="","",COUNTIF(AF680:AF$3000,AF680))</f>
        <v/>
      </c>
      <c r="AH680" s="117" t="str">
        <f t="shared" si="21"/>
        <v/>
      </c>
    </row>
    <row r="681" spans="6:34" x14ac:dyDescent="0.25">
      <c r="F681" s="35"/>
      <c r="J681" s="35"/>
      <c r="K681" s="35"/>
      <c r="L681" s="35"/>
      <c r="AF681" s="115" t="str">
        <f t="shared" si="20"/>
        <v/>
      </c>
      <c r="AG681" s="116" t="str">
        <f>IF(AF681="","",COUNTIF(AF681:AF$3000,AF681))</f>
        <v/>
      </c>
      <c r="AH681" s="117" t="str">
        <f t="shared" si="21"/>
        <v/>
      </c>
    </row>
    <row r="682" spans="6:34" x14ac:dyDescent="0.25">
      <c r="F682" s="35"/>
      <c r="J682" s="35"/>
      <c r="K682" s="35"/>
      <c r="L682" s="35"/>
      <c r="AF682" s="115" t="str">
        <f t="shared" si="20"/>
        <v/>
      </c>
      <c r="AG682" s="116" t="str">
        <f>IF(AF682="","",COUNTIF(AF682:AF$3000,AF682))</f>
        <v/>
      </c>
      <c r="AH682" s="117" t="str">
        <f t="shared" si="21"/>
        <v/>
      </c>
    </row>
    <row r="683" spans="6:34" x14ac:dyDescent="0.25">
      <c r="F683" s="35"/>
      <c r="J683" s="35"/>
      <c r="K683" s="35"/>
      <c r="L683" s="35"/>
      <c r="AF683" s="115" t="str">
        <f t="shared" si="20"/>
        <v/>
      </c>
      <c r="AG683" s="116" t="str">
        <f>IF(AF683="","",COUNTIF(AF683:AF$3000,AF683))</f>
        <v/>
      </c>
      <c r="AH683" s="117" t="str">
        <f t="shared" si="21"/>
        <v/>
      </c>
    </row>
    <row r="684" spans="6:34" x14ac:dyDescent="0.25">
      <c r="F684" s="35"/>
      <c r="J684" s="35"/>
      <c r="K684" s="35"/>
      <c r="L684" s="35"/>
      <c r="AF684" s="115" t="str">
        <f t="shared" si="20"/>
        <v/>
      </c>
      <c r="AG684" s="116" t="str">
        <f>IF(AF684="","",COUNTIF(AF684:AF$3000,AF684))</f>
        <v/>
      </c>
      <c r="AH684" s="117" t="str">
        <f t="shared" si="21"/>
        <v/>
      </c>
    </row>
    <row r="685" spans="6:34" x14ac:dyDescent="0.25">
      <c r="F685" s="35"/>
      <c r="J685" s="35"/>
      <c r="K685" s="35"/>
      <c r="L685" s="35"/>
      <c r="AF685" s="115" t="str">
        <f t="shared" si="20"/>
        <v/>
      </c>
      <c r="AG685" s="116" t="str">
        <f>IF(AF685="","",COUNTIF(AF685:AF$3000,AF685))</f>
        <v/>
      </c>
      <c r="AH685" s="117" t="str">
        <f t="shared" si="21"/>
        <v/>
      </c>
    </row>
    <row r="686" spans="6:34" x14ac:dyDescent="0.25">
      <c r="F686" s="35"/>
      <c r="J686" s="35"/>
      <c r="K686" s="35"/>
      <c r="L686" s="35"/>
      <c r="AF686" s="115" t="str">
        <f t="shared" si="20"/>
        <v/>
      </c>
      <c r="AG686" s="116" t="str">
        <f>IF(AF686="","",COUNTIF(AF686:AF$3000,AF686))</f>
        <v/>
      </c>
      <c r="AH686" s="117" t="str">
        <f t="shared" si="21"/>
        <v/>
      </c>
    </row>
    <row r="687" spans="6:34" x14ac:dyDescent="0.25">
      <c r="F687" s="35"/>
      <c r="J687" s="35"/>
      <c r="K687" s="35"/>
      <c r="L687" s="35"/>
      <c r="AF687" s="115" t="str">
        <f t="shared" si="20"/>
        <v/>
      </c>
      <c r="AG687" s="116" t="str">
        <f>IF(AF687="","",COUNTIF(AF687:AF$3000,AF687))</f>
        <v/>
      </c>
      <c r="AH687" s="117" t="str">
        <f t="shared" si="21"/>
        <v/>
      </c>
    </row>
    <row r="688" spans="6:34" x14ac:dyDescent="0.25">
      <c r="F688" s="35"/>
      <c r="J688" s="35"/>
      <c r="K688" s="35"/>
      <c r="L688" s="35"/>
      <c r="AF688" s="115" t="str">
        <f t="shared" si="20"/>
        <v/>
      </c>
      <c r="AG688" s="116" t="str">
        <f>IF(AF688="","",COUNTIF(AF688:AF$3000,AF688))</f>
        <v/>
      </c>
      <c r="AH688" s="117" t="str">
        <f t="shared" si="21"/>
        <v/>
      </c>
    </row>
    <row r="689" spans="6:34" x14ac:dyDescent="0.25">
      <c r="F689" s="35"/>
      <c r="J689" s="35"/>
      <c r="K689" s="35"/>
      <c r="L689" s="35"/>
      <c r="AF689" s="115" t="str">
        <f t="shared" si="20"/>
        <v/>
      </c>
      <c r="AG689" s="116" t="str">
        <f>IF(AF689="","",COUNTIF(AF689:AF$3000,AF689))</f>
        <v/>
      </c>
      <c r="AH689" s="117" t="str">
        <f t="shared" si="21"/>
        <v/>
      </c>
    </row>
    <row r="690" spans="6:34" x14ac:dyDescent="0.25">
      <c r="F690" s="35"/>
      <c r="J690" s="35"/>
      <c r="K690" s="35"/>
      <c r="L690" s="35"/>
      <c r="AF690" s="115" t="str">
        <f t="shared" si="20"/>
        <v/>
      </c>
      <c r="AG690" s="116" t="str">
        <f>IF(AF690="","",COUNTIF(AF690:AF$3000,AF690))</f>
        <v/>
      </c>
      <c r="AH690" s="117" t="str">
        <f t="shared" si="21"/>
        <v/>
      </c>
    </row>
    <row r="691" spans="6:34" x14ac:dyDescent="0.25">
      <c r="F691" s="35"/>
      <c r="J691" s="35"/>
      <c r="K691" s="35"/>
      <c r="L691" s="35"/>
      <c r="AF691" s="115" t="str">
        <f t="shared" si="20"/>
        <v/>
      </c>
      <c r="AG691" s="116" t="str">
        <f>IF(AF691="","",COUNTIF(AF691:AF$3000,AF691))</f>
        <v/>
      </c>
      <c r="AH691" s="117" t="str">
        <f t="shared" si="21"/>
        <v/>
      </c>
    </row>
    <row r="692" spans="6:34" x14ac:dyDescent="0.25">
      <c r="F692" s="35"/>
      <c r="J692" s="35"/>
      <c r="K692" s="35"/>
      <c r="L692" s="35"/>
      <c r="AF692" s="115" t="str">
        <f t="shared" si="20"/>
        <v/>
      </c>
      <c r="AG692" s="116" t="str">
        <f>IF(AF692="","",COUNTIF(AF692:AF$3000,AF692))</f>
        <v/>
      </c>
      <c r="AH692" s="117" t="str">
        <f t="shared" si="21"/>
        <v/>
      </c>
    </row>
    <row r="693" spans="6:34" x14ac:dyDescent="0.25">
      <c r="F693" s="35"/>
      <c r="J693" s="35"/>
      <c r="K693" s="35"/>
      <c r="L693" s="35"/>
      <c r="AF693" s="115" t="str">
        <f t="shared" si="20"/>
        <v/>
      </c>
      <c r="AG693" s="116" t="str">
        <f>IF(AF693="","",COUNTIF(AF693:AF$3000,AF693))</f>
        <v/>
      </c>
      <c r="AH693" s="117" t="str">
        <f t="shared" si="21"/>
        <v/>
      </c>
    </row>
    <row r="694" spans="6:34" x14ac:dyDescent="0.25">
      <c r="F694" s="35"/>
      <c r="J694" s="35"/>
      <c r="K694" s="35"/>
      <c r="L694" s="35"/>
      <c r="AF694" s="115" t="str">
        <f t="shared" si="20"/>
        <v/>
      </c>
      <c r="AG694" s="116" t="str">
        <f>IF(AF694="","",COUNTIF(AF694:AF$3000,AF694))</f>
        <v/>
      </c>
      <c r="AH694" s="117" t="str">
        <f t="shared" si="21"/>
        <v/>
      </c>
    </row>
    <row r="695" spans="6:34" x14ac:dyDescent="0.25">
      <c r="F695" s="35"/>
      <c r="J695" s="35"/>
      <c r="K695" s="35"/>
      <c r="L695" s="35"/>
      <c r="AF695" s="115" t="str">
        <f t="shared" si="20"/>
        <v/>
      </c>
      <c r="AG695" s="116" t="str">
        <f>IF(AF695="","",COUNTIF(AF695:AF$3000,AF695))</f>
        <v/>
      </c>
      <c r="AH695" s="117" t="str">
        <f t="shared" si="21"/>
        <v/>
      </c>
    </row>
    <row r="696" spans="6:34" x14ac:dyDescent="0.25">
      <c r="F696" s="35"/>
      <c r="J696" s="35"/>
      <c r="K696" s="35"/>
      <c r="L696" s="35"/>
      <c r="AF696" s="115" t="str">
        <f t="shared" si="20"/>
        <v/>
      </c>
      <c r="AG696" s="116" t="str">
        <f>IF(AF696="","",COUNTIF(AF696:AF$3000,AF696))</f>
        <v/>
      </c>
      <c r="AH696" s="117" t="str">
        <f t="shared" si="21"/>
        <v/>
      </c>
    </row>
    <row r="697" spans="6:34" x14ac:dyDescent="0.25">
      <c r="F697" s="35"/>
      <c r="J697" s="35"/>
      <c r="K697" s="35"/>
      <c r="L697" s="35"/>
      <c r="AF697" s="115" t="str">
        <f t="shared" si="20"/>
        <v/>
      </c>
      <c r="AG697" s="116" t="str">
        <f>IF(AF697="","",COUNTIF(AF697:AF$3000,AF697))</f>
        <v/>
      </c>
      <c r="AH697" s="117" t="str">
        <f t="shared" si="21"/>
        <v/>
      </c>
    </row>
    <row r="698" spans="6:34" x14ac:dyDescent="0.25">
      <c r="F698" s="35"/>
      <c r="J698" s="35"/>
      <c r="K698" s="35"/>
      <c r="L698" s="35"/>
      <c r="AF698" s="115" t="str">
        <f t="shared" si="20"/>
        <v/>
      </c>
      <c r="AG698" s="116" t="str">
        <f>IF(AF698="","",COUNTIF(AF698:AF$3000,AF698))</f>
        <v/>
      </c>
      <c r="AH698" s="117" t="str">
        <f t="shared" si="21"/>
        <v/>
      </c>
    </row>
    <row r="699" spans="6:34" x14ac:dyDescent="0.25">
      <c r="F699" s="35"/>
      <c r="J699" s="35"/>
      <c r="K699" s="35"/>
      <c r="L699" s="35"/>
      <c r="AF699" s="115" t="str">
        <f t="shared" si="20"/>
        <v/>
      </c>
      <c r="AG699" s="116" t="str">
        <f>IF(AF699="","",COUNTIF(AF699:AF$3000,AF699))</f>
        <v/>
      </c>
      <c r="AH699" s="117" t="str">
        <f t="shared" si="21"/>
        <v/>
      </c>
    </row>
    <row r="700" spans="6:34" x14ac:dyDescent="0.25">
      <c r="F700" s="35"/>
      <c r="J700" s="35"/>
      <c r="K700" s="35"/>
      <c r="L700" s="35"/>
      <c r="AF700" s="115" t="str">
        <f t="shared" si="20"/>
        <v/>
      </c>
      <c r="AG700" s="116" t="str">
        <f>IF(AF700="","",COUNTIF(AF700:AF$3000,AF700))</f>
        <v/>
      </c>
      <c r="AH700" s="117" t="str">
        <f t="shared" si="21"/>
        <v/>
      </c>
    </row>
    <row r="701" spans="6:34" x14ac:dyDescent="0.25">
      <c r="F701" s="35"/>
      <c r="J701" s="35"/>
      <c r="K701" s="35"/>
      <c r="L701" s="35"/>
      <c r="AF701" s="115" t="str">
        <f t="shared" si="20"/>
        <v/>
      </c>
      <c r="AG701" s="116" t="str">
        <f>IF(AF701="","",COUNTIF(AF701:AF$3000,AF701))</f>
        <v/>
      </c>
      <c r="AH701" s="117" t="str">
        <f t="shared" si="21"/>
        <v/>
      </c>
    </row>
    <row r="702" spans="6:34" x14ac:dyDescent="0.25">
      <c r="F702" s="35"/>
      <c r="J702" s="35"/>
      <c r="K702" s="35"/>
      <c r="L702" s="35"/>
      <c r="AF702" s="115" t="str">
        <f t="shared" si="20"/>
        <v/>
      </c>
      <c r="AG702" s="116" t="str">
        <f>IF(AF702="","",COUNTIF(AF702:AF$3000,AF702))</f>
        <v/>
      </c>
      <c r="AH702" s="117" t="str">
        <f t="shared" si="21"/>
        <v/>
      </c>
    </row>
    <row r="703" spans="6:34" x14ac:dyDescent="0.25">
      <c r="F703" s="35"/>
      <c r="J703" s="35"/>
      <c r="K703" s="35"/>
      <c r="L703" s="35"/>
      <c r="AF703" s="115" t="str">
        <f t="shared" si="20"/>
        <v/>
      </c>
      <c r="AG703" s="116" t="str">
        <f>IF(AF703="","",COUNTIF(AF703:AF$3000,AF703))</f>
        <v/>
      </c>
      <c r="AH703" s="117" t="str">
        <f t="shared" si="21"/>
        <v/>
      </c>
    </row>
    <row r="704" spans="6:34" x14ac:dyDescent="0.25">
      <c r="F704" s="35"/>
      <c r="J704" s="35"/>
      <c r="K704" s="35"/>
      <c r="L704" s="35"/>
      <c r="AF704" s="115" t="str">
        <f t="shared" si="20"/>
        <v/>
      </c>
      <c r="AG704" s="116" t="str">
        <f>IF(AF704="","",COUNTIF(AF704:AF$3000,AF704))</f>
        <v/>
      </c>
      <c r="AH704" s="117" t="str">
        <f t="shared" si="21"/>
        <v/>
      </c>
    </row>
    <row r="705" spans="6:34" x14ac:dyDescent="0.25">
      <c r="F705" s="35"/>
      <c r="J705" s="35"/>
      <c r="K705" s="35"/>
      <c r="L705" s="35"/>
      <c r="AF705" s="115" t="str">
        <f t="shared" si="20"/>
        <v/>
      </c>
      <c r="AG705" s="116" t="str">
        <f>IF(AF705="","",COUNTIF(AF705:AF$3000,AF705))</f>
        <v/>
      </c>
      <c r="AH705" s="117" t="str">
        <f t="shared" si="21"/>
        <v/>
      </c>
    </row>
    <row r="706" spans="6:34" x14ac:dyDescent="0.25">
      <c r="F706" s="35"/>
      <c r="J706" s="35"/>
      <c r="K706" s="35"/>
      <c r="L706" s="35"/>
      <c r="AF706" s="115" t="str">
        <f t="shared" si="20"/>
        <v/>
      </c>
      <c r="AG706" s="116" t="str">
        <f>IF(AF706="","",COUNTIF(AF706:AF$3000,AF706))</f>
        <v/>
      </c>
      <c r="AH706" s="117" t="str">
        <f t="shared" si="21"/>
        <v/>
      </c>
    </row>
    <row r="707" spans="6:34" x14ac:dyDescent="0.25">
      <c r="F707" s="35"/>
      <c r="J707" s="35"/>
      <c r="K707" s="35"/>
      <c r="L707" s="35"/>
      <c r="AF707" s="115" t="str">
        <f t="shared" si="20"/>
        <v/>
      </c>
      <c r="AG707" s="116" t="str">
        <f>IF(AF707="","",COUNTIF(AF707:AF$3000,AF707))</f>
        <v/>
      </c>
      <c r="AH707" s="117" t="str">
        <f t="shared" si="21"/>
        <v/>
      </c>
    </row>
    <row r="708" spans="6:34" x14ac:dyDescent="0.25">
      <c r="F708" s="35"/>
      <c r="J708" s="35"/>
      <c r="K708" s="35"/>
      <c r="L708" s="35"/>
      <c r="AF708" s="115" t="str">
        <f t="shared" ref="AF708:AF771" si="22">IF(B708="","",TEXT(J708,"DD/MM/AA")&amp;"_"&amp;S708&amp;"_"&amp;V708)</f>
        <v/>
      </c>
      <c r="AG708" s="116" t="str">
        <f>IF(AF708="","",COUNTIF(AF708:AF$3000,AF708))</f>
        <v/>
      </c>
      <c r="AH708" s="117" t="str">
        <f t="shared" ref="AH708:AH771" si="23">IF(AA708="","",
IF(AG708&gt;1,"",
IF(SUMIF(AF$3:AF$31,AF708,H$3:H$31)/10&lt;1,1,SUMIF(AF$3:AF$31,AF708,H$3:H$31)/10)))</f>
        <v/>
      </c>
    </row>
    <row r="709" spans="6:34" x14ac:dyDescent="0.25">
      <c r="F709" s="35"/>
      <c r="J709" s="35"/>
      <c r="K709" s="35"/>
      <c r="L709" s="35"/>
      <c r="AF709" s="115" t="str">
        <f t="shared" si="22"/>
        <v/>
      </c>
      <c r="AG709" s="116" t="str">
        <f>IF(AF709="","",COUNTIF(AF709:AF$3000,AF709))</f>
        <v/>
      </c>
      <c r="AH709" s="117" t="str">
        <f t="shared" si="23"/>
        <v/>
      </c>
    </row>
    <row r="710" spans="6:34" x14ac:dyDescent="0.25">
      <c r="F710" s="35"/>
      <c r="J710" s="35"/>
      <c r="K710" s="35"/>
      <c r="L710" s="35"/>
      <c r="AF710" s="115" t="str">
        <f t="shared" si="22"/>
        <v/>
      </c>
      <c r="AG710" s="116" t="str">
        <f>IF(AF710="","",COUNTIF(AF710:AF$3000,AF710))</f>
        <v/>
      </c>
      <c r="AH710" s="117" t="str">
        <f t="shared" si="23"/>
        <v/>
      </c>
    </row>
    <row r="711" spans="6:34" x14ac:dyDescent="0.25">
      <c r="F711" s="35"/>
      <c r="J711" s="35"/>
      <c r="K711" s="35"/>
      <c r="L711" s="35"/>
      <c r="AF711" s="115" t="str">
        <f t="shared" si="22"/>
        <v/>
      </c>
      <c r="AG711" s="116" t="str">
        <f>IF(AF711="","",COUNTIF(AF711:AF$3000,AF711))</f>
        <v/>
      </c>
      <c r="AH711" s="117" t="str">
        <f t="shared" si="23"/>
        <v/>
      </c>
    </row>
    <row r="712" spans="6:34" x14ac:dyDescent="0.25">
      <c r="F712" s="35"/>
      <c r="J712" s="35"/>
      <c r="K712" s="35"/>
      <c r="L712" s="35"/>
      <c r="AF712" s="115" t="str">
        <f t="shared" si="22"/>
        <v/>
      </c>
      <c r="AG712" s="116" t="str">
        <f>IF(AF712="","",COUNTIF(AF712:AF$3000,AF712))</f>
        <v/>
      </c>
      <c r="AH712" s="117" t="str">
        <f t="shared" si="23"/>
        <v/>
      </c>
    </row>
    <row r="713" spans="6:34" x14ac:dyDescent="0.25">
      <c r="F713" s="35"/>
      <c r="J713" s="35"/>
      <c r="K713" s="35"/>
      <c r="L713" s="35"/>
      <c r="AF713" s="115" t="str">
        <f t="shared" si="22"/>
        <v/>
      </c>
      <c r="AG713" s="116" t="str">
        <f>IF(AF713="","",COUNTIF(AF713:AF$3000,AF713))</f>
        <v/>
      </c>
      <c r="AH713" s="117" t="str">
        <f t="shared" si="23"/>
        <v/>
      </c>
    </row>
    <row r="714" spans="6:34" x14ac:dyDescent="0.25">
      <c r="F714" s="35"/>
      <c r="J714" s="35"/>
      <c r="K714" s="35"/>
      <c r="L714" s="35"/>
      <c r="AF714" s="115" t="str">
        <f t="shared" si="22"/>
        <v/>
      </c>
      <c r="AG714" s="116" t="str">
        <f>IF(AF714="","",COUNTIF(AF714:AF$3000,AF714))</f>
        <v/>
      </c>
      <c r="AH714" s="117" t="str">
        <f t="shared" si="23"/>
        <v/>
      </c>
    </row>
    <row r="715" spans="6:34" x14ac:dyDescent="0.25">
      <c r="F715" s="35"/>
      <c r="J715" s="35"/>
      <c r="K715" s="35"/>
      <c r="L715" s="35"/>
      <c r="AF715" s="115" t="str">
        <f t="shared" si="22"/>
        <v/>
      </c>
      <c r="AG715" s="116" t="str">
        <f>IF(AF715="","",COUNTIF(AF715:AF$3000,AF715))</f>
        <v/>
      </c>
      <c r="AH715" s="117" t="str">
        <f t="shared" si="23"/>
        <v/>
      </c>
    </row>
    <row r="716" spans="6:34" x14ac:dyDescent="0.25">
      <c r="F716" s="35"/>
      <c r="J716" s="35"/>
      <c r="K716" s="35"/>
      <c r="L716" s="35"/>
      <c r="AF716" s="115" t="str">
        <f t="shared" si="22"/>
        <v/>
      </c>
      <c r="AG716" s="116" t="str">
        <f>IF(AF716="","",COUNTIF(AF716:AF$3000,AF716))</f>
        <v/>
      </c>
      <c r="AH716" s="117" t="str">
        <f t="shared" si="23"/>
        <v/>
      </c>
    </row>
    <row r="717" spans="6:34" x14ac:dyDescent="0.25">
      <c r="F717" s="35"/>
      <c r="J717" s="35"/>
      <c r="K717" s="35"/>
      <c r="L717" s="35"/>
      <c r="AF717" s="115" t="str">
        <f t="shared" si="22"/>
        <v/>
      </c>
      <c r="AG717" s="116" t="str">
        <f>IF(AF717="","",COUNTIF(AF717:AF$3000,AF717))</f>
        <v/>
      </c>
      <c r="AH717" s="117" t="str">
        <f t="shared" si="23"/>
        <v/>
      </c>
    </row>
    <row r="718" spans="6:34" x14ac:dyDescent="0.25">
      <c r="F718" s="35"/>
      <c r="J718" s="35"/>
      <c r="K718" s="35"/>
      <c r="L718" s="35"/>
      <c r="AF718" s="115" t="str">
        <f t="shared" si="22"/>
        <v/>
      </c>
      <c r="AG718" s="116" t="str">
        <f>IF(AF718="","",COUNTIF(AF718:AF$3000,AF718))</f>
        <v/>
      </c>
      <c r="AH718" s="117" t="str">
        <f t="shared" si="23"/>
        <v/>
      </c>
    </row>
    <row r="719" spans="6:34" x14ac:dyDescent="0.25">
      <c r="F719" s="35"/>
      <c r="J719" s="35"/>
      <c r="K719" s="35"/>
      <c r="L719" s="35"/>
      <c r="AF719" s="115" t="str">
        <f t="shared" si="22"/>
        <v/>
      </c>
      <c r="AG719" s="116" t="str">
        <f>IF(AF719="","",COUNTIF(AF719:AF$3000,AF719))</f>
        <v/>
      </c>
      <c r="AH719" s="117" t="str">
        <f t="shared" si="23"/>
        <v/>
      </c>
    </row>
    <row r="720" spans="6:34" x14ac:dyDescent="0.25">
      <c r="F720" s="35"/>
      <c r="J720" s="35"/>
      <c r="K720" s="35"/>
      <c r="L720" s="35"/>
      <c r="AF720" s="115" t="str">
        <f t="shared" si="22"/>
        <v/>
      </c>
      <c r="AG720" s="116" t="str">
        <f>IF(AF720="","",COUNTIF(AF720:AF$3000,AF720))</f>
        <v/>
      </c>
      <c r="AH720" s="117" t="str">
        <f t="shared" si="23"/>
        <v/>
      </c>
    </row>
    <row r="721" spans="6:34" x14ac:dyDescent="0.25">
      <c r="F721" s="35"/>
      <c r="J721" s="35"/>
      <c r="K721" s="35"/>
      <c r="L721" s="35"/>
      <c r="AF721" s="115" t="str">
        <f t="shared" si="22"/>
        <v/>
      </c>
      <c r="AG721" s="116" t="str">
        <f>IF(AF721="","",COUNTIF(AF721:AF$3000,AF721))</f>
        <v/>
      </c>
      <c r="AH721" s="117" t="str">
        <f t="shared" si="23"/>
        <v/>
      </c>
    </row>
    <row r="722" spans="6:34" x14ac:dyDescent="0.25">
      <c r="F722" s="35"/>
      <c r="J722" s="35"/>
      <c r="K722" s="35"/>
      <c r="L722" s="35"/>
      <c r="AF722" s="115" t="str">
        <f t="shared" si="22"/>
        <v/>
      </c>
      <c r="AG722" s="116" t="str">
        <f>IF(AF722="","",COUNTIF(AF722:AF$3000,AF722))</f>
        <v/>
      </c>
      <c r="AH722" s="117" t="str">
        <f t="shared" si="23"/>
        <v/>
      </c>
    </row>
    <row r="723" spans="6:34" x14ac:dyDescent="0.25">
      <c r="F723" s="35"/>
      <c r="J723" s="35"/>
      <c r="K723" s="35"/>
      <c r="L723" s="35"/>
      <c r="AF723" s="115" t="str">
        <f t="shared" si="22"/>
        <v/>
      </c>
      <c r="AG723" s="116" t="str">
        <f>IF(AF723="","",COUNTIF(AF723:AF$3000,AF723))</f>
        <v/>
      </c>
      <c r="AH723" s="117" t="str">
        <f t="shared" si="23"/>
        <v/>
      </c>
    </row>
    <row r="724" spans="6:34" x14ac:dyDescent="0.25">
      <c r="F724" s="35"/>
      <c r="J724" s="35"/>
      <c r="K724" s="35"/>
      <c r="L724" s="35"/>
      <c r="AF724" s="115" t="str">
        <f t="shared" si="22"/>
        <v/>
      </c>
      <c r="AG724" s="116" t="str">
        <f>IF(AF724="","",COUNTIF(AF724:AF$3000,AF724))</f>
        <v/>
      </c>
      <c r="AH724" s="117" t="str">
        <f t="shared" si="23"/>
        <v/>
      </c>
    </row>
    <row r="725" spans="6:34" x14ac:dyDescent="0.25">
      <c r="F725" s="35"/>
      <c r="J725" s="35"/>
      <c r="K725" s="35"/>
      <c r="L725" s="35"/>
      <c r="AF725" s="115" t="str">
        <f t="shared" si="22"/>
        <v/>
      </c>
      <c r="AG725" s="116" t="str">
        <f>IF(AF725="","",COUNTIF(AF725:AF$3000,AF725))</f>
        <v/>
      </c>
      <c r="AH725" s="117" t="str">
        <f t="shared" si="23"/>
        <v/>
      </c>
    </row>
    <row r="726" spans="6:34" x14ac:dyDescent="0.25">
      <c r="F726" s="35"/>
      <c r="J726" s="35"/>
      <c r="K726" s="35"/>
      <c r="L726" s="35"/>
      <c r="AF726" s="115" t="str">
        <f t="shared" si="22"/>
        <v/>
      </c>
      <c r="AG726" s="116" t="str">
        <f>IF(AF726="","",COUNTIF(AF726:AF$3000,AF726))</f>
        <v/>
      </c>
      <c r="AH726" s="117" t="str">
        <f t="shared" si="23"/>
        <v/>
      </c>
    </row>
    <row r="727" spans="6:34" x14ac:dyDescent="0.25">
      <c r="F727" s="35"/>
      <c r="J727" s="35"/>
      <c r="K727" s="35"/>
      <c r="L727" s="35"/>
      <c r="AF727" s="115" t="str">
        <f t="shared" si="22"/>
        <v/>
      </c>
      <c r="AG727" s="116" t="str">
        <f>IF(AF727="","",COUNTIF(AF727:AF$3000,AF727))</f>
        <v/>
      </c>
      <c r="AH727" s="117" t="str">
        <f t="shared" si="23"/>
        <v/>
      </c>
    </row>
    <row r="728" spans="6:34" x14ac:dyDescent="0.25">
      <c r="F728" s="35"/>
      <c r="J728" s="35"/>
      <c r="K728" s="35"/>
      <c r="L728" s="35"/>
      <c r="AF728" s="115" t="str">
        <f t="shared" si="22"/>
        <v/>
      </c>
      <c r="AG728" s="116" t="str">
        <f>IF(AF728="","",COUNTIF(AF728:AF$3000,AF728))</f>
        <v/>
      </c>
      <c r="AH728" s="117" t="str">
        <f t="shared" si="23"/>
        <v/>
      </c>
    </row>
    <row r="729" spans="6:34" x14ac:dyDescent="0.25">
      <c r="F729" s="35"/>
      <c r="J729" s="35"/>
      <c r="K729" s="35"/>
      <c r="L729" s="35"/>
      <c r="AF729" s="115" t="str">
        <f t="shared" si="22"/>
        <v/>
      </c>
      <c r="AG729" s="116" t="str">
        <f>IF(AF729="","",COUNTIF(AF729:AF$3000,AF729))</f>
        <v/>
      </c>
      <c r="AH729" s="117" t="str">
        <f t="shared" si="23"/>
        <v/>
      </c>
    </row>
    <row r="730" spans="6:34" x14ac:dyDescent="0.25">
      <c r="F730" s="35"/>
      <c r="J730" s="35"/>
      <c r="K730" s="35"/>
      <c r="L730" s="35"/>
      <c r="AF730" s="115" t="str">
        <f t="shared" si="22"/>
        <v/>
      </c>
      <c r="AG730" s="116" t="str">
        <f>IF(AF730="","",COUNTIF(AF730:AF$3000,AF730))</f>
        <v/>
      </c>
      <c r="AH730" s="117" t="str">
        <f t="shared" si="23"/>
        <v/>
      </c>
    </row>
    <row r="731" spans="6:34" x14ac:dyDescent="0.25">
      <c r="F731" s="35"/>
      <c r="J731" s="35"/>
      <c r="K731" s="35"/>
      <c r="L731" s="35"/>
      <c r="AF731" s="115" t="str">
        <f t="shared" si="22"/>
        <v/>
      </c>
      <c r="AG731" s="116" t="str">
        <f>IF(AF731="","",COUNTIF(AF731:AF$3000,AF731))</f>
        <v/>
      </c>
      <c r="AH731" s="117" t="str">
        <f t="shared" si="23"/>
        <v/>
      </c>
    </row>
    <row r="732" spans="6:34" x14ac:dyDescent="0.25">
      <c r="F732" s="35"/>
      <c r="J732" s="35"/>
      <c r="K732" s="35"/>
      <c r="L732" s="35"/>
      <c r="AF732" s="115" t="str">
        <f t="shared" si="22"/>
        <v/>
      </c>
      <c r="AG732" s="116" t="str">
        <f>IF(AF732="","",COUNTIF(AF732:AF$3000,AF732))</f>
        <v/>
      </c>
      <c r="AH732" s="117" t="str">
        <f t="shared" si="23"/>
        <v/>
      </c>
    </row>
    <row r="733" spans="6:34" x14ac:dyDescent="0.25">
      <c r="F733" s="35"/>
      <c r="J733" s="35"/>
      <c r="K733" s="35"/>
      <c r="L733" s="35"/>
      <c r="AF733" s="115" t="str">
        <f t="shared" si="22"/>
        <v/>
      </c>
      <c r="AG733" s="116" t="str">
        <f>IF(AF733="","",COUNTIF(AF733:AF$3000,AF733))</f>
        <v/>
      </c>
      <c r="AH733" s="117" t="str">
        <f t="shared" si="23"/>
        <v/>
      </c>
    </row>
    <row r="734" spans="6:34" x14ac:dyDescent="0.25">
      <c r="F734" s="35"/>
      <c r="J734" s="35"/>
      <c r="K734" s="35"/>
      <c r="L734" s="35"/>
      <c r="AF734" s="115" t="str">
        <f t="shared" si="22"/>
        <v/>
      </c>
      <c r="AG734" s="116" t="str">
        <f>IF(AF734="","",COUNTIF(AF734:AF$3000,AF734))</f>
        <v/>
      </c>
      <c r="AH734" s="117" t="str">
        <f t="shared" si="23"/>
        <v/>
      </c>
    </row>
    <row r="735" spans="6:34" x14ac:dyDescent="0.25">
      <c r="F735" s="35"/>
      <c r="J735" s="35"/>
      <c r="K735" s="35"/>
      <c r="L735" s="35"/>
      <c r="AF735" s="115" t="str">
        <f t="shared" si="22"/>
        <v/>
      </c>
      <c r="AG735" s="116" t="str">
        <f>IF(AF735="","",COUNTIF(AF735:AF$3000,AF735))</f>
        <v/>
      </c>
      <c r="AH735" s="117" t="str">
        <f t="shared" si="23"/>
        <v/>
      </c>
    </row>
    <row r="736" spans="6:34" x14ac:dyDescent="0.25">
      <c r="F736" s="35"/>
      <c r="J736" s="35"/>
      <c r="K736" s="35"/>
      <c r="L736" s="35"/>
      <c r="AF736" s="115" t="str">
        <f t="shared" si="22"/>
        <v/>
      </c>
      <c r="AG736" s="116" t="str">
        <f>IF(AF736="","",COUNTIF(AF736:AF$3000,AF736))</f>
        <v/>
      </c>
      <c r="AH736" s="117" t="str">
        <f t="shared" si="23"/>
        <v/>
      </c>
    </row>
    <row r="737" spans="6:34" x14ac:dyDescent="0.25">
      <c r="F737" s="35"/>
      <c r="J737" s="35"/>
      <c r="K737" s="35"/>
      <c r="L737" s="35"/>
      <c r="AF737" s="115" t="str">
        <f t="shared" si="22"/>
        <v/>
      </c>
      <c r="AG737" s="116" t="str">
        <f>IF(AF737="","",COUNTIF(AF737:AF$3000,AF737))</f>
        <v/>
      </c>
      <c r="AH737" s="117" t="str">
        <f t="shared" si="23"/>
        <v/>
      </c>
    </row>
    <row r="738" spans="6:34" x14ac:dyDescent="0.25">
      <c r="F738" s="35"/>
      <c r="J738" s="35"/>
      <c r="K738" s="35"/>
      <c r="L738" s="35"/>
      <c r="AF738" s="115" t="str">
        <f t="shared" si="22"/>
        <v/>
      </c>
      <c r="AG738" s="116" t="str">
        <f>IF(AF738="","",COUNTIF(AF738:AF$3000,AF738))</f>
        <v/>
      </c>
      <c r="AH738" s="117" t="str">
        <f t="shared" si="23"/>
        <v/>
      </c>
    </row>
    <row r="739" spans="6:34" x14ac:dyDescent="0.25">
      <c r="F739" s="35"/>
      <c r="J739" s="35"/>
      <c r="K739" s="35"/>
      <c r="L739" s="35"/>
      <c r="AF739" s="115" t="str">
        <f t="shared" si="22"/>
        <v/>
      </c>
      <c r="AG739" s="116" t="str">
        <f>IF(AF739="","",COUNTIF(AF739:AF$3000,AF739))</f>
        <v/>
      </c>
      <c r="AH739" s="117" t="str">
        <f t="shared" si="23"/>
        <v/>
      </c>
    </row>
    <row r="740" spans="6:34" x14ac:dyDescent="0.25">
      <c r="F740" s="35"/>
      <c r="J740" s="35"/>
      <c r="K740" s="35"/>
      <c r="L740" s="35"/>
      <c r="AF740" s="115" t="str">
        <f t="shared" si="22"/>
        <v/>
      </c>
      <c r="AG740" s="116" t="str">
        <f>IF(AF740="","",COUNTIF(AF740:AF$3000,AF740))</f>
        <v/>
      </c>
      <c r="AH740" s="117" t="str">
        <f t="shared" si="23"/>
        <v/>
      </c>
    </row>
    <row r="741" spans="6:34" x14ac:dyDescent="0.25">
      <c r="F741" s="35"/>
      <c r="J741" s="35"/>
      <c r="K741" s="35"/>
      <c r="L741" s="35"/>
      <c r="AF741" s="115" t="str">
        <f t="shared" si="22"/>
        <v/>
      </c>
      <c r="AG741" s="116" t="str">
        <f>IF(AF741="","",COUNTIF(AF741:AF$3000,AF741))</f>
        <v/>
      </c>
      <c r="AH741" s="117" t="str">
        <f t="shared" si="23"/>
        <v/>
      </c>
    </row>
    <row r="742" spans="6:34" x14ac:dyDescent="0.25">
      <c r="F742" s="35"/>
      <c r="J742" s="35"/>
      <c r="K742" s="35"/>
      <c r="L742" s="35"/>
      <c r="AF742" s="115" t="str">
        <f t="shared" si="22"/>
        <v/>
      </c>
      <c r="AG742" s="116" t="str">
        <f>IF(AF742="","",COUNTIF(AF742:AF$3000,AF742))</f>
        <v/>
      </c>
      <c r="AH742" s="117" t="str">
        <f t="shared" si="23"/>
        <v/>
      </c>
    </row>
    <row r="743" spans="6:34" x14ac:dyDescent="0.25">
      <c r="F743" s="35"/>
      <c r="J743" s="35"/>
      <c r="K743" s="35"/>
      <c r="L743" s="35"/>
      <c r="AF743" s="115" t="str">
        <f t="shared" si="22"/>
        <v/>
      </c>
      <c r="AG743" s="116" t="str">
        <f>IF(AF743="","",COUNTIF(AF743:AF$3000,AF743))</f>
        <v/>
      </c>
      <c r="AH743" s="117" t="str">
        <f t="shared" si="23"/>
        <v/>
      </c>
    </row>
    <row r="744" spans="6:34" x14ac:dyDescent="0.25">
      <c r="F744" s="35"/>
      <c r="J744" s="35"/>
      <c r="K744" s="35"/>
      <c r="L744" s="35"/>
      <c r="AF744" s="115" t="str">
        <f t="shared" si="22"/>
        <v/>
      </c>
      <c r="AG744" s="116" t="str">
        <f>IF(AF744="","",COUNTIF(AF744:AF$3000,AF744))</f>
        <v/>
      </c>
      <c r="AH744" s="117" t="str">
        <f t="shared" si="23"/>
        <v/>
      </c>
    </row>
    <row r="745" spans="6:34" x14ac:dyDescent="0.25">
      <c r="F745" s="35"/>
      <c r="J745" s="35"/>
      <c r="K745" s="35"/>
      <c r="L745" s="35"/>
      <c r="AF745" s="115" t="str">
        <f t="shared" si="22"/>
        <v/>
      </c>
      <c r="AG745" s="116" t="str">
        <f>IF(AF745="","",COUNTIF(AF745:AF$3000,AF745))</f>
        <v/>
      </c>
      <c r="AH745" s="117" t="str">
        <f t="shared" si="23"/>
        <v/>
      </c>
    </row>
    <row r="746" spans="6:34" x14ac:dyDescent="0.25">
      <c r="F746" s="35"/>
      <c r="J746" s="35"/>
      <c r="K746" s="35"/>
      <c r="L746" s="35"/>
      <c r="AF746" s="115" t="str">
        <f t="shared" si="22"/>
        <v/>
      </c>
      <c r="AG746" s="116" t="str">
        <f>IF(AF746="","",COUNTIF(AF746:AF$3000,AF746))</f>
        <v/>
      </c>
      <c r="AH746" s="117" t="str">
        <f t="shared" si="23"/>
        <v/>
      </c>
    </row>
    <row r="747" spans="6:34" x14ac:dyDescent="0.25">
      <c r="F747" s="35"/>
      <c r="J747" s="35"/>
      <c r="K747" s="35"/>
      <c r="L747" s="35"/>
      <c r="AF747" s="115" t="str">
        <f t="shared" si="22"/>
        <v/>
      </c>
      <c r="AG747" s="116" t="str">
        <f>IF(AF747="","",COUNTIF(AF747:AF$3000,AF747))</f>
        <v/>
      </c>
      <c r="AH747" s="117" t="str">
        <f t="shared" si="23"/>
        <v/>
      </c>
    </row>
    <row r="748" spans="6:34" x14ac:dyDescent="0.25">
      <c r="F748" s="35"/>
      <c r="J748" s="35"/>
      <c r="K748" s="35"/>
      <c r="L748" s="35"/>
      <c r="AF748" s="115" t="str">
        <f t="shared" si="22"/>
        <v/>
      </c>
      <c r="AG748" s="116" t="str">
        <f>IF(AF748="","",COUNTIF(AF748:AF$3000,AF748))</f>
        <v/>
      </c>
      <c r="AH748" s="117" t="str">
        <f t="shared" si="23"/>
        <v/>
      </c>
    </row>
    <row r="749" spans="6:34" x14ac:dyDescent="0.25">
      <c r="F749" s="35"/>
      <c r="J749" s="35"/>
      <c r="K749" s="35"/>
      <c r="L749" s="35"/>
      <c r="AF749" s="115" t="str">
        <f t="shared" si="22"/>
        <v/>
      </c>
      <c r="AG749" s="116" t="str">
        <f>IF(AF749="","",COUNTIF(AF749:AF$3000,AF749))</f>
        <v/>
      </c>
      <c r="AH749" s="117" t="str">
        <f t="shared" si="23"/>
        <v/>
      </c>
    </row>
    <row r="750" spans="6:34" x14ac:dyDescent="0.25">
      <c r="F750" s="35"/>
      <c r="J750" s="35"/>
      <c r="K750" s="35"/>
      <c r="L750" s="35"/>
      <c r="AF750" s="115" t="str">
        <f t="shared" si="22"/>
        <v/>
      </c>
      <c r="AG750" s="116" t="str">
        <f>IF(AF750="","",COUNTIF(AF750:AF$3000,AF750))</f>
        <v/>
      </c>
      <c r="AH750" s="117" t="str">
        <f t="shared" si="23"/>
        <v/>
      </c>
    </row>
    <row r="751" spans="6:34" x14ac:dyDescent="0.25">
      <c r="F751" s="35"/>
      <c r="J751" s="35"/>
      <c r="K751" s="35"/>
      <c r="L751" s="35"/>
      <c r="AF751" s="115" t="str">
        <f t="shared" si="22"/>
        <v/>
      </c>
      <c r="AG751" s="116" t="str">
        <f>IF(AF751="","",COUNTIF(AF751:AF$3000,AF751))</f>
        <v/>
      </c>
      <c r="AH751" s="117" t="str">
        <f t="shared" si="23"/>
        <v/>
      </c>
    </row>
    <row r="752" spans="6:34" x14ac:dyDescent="0.25">
      <c r="F752" s="35"/>
      <c r="J752" s="35"/>
      <c r="K752" s="35"/>
      <c r="L752" s="35"/>
      <c r="AF752" s="115" t="str">
        <f t="shared" si="22"/>
        <v/>
      </c>
      <c r="AG752" s="116" t="str">
        <f>IF(AF752="","",COUNTIF(AF752:AF$3000,AF752))</f>
        <v/>
      </c>
      <c r="AH752" s="117" t="str">
        <f t="shared" si="23"/>
        <v/>
      </c>
    </row>
    <row r="753" spans="6:34" x14ac:dyDescent="0.25">
      <c r="F753" s="35"/>
      <c r="J753" s="35"/>
      <c r="K753" s="35"/>
      <c r="L753" s="35"/>
      <c r="AF753" s="115" t="str">
        <f t="shared" si="22"/>
        <v/>
      </c>
      <c r="AG753" s="116" t="str">
        <f>IF(AF753="","",COUNTIF(AF753:AF$3000,AF753))</f>
        <v/>
      </c>
      <c r="AH753" s="117" t="str">
        <f t="shared" si="23"/>
        <v/>
      </c>
    </row>
    <row r="754" spans="6:34" x14ac:dyDescent="0.25">
      <c r="F754" s="35"/>
      <c r="J754" s="35"/>
      <c r="K754" s="35"/>
      <c r="L754" s="35"/>
      <c r="AF754" s="115" t="str">
        <f t="shared" si="22"/>
        <v/>
      </c>
      <c r="AG754" s="116" t="str">
        <f>IF(AF754="","",COUNTIF(AF754:AF$3000,AF754))</f>
        <v/>
      </c>
      <c r="AH754" s="117" t="str">
        <f t="shared" si="23"/>
        <v/>
      </c>
    </row>
    <row r="755" spans="6:34" x14ac:dyDescent="0.25">
      <c r="F755" s="35"/>
      <c r="J755" s="35"/>
      <c r="K755" s="35"/>
      <c r="L755" s="35"/>
      <c r="AF755" s="115" t="str">
        <f t="shared" si="22"/>
        <v/>
      </c>
      <c r="AG755" s="116" t="str">
        <f>IF(AF755="","",COUNTIF(AF755:AF$3000,AF755))</f>
        <v/>
      </c>
      <c r="AH755" s="117" t="str">
        <f t="shared" si="23"/>
        <v/>
      </c>
    </row>
    <row r="756" spans="6:34" x14ac:dyDescent="0.25">
      <c r="F756" s="35"/>
      <c r="J756" s="35"/>
      <c r="K756" s="35"/>
      <c r="L756" s="35"/>
      <c r="AF756" s="115" t="str">
        <f t="shared" si="22"/>
        <v/>
      </c>
      <c r="AG756" s="116" t="str">
        <f>IF(AF756="","",COUNTIF(AF756:AF$3000,AF756))</f>
        <v/>
      </c>
      <c r="AH756" s="117" t="str">
        <f t="shared" si="23"/>
        <v/>
      </c>
    </row>
    <row r="757" spans="6:34" x14ac:dyDescent="0.25">
      <c r="F757" s="35"/>
      <c r="J757" s="35"/>
      <c r="K757" s="35"/>
      <c r="L757" s="35"/>
      <c r="AF757" s="115" t="str">
        <f t="shared" si="22"/>
        <v/>
      </c>
      <c r="AG757" s="116" t="str">
        <f>IF(AF757="","",COUNTIF(AF757:AF$3000,AF757))</f>
        <v/>
      </c>
      <c r="AH757" s="117" t="str">
        <f t="shared" si="23"/>
        <v/>
      </c>
    </row>
    <row r="758" spans="6:34" x14ac:dyDescent="0.25">
      <c r="F758" s="35"/>
      <c r="J758" s="35"/>
      <c r="K758" s="35"/>
      <c r="L758" s="35"/>
      <c r="AF758" s="115" t="str">
        <f t="shared" si="22"/>
        <v/>
      </c>
      <c r="AG758" s="116" t="str">
        <f>IF(AF758="","",COUNTIF(AF758:AF$3000,AF758))</f>
        <v/>
      </c>
      <c r="AH758" s="117" t="str">
        <f t="shared" si="23"/>
        <v/>
      </c>
    </row>
    <row r="759" spans="6:34" x14ac:dyDescent="0.25">
      <c r="F759" s="35"/>
      <c r="J759" s="35"/>
      <c r="K759" s="35"/>
      <c r="L759" s="35"/>
      <c r="AF759" s="115" t="str">
        <f t="shared" si="22"/>
        <v/>
      </c>
      <c r="AG759" s="116" t="str">
        <f>IF(AF759="","",COUNTIF(AF759:AF$3000,AF759))</f>
        <v/>
      </c>
      <c r="AH759" s="117" t="str">
        <f t="shared" si="23"/>
        <v/>
      </c>
    </row>
    <row r="760" spans="6:34" x14ac:dyDescent="0.25">
      <c r="F760" s="35"/>
      <c r="J760" s="35"/>
      <c r="K760" s="35"/>
      <c r="L760" s="35"/>
      <c r="AF760" s="115" t="str">
        <f t="shared" si="22"/>
        <v/>
      </c>
      <c r="AG760" s="116" t="str">
        <f>IF(AF760="","",COUNTIF(AF760:AF$3000,AF760))</f>
        <v/>
      </c>
      <c r="AH760" s="117" t="str">
        <f t="shared" si="23"/>
        <v/>
      </c>
    </row>
    <row r="761" spans="6:34" x14ac:dyDescent="0.25">
      <c r="F761" s="35"/>
      <c r="J761" s="35"/>
      <c r="K761" s="35"/>
      <c r="L761" s="35"/>
      <c r="AF761" s="115" t="str">
        <f t="shared" si="22"/>
        <v/>
      </c>
      <c r="AG761" s="116" t="str">
        <f>IF(AF761="","",COUNTIF(AF761:AF$3000,AF761))</f>
        <v/>
      </c>
      <c r="AH761" s="117" t="str">
        <f t="shared" si="23"/>
        <v/>
      </c>
    </row>
    <row r="762" spans="6:34" x14ac:dyDescent="0.25">
      <c r="F762" s="35"/>
      <c r="J762" s="35"/>
      <c r="K762" s="35"/>
      <c r="L762" s="35"/>
      <c r="AF762" s="115" t="str">
        <f t="shared" si="22"/>
        <v/>
      </c>
      <c r="AG762" s="116" t="str">
        <f>IF(AF762="","",COUNTIF(AF762:AF$3000,AF762))</f>
        <v/>
      </c>
      <c r="AH762" s="117" t="str">
        <f t="shared" si="23"/>
        <v/>
      </c>
    </row>
    <row r="763" spans="6:34" x14ac:dyDescent="0.25">
      <c r="F763" s="35"/>
      <c r="J763" s="35"/>
      <c r="K763" s="35"/>
      <c r="L763" s="35"/>
      <c r="AF763" s="115" t="str">
        <f t="shared" si="22"/>
        <v/>
      </c>
      <c r="AG763" s="116" t="str">
        <f>IF(AF763="","",COUNTIF(AF763:AF$3000,AF763))</f>
        <v/>
      </c>
      <c r="AH763" s="117" t="str">
        <f t="shared" si="23"/>
        <v/>
      </c>
    </row>
    <row r="764" spans="6:34" x14ac:dyDescent="0.25">
      <c r="F764" s="35"/>
      <c r="J764" s="35"/>
      <c r="K764" s="35"/>
      <c r="L764" s="35"/>
      <c r="AF764" s="115" t="str">
        <f t="shared" si="22"/>
        <v/>
      </c>
      <c r="AG764" s="116" t="str">
        <f>IF(AF764="","",COUNTIF(AF764:AF$3000,AF764))</f>
        <v/>
      </c>
      <c r="AH764" s="117" t="str">
        <f t="shared" si="23"/>
        <v/>
      </c>
    </row>
    <row r="765" spans="6:34" x14ac:dyDescent="0.25">
      <c r="F765" s="35"/>
      <c r="J765" s="35"/>
      <c r="K765" s="35"/>
      <c r="L765" s="35"/>
      <c r="AF765" s="115" t="str">
        <f t="shared" si="22"/>
        <v/>
      </c>
      <c r="AG765" s="116" t="str">
        <f>IF(AF765="","",COUNTIF(AF765:AF$3000,AF765))</f>
        <v/>
      </c>
      <c r="AH765" s="117" t="str">
        <f t="shared" si="23"/>
        <v/>
      </c>
    </row>
    <row r="766" spans="6:34" x14ac:dyDescent="0.25">
      <c r="F766" s="35"/>
      <c r="J766" s="35"/>
      <c r="K766" s="35"/>
      <c r="L766" s="35"/>
      <c r="AF766" s="115" t="str">
        <f t="shared" si="22"/>
        <v/>
      </c>
      <c r="AG766" s="116" t="str">
        <f>IF(AF766="","",COUNTIF(AF766:AF$3000,AF766))</f>
        <v/>
      </c>
      <c r="AH766" s="117" t="str">
        <f t="shared" si="23"/>
        <v/>
      </c>
    </row>
    <row r="767" spans="6:34" x14ac:dyDescent="0.25">
      <c r="F767" s="35"/>
      <c r="J767" s="35"/>
      <c r="K767" s="35"/>
      <c r="L767" s="35"/>
      <c r="AF767" s="115" t="str">
        <f t="shared" si="22"/>
        <v/>
      </c>
      <c r="AG767" s="116" t="str">
        <f>IF(AF767="","",COUNTIF(AF767:AF$3000,AF767))</f>
        <v/>
      </c>
      <c r="AH767" s="117" t="str">
        <f t="shared" si="23"/>
        <v/>
      </c>
    </row>
    <row r="768" spans="6:34" x14ac:dyDescent="0.25">
      <c r="F768" s="35"/>
      <c r="J768" s="35"/>
      <c r="K768" s="35"/>
      <c r="L768" s="35"/>
      <c r="AF768" s="115" t="str">
        <f t="shared" si="22"/>
        <v/>
      </c>
      <c r="AG768" s="116" t="str">
        <f>IF(AF768="","",COUNTIF(AF768:AF$3000,AF768))</f>
        <v/>
      </c>
      <c r="AH768" s="117" t="str">
        <f t="shared" si="23"/>
        <v/>
      </c>
    </row>
    <row r="769" spans="6:34" x14ac:dyDescent="0.25">
      <c r="F769" s="35"/>
      <c r="J769" s="35"/>
      <c r="K769" s="35"/>
      <c r="L769" s="35"/>
      <c r="AF769" s="115" t="str">
        <f t="shared" si="22"/>
        <v/>
      </c>
      <c r="AG769" s="116" t="str">
        <f>IF(AF769="","",COUNTIF(AF769:AF$3000,AF769))</f>
        <v/>
      </c>
      <c r="AH769" s="117" t="str">
        <f t="shared" si="23"/>
        <v/>
      </c>
    </row>
    <row r="770" spans="6:34" x14ac:dyDescent="0.25">
      <c r="F770" s="35"/>
      <c r="J770" s="35"/>
      <c r="K770" s="35"/>
      <c r="L770" s="35"/>
      <c r="AF770" s="115" t="str">
        <f t="shared" si="22"/>
        <v/>
      </c>
      <c r="AG770" s="116" t="str">
        <f>IF(AF770="","",COUNTIF(AF770:AF$3000,AF770))</f>
        <v/>
      </c>
      <c r="AH770" s="117" t="str">
        <f t="shared" si="23"/>
        <v/>
      </c>
    </row>
    <row r="771" spans="6:34" x14ac:dyDescent="0.25">
      <c r="F771" s="35"/>
      <c r="J771" s="35"/>
      <c r="K771" s="35"/>
      <c r="L771" s="35"/>
      <c r="AF771" s="115" t="str">
        <f t="shared" si="22"/>
        <v/>
      </c>
      <c r="AG771" s="116" t="str">
        <f>IF(AF771="","",COUNTIF(AF771:AF$3000,AF771))</f>
        <v/>
      </c>
      <c r="AH771" s="117" t="str">
        <f t="shared" si="23"/>
        <v/>
      </c>
    </row>
    <row r="772" spans="6:34" x14ac:dyDescent="0.25">
      <c r="F772" s="35"/>
      <c r="J772" s="35"/>
      <c r="K772" s="35"/>
      <c r="L772" s="35"/>
      <c r="AF772" s="115" t="str">
        <f t="shared" ref="AF772:AF835" si="24">IF(B772="","",TEXT(J772,"DD/MM/AA")&amp;"_"&amp;S772&amp;"_"&amp;V772)</f>
        <v/>
      </c>
      <c r="AG772" s="116" t="str">
        <f>IF(AF772="","",COUNTIF(AF772:AF$3000,AF772))</f>
        <v/>
      </c>
      <c r="AH772" s="117" t="str">
        <f t="shared" ref="AH772:AH835" si="25">IF(AA772="","",
IF(AG772&gt;1,"",
IF(SUMIF(AF$3:AF$31,AF772,H$3:H$31)/10&lt;1,1,SUMIF(AF$3:AF$31,AF772,H$3:H$31)/10)))</f>
        <v/>
      </c>
    </row>
    <row r="773" spans="6:34" x14ac:dyDescent="0.25">
      <c r="F773" s="35"/>
      <c r="J773" s="35"/>
      <c r="K773" s="35"/>
      <c r="L773" s="35"/>
      <c r="AF773" s="115" t="str">
        <f t="shared" si="24"/>
        <v/>
      </c>
      <c r="AG773" s="116" t="str">
        <f>IF(AF773="","",COUNTIF(AF773:AF$3000,AF773))</f>
        <v/>
      </c>
      <c r="AH773" s="117" t="str">
        <f t="shared" si="25"/>
        <v/>
      </c>
    </row>
    <row r="774" spans="6:34" x14ac:dyDescent="0.25">
      <c r="F774" s="35"/>
      <c r="J774" s="35"/>
      <c r="K774" s="35"/>
      <c r="L774" s="35"/>
      <c r="AF774" s="115" t="str">
        <f t="shared" si="24"/>
        <v/>
      </c>
      <c r="AG774" s="116" t="str">
        <f>IF(AF774="","",COUNTIF(AF774:AF$3000,AF774))</f>
        <v/>
      </c>
      <c r="AH774" s="117" t="str">
        <f t="shared" si="25"/>
        <v/>
      </c>
    </row>
    <row r="775" spans="6:34" x14ac:dyDescent="0.25">
      <c r="F775" s="35"/>
      <c r="J775" s="35"/>
      <c r="K775" s="35"/>
      <c r="L775" s="35"/>
      <c r="AF775" s="115" t="str">
        <f t="shared" si="24"/>
        <v/>
      </c>
      <c r="AG775" s="116" t="str">
        <f>IF(AF775="","",COUNTIF(AF775:AF$3000,AF775))</f>
        <v/>
      </c>
      <c r="AH775" s="117" t="str">
        <f t="shared" si="25"/>
        <v/>
      </c>
    </row>
    <row r="776" spans="6:34" x14ac:dyDescent="0.25">
      <c r="F776" s="35"/>
      <c r="J776" s="35"/>
      <c r="K776" s="35"/>
      <c r="L776" s="35"/>
      <c r="AF776" s="115" t="str">
        <f t="shared" si="24"/>
        <v/>
      </c>
      <c r="AG776" s="116" t="str">
        <f>IF(AF776="","",COUNTIF(AF776:AF$3000,AF776))</f>
        <v/>
      </c>
      <c r="AH776" s="117" t="str">
        <f t="shared" si="25"/>
        <v/>
      </c>
    </row>
    <row r="777" spans="6:34" x14ac:dyDescent="0.25">
      <c r="F777" s="35"/>
      <c r="J777" s="35"/>
      <c r="K777" s="35"/>
      <c r="L777" s="35"/>
      <c r="AF777" s="115" t="str">
        <f t="shared" si="24"/>
        <v/>
      </c>
      <c r="AG777" s="116" t="str">
        <f>IF(AF777="","",COUNTIF(AF777:AF$3000,AF777))</f>
        <v/>
      </c>
      <c r="AH777" s="117" t="str">
        <f t="shared" si="25"/>
        <v/>
      </c>
    </row>
    <row r="778" spans="6:34" x14ac:dyDescent="0.25">
      <c r="F778" s="35"/>
      <c r="J778" s="35"/>
      <c r="K778" s="35"/>
      <c r="L778" s="35"/>
      <c r="AF778" s="115" t="str">
        <f t="shared" si="24"/>
        <v/>
      </c>
      <c r="AG778" s="116" t="str">
        <f>IF(AF778="","",COUNTIF(AF778:AF$3000,AF778))</f>
        <v/>
      </c>
      <c r="AH778" s="117" t="str">
        <f t="shared" si="25"/>
        <v/>
      </c>
    </row>
    <row r="779" spans="6:34" x14ac:dyDescent="0.25">
      <c r="F779" s="35"/>
      <c r="J779" s="35"/>
      <c r="K779" s="35"/>
      <c r="L779" s="35"/>
      <c r="AF779" s="115" t="str">
        <f t="shared" si="24"/>
        <v/>
      </c>
      <c r="AG779" s="116" t="str">
        <f>IF(AF779="","",COUNTIF(AF779:AF$3000,AF779))</f>
        <v/>
      </c>
      <c r="AH779" s="117" t="str">
        <f t="shared" si="25"/>
        <v/>
      </c>
    </row>
    <row r="780" spans="6:34" x14ac:dyDescent="0.25">
      <c r="F780" s="35"/>
      <c r="J780" s="35"/>
      <c r="K780" s="35"/>
      <c r="L780" s="35"/>
      <c r="AF780" s="115" t="str">
        <f t="shared" si="24"/>
        <v/>
      </c>
      <c r="AG780" s="116" t="str">
        <f>IF(AF780="","",COUNTIF(AF780:AF$3000,AF780))</f>
        <v/>
      </c>
      <c r="AH780" s="117" t="str">
        <f t="shared" si="25"/>
        <v/>
      </c>
    </row>
    <row r="781" spans="6:34" x14ac:dyDescent="0.25">
      <c r="F781" s="35"/>
      <c r="J781" s="35"/>
      <c r="K781" s="35"/>
      <c r="L781" s="35"/>
      <c r="AF781" s="115" t="str">
        <f t="shared" si="24"/>
        <v/>
      </c>
      <c r="AG781" s="116" t="str">
        <f>IF(AF781="","",COUNTIF(AF781:AF$3000,AF781))</f>
        <v/>
      </c>
      <c r="AH781" s="117" t="str">
        <f t="shared" si="25"/>
        <v/>
      </c>
    </row>
    <row r="782" spans="6:34" x14ac:dyDescent="0.25">
      <c r="F782" s="35"/>
      <c r="J782" s="35"/>
      <c r="K782" s="35"/>
      <c r="L782" s="35"/>
      <c r="AF782" s="115" t="str">
        <f t="shared" si="24"/>
        <v/>
      </c>
      <c r="AG782" s="116" t="str">
        <f>IF(AF782="","",COUNTIF(AF782:AF$3000,AF782))</f>
        <v/>
      </c>
      <c r="AH782" s="117" t="str">
        <f t="shared" si="25"/>
        <v/>
      </c>
    </row>
    <row r="783" spans="6:34" x14ac:dyDescent="0.25">
      <c r="F783" s="35"/>
      <c r="J783" s="35"/>
      <c r="K783" s="35"/>
      <c r="L783" s="35"/>
      <c r="AF783" s="115" t="str">
        <f t="shared" si="24"/>
        <v/>
      </c>
      <c r="AG783" s="116" t="str">
        <f>IF(AF783="","",COUNTIF(AF783:AF$3000,AF783))</f>
        <v/>
      </c>
      <c r="AH783" s="117" t="str">
        <f t="shared" si="25"/>
        <v/>
      </c>
    </row>
    <row r="784" spans="6:34" x14ac:dyDescent="0.25">
      <c r="F784" s="35"/>
      <c r="J784" s="35"/>
      <c r="K784" s="35"/>
      <c r="L784" s="35"/>
      <c r="AF784" s="115" t="str">
        <f t="shared" si="24"/>
        <v/>
      </c>
      <c r="AG784" s="116" t="str">
        <f>IF(AF784="","",COUNTIF(AF784:AF$3000,AF784))</f>
        <v/>
      </c>
      <c r="AH784" s="117" t="str">
        <f t="shared" si="25"/>
        <v/>
      </c>
    </row>
    <row r="785" spans="6:34" x14ac:dyDescent="0.25">
      <c r="F785" s="35"/>
      <c r="J785" s="35"/>
      <c r="K785" s="35"/>
      <c r="L785" s="35"/>
      <c r="AF785" s="115" t="str">
        <f t="shared" si="24"/>
        <v/>
      </c>
      <c r="AG785" s="116" t="str">
        <f>IF(AF785="","",COUNTIF(AF785:AF$3000,AF785))</f>
        <v/>
      </c>
      <c r="AH785" s="117" t="str">
        <f t="shared" si="25"/>
        <v/>
      </c>
    </row>
    <row r="786" spans="6:34" x14ac:dyDescent="0.25">
      <c r="F786" s="35"/>
      <c r="J786" s="35"/>
      <c r="K786" s="35"/>
      <c r="L786" s="35"/>
      <c r="AF786" s="115" t="str">
        <f t="shared" si="24"/>
        <v/>
      </c>
      <c r="AG786" s="116" t="str">
        <f>IF(AF786="","",COUNTIF(AF786:AF$3000,AF786))</f>
        <v/>
      </c>
      <c r="AH786" s="117" t="str">
        <f t="shared" si="25"/>
        <v/>
      </c>
    </row>
    <row r="787" spans="6:34" x14ac:dyDescent="0.25">
      <c r="F787" s="35"/>
      <c r="J787" s="35"/>
      <c r="K787" s="35"/>
      <c r="L787" s="35"/>
      <c r="AF787" s="115" t="str">
        <f t="shared" si="24"/>
        <v/>
      </c>
      <c r="AG787" s="116" t="str">
        <f>IF(AF787="","",COUNTIF(AF787:AF$3000,AF787))</f>
        <v/>
      </c>
      <c r="AH787" s="117" t="str">
        <f t="shared" si="25"/>
        <v/>
      </c>
    </row>
    <row r="788" spans="6:34" x14ac:dyDescent="0.25">
      <c r="F788" s="35"/>
      <c r="J788" s="35"/>
      <c r="K788" s="35"/>
      <c r="L788" s="35"/>
      <c r="AF788" s="115" t="str">
        <f t="shared" si="24"/>
        <v/>
      </c>
      <c r="AG788" s="116" t="str">
        <f>IF(AF788="","",COUNTIF(AF788:AF$3000,AF788))</f>
        <v/>
      </c>
      <c r="AH788" s="117" t="str">
        <f t="shared" si="25"/>
        <v/>
      </c>
    </row>
    <row r="789" spans="6:34" x14ac:dyDescent="0.25">
      <c r="F789" s="35"/>
      <c r="J789" s="35"/>
      <c r="K789" s="35"/>
      <c r="L789" s="35"/>
      <c r="AF789" s="115" t="str">
        <f t="shared" si="24"/>
        <v/>
      </c>
      <c r="AG789" s="116" t="str">
        <f>IF(AF789="","",COUNTIF(AF789:AF$3000,AF789))</f>
        <v/>
      </c>
      <c r="AH789" s="117" t="str">
        <f t="shared" si="25"/>
        <v/>
      </c>
    </row>
    <row r="790" spans="6:34" x14ac:dyDescent="0.25">
      <c r="F790" s="35"/>
      <c r="J790" s="35"/>
      <c r="K790" s="35"/>
      <c r="L790" s="35"/>
      <c r="AF790" s="115" t="str">
        <f t="shared" si="24"/>
        <v/>
      </c>
      <c r="AG790" s="116" t="str">
        <f>IF(AF790="","",COUNTIF(AF790:AF$3000,AF790))</f>
        <v/>
      </c>
      <c r="AH790" s="117" t="str">
        <f t="shared" si="25"/>
        <v/>
      </c>
    </row>
    <row r="791" spans="6:34" x14ac:dyDescent="0.25">
      <c r="F791" s="35"/>
      <c r="J791" s="35"/>
      <c r="K791" s="35"/>
      <c r="L791" s="35"/>
      <c r="AF791" s="115" t="str">
        <f t="shared" si="24"/>
        <v/>
      </c>
      <c r="AG791" s="116" t="str">
        <f>IF(AF791="","",COUNTIF(AF791:AF$3000,AF791))</f>
        <v/>
      </c>
      <c r="AH791" s="117" t="str">
        <f t="shared" si="25"/>
        <v/>
      </c>
    </row>
    <row r="792" spans="6:34" x14ac:dyDescent="0.25">
      <c r="F792" s="35"/>
      <c r="J792" s="35"/>
      <c r="K792" s="35"/>
      <c r="L792" s="35"/>
      <c r="AF792" s="115" t="str">
        <f t="shared" si="24"/>
        <v/>
      </c>
      <c r="AG792" s="116" t="str">
        <f>IF(AF792="","",COUNTIF(AF792:AF$3000,AF792))</f>
        <v/>
      </c>
      <c r="AH792" s="117" t="str">
        <f t="shared" si="25"/>
        <v/>
      </c>
    </row>
    <row r="793" spans="6:34" x14ac:dyDescent="0.25">
      <c r="F793" s="35"/>
      <c r="J793" s="35"/>
      <c r="K793" s="35"/>
      <c r="L793" s="35"/>
      <c r="AF793" s="115" t="str">
        <f t="shared" si="24"/>
        <v/>
      </c>
      <c r="AG793" s="116" t="str">
        <f>IF(AF793="","",COUNTIF(AF793:AF$3000,AF793))</f>
        <v/>
      </c>
      <c r="AH793" s="117" t="str">
        <f t="shared" si="25"/>
        <v/>
      </c>
    </row>
    <row r="794" spans="6:34" x14ac:dyDescent="0.25">
      <c r="F794" s="35"/>
      <c r="J794" s="35"/>
      <c r="K794" s="35"/>
      <c r="L794" s="35"/>
      <c r="AF794" s="115" t="str">
        <f t="shared" si="24"/>
        <v/>
      </c>
      <c r="AG794" s="116" t="str">
        <f>IF(AF794="","",COUNTIF(AF794:AF$3000,AF794))</f>
        <v/>
      </c>
      <c r="AH794" s="117" t="str">
        <f t="shared" si="25"/>
        <v/>
      </c>
    </row>
    <row r="795" spans="6:34" x14ac:dyDescent="0.25">
      <c r="F795" s="35"/>
      <c r="J795" s="35"/>
      <c r="K795" s="35"/>
      <c r="L795" s="35"/>
      <c r="AF795" s="115" t="str">
        <f t="shared" si="24"/>
        <v/>
      </c>
      <c r="AG795" s="116" t="str">
        <f>IF(AF795="","",COUNTIF(AF795:AF$3000,AF795))</f>
        <v/>
      </c>
      <c r="AH795" s="117" t="str">
        <f t="shared" si="25"/>
        <v/>
      </c>
    </row>
    <row r="796" spans="6:34" x14ac:dyDescent="0.25">
      <c r="F796" s="35"/>
      <c r="J796" s="35"/>
      <c r="K796" s="35"/>
      <c r="L796" s="35"/>
      <c r="AF796" s="115" t="str">
        <f t="shared" si="24"/>
        <v/>
      </c>
      <c r="AG796" s="116" t="str">
        <f>IF(AF796="","",COUNTIF(AF796:AF$3000,AF796))</f>
        <v/>
      </c>
      <c r="AH796" s="117" t="str">
        <f t="shared" si="25"/>
        <v/>
      </c>
    </row>
    <row r="797" spans="6:34" x14ac:dyDescent="0.25">
      <c r="F797" s="35"/>
      <c r="J797" s="35"/>
      <c r="K797" s="35"/>
      <c r="L797" s="35"/>
      <c r="AF797" s="115" t="str">
        <f t="shared" si="24"/>
        <v/>
      </c>
      <c r="AG797" s="116" t="str">
        <f>IF(AF797="","",COUNTIF(AF797:AF$3000,AF797))</f>
        <v/>
      </c>
      <c r="AH797" s="117" t="str">
        <f t="shared" si="25"/>
        <v/>
      </c>
    </row>
    <row r="798" spans="6:34" x14ac:dyDescent="0.25">
      <c r="F798" s="35"/>
      <c r="J798" s="35"/>
      <c r="K798" s="35"/>
      <c r="L798" s="35"/>
      <c r="AF798" s="115" t="str">
        <f t="shared" si="24"/>
        <v/>
      </c>
      <c r="AG798" s="116" t="str">
        <f>IF(AF798="","",COUNTIF(AF798:AF$3000,AF798))</f>
        <v/>
      </c>
      <c r="AH798" s="117" t="str">
        <f t="shared" si="25"/>
        <v/>
      </c>
    </row>
    <row r="799" spans="6:34" x14ac:dyDescent="0.25">
      <c r="F799" s="35"/>
      <c r="J799" s="35"/>
      <c r="K799" s="35"/>
      <c r="L799" s="35"/>
      <c r="AF799" s="115" t="str">
        <f t="shared" si="24"/>
        <v/>
      </c>
      <c r="AG799" s="116" t="str">
        <f>IF(AF799="","",COUNTIF(AF799:AF$3000,AF799))</f>
        <v/>
      </c>
      <c r="AH799" s="117" t="str">
        <f t="shared" si="25"/>
        <v/>
      </c>
    </row>
    <row r="800" spans="6:34" x14ac:dyDescent="0.25">
      <c r="F800" s="35"/>
      <c r="J800" s="35"/>
      <c r="K800" s="35"/>
      <c r="L800" s="35"/>
      <c r="AF800" s="115" t="str">
        <f t="shared" si="24"/>
        <v/>
      </c>
      <c r="AG800" s="116" t="str">
        <f>IF(AF800="","",COUNTIF(AF800:AF$3000,AF800))</f>
        <v/>
      </c>
      <c r="AH800" s="117" t="str">
        <f t="shared" si="25"/>
        <v/>
      </c>
    </row>
    <row r="801" spans="6:34" x14ac:dyDescent="0.25">
      <c r="F801" s="35"/>
      <c r="J801" s="35"/>
      <c r="K801" s="35"/>
      <c r="L801" s="35"/>
      <c r="AF801" s="115" t="str">
        <f t="shared" si="24"/>
        <v/>
      </c>
      <c r="AG801" s="116" t="str">
        <f>IF(AF801="","",COUNTIF(AF801:AF$3000,AF801))</f>
        <v/>
      </c>
      <c r="AH801" s="117" t="str">
        <f t="shared" si="25"/>
        <v/>
      </c>
    </row>
    <row r="802" spans="6:34" x14ac:dyDescent="0.25">
      <c r="F802" s="35"/>
      <c r="J802" s="35"/>
      <c r="K802" s="35"/>
      <c r="L802" s="35"/>
      <c r="AF802" s="115" t="str">
        <f t="shared" si="24"/>
        <v/>
      </c>
      <c r="AG802" s="116" t="str">
        <f>IF(AF802="","",COUNTIF(AF802:AF$3000,AF802))</f>
        <v/>
      </c>
      <c r="AH802" s="117" t="str">
        <f t="shared" si="25"/>
        <v/>
      </c>
    </row>
    <row r="803" spans="6:34" x14ac:dyDescent="0.25">
      <c r="F803" s="35"/>
      <c r="J803" s="35"/>
      <c r="K803" s="35"/>
      <c r="L803" s="35"/>
      <c r="AF803" s="115" t="str">
        <f t="shared" si="24"/>
        <v/>
      </c>
      <c r="AG803" s="116" t="str">
        <f>IF(AF803="","",COUNTIF(AF803:AF$3000,AF803))</f>
        <v/>
      </c>
      <c r="AH803" s="117" t="str">
        <f t="shared" si="25"/>
        <v/>
      </c>
    </row>
    <row r="804" spans="6:34" x14ac:dyDescent="0.25">
      <c r="F804" s="35"/>
      <c r="J804" s="35"/>
      <c r="K804" s="35"/>
      <c r="L804" s="35"/>
      <c r="AF804" s="115" t="str">
        <f t="shared" si="24"/>
        <v/>
      </c>
      <c r="AG804" s="116" t="str">
        <f>IF(AF804="","",COUNTIF(AF804:AF$3000,AF804))</f>
        <v/>
      </c>
      <c r="AH804" s="117" t="str">
        <f t="shared" si="25"/>
        <v/>
      </c>
    </row>
    <row r="805" spans="6:34" x14ac:dyDescent="0.25">
      <c r="F805" s="35"/>
      <c r="J805" s="35"/>
      <c r="K805" s="35"/>
      <c r="L805" s="35"/>
      <c r="AF805" s="115" t="str">
        <f t="shared" si="24"/>
        <v/>
      </c>
      <c r="AG805" s="116" t="str">
        <f>IF(AF805="","",COUNTIF(AF805:AF$3000,AF805))</f>
        <v/>
      </c>
      <c r="AH805" s="117" t="str">
        <f t="shared" si="25"/>
        <v/>
      </c>
    </row>
    <row r="806" spans="6:34" x14ac:dyDescent="0.25">
      <c r="F806" s="35"/>
      <c r="J806" s="35"/>
      <c r="K806" s="35"/>
      <c r="L806" s="35"/>
      <c r="AF806" s="115" t="str">
        <f t="shared" si="24"/>
        <v/>
      </c>
      <c r="AG806" s="116" t="str">
        <f>IF(AF806="","",COUNTIF(AF806:AF$3000,AF806))</f>
        <v/>
      </c>
      <c r="AH806" s="117" t="str">
        <f t="shared" si="25"/>
        <v/>
      </c>
    </row>
    <row r="807" spans="6:34" x14ac:dyDescent="0.25">
      <c r="F807" s="35"/>
      <c r="J807" s="35"/>
      <c r="K807" s="35"/>
      <c r="L807" s="35"/>
      <c r="AF807" s="115" t="str">
        <f t="shared" si="24"/>
        <v/>
      </c>
      <c r="AG807" s="116" t="str">
        <f>IF(AF807="","",COUNTIF(AF807:AF$3000,AF807))</f>
        <v/>
      </c>
      <c r="AH807" s="117" t="str">
        <f t="shared" si="25"/>
        <v/>
      </c>
    </row>
    <row r="808" spans="6:34" x14ac:dyDescent="0.25">
      <c r="F808" s="35"/>
      <c r="J808" s="35"/>
      <c r="K808" s="35"/>
      <c r="L808" s="35"/>
      <c r="AF808" s="115" t="str">
        <f t="shared" si="24"/>
        <v/>
      </c>
      <c r="AG808" s="116" t="str">
        <f>IF(AF808="","",COUNTIF(AF808:AF$3000,AF808))</f>
        <v/>
      </c>
      <c r="AH808" s="117" t="str">
        <f t="shared" si="25"/>
        <v/>
      </c>
    </row>
    <row r="809" spans="6:34" x14ac:dyDescent="0.25">
      <c r="F809" s="35"/>
      <c r="J809" s="35"/>
      <c r="K809" s="35"/>
      <c r="L809" s="35"/>
      <c r="AF809" s="115" t="str">
        <f t="shared" si="24"/>
        <v/>
      </c>
      <c r="AG809" s="116" t="str">
        <f>IF(AF809="","",COUNTIF(AF809:AF$3000,AF809))</f>
        <v/>
      </c>
      <c r="AH809" s="117" t="str">
        <f t="shared" si="25"/>
        <v/>
      </c>
    </row>
    <row r="810" spans="6:34" x14ac:dyDescent="0.25">
      <c r="F810" s="35"/>
      <c r="J810" s="35"/>
      <c r="K810" s="35"/>
      <c r="L810" s="35"/>
      <c r="AF810" s="115" t="str">
        <f t="shared" si="24"/>
        <v/>
      </c>
      <c r="AG810" s="116" t="str">
        <f>IF(AF810="","",COUNTIF(AF810:AF$3000,AF810))</f>
        <v/>
      </c>
      <c r="AH810" s="117" t="str">
        <f t="shared" si="25"/>
        <v/>
      </c>
    </row>
    <row r="811" spans="6:34" x14ac:dyDescent="0.25">
      <c r="F811" s="35"/>
      <c r="J811" s="35"/>
      <c r="K811" s="35"/>
      <c r="L811" s="35"/>
      <c r="AF811" s="115" t="str">
        <f t="shared" si="24"/>
        <v/>
      </c>
      <c r="AG811" s="116" t="str">
        <f>IF(AF811="","",COUNTIF(AF811:AF$3000,AF811))</f>
        <v/>
      </c>
      <c r="AH811" s="117" t="str">
        <f t="shared" si="25"/>
        <v/>
      </c>
    </row>
    <row r="812" spans="6:34" x14ac:dyDescent="0.25">
      <c r="F812" s="35"/>
      <c r="J812" s="35"/>
      <c r="K812" s="35"/>
      <c r="L812" s="35"/>
      <c r="AF812" s="115" t="str">
        <f t="shared" si="24"/>
        <v/>
      </c>
      <c r="AG812" s="116" t="str">
        <f>IF(AF812="","",COUNTIF(AF812:AF$3000,AF812))</f>
        <v/>
      </c>
      <c r="AH812" s="117" t="str">
        <f t="shared" si="25"/>
        <v/>
      </c>
    </row>
    <row r="813" spans="6:34" x14ac:dyDescent="0.25">
      <c r="F813" s="35"/>
      <c r="J813" s="35"/>
      <c r="K813" s="35"/>
      <c r="L813" s="35"/>
      <c r="AF813" s="115" t="str">
        <f t="shared" si="24"/>
        <v/>
      </c>
      <c r="AG813" s="116" t="str">
        <f>IF(AF813="","",COUNTIF(AF813:AF$3000,AF813))</f>
        <v/>
      </c>
      <c r="AH813" s="117" t="str">
        <f t="shared" si="25"/>
        <v/>
      </c>
    </row>
    <row r="814" spans="6:34" x14ac:dyDescent="0.25">
      <c r="F814" s="35"/>
      <c r="J814" s="35"/>
      <c r="K814" s="35"/>
      <c r="L814" s="35"/>
      <c r="AF814" s="115" t="str">
        <f t="shared" si="24"/>
        <v/>
      </c>
      <c r="AG814" s="116" t="str">
        <f>IF(AF814="","",COUNTIF(AF814:AF$3000,AF814))</f>
        <v/>
      </c>
      <c r="AH814" s="117" t="str">
        <f t="shared" si="25"/>
        <v/>
      </c>
    </row>
    <row r="815" spans="6:34" x14ac:dyDescent="0.25">
      <c r="F815" s="35"/>
      <c r="J815" s="35"/>
      <c r="K815" s="35"/>
      <c r="L815" s="35"/>
      <c r="AF815" s="115" t="str">
        <f t="shared" si="24"/>
        <v/>
      </c>
      <c r="AG815" s="116" t="str">
        <f>IF(AF815="","",COUNTIF(AF815:AF$3000,AF815))</f>
        <v/>
      </c>
      <c r="AH815" s="117" t="str">
        <f t="shared" si="25"/>
        <v/>
      </c>
    </row>
    <row r="816" spans="6:34" x14ac:dyDescent="0.25">
      <c r="F816" s="35"/>
      <c r="J816" s="35"/>
      <c r="K816" s="35"/>
      <c r="L816" s="35"/>
      <c r="AF816" s="115" t="str">
        <f t="shared" si="24"/>
        <v/>
      </c>
      <c r="AG816" s="116" t="str">
        <f>IF(AF816="","",COUNTIF(AF816:AF$3000,AF816))</f>
        <v/>
      </c>
      <c r="AH816" s="117" t="str">
        <f t="shared" si="25"/>
        <v/>
      </c>
    </row>
    <row r="817" spans="6:34" x14ac:dyDescent="0.25">
      <c r="F817" s="35"/>
      <c r="J817" s="35"/>
      <c r="K817" s="35"/>
      <c r="L817" s="35"/>
      <c r="AF817" s="115" t="str">
        <f t="shared" si="24"/>
        <v/>
      </c>
      <c r="AG817" s="116" t="str">
        <f>IF(AF817="","",COUNTIF(AF817:AF$3000,AF817))</f>
        <v/>
      </c>
      <c r="AH817" s="117" t="str">
        <f t="shared" si="25"/>
        <v/>
      </c>
    </row>
    <row r="818" spans="6:34" x14ac:dyDescent="0.25">
      <c r="F818" s="35"/>
      <c r="J818" s="35"/>
      <c r="K818" s="35"/>
      <c r="L818" s="35"/>
      <c r="AF818" s="115" t="str">
        <f t="shared" si="24"/>
        <v/>
      </c>
      <c r="AG818" s="116" t="str">
        <f>IF(AF818="","",COUNTIF(AF818:AF$3000,AF818))</f>
        <v/>
      </c>
      <c r="AH818" s="117" t="str">
        <f t="shared" si="25"/>
        <v/>
      </c>
    </row>
    <row r="819" spans="6:34" x14ac:dyDescent="0.25">
      <c r="F819" s="35"/>
      <c r="J819" s="35"/>
      <c r="K819" s="35"/>
      <c r="L819" s="35"/>
      <c r="AF819" s="115" t="str">
        <f t="shared" si="24"/>
        <v/>
      </c>
      <c r="AG819" s="116" t="str">
        <f>IF(AF819="","",COUNTIF(AF819:AF$3000,AF819))</f>
        <v/>
      </c>
      <c r="AH819" s="117" t="str">
        <f t="shared" si="25"/>
        <v/>
      </c>
    </row>
    <row r="820" spans="6:34" x14ac:dyDescent="0.25">
      <c r="F820" s="35"/>
      <c r="J820" s="35"/>
      <c r="K820" s="35"/>
      <c r="L820" s="35"/>
      <c r="AF820" s="115" t="str">
        <f t="shared" si="24"/>
        <v/>
      </c>
      <c r="AG820" s="116" t="str">
        <f>IF(AF820="","",COUNTIF(AF820:AF$3000,AF820))</f>
        <v/>
      </c>
      <c r="AH820" s="117" t="str">
        <f t="shared" si="25"/>
        <v/>
      </c>
    </row>
    <row r="821" spans="6:34" x14ac:dyDescent="0.25">
      <c r="F821" s="35"/>
      <c r="J821" s="35"/>
      <c r="K821" s="35"/>
      <c r="L821" s="35"/>
      <c r="AF821" s="115" t="str">
        <f t="shared" si="24"/>
        <v/>
      </c>
      <c r="AG821" s="116" t="str">
        <f>IF(AF821="","",COUNTIF(AF821:AF$3000,AF821))</f>
        <v/>
      </c>
      <c r="AH821" s="117" t="str">
        <f t="shared" si="25"/>
        <v/>
      </c>
    </row>
    <row r="822" spans="6:34" x14ac:dyDescent="0.25">
      <c r="F822" s="35"/>
      <c r="J822" s="35"/>
      <c r="K822" s="35"/>
      <c r="L822" s="35"/>
      <c r="AF822" s="115" t="str">
        <f t="shared" si="24"/>
        <v/>
      </c>
      <c r="AG822" s="116" t="str">
        <f>IF(AF822="","",COUNTIF(AF822:AF$3000,AF822))</f>
        <v/>
      </c>
      <c r="AH822" s="117" t="str">
        <f t="shared" si="25"/>
        <v/>
      </c>
    </row>
    <row r="823" spans="6:34" x14ac:dyDescent="0.25">
      <c r="F823" s="35"/>
      <c r="J823" s="35"/>
      <c r="K823" s="35"/>
      <c r="L823" s="35"/>
      <c r="AF823" s="115" t="str">
        <f t="shared" si="24"/>
        <v/>
      </c>
      <c r="AG823" s="116" t="str">
        <f>IF(AF823="","",COUNTIF(AF823:AF$3000,AF823))</f>
        <v/>
      </c>
      <c r="AH823" s="117" t="str">
        <f t="shared" si="25"/>
        <v/>
      </c>
    </row>
    <row r="824" spans="6:34" x14ac:dyDescent="0.25">
      <c r="F824" s="35"/>
      <c r="J824" s="35"/>
      <c r="K824" s="35"/>
      <c r="L824" s="35"/>
      <c r="AF824" s="115" t="str">
        <f t="shared" si="24"/>
        <v/>
      </c>
      <c r="AG824" s="116" t="str">
        <f>IF(AF824="","",COUNTIF(AF824:AF$3000,AF824))</f>
        <v/>
      </c>
      <c r="AH824" s="117" t="str">
        <f t="shared" si="25"/>
        <v/>
      </c>
    </row>
    <row r="825" spans="6:34" x14ac:dyDescent="0.25">
      <c r="F825" s="35"/>
      <c r="J825" s="35"/>
      <c r="K825" s="35"/>
      <c r="L825" s="35"/>
      <c r="AF825" s="115" t="str">
        <f t="shared" si="24"/>
        <v/>
      </c>
      <c r="AG825" s="116" t="str">
        <f>IF(AF825="","",COUNTIF(AF825:AF$3000,AF825))</f>
        <v/>
      </c>
      <c r="AH825" s="117" t="str">
        <f t="shared" si="25"/>
        <v/>
      </c>
    </row>
    <row r="826" spans="6:34" x14ac:dyDescent="0.25">
      <c r="F826" s="35"/>
      <c r="J826" s="35"/>
      <c r="K826" s="35"/>
      <c r="L826" s="35"/>
      <c r="AF826" s="115" t="str">
        <f t="shared" si="24"/>
        <v/>
      </c>
      <c r="AG826" s="116" t="str">
        <f>IF(AF826="","",COUNTIF(AF826:AF$3000,AF826))</f>
        <v/>
      </c>
      <c r="AH826" s="117" t="str">
        <f t="shared" si="25"/>
        <v/>
      </c>
    </row>
    <row r="827" spans="6:34" x14ac:dyDescent="0.25">
      <c r="F827" s="35"/>
      <c r="J827" s="35"/>
      <c r="K827" s="35"/>
      <c r="L827" s="35"/>
      <c r="AF827" s="115" t="str">
        <f t="shared" si="24"/>
        <v/>
      </c>
      <c r="AG827" s="116" t="str">
        <f>IF(AF827="","",COUNTIF(AF827:AF$3000,AF827))</f>
        <v/>
      </c>
      <c r="AH827" s="117" t="str">
        <f t="shared" si="25"/>
        <v/>
      </c>
    </row>
    <row r="828" spans="6:34" x14ac:dyDescent="0.25">
      <c r="F828" s="35"/>
      <c r="J828" s="35"/>
      <c r="K828" s="35"/>
      <c r="L828" s="35"/>
      <c r="AF828" s="115" t="str">
        <f t="shared" si="24"/>
        <v/>
      </c>
      <c r="AG828" s="116" t="str">
        <f>IF(AF828="","",COUNTIF(AF828:AF$3000,AF828))</f>
        <v/>
      </c>
      <c r="AH828" s="117" t="str">
        <f t="shared" si="25"/>
        <v/>
      </c>
    </row>
    <row r="829" spans="6:34" x14ac:dyDescent="0.25">
      <c r="F829" s="35"/>
      <c r="J829" s="35"/>
      <c r="K829" s="35"/>
      <c r="L829" s="35"/>
      <c r="AF829" s="115" t="str">
        <f t="shared" si="24"/>
        <v/>
      </c>
      <c r="AG829" s="116" t="str">
        <f>IF(AF829="","",COUNTIF(AF829:AF$3000,AF829))</f>
        <v/>
      </c>
      <c r="AH829" s="117" t="str">
        <f t="shared" si="25"/>
        <v/>
      </c>
    </row>
    <row r="830" spans="6:34" x14ac:dyDescent="0.25">
      <c r="F830" s="35"/>
      <c r="J830" s="35"/>
      <c r="K830" s="35"/>
      <c r="L830" s="35"/>
      <c r="AF830" s="115" t="str">
        <f t="shared" si="24"/>
        <v/>
      </c>
      <c r="AG830" s="116" t="str">
        <f>IF(AF830="","",COUNTIF(AF830:AF$3000,AF830))</f>
        <v/>
      </c>
      <c r="AH830" s="117" t="str">
        <f t="shared" si="25"/>
        <v/>
      </c>
    </row>
    <row r="831" spans="6:34" x14ac:dyDescent="0.25">
      <c r="F831" s="35"/>
      <c r="J831" s="35"/>
      <c r="K831" s="35"/>
      <c r="L831" s="35"/>
      <c r="AF831" s="115" t="str">
        <f t="shared" si="24"/>
        <v/>
      </c>
      <c r="AG831" s="116" t="str">
        <f>IF(AF831="","",COUNTIF(AF831:AF$3000,AF831))</f>
        <v/>
      </c>
      <c r="AH831" s="117" t="str">
        <f t="shared" si="25"/>
        <v/>
      </c>
    </row>
    <row r="832" spans="6:34" x14ac:dyDescent="0.25">
      <c r="F832" s="35"/>
      <c r="J832" s="35"/>
      <c r="K832" s="35"/>
      <c r="L832" s="35"/>
      <c r="AF832" s="115" t="str">
        <f t="shared" si="24"/>
        <v/>
      </c>
      <c r="AG832" s="116" t="str">
        <f>IF(AF832="","",COUNTIF(AF832:AF$3000,AF832))</f>
        <v/>
      </c>
      <c r="AH832" s="117" t="str">
        <f t="shared" si="25"/>
        <v/>
      </c>
    </row>
    <row r="833" spans="6:34" x14ac:dyDescent="0.25">
      <c r="F833" s="35"/>
      <c r="J833" s="35"/>
      <c r="K833" s="35"/>
      <c r="L833" s="35"/>
      <c r="AF833" s="115" t="str">
        <f t="shared" si="24"/>
        <v/>
      </c>
      <c r="AG833" s="116" t="str">
        <f>IF(AF833="","",COUNTIF(AF833:AF$3000,AF833))</f>
        <v/>
      </c>
      <c r="AH833" s="117" t="str">
        <f t="shared" si="25"/>
        <v/>
      </c>
    </row>
    <row r="834" spans="6:34" x14ac:dyDescent="0.25">
      <c r="F834" s="35"/>
      <c r="J834" s="35"/>
      <c r="K834" s="35"/>
      <c r="L834" s="35"/>
      <c r="AF834" s="115" t="str">
        <f t="shared" si="24"/>
        <v/>
      </c>
      <c r="AG834" s="116" t="str">
        <f>IF(AF834="","",COUNTIF(AF834:AF$3000,AF834))</f>
        <v/>
      </c>
      <c r="AH834" s="117" t="str">
        <f t="shared" si="25"/>
        <v/>
      </c>
    </row>
    <row r="835" spans="6:34" x14ac:dyDescent="0.25">
      <c r="F835" s="35"/>
      <c r="J835" s="35"/>
      <c r="K835" s="35"/>
      <c r="L835" s="35"/>
      <c r="AF835" s="115" t="str">
        <f t="shared" si="24"/>
        <v/>
      </c>
      <c r="AG835" s="116" t="str">
        <f>IF(AF835="","",COUNTIF(AF835:AF$3000,AF835))</f>
        <v/>
      </c>
      <c r="AH835" s="117" t="str">
        <f t="shared" si="25"/>
        <v/>
      </c>
    </row>
    <row r="836" spans="6:34" x14ac:dyDescent="0.25">
      <c r="F836" s="35"/>
      <c r="J836" s="35"/>
      <c r="K836" s="35"/>
      <c r="L836" s="35"/>
      <c r="AF836" s="115" t="str">
        <f t="shared" ref="AF836:AF899" si="26">IF(B836="","",TEXT(J836,"DD/MM/AA")&amp;"_"&amp;S836&amp;"_"&amp;V836)</f>
        <v/>
      </c>
      <c r="AG836" s="116" t="str">
        <f>IF(AF836="","",COUNTIF(AF836:AF$3000,AF836))</f>
        <v/>
      </c>
      <c r="AH836" s="117" t="str">
        <f t="shared" ref="AH836:AH899" si="27">IF(AA836="","",
IF(AG836&gt;1,"",
IF(SUMIF(AF$3:AF$31,AF836,H$3:H$31)/10&lt;1,1,SUMIF(AF$3:AF$31,AF836,H$3:H$31)/10)))</f>
        <v/>
      </c>
    </row>
    <row r="837" spans="6:34" x14ac:dyDescent="0.25">
      <c r="F837" s="35"/>
      <c r="J837" s="35"/>
      <c r="K837" s="35"/>
      <c r="L837" s="35"/>
      <c r="AF837" s="115" t="str">
        <f t="shared" si="26"/>
        <v/>
      </c>
      <c r="AG837" s="116" t="str">
        <f>IF(AF837="","",COUNTIF(AF837:AF$3000,AF837))</f>
        <v/>
      </c>
      <c r="AH837" s="117" t="str">
        <f t="shared" si="27"/>
        <v/>
      </c>
    </row>
    <row r="838" spans="6:34" x14ac:dyDescent="0.25">
      <c r="F838" s="35"/>
      <c r="J838" s="35"/>
      <c r="K838" s="35"/>
      <c r="L838" s="35"/>
      <c r="AF838" s="115" t="str">
        <f t="shared" si="26"/>
        <v/>
      </c>
      <c r="AG838" s="116" t="str">
        <f>IF(AF838="","",COUNTIF(AF838:AF$3000,AF838))</f>
        <v/>
      </c>
      <c r="AH838" s="117" t="str">
        <f t="shared" si="27"/>
        <v/>
      </c>
    </row>
    <row r="839" spans="6:34" x14ac:dyDescent="0.25">
      <c r="F839" s="35"/>
      <c r="J839" s="35"/>
      <c r="K839" s="35"/>
      <c r="L839" s="35"/>
      <c r="AF839" s="115" t="str">
        <f t="shared" si="26"/>
        <v/>
      </c>
      <c r="AG839" s="116" t="str">
        <f>IF(AF839="","",COUNTIF(AF839:AF$3000,AF839))</f>
        <v/>
      </c>
      <c r="AH839" s="117" t="str">
        <f t="shared" si="27"/>
        <v/>
      </c>
    </row>
    <row r="840" spans="6:34" x14ac:dyDescent="0.25">
      <c r="F840" s="35"/>
      <c r="J840" s="35"/>
      <c r="K840" s="35"/>
      <c r="L840" s="35"/>
      <c r="AF840" s="115" t="str">
        <f t="shared" si="26"/>
        <v/>
      </c>
      <c r="AG840" s="116" t="str">
        <f>IF(AF840="","",COUNTIF(AF840:AF$3000,AF840))</f>
        <v/>
      </c>
      <c r="AH840" s="117" t="str">
        <f t="shared" si="27"/>
        <v/>
      </c>
    </row>
    <row r="841" spans="6:34" x14ac:dyDescent="0.25">
      <c r="F841" s="35"/>
      <c r="J841" s="35"/>
      <c r="K841" s="35"/>
      <c r="L841" s="35"/>
      <c r="AF841" s="115" t="str">
        <f t="shared" si="26"/>
        <v/>
      </c>
      <c r="AG841" s="116" t="str">
        <f>IF(AF841="","",COUNTIF(AF841:AF$3000,AF841))</f>
        <v/>
      </c>
      <c r="AH841" s="117" t="str">
        <f t="shared" si="27"/>
        <v/>
      </c>
    </row>
    <row r="842" spans="6:34" x14ac:dyDescent="0.25">
      <c r="F842" s="35"/>
      <c r="J842" s="35"/>
      <c r="K842" s="35"/>
      <c r="L842" s="35"/>
      <c r="AF842" s="115" t="str">
        <f t="shared" si="26"/>
        <v/>
      </c>
      <c r="AG842" s="116" t="str">
        <f>IF(AF842="","",COUNTIF(AF842:AF$3000,AF842))</f>
        <v/>
      </c>
      <c r="AH842" s="117" t="str">
        <f t="shared" si="27"/>
        <v/>
      </c>
    </row>
    <row r="843" spans="6:34" x14ac:dyDescent="0.25">
      <c r="F843" s="35"/>
      <c r="J843" s="35"/>
      <c r="K843" s="35"/>
      <c r="L843" s="35"/>
      <c r="AF843" s="115" t="str">
        <f t="shared" si="26"/>
        <v/>
      </c>
      <c r="AG843" s="116" t="str">
        <f>IF(AF843="","",COUNTIF(AF843:AF$3000,AF843))</f>
        <v/>
      </c>
      <c r="AH843" s="117" t="str">
        <f t="shared" si="27"/>
        <v/>
      </c>
    </row>
    <row r="844" spans="6:34" x14ac:dyDescent="0.25">
      <c r="F844" s="35"/>
      <c r="J844" s="35"/>
      <c r="K844" s="35"/>
      <c r="L844" s="35"/>
      <c r="AF844" s="115" t="str">
        <f t="shared" si="26"/>
        <v/>
      </c>
      <c r="AG844" s="116" t="str">
        <f>IF(AF844="","",COUNTIF(AF844:AF$3000,AF844))</f>
        <v/>
      </c>
      <c r="AH844" s="117" t="str">
        <f t="shared" si="27"/>
        <v/>
      </c>
    </row>
    <row r="845" spans="6:34" x14ac:dyDescent="0.25">
      <c r="F845" s="35"/>
      <c r="J845" s="35"/>
      <c r="K845" s="35"/>
      <c r="L845" s="35"/>
      <c r="AF845" s="115" t="str">
        <f t="shared" si="26"/>
        <v/>
      </c>
      <c r="AG845" s="116" t="str">
        <f>IF(AF845="","",COUNTIF(AF845:AF$3000,AF845))</f>
        <v/>
      </c>
      <c r="AH845" s="117" t="str">
        <f t="shared" si="27"/>
        <v/>
      </c>
    </row>
    <row r="846" spans="6:34" x14ac:dyDescent="0.25">
      <c r="F846" s="35"/>
      <c r="J846" s="35"/>
      <c r="K846" s="35"/>
      <c r="L846" s="35"/>
      <c r="AF846" s="115" t="str">
        <f t="shared" si="26"/>
        <v/>
      </c>
      <c r="AG846" s="116" t="str">
        <f>IF(AF846="","",COUNTIF(AF846:AF$3000,AF846))</f>
        <v/>
      </c>
      <c r="AH846" s="117" t="str">
        <f t="shared" si="27"/>
        <v/>
      </c>
    </row>
    <row r="847" spans="6:34" x14ac:dyDescent="0.25">
      <c r="F847" s="35"/>
      <c r="J847" s="35"/>
      <c r="K847" s="35"/>
      <c r="L847" s="35"/>
      <c r="AF847" s="115" t="str">
        <f t="shared" si="26"/>
        <v/>
      </c>
      <c r="AG847" s="116" t="str">
        <f>IF(AF847="","",COUNTIF(AF847:AF$3000,AF847))</f>
        <v/>
      </c>
      <c r="AH847" s="117" t="str">
        <f t="shared" si="27"/>
        <v/>
      </c>
    </row>
    <row r="848" spans="6:34" x14ac:dyDescent="0.25">
      <c r="F848" s="35"/>
      <c r="J848" s="35"/>
      <c r="K848" s="35"/>
      <c r="L848" s="35"/>
      <c r="AF848" s="115" t="str">
        <f t="shared" si="26"/>
        <v/>
      </c>
      <c r="AG848" s="116" t="str">
        <f>IF(AF848="","",COUNTIF(AF848:AF$3000,AF848))</f>
        <v/>
      </c>
      <c r="AH848" s="117" t="str">
        <f t="shared" si="27"/>
        <v/>
      </c>
    </row>
    <row r="849" spans="6:34" x14ac:dyDescent="0.25">
      <c r="F849" s="35"/>
      <c r="J849" s="35"/>
      <c r="K849" s="35"/>
      <c r="L849" s="35"/>
      <c r="AF849" s="115" t="str">
        <f t="shared" si="26"/>
        <v/>
      </c>
      <c r="AG849" s="116" t="str">
        <f>IF(AF849="","",COUNTIF(AF849:AF$3000,AF849))</f>
        <v/>
      </c>
      <c r="AH849" s="117" t="str">
        <f t="shared" si="27"/>
        <v/>
      </c>
    </row>
    <row r="850" spans="6:34" x14ac:dyDescent="0.25">
      <c r="F850" s="35"/>
      <c r="J850" s="35"/>
      <c r="K850" s="35"/>
      <c r="L850" s="35"/>
      <c r="AF850" s="115" t="str">
        <f t="shared" si="26"/>
        <v/>
      </c>
      <c r="AG850" s="116" t="str">
        <f>IF(AF850="","",COUNTIF(AF850:AF$3000,AF850))</f>
        <v/>
      </c>
      <c r="AH850" s="117" t="str">
        <f t="shared" si="27"/>
        <v/>
      </c>
    </row>
    <row r="851" spans="6:34" x14ac:dyDescent="0.25">
      <c r="F851" s="35"/>
      <c r="J851" s="35"/>
      <c r="K851" s="35"/>
      <c r="L851" s="35"/>
      <c r="AF851" s="115" t="str">
        <f t="shared" si="26"/>
        <v/>
      </c>
      <c r="AG851" s="116" t="str">
        <f>IF(AF851="","",COUNTIF(AF851:AF$3000,AF851))</f>
        <v/>
      </c>
      <c r="AH851" s="117" t="str">
        <f t="shared" si="27"/>
        <v/>
      </c>
    </row>
    <row r="852" spans="6:34" x14ac:dyDescent="0.25">
      <c r="F852" s="35"/>
      <c r="J852" s="35"/>
      <c r="K852" s="35"/>
      <c r="L852" s="35"/>
      <c r="AF852" s="115" t="str">
        <f t="shared" si="26"/>
        <v/>
      </c>
      <c r="AG852" s="116" t="str">
        <f>IF(AF852="","",COUNTIF(AF852:AF$3000,AF852))</f>
        <v/>
      </c>
      <c r="AH852" s="117" t="str">
        <f t="shared" si="27"/>
        <v/>
      </c>
    </row>
    <row r="853" spans="6:34" x14ac:dyDescent="0.25">
      <c r="F853" s="35"/>
      <c r="J853" s="35"/>
      <c r="K853" s="35"/>
      <c r="L853" s="35"/>
      <c r="AF853" s="115" t="str">
        <f t="shared" si="26"/>
        <v/>
      </c>
      <c r="AG853" s="116" t="str">
        <f>IF(AF853="","",COUNTIF(AF853:AF$3000,AF853))</f>
        <v/>
      </c>
      <c r="AH853" s="117" t="str">
        <f t="shared" si="27"/>
        <v/>
      </c>
    </row>
    <row r="854" spans="6:34" x14ac:dyDescent="0.25">
      <c r="F854" s="35"/>
      <c r="J854" s="35"/>
      <c r="K854" s="35"/>
      <c r="L854" s="35"/>
      <c r="AF854" s="115" t="str">
        <f t="shared" si="26"/>
        <v/>
      </c>
      <c r="AG854" s="116" t="str">
        <f>IF(AF854="","",COUNTIF(AF854:AF$3000,AF854))</f>
        <v/>
      </c>
      <c r="AH854" s="117" t="str">
        <f t="shared" si="27"/>
        <v/>
      </c>
    </row>
    <row r="855" spans="6:34" x14ac:dyDescent="0.25">
      <c r="F855" s="35"/>
      <c r="J855" s="35"/>
      <c r="K855" s="35"/>
      <c r="L855" s="35"/>
      <c r="AF855" s="115" t="str">
        <f t="shared" si="26"/>
        <v/>
      </c>
      <c r="AG855" s="116" t="str">
        <f>IF(AF855="","",COUNTIF(AF855:AF$3000,AF855))</f>
        <v/>
      </c>
      <c r="AH855" s="117" t="str">
        <f t="shared" si="27"/>
        <v/>
      </c>
    </row>
    <row r="856" spans="6:34" x14ac:dyDescent="0.25">
      <c r="F856" s="35"/>
      <c r="J856" s="35"/>
      <c r="K856" s="35"/>
      <c r="L856" s="35"/>
      <c r="AF856" s="115" t="str">
        <f t="shared" si="26"/>
        <v/>
      </c>
      <c r="AG856" s="116" t="str">
        <f>IF(AF856="","",COUNTIF(AF856:AF$3000,AF856))</f>
        <v/>
      </c>
      <c r="AH856" s="117" t="str">
        <f t="shared" si="27"/>
        <v/>
      </c>
    </row>
    <row r="857" spans="6:34" x14ac:dyDescent="0.25">
      <c r="F857" s="35"/>
      <c r="J857" s="35"/>
      <c r="K857" s="35"/>
      <c r="L857" s="35"/>
      <c r="AF857" s="115" t="str">
        <f t="shared" si="26"/>
        <v/>
      </c>
      <c r="AG857" s="116" t="str">
        <f>IF(AF857="","",COUNTIF(AF857:AF$3000,AF857))</f>
        <v/>
      </c>
      <c r="AH857" s="117" t="str">
        <f t="shared" si="27"/>
        <v/>
      </c>
    </row>
    <row r="858" spans="6:34" x14ac:dyDescent="0.25">
      <c r="F858" s="35"/>
      <c r="J858" s="35"/>
      <c r="K858" s="35"/>
      <c r="L858" s="35"/>
      <c r="AF858" s="115" t="str">
        <f t="shared" si="26"/>
        <v/>
      </c>
      <c r="AG858" s="116" t="str">
        <f>IF(AF858="","",COUNTIF(AF858:AF$3000,AF858))</f>
        <v/>
      </c>
      <c r="AH858" s="117" t="str">
        <f t="shared" si="27"/>
        <v/>
      </c>
    </row>
    <row r="859" spans="6:34" x14ac:dyDescent="0.25">
      <c r="F859" s="35"/>
      <c r="J859" s="35"/>
      <c r="K859" s="35"/>
      <c r="L859" s="35"/>
      <c r="AF859" s="115" t="str">
        <f t="shared" si="26"/>
        <v/>
      </c>
      <c r="AG859" s="116" t="str">
        <f>IF(AF859="","",COUNTIF(AF859:AF$3000,AF859))</f>
        <v/>
      </c>
      <c r="AH859" s="117" t="str">
        <f t="shared" si="27"/>
        <v/>
      </c>
    </row>
    <row r="860" spans="6:34" x14ac:dyDescent="0.25">
      <c r="F860" s="35"/>
      <c r="J860" s="35"/>
      <c r="K860" s="35"/>
      <c r="L860" s="35"/>
      <c r="AF860" s="115" t="str">
        <f t="shared" si="26"/>
        <v/>
      </c>
      <c r="AG860" s="116" t="str">
        <f>IF(AF860="","",COUNTIF(AF860:AF$3000,AF860))</f>
        <v/>
      </c>
      <c r="AH860" s="117" t="str">
        <f t="shared" si="27"/>
        <v/>
      </c>
    </row>
    <row r="861" spans="6:34" x14ac:dyDescent="0.25">
      <c r="F861" s="35"/>
      <c r="J861" s="35"/>
      <c r="K861" s="35"/>
      <c r="L861" s="35"/>
      <c r="AF861" s="115" t="str">
        <f t="shared" si="26"/>
        <v/>
      </c>
      <c r="AG861" s="116" t="str">
        <f>IF(AF861="","",COUNTIF(AF861:AF$3000,AF861))</f>
        <v/>
      </c>
      <c r="AH861" s="117" t="str">
        <f t="shared" si="27"/>
        <v/>
      </c>
    </row>
    <row r="862" spans="6:34" x14ac:dyDescent="0.25">
      <c r="F862" s="35"/>
      <c r="J862" s="35"/>
      <c r="K862" s="35"/>
      <c r="L862" s="35"/>
      <c r="AF862" s="115" t="str">
        <f t="shared" si="26"/>
        <v/>
      </c>
      <c r="AG862" s="116" t="str">
        <f>IF(AF862="","",COUNTIF(AF862:AF$3000,AF862))</f>
        <v/>
      </c>
      <c r="AH862" s="117" t="str">
        <f t="shared" si="27"/>
        <v/>
      </c>
    </row>
    <row r="863" spans="6:34" x14ac:dyDescent="0.25">
      <c r="F863" s="35"/>
      <c r="J863" s="35"/>
      <c r="K863" s="35"/>
      <c r="L863" s="35"/>
      <c r="AF863" s="115" t="str">
        <f t="shared" si="26"/>
        <v/>
      </c>
      <c r="AG863" s="116" t="str">
        <f>IF(AF863="","",COUNTIF(AF863:AF$3000,AF863))</f>
        <v/>
      </c>
      <c r="AH863" s="117" t="str">
        <f t="shared" si="27"/>
        <v/>
      </c>
    </row>
    <row r="864" spans="6:34" x14ac:dyDescent="0.25">
      <c r="F864" s="35"/>
      <c r="J864" s="35"/>
      <c r="K864" s="35"/>
      <c r="L864" s="35"/>
      <c r="AF864" s="115" t="str">
        <f t="shared" si="26"/>
        <v/>
      </c>
      <c r="AG864" s="116" t="str">
        <f>IF(AF864="","",COUNTIF(AF864:AF$3000,AF864))</f>
        <v/>
      </c>
      <c r="AH864" s="117" t="str">
        <f t="shared" si="27"/>
        <v/>
      </c>
    </row>
    <row r="865" spans="6:34" x14ac:dyDescent="0.25">
      <c r="F865" s="35"/>
      <c r="J865" s="35"/>
      <c r="K865" s="35"/>
      <c r="L865" s="35"/>
      <c r="AF865" s="115" t="str">
        <f t="shared" si="26"/>
        <v/>
      </c>
      <c r="AG865" s="116" t="str">
        <f>IF(AF865="","",COUNTIF(AF865:AF$3000,AF865))</f>
        <v/>
      </c>
      <c r="AH865" s="117" t="str">
        <f t="shared" si="27"/>
        <v/>
      </c>
    </row>
    <row r="866" spans="6:34" x14ac:dyDescent="0.25">
      <c r="F866" s="35"/>
      <c r="J866" s="35"/>
      <c r="K866" s="35"/>
      <c r="L866" s="35"/>
      <c r="AF866" s="115" t="str">
        <f t="shared" si="26"/>
        <v/>
      </c>
      <c r="AG866" s="116" t="str">
        <f>IF(AF866="","",COUNTIF(AF866:AF$3000,AF866))</f>
        <v/>
      </c>
      <c r="AH866" s="117" t="str">
        <f t="shared" si="27"/>
        <v/>
      </c>
    </row>
    <row r="867" spans="6:34" x14ac:dyDescent="0.25">
      <c r="F867" s="35"/>
      <c r="J867" s="35"/>
      <c r="K867" s="35"/>
      <c r="L867" s="35"/>
      <c r="AF867" s="115" t="str">
        <f t="shared" si="26"/>
        <v/>
      </c>
      <c r="AG867" s="116" t="str">
        <f>IF(AF867="","",COUNTIF(AF867:AF$3000,AF867))</f>
        <v/>
      </c>
      <c r="AH867" s="117" t="str">
        <f t="shared" si="27"/>
        <v/>
      </c>
    </row>
    <row r="868" spans="6:34" x14ac:dyDescent="0.25">
      <c r="F868" s="35"/>
      <c r="J868" s="35"/>
      <c r="K868" s="35"/>
      <c r="L868" s="35"/>
      <c r="AF868" s="115" t="str">
        <f t="shared" si="26"/>
        <v/>
      </c>
      <c r="AG868" s="116" t="str">
        <f>IF(AF868="","",COUNTIF(AF868:AF$3000,AF868))</f>
        <v/>
      </c>
      <c r="AH868" s="117" t="str">
        <f t="shared" si="27"/>
        <v/>
      </c>
    </row>
    <row r="869" spans="6:34" x14ac:dyDescent="0.25">
      <c r="F869" s="35"/>
      <c r="J869" s="35"/>
      <c r="K869" s="35"/>
      <c r="L869" s="35"/>
      <c r="AF869" s="115" t="str">
        <f t="shared" si="26"/>
        <v/>
      </c>
      <c r="AG869" s="116" t="str">
        <f>IF(AF869="","",COUNTIF(AF869:AF$3000,AF869))</f>
        <v/>
      </c>
      <c r="AH869" s="117" t="str">
        <f t="shared" si="27"/>
        <v/>
      </c>
    </row>
    <row r="870" spans="6:34" x14ac:dyDescent="0.25">
      <c r="F870" s="35"/>
      <c r="J870" s="35"/>
      <c r="K870" s="35"/>
      <c r="L870" s="35"/>
      <c r="AF870" s="115" t="str">
        <f t="shared" si="26"/>
        <v/>
      </c>
      <c r="AG870" s="116" t="str">
        <f>IF(AF870="","",COUNTIF(AF870:AF$3000,AF870))</f>
        <v/>
      </c>
      <c r="AH870" s="117" t="str">
        <f t="shared" si="27"/>
        <v/>
      </c>
    </row>
    <row r="871" spans="6:34" x14ac:dyDescent="0.25">
      <c r="F871" s="35"/>
      <c r="J871" s="35"/>
      <c r="K871" s="35"/>
      <c r="L871" s="35"/>
      <c r="AF871" s="115" t="str">
        <f t="shared" si="26"/>
        <v/>
      </c>
      <c r="AG871" s="116" t="str">
        <f>IF(AF871="","",COUNTIF(AF871:AF$3000,AF871))</f>
        <v/>
      </c>
      <c r="AH871" s="117" t="str">
        <f t="shared" si="27"/>
        <v/>
      </c>
    </row>
    <row r="872" spans="6:34" x14ac:dyDescent="0.25">
      <c r="F872" s="35"/>
      <c r="J872" s="35"/>
      <c r="K872" s="35"/>
      <c r="L872" s="35"/>
      <c r="AF872" s="115" t="str">
        <f t="shared" si="26"/>
        <v/>
      </c>
      <c r="AG872" s="116" t="str">
        <f>IF(AF872="","",COUNTIF(AF872:AF$3000,AF872))</f>
        <v/>
      </c>
      <c r="AH872" s="117" t="str">
        <f t="shared" si="27"/>
        <v/>
      </c>
    </row>
    <row r="873" spans="6:34" x14ac:dyDescent="0.25">
      <c r="F873" s="35"/>
      <c r="J873" s="35"/>
      <c r="K873" s="35"/>
      <c r="L873" s="35"/>
      <c r="AF873" s="115" t="str">
        <f t="shared" si="26"/>
        <v/>
      </c>
      <c r="AG873" s="116" t="str">
        <f>IF(AF873="","",COUNTIF(AF873:AF$3000,AF873))</f>
        <v/>
      </c>
      <c r="AH873" s="117" t="str">
        <f t="shared" si="27"/>
        <v/>
      </c>
    </row>
    <row r="874" spans="6:34" x14ac:dyDescent="0.25">
      <c r="F874" s="35"/>
      <c r="J874" s="35"/>
      <c r="K874" s="35"/>
      <c r="L874" s="35"/>
      <c r="AF874" s="115" t="str">
        <f t="shared" si="26"/>
        <v/>
      </c>
      <c r="AG874" s="116" t="str">
        <f>IF(AF874="","",COUNTIF(AF874:AF$3000,AF874))</f>
        <v/>
      </c>
      <c r="AH874" s="117" t="str">
        <f t="shared" si="27"/>
        <v/>
      </c>
    </row>
    <row r="875" spans="6:34" x14ac:dyDescent="0.25">
      <c r="F875" s="35"/>
      <c r="J875" s="35"/>
      <c r="K875" s="35"/>
      <c r="L875" s="35"/>
      <c r="AF875" s="115" t="str">
        <f t="shared" si="26"/>
        <v/>
      </c>
      <c r="AG875" s="116" t="str">
        <f>IF(AF875="","",COUNTIF(AF875:AF$3000,AF875))</f>
        <v/>
      </c>
      <c r="AH875" s="117" t="str">
        <f t="shared" si="27"/>
        <v/>
      </c>
    </row>
    <row r="876" spans="6:34" x14ac:dyDescent="0.25">
      <c r="F876" s="35"/>
      <c r="J876" s="35"/>
      <c r="K876" s="35"/>
      <c r="L876" s="35"/>
      <c r="AF876" s="115" t="str">
        <f t="shared" si="26"/>
        <v/>
      </c>
      <c r="AG876" s="116" t="str">
        <f>IF(AF876="","",COUNTIF(AF876:AF$3000,AF876))</f>
        <v/>
      </c>
      <c r="AH876" s="117" t="str">
        <f t="shared" si="27"/>
        <v/>
      </c>
    </row>
    <row r="877" spans="6:34" x14ac:dyDescent="0.25">
      <c r="F877" s="35"/>
      <c r="J877" s="35"/>
      <c r="K877" s="35"/>
      <c r="L877" s="35"/>
      <c r="AF877" s="115" t="str">
        <f t="shared" si="26"/>
        <v/>
      </c>
      <c r="AG877" s="116" t="str">
        <f>IF(AF877="","",COUNTIF(AF877:AF$3000,AF877))</f>
        <v/>
      </c>
      <c r="AH877" s="117" t="str">
        <f t="shared" si="27"/>
        <v/>
      </c>
    </row>
    <row r="878" spans="6:34" x14ac:dyDescent="0.25">
      <c r="F878" s="35"/>
      <c r="J878" s="35"/>
      <c r="K878" s="35"/>
      <c r="L878" s="35"/>
      <c r="AF878" s="115" t="str">
        <f t="shared" si="26"/>
        <v/>
      </c>
      <c r="AG878" s="116" t="str">
        <f>IF(AF878="","",COUNTIF(AF878:AF$3000,AF878))</f>
        <v/>
      </c>
      <c r="AH878" s="117" t="str">
        <f t="shared" si="27"/>
        <v/>
      </c>
    </row>
    <row r="879" spans="6:34" x14ac:dyDescent="0.25">
      <c r="F879" s="35"/>
      <c r="J879" s="35"/>
      <c r="K879" s="35"/>
      <c r="L879" s="35"/>
      <c r="AF879" s="115" t="str">
        <f t="shared" si="26"/>
        <v/>
      </c>
      <c r="AG879" s="116" t="str">
        <f>IF(AF879="","",COUNTIF(AF879:AF$3000,AF879))</f>
        <v/>
      </c>
      <c r="AH879" s="117" t="str">
        <f t="shared" si="27"/>
        <v/>
      </c>
    </row>
    <row r="880" spans="6:34" x14ac:dyDescent="0.25">
      <c r="F880" s="35"/>
      <c r="J880" s="35"/>
      <c r="K880" s="35"/>
      <c r="L880" s="35"/>
      <c r="AF880" s="115" t="str">
        <f t="shared" si="26"/>
        <v/>
      </c>
      <c r="AG880" s="116" t="str">
        <f>IF(AF880="","",COUNTIF(AF880:AF$3000,AF880))</f>
        <v/>
      </c>
      <c r="AH880" s="117" t="str">
        <f t="shared" si="27"/>
        <v/>
      </c>
    </row>
    <row r="881" spans="6:34" x14ac:dyDescent="0.25">
      <c r="F881" s="35"/>
      <c r="J881" s="35"/>
      <c r="K881" s="35"/>
      <c r="L881" s="35"/>
      <c r="AF881" s="115" t="str">
        <f t="shared" si="26"/>
        <v/>
      </c>
      <c r="AG881" s="116" t="str">
        <f>IF(AF881="","",COUNTIF(AF881:AF$3000,AF881))</f>
        <v/>
      </c>
      <c r="AH881" s="117" t="str">
        <f t="shared" si="27"/>
        <v/>
      </c>
    </row>
    <row r="882" spans="6:34" x14ac:dyDescent="0.25">
      <c r="F882" s="35"/>
      <c r="J882" s="35"/>
      <c r="K882" s="35"/>
      <c r="L882" s="35"/>
      <c r="AF882" s="115" t="str">
        <f t="shared" si="26"/>
        <v/>
      </c>
      <c r="AG882" s="116" t="str">
        <f>IF(AF882="","",COUNTIF(AF882:AF$3000,AF882))</f>
        <v/>
      </c>
      <c r="AH882" s="117" t="str">
        <f t="shared" si="27"/>
        <v/>
      </c>
    </row>
    <row r="883" spans="6:34" x14ac:dyDescent="0.25">
      <c r="F883" s="35"/>
      <c r="J883" s="35"/>
      <c r="K883" s="35"/>
      <c r="L883" s="35"/>
      <c r="AF883" s="115" t="str">
        <f t="shared" si="26"/>
        <v/>
      </c>
      <c r="AG883" s="116" t="str">
        <f>IF(AF883="","",COUNTIF(AF883:AF$3000,AF883))</f>
        <v/>
      </c>
      <c r="AH883" s="117" t="str">
        <f t="shared" si="27"/>
        <v/>
      </c>
    </row>
    <row r="884" spans="6:34" x14ac:dyDescent="0.25">
      <c r="F884" s="35"/>
      <c r="J884" s="35"/>
      <c r="K884" s="35"/>
      <c r="L884" s="35"/>
      <c r="AF884" s="115" t="str">
        <f t="shared" si="26"/>
        <v/>
      </c>
      <c r="AG884" s="116" t="str">
        <f>IF(AF884="","",COUNTIF(AF884:AF$3000,AF884))</f>
        <v/>
      </c>
      <c r="AH884" s="117" t="str">
        <f t="shared" si="27"/>
        <v/>
      </c>
    </row>
    <row r="885" spans="6:34" x14ac:dyDescent="0.25">
      <c r="F885" s="35"/>
      <c r="J885" s="35"/>
      <c r="K885" s="35"/>
      <c r="L885" s="35"/>
      <c r="AF885" s="115" t="str">
        <f t="shared" si="26"/>
        <v/>
      </c>
      <c r="AG885" s="116" t="str">
        <f>IF(AF885="","",COUNTIF(AF885:AF$3000,AF885))</f>
        <v/>
      </c>
      <c r="AH885" s="117" t="str">
        <f t="shared" si="27"/>
        <v/>
      </c>
    </row>
    <row r="886" spans="6:34" x14ac:dyDescent="0.25">
      <c r="F886" s="35"/>
      <c r="J886" s="35"/>
      <c r="K886" s="35"/>
      <c r="L886" s="35"/>
      <c r="AF886" s="115" t="str">
        <f t="shared" si="26"/>
        <v/>
      </c>
      <c r="AG886" s="116" t="str">
        <f>IF(AF886="","",COUNTIF(AF886:AF$3000,AF886))</f>
        <v/>
      </c>
      <c r="AH886" s="117" t="str">
        <f t="shared" si="27"/>
        <v/>
      </c>
    </row>
    <row r="887" spans="6:34" x14ac:dyDescent="0.25">
      <c r="F887" s="35"/>
      <c r="J887" s="35"/>
      <c r="K887" s="35"/>
      <c r="L887" s="35"/>
      <c r="AF887" s="115" t="str">
        <f t="shared" si="26"/>
        <v/>
      </c>
      <c r="AG887" s="116" t="str">
        <f>IF(AF887="","",COUNTIF(AF887:AF$3000,AF887))</f>
        <v/>
      </c>
      <c r="AH887" s="117" t="str">
        <f t="shared" si="27"/>
        <v/>
      </c>
    </row>
    <row r="888" spans="6:34" x14ac:dyDescent="0.25">
      <c r="F888" s="35"/>
      <c r="J888" s="35"/>
      <c r="K888" s="35"/>
      <c r="L888" s="35"/>
      <c r="AF888" s="115" t="str">
        <f t="shared" si="26"/>
        <v/>
      </c>
      <c r="AG888" s="116" t="str">
        <f>IF(AF888="","",COUNTIF(AF888:AF$3000,AF888))</f>
        <v/>
      </c>
      <c r="AH888" s="117" t="str">
        <f t="shared" si="27"/>
        <v/>
      </c>
    </row>
    <row r="889" spans="6:34" x14ac:dyDescent="0.25">
      <c r="F889" s="35"/>
      <c r="J889" s="35"/>
      <c r="K889" s="35"/>
      <c r="L889" s="35"/>
      <c r="AF889" s="115" t="str">
        <f t="shared" si="26"/>
        <v/>
      </c>
      <c r="AG889" s="116" t="str">
        <f>IF(AF889="","",COUNTIF(AF889:AF$3000,AF889))</f>
        <v/>
      </c>
      <c r="AH889" s="117" t="str">
        <f t="shared" si="27"/>
        <v/>
      </c>
    </row>
    <row r="890" spans="6:34" x14ac:dyDescent="0.25">
      <c r="F890" s="35"/>
      <c r="J890" s="35"/>
      <c r="K890" s="35"/>
      <c r="L890" s="35"/>
      <c r="AF890" s="115" t="str">
        <f t="shared" si="26"/>
        <v/>
      </c>
      <c r="AG890" s="116" t="str">
        <f>IF(AF890="","",COUNTIF(AF890:AF$3000,AF890))</f>
        <v/>
      </c>
      <c r="AH890" s="117" t="str">
        <f t="shared" si="27"/>
        <v/>
      </c>
    </row>
    <row r="891" spans="6:34" x14ac:dyDescent="0.25">
      <c r="F891" s="35"/>
      <c r="J891" s="35"/>
      <c r="K891" s="35"/>
      <c r="L891" s="35"/>
      <c r="AF891" s="115" t="str">
        <f t="shared" si="26"/>
        <v/>
      </c>
      <c r="AG891" s="116" t="str">
        <f>IF(AF891="","",COUNTIF(AF891:AF$3000,AF891))</f>
        <v/>
      </c>
      <c r="AH891" s="117" t="str">
        <f t="shared" si="27"/>
        <v/>
      </c>
    </row>
    <row r="892" spans="6:34" x14ac:dyDescent="0.25">
      <c r="F892" s="35"/>
      <c r="J892" s="35"/>
      <c r="K892" s="35"/>
      <c r="L892" s="35"/>
      <c r="AF892" s="115" t="str">
        <f t="shared" si="26"/>
        <v/>
      </c>
      <c r="AG892" s="116" t="str">
        <f>IF(AF892="","",COUNTIF(AF892:AF$3000,AF892))</f>
        <v/>
      </c>
      <c r="AH892" s="117" t="str">
        <f t="shared" si="27"/>
        <v/>
      </c>
    </row>
    <row r="893" spans="6:34" x14ac:dyDescent="0.25">
      <c r="F893" s="35"/>
      <c r="J893" s="35"/>
      <c r="K893" s="35"/>
      <c r="L893" s="35"/>
      <c r="AF893" s="115" t="str">
        <f t="shared" si="26"/>
        <v/>
      </c>
      <c r="AG893" s="116" t="str">
        <f>IF(AF893="","",COUNTIF(AF893:AF$3000,AF893))</f>
        <v/>
      </c>
      <c r="AH893" s="117" t="str">
        <f t="shared" si="27"/>
        <v/>
      </c>
    </row>
    <row r="894" spans="6:34" x14ac:dyDescent="0.25">
      <c r="F894" s="35"/>
      <c r="J894" s="35"/>
      <c r="K894" s="35"/>
      <c r="L894" s="35"/>
      <c r="AF894" s="115" t="str">
        <f t="shared" si="26"/>
        <v/>
      </c>
      <c r="AG894" s="116" t="str">
        <f>IF(AF894="","",COUNTIF(AF894:AF$3000,AF894))</f>
        <v/>
      </c>
      <c r="AH894" s="117" t="str">
        <f t="shared" si="27"/>
        <v/>
      </c>
    </row>
    <row r="895" spans="6:34" x14ac:dyDescent="0.25">
      <c r="F895" s="35"/>
      <c r="J895" s="35"/>
      <c r="K895" s="35"/>
      <c r="L895" s="35"/>
      <c r="AF895" s="115" t="str">
        <f t="shared" si="26"/>
        <v/>
      </c>
      <c r="AG895" s="116" t="str">
        <f>IF(AF895="","",COUNTIF(AF895:AF$3000,AF895))</f>
        <v/>
      </c>
      <c r="AH895" s="117" t="str">
        <f t="shared" si="27"/>
        <v/>
      </c>
    </row>
    <row r="896" spans="6:34" x14ac:dyDescent="0.25">
      <c r="F896" s="35"/>
      <c r="J896" s="35"/>
      <c r="K896" s="35"/>
      <c r="L896" s="35"/>
      <c r="AF896" s="115" t="str">
        <f t="shared" si="26"/>
        <v/>
      </c>
      <c r="AG896" s="116" t="str">
        <f>IF(AF896="","",COUNTIF(AF896:AF$3000,AF896))</f>
        <v/>
      </c>
      <c r="AH896" s="117" t="str">
        <f t="shared" si="27"/>
        <v/>
      </c>
    </row>
    <row r="897" spans="6:34" x14ac:dyDescent="0.25">
      <c r="F897" s="35"/>
      <c r="J897" s="35"/>
      <c r="K897" s="35"/>
      <c r="L897" s="35"/>
      <c r="AF897" s="115" t="str">
        <f t="shared" si="26"/>
        <v/>
      </c>
      <c r="AG897" s="116" t="str">
        <f>IF(AF897="","",COUNTIF(AF897:AF$3000,AF897))</f>
        <v/>
      </c>
      <c r="AH897" s="117" t="str">
        <f t="shared" si="27"/>
        <v/>
      </c>
    </row>
    <row r="898" spans="6:34" x14ac:dyDescent="0.25">
      <c r="F898" s="35"/>
      <c r="J898" s="35"/>
      <c r="K898" s="35"/>
      <c r="L898" s="35"/>
      <c r="AF898" s="115" t="str">
        <f t="shared" si="26"/>
        <v/>
      </c>
      <c r="AG898" s="116" t="str">
        <f>IF(AF898="","",COUNTIF(AF898:AF$3000,AF898))</f>
        <v/>
      </c>
      <c r="AH898" s="117" t="str">
        <f t="shared" si="27"/>
        <v/>
      </c>
    </row>
    <row r="899" spans="6:34" x14ac:dyDescent="0.25">
      <c r="F899" s="35"/>
      <c r="J899" s="35"/>
      <c r="K899" s="35"/>
      <c r="L899" s="35"/>
      <c r="AF899" s="115" t="str">
        <f t="shared" si="26"/>
        <v/>
      </c>
      <c r="AG899" s="116" t="str">
        <f>IF(AF899="","",COUNTIF(AF899:AF$3000,AF899))</f>
        <v/>
      </c>
      <c r="AH899" s="117" t="str">
        <f t="shared" si="27"/>
        <v/>
      </c>
    </row>
    <row r="900" spans="6:34" x14ac:dyDescent="0.25">
      <c r="F900" s="35"/>
      <c r="J900" s="35"/>
      <c r="K900" s="35"/>
      <c r="L900" s="35"/>
      <c r="AF900" s="115" t="str">
        <f t="shared" ref="AF900:AF963" si="28">IF(B900="","",TEXT(J900,"DD/MM/AA")&amp;"_"&amp;S900&amp;"_"&amp;V900)</f>
        <v/>
      </c>
      <c r="AG900" s="116" t="str">
        <f>IF(AF900="","",COUNTIF(AF900:AF$3000,AF900))</f>
        <v/>
      </c>
      <c r="AH900" s="117" t="str">
        <f t="shared" ref="AH900:AH963" si="29">IF(AA900="","",
IF(AG900&gt;1,"",
IF(SUMIF(AF$3:AF$31,AF900,H$3:H$31)/10&lt;1,1,SUMIF(AF$3:AF$31,AF900,H$3:H$31)/10)))</f>
        <v/>
      </c>
    </row>
    <row r="901" spans="6:34" x14ac:dyDescent="0.25">
      <c r="F901" s="35"/>
      <c r="J901" s="35"/>
      <c r="K901" s="35"/>
      <c r="L901" s="35"/>
      <c r="AF901" s="115" t="str">
        <f t="shared" si="28"/>
        <v/>
      </c>
      <c r="AG901" s="116" t="str">
        <f>IF(AF901="","",COUNTIF(AF901:AF$3000,AF901))</f>
        <v/>
      </c>
      <c r="AH901" s="117" t="str">
        <f t="shared" si="29"/>
        <v/>
      </c>
    </row>
    <row r="902" spans="6:34" x14ac:dyDescent="0.25">
      <c r="F902" s="35"/>
      <c r="J902" s="35"/>
      <c r="K902" s="35"/>
      <c r="L902" s="35"/>
      <c r="AF902" s="115" t="str">
        <f t="shared" si="28"/>
        <v/>
      </c>
      <c r="AG902" s="116" t="str">
        <f>IF(AF902="","",COUNTIF(AF902:AF$3000,AF902))</f>
        <v/>
      </c>
      <c r="AH902" s="117" t="str">
        <f t="shared" si="29"/>
        <v/>
      </c>
    </row>
    <row r="903" spans="6:34" x14ac:dyDescent="0.25">
      <c r="F903" s="35"/>
      <c r="J903" s="35"/>
      <c r="K903" s="35"/>
      <c r="L903" s="35"/>
      <c r="AF903" s="115" t="str">
        <f t="shared" si="28"/>
        <v/>
      </c>
      <c r="AG903" s="116" t="str">
        <f>IF(AF903="","",COUNTIF(AF903:AF$3000,AF903))</f>
        <v/>
      </c>
      <c r="AH903" s="117" t="str">
        <f t="shared" si="29"/>
        <v/>
      </c>
    </row>
    <row r="904" spans="6:34" x14ac:dyDescent="0.25">
      <c r="F904" s="35"/>
      <c r="J904" s="35"/>
      <c r="K904" s="35"/>
      <c r="L904" s="35"/>
      <c r="AF904" s="115" t="str">
        <f t="shared" si="28"/>
        <v/>
      </c>
      <c r="AG904" s="116" t="str">
        <f>IF(AF904="","",COUNTIF(AF904:AF$3000,AF904))</f>
        <v/>
      </c>
      <c r="AH904" s="117" t="str">
        <f t="shared" si="29"/>
        <v/>
      </c>
    </row>
    <row r="905" spans="6:34" x14ac:dyDescent="0.25">
      <c r="F905" s="35"/>
      <c r="J905" s="35"/>
      <c r="K905" s="35"/>
      <c r="L905" s="35"/>
      <c r="AF905" s="115" t="str">
        <f t="shared" si="28"/>
        <v/>
      </c>
      <c r="AG905" s="116" t="str">
        <f>IF(AF905="","",COUNTIF(AF905:AF$3000,AF905))</f>
        <v/>
      </c>
      <c r="AH905" s="117" t="str">
        <f t="shared" si="29"/>
        <v/>
      </c>
    </row>
    <row r="906" spans="6:34" x14ac:dyDescent="0.25">
      <c r="F906" s="35"/>
      <c r="J906" s="35"/>
      <c r="K906" s="35"/>
      <c r="L906" s="35"/>
      <c r="AF906" s="115" t="str">
        <f t="shared" si="28"/>
        <v/>
      </c>
      <c r="AG906" s="116" t="str">
        <f>IF(AF906="","",COUNTIF(AF906:AF$3000,AF906))</f>
        <v/>
      </c>
      <c r="AH906" s="117" t="str">
        <f t="shared" si="29"/>
        <v/>
      </c>
    </row>
    <row r="907" spans="6:34" x14ac:dyDescent="0.25">
      <c r="F907" s="35"/>
      <c r="J907" s="35"/>
      <c r="K907" s="35"/>
      <c r="L907" s="35"/>
      <c r="AF907" s="115" t="str">
        <f t="shared" si="28"/>
        <v/>
      </c>
      <c r="AG907" s="116" t="str">
        <f>IF(AF907="","",COUNTIF(AF907:AF$3000,AF907))</f>
        <v/>
      </c>
      <c r="AH907" s="117" t="str">
        <f t="shared" si="29"/>
        <v/>
      </c>
    </row>
    <row r="908" spans="6:34" x14ac:dyDescent="0.25">
      <c r="F908" s="35"/>
      <c r="J908" s="35"/>
      <c r="K908" s="35"/>
      <c r="L908" s="35"/>
      <c r="AF908" s="115" t="str">
        <f t="shared" si="28"/>
        <v/>
      </c>
      <c r="AG908" s="116" t="str">
        <f>IF(AF908="","",COUNTIF(AF908:AF$3000,AF908))</f>
        <v/>
      </c>
      <c r="AH908" s="117" t="str">
        <f t="shared" si="29"/>
        <v/>
      </c>
    </row>
    <row r="909" spans="6:34" x14ac:dyDescent="0.25">
      <c r="F909" s="35"/>
      <c r="J909" s="35"/>
      <c r="K909" s="35"/>
      <c r="L909" s="35"/>
      <c r="AF909" s="115" t="str">
        <f t="shared" si="28"/>
        <v/>
      </c>
      <c r="AG909" s="116" t="str">
        <f>IF(AF909="","",COUNTIF(AF909:AF$3000,AF909))</f>
        <v/>
      </c>
      <c r="AH909" s="117" t="str">
        <f t="shared" si="29"/>
        <v/>
      </c>
    </row>
    <row r="910" spans="6:34" x14ac:dyDescent="0.25">
      <c r="F910" s="35"/>
      <c r="J910" s="35"/>
      <c r="K910" s="35"/>
      <c r="L910" s="35"/>
      <c r="AF910" s="115" t="str">
        <f t="shared" si="28"/>
        <v/>
      </c>
      <c r="AG910" s="116" t="str">
        <f>IF(AF910="","",COUNTIF(AF910:AF$3000,AF910))</f>
        <v/>
      </c>
      <c r="AH910" s="117" t="str">
        <f t="shared" si="29"/>
        <v/>
      </c>
    </row>
    <row r="911" spans="6:34" x14ac:dyDescent="0.25">
      <c r="F911" s="35"/>
      <c r="J911" s="35"/>
      <c r="K911" s="35"/>
      <c r="L911" s="35"/>
      <c r="AF911" s="115" t="str">
        <f t="shared" si="28"/>
        <v/>
      </c>
      <c r="AG911" s="116" t="str">
        <f>IF(AF911="","",COUNTIF(AF911:AF$3000,AF911))</f>
        <v/>
      </c>
      <c r="AH911" s="117" t="str">
        <f t="shared" si="29"/>
        <v/>
      </c>
    </row>
    <row r="912" spans="6:34" x14ac:dyDescent="0.25">
      <c r="F912" s="35"/>
      <c r="J912" s="35"/>
      <c r="K912" s="35"/>
      <c r="L912" s="35"/>
      <c r="AF912" s="115" t="str">
        <f t="shared" si="28"/>
        <v/>
      </c>
      <c r="AG912" s="116" t="str">
        <f>IF(AF912="","",COUNTIF(AF912:AF$3000,AF912))</f>
        <v/>
      </c>
      <c r="AH912" s="117" t="str">
        <f t="shared" si="29"/>
        <v/>
      </c>
    </row>
    <row r="913" spans="6:34" x14ac:dyDescent="0.25">
      <c r="F913" s="35"/>
      <c r="J913" s="35"/>
      <c r="K913" s="35"/>
      <c r="L913" s="35"/>
      <c r="AF913" s="115" t="str">
        <f t="shared" si="28"/>
        <v/>
      </c>
      <c r="AG913" s="116" t="str">
        <f>IF(AF913="","",COUNTIF(AF913:AF$3000,AF913))</f>
        <v/>
      </c>
      <c r="AH913" s="117" t="str">
        <f t="shared" si="29"/>
        <v/>
      </c>
    </row>
    <row r="914" spans="6:34" x14ac:dyDescent="0.25">
      <c r="F914" s="35"/>
      <c r="J914" s="35"/>
      <c r="K914" s="35"/>
      <c r="L914" s="35"/>
      <c r="AF914" s="115" t="str">
        <f t="shared" si="28"/>
        <v/>
      </c>
      <c r="AG914" s="116" t="str">
        <f>IF(AF914="","",COUNTIF(AF914:AF$3000,AF914))</f>
        <v/>
      </c>
      <c r="AH914" s="117" t="str">
        <f t="shared" si="29"/>
        <v/>
      </c>
    </row>
    <row r="915" spans="6:34" x14ac:dyDescent="0.25">
      <c r="F915" s="35"/>
      <c r="J915" s="35"/>
      <c r="K915" s="35"/>
      <c r="L915" s="35"/>
      <c r="AF915" s="115" t="str">
        <f t="shared" si="28"/>
        <v/>
      </c>
      <c r="AG915" s="116" t="str">
        <f>IF(AF915="","",COUNTIF(AF915:AF$3000,AF915))</f>
        <v/>
      </c>
      <c r="AH915" s="117" t="str">
        <f t="shared" si="29"/>
        <v/>
      </c>
    </row>
    <row r="916" spans="6:34" x14ac:dyDescent="0.25">
      <c r="F916" s="35"/>
      <c r="J916" s="35"/>
      <c r="K916" s="35"/>
      <c r="L916" s="35"/>
      <c r="AF916" s="115" t="str">
        <f t="shared" si="28"/>
        <v/>
      </c>
      <c r="AG916" s="116" t="str">
        <f>IF(AF916="","",COUNTIF(AF916:AF$3000,AF916))</f>
        <v/>
      </c>
      <c r="AH916" s="117" t="str">
        <f t="shared" si="29"/>
        <v/>
      </c>
    </row>
    <row r="917" spans="6:34" x14ac:dyDescent="0.25">
      <c r="F917" s="35"/>
      <c r="J917" s="35"/>
      <c r="K917" s="35"/>
      <c r="L917" s="35"/>
      <c r="AF917" s="115" t="str">
        <f t="shared" si="28"/>
        <v/>
      </c>
      <c r="AG917" s="116" t="str">
        <f>IF(AF917="","",COUNTIF(AF917:AF$3000,AF917))</f>
        <v/>
      </c>
      <c r="AH917" s="117" t="str">
        <f t="shared" si="29"/>
        <v/>
      </c>
    </row>
    <row r="918" spans="6:34" x14ac:dyDescent="0.25">
      <c r="F918" s="35"/>
      <c r="J918" s="35"/>
      <c r="K918" s="35"/>
      <c r="L918" s="35"/>
      <c r="AF918" s="115" t="str">
        <f t="shared" si="28"/>
        <v/>
      </c>
      <c r="AG918" s="116" t="str">
        <f>IF(AF918="","",COUNTIF(AF918:AF$3000,AF918))</f>
        <v/>
      </c>
      <c r="AH918" s="117" t="str">
        <f t="shared" si="29"/>
        <v/>
      </c>
    </row>
    <row r="919" spans="6:34" x14ac:dyDescent="0.25">
      <c r="F919" s="35"/>
      <c r="J919" s="35"/>
      <c r="K919" s="35"/>
      <c r="L919" s="35"/>
      <c r="AF919" s="115" t="str">
        <f t="shared" si="28"/>
        <v/>
      </c>
      <c r="AG919" s="116" t="str">
        <f>IF(AF919="","",COUNTIF(AF919:AF$3000,AF919))</f>
        <v/>
      </c>
      <c r="AH919" s="117" t="str">
        <f t="shared" si="29"/>
        <v/>
      </c>
    </row>
    <row r="920" spans="6:34" x14ac:dyDescent="0.25">
      <c r="F920" s="35"/>
      <c r="J920" s="35"/>
      <c r="K920" s="35"/>
      <c r="L920" s="35"/>
      <c r="AF920" s="115" t="str">
        <f t="shared" si="28"/>
        <v/>
      </c>
      <c r="AG920" s="116" t="str">
        <f>IF(AF920="","",COUNTIF(AF920:AF$3000,AF920))</f>
        <v/>
      </c>
      <c r="AH920" s="117" t="str">
        <f t="shared" si="29"/>
        <v/>
      </c>
    </row>
    <row r="921" spans="6:34" x14ac:dyDescent="0.25">
      <c r="F921" s="35"/>
      <c r="J921" s="35"/>
      <c r="K921" s="35"/>
      <c r="L921" s="35"/>
      <c r="AF921" s="115" t="str">
        <f t="shared" si="28"/>
        <v/>
      </c>
      <c r="AG921" s="116" t="str">
        <f>IF(AF921="","",COUNTIF(AF921:AF$3000,AF921))</f>
        <v/>
      </c>
      <c r="AH921" s="117" t="str">
        <f t="shared" si="29"/>
        <v/>
      </c>
    </row>
    <row r="922" spans="6:34" x14ac:dyDescent="0.25">
      <c r="F922" s="35"/>
      <c r="J922" s="35"/>
      <c r="K922" s="35"/>
      <c r="L922" s="35"/>
      <c r="AF922" s="115" t="str">
        <f t="shared" si="28"/>
        <v/>
      </c>
      <c r="AG922" s="116" t="str">
        <f>IF(AF922="","",COUNTIF(AF922:AF$3000,AF922))</f>
        <v/>
      </c>
      <c r="AH922" s="117" t="str">
        <f t="shared" si="29"/>
        <v/>
      </c>
    </row>
    <row r="923" spans="6:34" x14ac:dyDescent="0.25">
      <c r="F923" s="35"/>
      <c r="J923" s="35"/>
      <c r="K923" s="35"/>
      <c r="L923" s="35"/>
      <c r="AF923" s="115" t="str">
        <f t="shared" si="28"/>
        <v/>
      </c>
      <c r="AG923" s="116" t="str">
        <f>IF(AF923="","",COUNTIF(AF923:AF$3000,AF923))</f>
        <v/>
      </c>
      <c r="AH923" s="117" t="str">
        <f t="shared" si="29"/>
        <v/>
      </c>
    </row>
    <row r="924" spans="6:34" x14ac:dyDescent="0.25">
      <c r="F924" s="35"/>
      <c r="J924" s="35"/>
      <c r="K924" s="35"/>
      <c r="L924" s="35"/>
      <c r="AF924" s="115" t="str">
        <f t="shared" si="28"/>
        <v/>
      </c>
      <c r="AG924" s="116" t="str">
        <f>IF(AF924="","",COUNTIF(AF924:AF$3000,AF924))</f>
        <v/>
      </c>
      <c r="AH924" s="117" t="str">
        <f t="shared" si="29"/>
        <v/>
      </c>
    </row>
    <row r="925" spans="6:34" x14ac:dyDescent="0.25">
      <c r="F925" s="35"/>
      <c r="J925" s="35"/>
      <c r="K925" s="35"/>
      <c r="L925" s="35"/>
      <c r="AF925" s="115" t="str">
        <f t="shared" si="28"/>
        <v/>
      </c>
      <c r="AG925" s="116" t="str">
        <f>IF(AF925="","",COUNTIF(AF925:AF$3000,AF925))</f>
        <v/>
      </c>
      <c r="AH925" s="117" t="str">
        <f t="shared" si="29"/>
        <v/>
      </c>
    </row>
    <row r="926" spans="6:34" x14ac:dyDescent="0.25">
      <c r="F926" s="35"/>
      <c r="J926" s="35"/>
      <c r="K926" s="35"/>
      <c r="L926" s="35"/>
      <c r="AF926" s="115" t="str">
        <f t="shared" si="28"/>
        <v/>
      </c>
      <c r="AG926" s="116" t="str">
        <f>IF(AF926="","",COUNTIF(AF926:AF$3000,AF926))</f>
        <v/>
      </c>
      <c r="AH926" s="117" t="str">
        <f t="shared" si="29"/>
        <v/>
      </c>
    </row>
    <row r="927" spans="6:34" x14ac:dyDescent="0.25">
      <c r="F927" s="35"/>
      <c r="J927" s="35"/>
      <c r="K927" s="35"/>
      <c r="L927" s="35"/>
      <c r="AF927" s="115" t="str">
        <f t="shared" si="28"/>
        <v/>
      </c>
      <c r="AG927" s="116" t="str">
        <f>IF(AF927="","",COUNTIF(AF927:AF$3000,AF927))</f>
        <v/>
      </c>
      <c r="AH927" s="117" t="str">
        <f t="shared" si="29"/>
        <v/>
      </c>
    </row>
    <row r="928" spans="6:34" x14ac:dyDescent="0.25">
      <c r="F928" s="35"/>
      <c r="J928" s="35"/>
      <c r="K928" s="35"/>
      <c r="L928" s="35"/>
      <c r="AF928" s="115" t="str">
        <f t="shared" si="28"/>
        <v/>
      </c>
      <c r="AG928" s="116" t="str">
        <f>IF(AF928="","",COUNTIF(AF928:AF$3000,AF928))</f>
        <v/>
      </c>
      <c r="AH928" s="117" t="str">
        <f t="shared" si="29"/>
        <v/>
      </c>
    </row>
    <row r="929" spans="6:34" x14ac:dyDescent="0.25">
      <c r="F929" s="35"/>
      <c r="J929" s="35"/>
      <c r="K929" s="35"/>
      <c r="L929" s="35"/>
      <c r="AF929" s="115" t="str">
        <f t="shared" si="28"/>
        <v/>
      </c>
      <c r="AG929" s="116" t="str">
        <f>IF(AF929="","",COUNTIF(AF929:AF$3000,AF929))</f>
        <v/>
      </c>
      <c r="AH929" s="117" t="str">
        <f t="shared" si="29"/>
        <v/>
      </c>
    </row>
    <row r="930" spans="6:34" x14ac:dyDescent="0.25">
      <c r="F930" s="35"/>
      <c r="J930" s="35"/>
      <c r="K930" s="35"/>
      <c r="L930" s="35"/>
      <c r="AF930" s="115" t="str">
        <f t="shared" si="28"/>
        <v/>
      </c>
      <c r="AG930" s="116" t="str">
        <f>IF(AF930="","",COUNTIF(AF930:AF$3000,AF930))</f>
        <v/>
      </c>
      <c r="AH930" s="117" t="str">
        <f t="shared" si="29"/>
        <v/>
      </c>
    </row>
    <row r="931" spans="6:34" x14ac:dyDescent="0.25">
      <c r="F931" s="35"/>
      <c r="J931" s="35"/>
      <c r="K931" s="35"/>
      <c r="L931" s="35"/>
      <c r="AF931" s="115" t="str">
        <f t="shared" si="28"/>
        <v/>
      </c>
      <c r="AG931" s="116" t="str">
        <f>IF(AF931="","",COUNTIF(AF931:AF$3000,AF931))</f>
        <v/>
      </c>
      <c r="AH931" s="117" t="str">
        <f t="shared" si="29"/>
        <v/>
      </c>
    </row>
    <row r="932" spans="6:34" x14ac:dyDescent="0.25">
      <c r="F932" s="35"/>
      <c r="J932" s="35"/>
      <c r="K932" s="35"/>
      <c r="L932" s="35"/>
      <c r="AF932" s="115" t="str">
        <f t="shared" si="28"/>
        <v/>
      </c>
      <c r="AG932" s="116" t="str">
        <f>IF(AF932="","",COUNTIF(AF932:AF$3000,AF932))</f>
        <v/>
      </c>
      <c r="AH932" s="117" t="str">
        <f t="shared" si="29"/>
        <v/>
      </c>
    </row>
    <row r="933" spans="6:34" x14ac:dyDescent="0.25">
      <c r="F933" s="35"/>
      <c r="J933" s="35"/>
      <c r="K933" s="35"/>
      <c r="L933" s="35"/>
      <c r="AF933" s="115" t="str">
        <f t="shared" si="28"/>
        <v/>
      </c>
      <c r="AG933" s="116" t="str">
        <f>IF(AF933="","",COUNTIF(AF933:AF$3000,AF933))</f>
        <v/>
      </c>
      <c r="AH933" s="117" t="str">
        <f t="shared" si="29"/>
        <v/>
      </c>
    </row>
    <row r="934" spans="6:34" x14ac:dyDescent="0.25">
      <c r="F934" s="35"/>
      <c r="J934" s="35"/>
      <c r="K934" s="35"/>
      <c r="L934" s="35"/>
      <c r="AF934" s="115" t="str">
        <f t="shared" si="28"/>
        <v/>
      </c>
      <c r="AG934" s="116" t="str">
        <f>IF(AF934="","",COUNTIF(AF934:AF$3000,AF934))</f>
        <v/>
      </c>
      <c r="AH934" s="117" t="str">
        <f t="shared" si="29"/>
        <v/>
      </c>
    </row>
    <row r="935" spans="6:34" x14ac:dyDescent="0.25">
      <c r="F935" s="35"/>
      <c r="J935" s="35"/>
      <c r="K935" s="35"/>
      <c r="L935" s="35"/>
      <c r="AF935" s="115" t="str">
        <f t="shared" si="28"/>
        <v/>
      </c>
      <c r="AG935" s="116" t="str">
        <f>IF(AF935="","",COUNTIF(AF935:AF$3000,AF935))</f>
        <v/>
      </c>
      <c r="AH935" s="117" t="str">
        <f t="shared" si="29"/>
        <v/>
      </c>
    </row>
    <row r="936" spans="6:34" x14ac:dyDescent="0.25">
      <c r="F936" s="35"/>
      <c r="J936" s="35"/>
      <c r="K936" s="35"/>
      <c r="L936" s="35"/>
      <c r="AF936" s="115" t="str">
        <f t="shared" si="28"/>
        <v/>
      </c>
      <c r="AG936" s="116" t="str">
        <f>IF(AF936="","",COUNTIF(AF936:AF$3000,AF936))</f>
        <v/>
      </c>
      <c r="AH936" s="117" t="str">
        <f t="shared" si="29"/>
        <v/>
      </c>
    </row>
    <row r="937" spans="6:34" x14ac:dyDescent="0.25">
      <c r="F937" s="35"/>
      <c r="J937" s="35"/>
      <c r="K937" s="35"/>
      <c r="L937" s="35"/>
      <c r="AF937" s="115" t="str">
        <f t="shared" si="28"/>
        <v/>
      </c>
      <c r="AG937" s="116" t="str">
        <f>IF(AF937="","",COUNTIF(AF937:AF$3000,AF937))</f>
        <v/>
      </c>
      <c r="AH937" s="117" t="str">
        <f t="shared" si="29"/>
        <v/>
      </c>
    </row>
    <row r="938" spans="6:34" x14ac:dyDescent="0.25">
      <c r="F938" s="35"/>
      <c r="J938" s="35"/>
      <c r="K938" s="35"/>
      <c r="L938" s="35"/>
      <c r="AF938" s="115" t="str">
        <f t="shared" si="28"/>
        <v/>
      </c>
      <c r="AG938" s="116" t="str">
        <f>IF(AF938="","",COUNTIF(AF938:AF$3000,AF938))</f>
        <v/>
      </c>
      <c r="AH938" s="117" t="str">
        <f t="shared" si="29"/>
        <v/>
      </c>
    </row>
    <row r="939" spans="6:34" x14ac:dyDescent="0.25">
      <c r="F939" s="35"/>
      <c r="J939" s="35"/>
      <c r="K939" s="35"/>
      <c r="L939" s="35"/>
      <c r="AF939" s="115" t="str">
        <f t="shared" si="28"/>
        <v/>
      </c>
      <c r="AG939" s="116" t="str">
        <f>IF(AF939="","",COUNTIF(AF939:AF$3000,AF939))</f>
        <v/>
      </c>
      <c r="AH939" s="117" t="str">
        <f t="shared" si="29"/>
        <v/>
      </c>
    </row>
    <row r="940" spans="6:34" x14ac:dyDescent="0.25">
      <c r="F940" s="35"/>
      <c r="J940" s="35"/>
      <c r="K940" s="35"/>
      <c r="L940" s="35"/>
      <c r="AF940" s="115" t="str">
        <f t="shared" si="28"/>
        <v/>
      </c>
      <c r="AG940" s="116" t="str">
        <f>IF(AF940="","",COUNTIF(AF940:AF$3000,AF940))</f>
        <v/>
      </c>
      <c r="AH940" s="117" t="str">
        <f t="shared" si="29"/>
        <v/>
      </c>
    </row>
    <row r="941" spans="6:34" x14ac:dyDescent="0.25">
      <c r="F941" s="35"/>
      <c r="J941" s="35"/>
      <c r="K941" s="35"/>
      <c r="L941" s="35"/>
      <c r="AF941" s="115" t="str">
        <f t="shared" si="28"/>
        <v/>
      </c>
      <c r="AG941" s="116" t="str">
        <f>IF(AF941="","",COUNTIF(AF941:AF$3000,AF941))</f>
        <v/>
      </c>
      <c r="AH941" s="117" t="str">
        <f t="shared" si="29"/>
        <v/>
      </c>
    </row>
    <row r="942" spans="6:34" x14ac:dyDescent="0.25">
      <c r="F942" s="35"/>
      <c r="J942" s="35"/>
      <c r="K942" s="35"/>
      <c r="L942" s="35"/>
      <c r="AF942" s="115" t="str">
        <f t="shared" si="28"/>
        <v/>
      </c>
      <c r="AG942" s="116" t="str">
        <f>IF(AF942="","",COUNTIF(AF942:AF$3000,AF942))</f>
        <v/>
      </c>
      <c r="AH942" s="117" t="str">
        <f t="shared" si="29"/>
        <v/>
      </c>
    </row>
    <row r="943" spans="6:34" x14ac:dyDescent="0.25">
      <c r="F943" s="35"/>
      <c r="J943" s="35"/>
      <c r="K943" s="35"/>
      <c r="L943" s="35"/>
      <c r="AF943" s="115" t="str">
        <f t="shared" si="28"/>
        <v/>
      </c>
      <c r="AG943" s="116" t="str">
        <f>IF(AF943="","",COUNTIF(AF943:AF$3000,AF943))</f>
        <v/>
      </c>
      <c r="AH943" s="117" t="str">
        <f t="shared" si="29"/>
        <v/>
      </c>
    </row>
    <row r="944" spans="6:34" x14ac:dyDescent="0.25">
      <c r="F944" s="35"/>
      <c r="J944" s="35"/>
      <c r="K944" s="35"/>
      <c r="L944" s="35"/>
      <c r="AF944" s="115" t="str">
        <f t="shared" si="28"/>
        <v/>
      </c>
      <c r="AG944" s="116" t="str">
        <f>IF(AF944="","",COUNTIF(AF944:AF$3000,AF944))</f>
        <v/>
      </c>
      <c r="AH944" s="117" t="str">
        <f t="shared" si="29"/>
        <v/>
      </c>
    </row>
    <row r="945" spans="6:34" x14ac:dyDescent="0.25">
      <c r="F945" s="35"/>
      <c r="J945" s="35"/>
      <c r="K945" s="35"/>
      <c r="L945" s="35"/>
      <c r="AF945" s="115" t="str">
        <f t="shared" si="28"/>
        <v/>
      </c>
      <c r="AG945" s="116" t="str">
        <f>IF(AF945="","",COUNTIF(AF945:AF$3000,AF945))</f>
        <v/>
      </c>
      <c r="AH945" s="117" t="str">
        <f t="shared" si="29"/>
        <v/>
      </c>
    </row>
    <row r="946" spans="6:34" x14ac:dyDescent="0.25">
      <c r="F946" s="35"/>
      <c r="J946" s="35"/>
      <c r="K946" s="35"/>
      <c r="L946" s="35"/>
      <c r="AF946" s="115" t="str">
        <f t="shared" si="28"/>
        <v/>
      </c>
      <c r="AG946" s="116" t="str">
        <f>IF(AF946="","",COUNTIF(AF946:AF$3000,AF946))</f>
        <v/>
      </c>
      <c r="AH946" s="117" t="str">
        <f t="shared" si="29"/>
        <v/>
      </c>
    </row>
    <row r="947" spans="6:34" x14ac:dyDescent="0.25">
      <c r="F947" s="35"/>
      <c r="J947" s="35"/>
      <c r="K947" s="35"/>
      <c r="L947" s="35"/>
      <c r="AF947" s="115" t="str">
        <f t="shared" si="28"/>
        <v/>
      </c>
      <c r="AG947" s="116" t="str">
        <f>IF(AF947="","",COUNTIF(AF947:AF$3000,AF947))</f>
        <v/>
      </c>
      <c r="AH947" s="117" t="str">
        <f t="shared" si="29"/>
        <v/>
      </c>
    </row>
    <row r="948" spans="6:34" x14ac:dyDescent="0.25">
      <c r="F948" s="35"/>
      <c r="J948" s="35"/>
      <c r="K948" s="35"/>
      <c r="L948" s="35"/>
      <c r="AF948" s="115" t="str">
        <f t="shared" si="28"/>
        <v/>
      </c>
      <c r="AG948" s="116" t="str">
        <f>IF(AF948="","",COUNTIF(AF948:AF$3000,AF948))</f>
        <v/>
      </c>
      <c r="AH948" s="117" t="str">
        <f t="shared" si="29"/>
        <v/>
      </c>
    </row>
    <row r="949" spans="6:34" x14ac:dyDescent="0.25">
      <c r="F949" s="35"/>
      <c r="J949" s="35"/>
      <c r="K949" s="35"/>
      <c r="L949" s="35"/>
      <c r="AF949" s="115" t="str">
        <f t="shared" si="28"/>
        <v/>
      </c>
      <c r="AG949" s="116" t="str">
        <f>IF(AF949="","",COUNTIF(AF949:AF$3000,AF949))</f>
        <v/>
      </c>
      <c r="AH949" s="117" t="str">
        <f t="shared" si="29"/>
        <v/>
      </c>
    </row>
    <row r="950" spans="6:34" x14ac:dyDescent="0.25">
      <c r="F950" s="35"/>
      <c r="J950" s="35"/>
      <c r="K950" s="35"/>
      <c r="L950" s="35"/>
      <c r="AF950" s="115" t="str">
        <f t="shared" si="28"/>
        <v/>
      </c>
      <c r="AG950" s="116" t="str">
        <f>IF(AF950="","",COUNTIF(AF950:AF$3000,AF950))</f>
        <v/>
      </c>
      <c r="AH950" s="117" t="str">
        <f t="shared" si="29"/>
        <v/>
      </c>
    </row>
    <row r="951" spans="6:34" x14ac:dyDescent="0.25">
      <c r="F951" s="35"/>
      <c r="J951" s="35"/>
      <c r="K951" s="35"/>
      <c r="L951" s="35"/>
      <c r="AF951" s="115" t="str">
        <f t="shared" si="28"/>
        <v/>
      </c>
      <c r="AG951" s="116" t="str">
        <f>IF(AF951="","",COUNTIF(AF951:AF$3000,AF951))</f>
        <v/>
      </c>
      <c r="AH951" s="117" t="str">
        <f t="shared" si="29"/>
        <v/>
      </c>
    </row>
    <row r="952" spans="6:34" x14ac:dyDescent="0.25">
      <c r="F952" s="35"/>
      <c r="J952" s="35"/>
      <c r="K952" s="35"/>
      <c r="L952" s="35"/>
      <c r="AF952" s="115" t="str">
        <f t="shared" si="28"/>
        <v/>
      </c>
      <c r="AG952" s="116" t="str">
        <f>IF(AF952="","",COUNTIF(AF952:AF$3000,AF952))</f>
        <v/>
      </c>
      <c r="AH952" s="117" t="str">
        <f t="shared" si="29"/>
        <v/>
      </c>
    </row>
    <row r="953" spans="6:34" x14ac:dyDescent="0.25">
      <c r="F953" s="35"/>
      <c r="J953" s="35"/>
      <c r="K953" s="35"/>
      <c r="L953" s="35"/>
      <c r="AF953" s="115" t="str">
        <f t="shared" si="28"/>
        <v/>
      </c>
      <c r="AG953" s="116" t="str">
        <f>IF(AF953="","",COUNTIF(AF953:AF$3000,AF953))</f>
        <v/>
      </c>
      <c r="AH953" s="117" t="str">
        <f t="shared" si="29"/>
        <v/>
      </c>
    </row>
    <row r="954" spans="6:34" x14ac:dyDescent="0.25">
      <c r="F954" s="35"/>
      <c r="J954" s="35"/>
      <c r="K954" s="35"/>
      <c r="L954" s="35"/>
      <c r="AF954" s="115" t="str">
        <f t="shared" si="28"/>
        <v/>
      </c>
      <c r="AG954" s="116" t="str">
        <f>IF(AF954="","",COUNTIF(AF954:AF$3000,AF954))</f>
        <v/>
      </c>
      <c r="AH954" s="117" t="str">
        <f t="shared" si="29"/>
        <v/>
      </c>
    </row>
    <row r="955" spans="6:34" x14ac:dyDescent="0.25">
      <c r="F955" s="35"/>
      <c r="J955" s="35"/>
      <c r="K955" s="35"/>
      <c r="L955" s="35"/>
      <c r="AF955" s="115" t="str">
        <f t="shared" si="28"/>
        <v/>
      </c>
      <c r="AG955" s="116" t="str">
        <f>IF(AF955="","",COUNTIF(AF955:AF$3000,AF955))</f>
        <v/>
      </c>
      <c r="AH955" s="117" t="str">
        <f t="shared" si="29"/>
        <v/>
      </c>
    </row>
    <row r="956" spans="6:34" x14ac:dyDescent="0.25">
      <c r="F956" s="35"/>
      <c r="J956" s="35"/>
      <c r="K956" s="35"/>
      <c r="L956" s="35"/>
      <c r="AF956" s="115" t="str">
        <f t="shared" si="28"/>
        <v/>
      </c>
      <c r="AG956" s="116" t="str">
        <f>IF(AF956="","",COUNTIF(AF956:AF$3000,AF956))</f>
        <v/>
      </c>
      <c r="AH956" s="117" t="str">
        <f t="shared" si="29"/>
        <v/>
      </c>
    </row>
    <row r="957" spans="6:34" x14ac:dyDescent="0.25">
      <c r="F957" s="35"/>
      <c r="J957" s="35"/>
      <c r="K957" s="35"/>
      <c r="L957" s="35"/>
      <c r="AF957" s="115" t="str">
        <f t="shared" si="28"/>
        <v/>
      </c>
      <c r="AG957" s="116" t="str">
        <f>IF(AF957="","",COUNTIF(AF957:AF$3000,AF957))</f>
        <v/>
      </c>
      <c r="AH957" s="117" t="str">
        <f t="shared" si="29"/>
        <v/>
      </c>
    </row>
    <row r="958" spans="6:34" x14ac:dyDescent="0.25">
      <c r="F958" s="35"/>
      <c r="J958" s="35"/>
      <c r="K958" s="35"/>
      <c r="L958" s="35"/>
      <c r="AF958" s="115" t="str">
        <f t="shared" si="28"/>
        <v/>
      </c>
      <c r="AG958" s="116" t="str">
        <f>IF(AF958="","",COUNTIF(AF958:AF$3000,AF958))</f>
        <v/>
      </c>
      <c r="AH958" s="117" t="str">
        <f t="shared" si="29"/>
        <v/>
      </c>
    </row>
    <row r="959" spans="6:34" x14ac:dyDescent="0.25">
      <c r="F959" s="35"/>
      <c r="J959" s="35"/>
      <c r="K959" s="35"/>
      <c r="L959" s="35"/>
      <c r="AF959" s="115" t="str">
        <f t="shared" si="28"/>
        <v/>
      </c>
      <c r="AG959" s="116" t="str">
        <f>IF(AF959="","",COUNTIF(AF959:AF$3000,AF959))</f>
        <v/>
      </c>
      <c r="AH959" s="117" t="str">
        <f t="shared" si="29"/>
        <v/>
      </c>
    </row>
    <row r="960" spans="6:34" x14ac:dyDescent="0.25">
      <c r="F960" s="35"/>
      <c r="J960" s="35"/>
      <c r="K960" s="35"/>
      <c r="L960" s="35"/>
      <c r="AF960" s="115" t="str">
        <f t="shared" si="28"/>
        <v/>
      </c>
      <c r="AG960" s="116" t="str">
        <f>IF(AF960="","",COUNTIF(AF960:AF$3000,AF960))</f>
        <v/>
      </c>
      <c r="AH960" s="117" t="str">
        <f t="shared" si="29"/>
        <v/>
      </c>
    </row>
    <row r="961" spans="6:34" x14ac:dyDescent="0.25">
      <c r="F961" s="35"/>
      <c r="J961" s="35"/>
      <c r="K961" s="35"/>
      <c r="L961" s="35"/>
      <c r="AF961" s="115" t="str">
        <f t="shared" si="28"/>
        <v/>
      </c>
      <c r="AG961" s="116" t="str">
        <f>IF(AF961="","",COUNTIF(AF961:AF$3000,AF961))</f>
        <v/>
      </c>
      <c r="AH961" s="117" t="str">
        <f t="shared" si="29"/>
        <v/>
      </c>
    </row>
    <row r="962" spans="6:34" x14ac:dyDescent="0.25">
      <c r="F962" s="35"/>
      <c r="J962" s="35"/>
      <c r="K962" s="35"/>
      <c r="L962" s="35"/>
      <c r="AF962" s="115" t="str">
        <f t="shared" si="28"/>
        <v/>
      </c>
      <c r="AG962" s="116" t="str">
        <f>IF(AF962="","",COUNTIF(AF962:AF$3000,AF962))</f>
        <v/>
      </c>
      <c r="AH962" s="117" t="str">
        <f t="shared" si="29"/>
        <v/>
      </c>
    </row>
    <row r="963" spans="6:34" x14ac:dyDescent="0.25">
      <c r="F963" s="35"/>
      <c r="J963" s="35"/>
      <c r="K963" s="35"/>
      <c r="L963" s="35"/>
      <c r="AF963" s="115" t="str">
        <f t="shared" si="28"/>
        <v/>
      </c>
      <c r="AG963" s="116" t="str">
        <f>IF(AF963="","",COUNTIF(AF963:AF$3000,AF963))</f>
        <v/>
      </c>
      <c r="AH963" s="117" t="str">
        <f t="shared" si="29"/>
        <v/>
      </c>
    </row>
    <row r="964" spans="6:34" x14ac:dyDescent="0.25">
      <c r="F964" s="35"/>
      <c r="J964" s="35"/>
      <c r="K964" s="35"/>
      <c r="L964" s="35"/>
      <c r="AF964" s="115" t="str">
        <f t="shared" ref="AF964:AF1000" si="30">IF(B964="","",TEXT(J964,"DD/MM/AA")&amp;"_"&amp;S964&amp;"_"&amp;V964)</f>
        <v/>
      </c>
      <c r="AG964" s="116" t="str">
        <f>IF(AF964="","",COUNTIF(AF964:AF$3000,AF964))</f>
        <v/>
      </c>
      <c r="AH964" s="117" t="str">
        <f t="shared" ref="AH964:AH1000" si="31">IF(AA964="","",
IF(AG964&gt;1,"",
IF(SUMIF(AF$3:AF$31,AF964,H$3:H$31)/10&lt;1,1,SUMIF(AF$3:AF$31,AF964,H$3:H$31)/10)))</f>
        <v/>
      </c>
    </row>
    <row r="965" spans="6:34" x14ac:dyDescent="0.25">
      <c r="F965" s="35"/>
      <c r="J965" s="35"/>
      <c r="K965" s="35"/>
      <c r="L965" s="35"/>
      <c r="AF965" s="115" t="str">
        <f t="shared" si="30"/>
        <v/>
      </c>
      <c r="AG965" s="116" t="str">
        <f>IF(AF965="","",COUNTIF(AF965:AF$3000,AF965))</f>
        <v/>
      </c>
      <c r="AH965" s="117" t="str">
        <f t="shared" si="31"/>
        <v/>
      </c>
    </row>
    <row r="966" spans="6:34" x14ac:dyDescent="0.25">
      <c r="F966" s="35"/>
      <c r="J966" s="35"/>
      <c r="K966" s="35"/>
      <c r="L966" s="35"/>
      <c r="AF966" s="115" t="str">
        <f t="shared" si="30"/>
        <v/>
      </c>
      <c r="AG966" s="116" t="str">
        <f>IF(AF966="","",COUNTIF(AF966:AF$3000,AF966))</f>
        <v/>
      </c>
      <c r="AH966" s="117" t="str">
        <f t="shared" si="31"/>
        <v/>
      </c>
    </row>
    <row r="967" spans="6:34" x14ac:dyDescent="0.25">
      <c r="F967" s="35"/>
      <c r="J967" s="35"/>
      <c r="K967" s="35"/>
      <c r="L967" s="35"/>
      <c r="AF967" s="115" t="str">
        <f t="shared" si="30"/>
        <v/>
      </c>
      <c r="AG967" s="116" t="str">
        <f>IF(AF967="","",COUNTIF(AF967:AF$3000,AF967))</f>
        <v/>
      </c>
      <c r="AH967" s="117" t="str">
        <f t="shared" si="31"/>
        <v/>
      </c>
    </row>
    <row r="968" spans="6:34" x14ac:dyDescent="0.25">
      <c r="F968" s="35"/>
      <c r="J968" s="35"/>
      <c r="K968" s="35"/>
      <c r="L968" s="35"/>
      <c r="AF968" s="115" t="str">
        <f t="shared" si="30"/>
        <v/>
      </c>
      <c r="AG968" s="116" t="str">
        <f>IF(AF968="","",COUNTIF(AF968:AF$3000,AF968))</f>
        <v/>
      </c>
      <c r="AH968" s="117" t="str">
        <f t="shared" si="31"/>
        <v/>
      </c>
    </row>
    <row r="969" spans="6:34" x14ac:dyDescent="0.25">
      <c r="F969" s="35"/>
      <c r="J969" s="35"/>
      <c r="K969" s="35"/>
      <c r="L969" s="35"/>
      <c r="AF969" s="115" t="str">
        <f t="shared" si="30"/>
        <v/>
      </c>
      <c r="AG969" s="116" t="str">
        <f>IF(AF969="","",COUNTIF(AF969:AF$3000,AF969))</f>
        <v/>
      </c>
      <c r="AH969" s="117" t="str">
        <f t="shared" si="31"/>
        <v/>
      </c>
    </row>
    <row r="970" spans="6:34" x14ac:dyDescent="0.25">
      <c r="F970" s="35"/>
      <c r="J970" s="35"/>
      <c r="K970" s="35"/>
      <c r="L970" s="35"/>
      <c r="AF970" s="115" t="str">
        <f t="shared" si="30"/>
        <v/>
      </c>
      <c r="AG970" s="116" t="str">
        <f>IF(AF970="","",COUNTIF(AF970:AF$3000,AF970))</f>
        <v/>
      </c>
      <c r="AH970" s="117" t="str">
        <f t="shared" si="31"/>
        <v/>
      </c>
    </row>
    <row r="971" spans="6:34" x14ac:dyDescent="0.25">
      <c r="F971" s="35"/>
      <c r="J971" s="35"/>
      <c r="K971" s="35"/>
      <c r="L971" s="35"/>
      <c r="AF971" s="115" t="str">
        <f t="shared" si="30"/>
        <v/>
      </c>
      <c r="AG971" s="116" t="str">
        <f>IF(AF971="","",COUNTIF(AF971:AF$3000,AF971))</f>
        <v/>
      </c>
      <c r="AH971" s="117" t="str">
        <f t="shared" si="31"/>
        <v/>
      </c>
    </row>
    <row r="972" spans="6:34" x14ac:dyDescent="0.25">
      <c r="F972" s="35"/>
      <c r="J972" s="35"/>
      <c r="K972" s="35"/>
      <c r="L972" s="35"/>
      <c r="AF972" s="115" t="str">
        <f t="shared" si="30"/>
        <v/>
      </c>
      <c r="AG972" s="116" t="str">
        <f>IF(AF972="","",COUNTIF(AF972:AF$3000,AF972))</f>
        <v/>
      </c>
      <c r="AH972" s="117" t="str">
        <f t="shared" si="31"/>
        <v/>
      </c>
    </row>
    <row r="973" spans="6:34" x14ac:dyDescent="0.25">
      <c r="F973" s="35"/>
      <c r="J973" s="35"/>
      <c r="K973" s="35"/>
      <c r="L973" s="35"/>
      <c r="AF973" s="115" t="str">
        <f t="shared" si="30"/>
        <v/>
      </c>
      <c r="AG973" s="116" t="str">
        <f>IF(AF973="","",COUNTIF(AF973:AF$3000,AF973))</f>
        <v/>
      </c>
      <c r="AH973" s="117" t="str">
        <f t="shared" si="31"/>
        <v/>
      </c>
    </row>
    <row r="974" spans="6:34" x14ac:dyDescent="0.25">
      <c r="F974" s="35"/>
      <c r="J974" s="35"/>
      <c r="K974" s="35"/>
      <c r="L974" s="35"/>
      <c r="AF974" s="115" t="str">
        <f t="shared" si="30"/>
        <v/>
      </c>
      <c r="AG974" s="116" t="str">
        <f>IF(AF974="","",COUNTIF(AF974:AF$3000,AF974))</f>
        <v/>
      </c>
      <c r="AH974" s="117" t="str">
        <f t="shared" si="31"/>
        <v/>
      </c>
    </row>
    <row r="975" spans="6:34" x14ac:dyDescent="0.25">
      <c r="F975" s="35"/>
      <c r="J975" s="35"/>
      <c r="K975" s="35"/>
      <c r="L975" s="35"/>
      <c r="AF975" s="115" t="str">
        <f t="shared" si="30"/>
        <v/>
      </c>
      <c r="AG975" s="116" t="str">
        <f>IF(AF975="","",COUNTIF(AF975:AF$3000,AF975))</f>
        <v/>
      </c>
      <c r="AH975" s="117" t="str">
        <f t="shared" si="31"/>
        <v/>
      </c>
    </row>
    <row r="976" spans="6:34" x14ac:dyDescent="0.25">
      <c r="F976" s="35"/>
      <c r="J976" s="35"/>
      <c r="K976" s="35"/>
      <c r="L976" s="35"/>
      <c r="AF976" s="115" t="str">
        <f t="shared" si="30"/>
        <v/>
      </c>
      <c r="AG976" s="116" t="str">
        <f>IF(AF976="","",COUNTIF(AF976:AF$3000,AF976))</f>
        <v/>
      </c>
      <c r="AH976" s="117" t="str">
        <f t="shared" si="31"/>
        <v/>
      </c>
    </row>
    <row r="977" spans="6:34" x14ac:dyDescent="0.25">
      <c r="F977" s="35"/>
      <c r="J977" s="35"/>
      <c r="K977" s="35"/>
      <c r="L977" s="35"/>
      <c r="AF977" s="115" t="str">
        <f t="shared" si="30"/>
        <v/>
      </c>
      <c r="AG977" s="116" t="str">
        <f>IF(AF977="","",COUNTIF(AF977:AF$3000,AF977))</f>
        <v/>
      </c>
      <c r="AH977" s="117" t="str">
        <f t="shared" si="31"/>
        <v/>
      </c>
    </row>
    <row r="978" spans="6:34" x14ac:dyDescent="0.25">
      <c r="F978" s="35"/>
      <c r="J978" s="35"/>
      <c r="K978" s="35"/>
      <c r="L978" s="35"/>
      <c r="AF978" s="115" t="str">
        <f t="shared" si="30"/>
        <v/>
      </c>
      <c r="AG978" s="116" t="str">
        <f>IF(AF978="","",COUNTIF(AF978:AF$3000,AF978))</f>
        <v/>
      </c>
      <c r="AH978" s="117" t="str">
        <f t="shared" si="31"/>
        <v/>
      </c>
    </row>
    <row r="979" spans="6:34" x14ac:dyDescent="0.25">
      <c r="F979" s="35"/>
      <c r="J979" s="35"/>
      <c r="K979" s="35"/>
      <c r="L979" s="35"/>
      <c r="AF979" s="115" t="str">
        <f t="shared" si="30"/>
        <v/>
      </c>
      <c r="AG979" s="116" t="str">
        <f>IF(AF979="","",COUNTIF(AF979:AF$3000,AF979))</f>
        <v/>
      </c>
      <c r="AH979" s="117" t="str">
        <f t="shared" si="31"/>
        <v/>
      </c>
    </row>
    <row r="980" spans="6:34" x14ac:dyDescent="0.25">
      <c r="F980" s="35"/>
      <c r="J980" s="35"/>
      <c r="K980" s="35"/>
      <c r="L980" s="35"/>
      <c r="AF980" s="115" t="str">
        <f t="shared" si="30"/>
        <v/>
      </c>
      <c r="AG980" s="116" t="str">
        <f>IF(AF980="","",COUNTIF(AF980:AF$3000,AF980))</f>
        <v/>
      </c>
      <c r="AH980" s="117" t="str">
        <f t="shared" si="31"/>
        <v/>
      </c>
    </row>
    <row r="981" spans="6:34" x14ac:dyDescent="0.25">
      <c r="F981" s="35"/>
      <c r="J981" s="35"/>
      <c r="K981" s="35"/>
      <c r="L981" s="35"/>
      <c r="AF981" s="115" t="str">
        <f t="shared" si="30"/>
        <v/>
      </c>
      <c r="AG981" s="116" t="str">
        <f>IF(AF981="","",COUNTIF(AF981:AF$3000,AF981))</f>
        <v/>
      </c>
      <c r="AH981" s="117" t="str">
        <f t="shared" si="31"/>
        <v/>
      </c>
    </row>
    <row r="982" spans="6:34" x14ac:dyDescent="0.25">
      <c r="F982" s="35"/>
      <c r="J982" s="35"/>
      <c r="K982" s="35"/>
      <c r="L982" s="35"/>
      <c r="AF982" s="115" t="str">
        <f t="shared" si="30"/>
        <v/>
      </c>
      <c r="AG982" s="116" t="str">
        <f>IF(AF982="","",COUNTIF(AF982:AF$3000,AF982))</f>
        <v/>
      </c>
      <c r="AH982" s="117" t="str">
        <f t="shared" si="31"/>
        <v/>
      </c>
    </row>
    <row r="983" spans="6:34" x14ac:dyDescent="0.25">
      <c r="F983" s="35"/>
      <c r="J983" s="35"/>
      <c r="K983" s="35"/>
      <c r="L983" s="35"/>
      <c r="AF983" s="115" t="str">
        <f t="shared" si="30"/>
        <v/>
      </c>
      <c r="AG983" s="116" t="str">
        <f>IF(AF983="","",COUNTIF(AF983:AF$3000,AF983))</f>
        <v/>
      </c>
      <c r="AH983" s="117" t="str">
        <f t="shared" si="31"/>
        <v/>
      </c>
    </row>
    <row r="984" spans="6:34" x14ac:dyDescent="0.25">
      <c r="F984" s="35"/>
      <c r="J984" s="35"/>
      <c r="K984" s="35"/>
      <c r="L984" s="35"/>
      <c r="AF984" s="115" t="str">
        <f t="shared" si="30"/>
        <v/>
      </c>
      <c r="AG984" s="116" t="str">
        <f>IF(AF984="","",COUNTIF(AF984:AF$3000,AF984))</f>
        <v/>
      </c>
      <c r="AH984" s="117" t="str">
        <f t="shared" si="31"/>
        <v/>
      </c>
    </row>
    <row r="985" spans="6:34" x14ac:dyDescent="0.25">
      <c r="F985" s="35"/>
      <c r="J985" s="35"/>
      <c r="K985" s="35"/>
      <c r="L985" s="35"/>
      <c r="AF985" s="115" t="str">
        <f t="shared" si="30"/>
        <v/>
      </c>
      <c r="AG985" s="116" t="str">
        <f>IF(AF985="","",COUNTIF(AF985:AF$3000,AF985))</f>
        <v/>
      </c>
      <c r="AH985" s="117" t="str">
        <f t="shared" si="31"/>
        <v/>
      </c>
    </row>
    <row r="986" spans="6:34" x14ac:dyDescent="0.25">
      <c r="F986" s="35"/>
      <c r="J986" s="35"/>
      <c r="K986" s="35"/>
      <c r="L986" s="35"/>
      <c r="AF986" s="115" t="str">
        <f t="shared" si="30"/>
        <v/>
      </c>
      <c r="AG986" s="116" t="str">
        <f>IF(AF986="","",COUNTIF(AF986:AF$3000,AF986))</f>
        <v/>
      </c>
      <c r="AH986" s="117" t="str">
        <f t="shared" si="31"/>
        <v/>
      </c>
    </row>
    <row r="987" spans="6:34" x14ac:dyDescent="0.25">
      <c r="F987" s="35"/>
      <c r="J987" s="35"/>
      <c r="K987" s="35"/>
      <c r="L987" s="35"/>
      <c r="AF987" s="115" t="str">
        <f t="shared" si="30"/>
        <v/>
      </c>
      <c r="AG987" s="116" t="str">
        <f>IF(AF987="","",COUNTIF(AF987:AF$3000,AF987))</f>
        <v/>
      </c>
      <c r="AH987" s="117" t="str">
        <f t="shared" si="31"/>
        <v/>
      </c>
    </row>
    <row r="988" spans="6:34" x14ac:dyDescent="0.25">
      <c r="F988" s="35"/>
      <c r="J988" s="35"/>
      <c r="K988" s="35"/>
      <c r="L988" s="35"/>
      <c r="AF988" s="115" t="str">
        <f t="shared" si="30"/>
        <v/>
      </c>
      <c r="AG988" s="116" t="str">
        <f>IF(AF988="","",COUNTIF(AF988:AF$3000,AF988))</f>
        <v/>
      </c>
      <c r="AH988" s="117" t="str">
        <f t="shared" si="31"/>
        <v/>
      </c>
    </row>
    <row r="989" spans="6:34" x14ac:dyDescent="0.25">
      <c r="F989" s="35"/>
      <c r="J989" s="35"/>
      <c r="K989" s="35"/>
      <c r="L989" s="35"/>
      <c r="AF989" s="115" t="str">
        <f t="shared" si="30"/>
        <v/>
      </c>
      <c r="AG989" s="116" t="str">
        <f>IF(AF989="","",COUNTIF(AF989:AF$3000,AF989))</f>
        <v/>
      </c>
      <c r="AH989" s="117" t="str">
        <f t="shared" si="31"/>
        <v/>
      </c>
    </row>
    <row r="990" spans="6:34" x14ac:dyDescent="0.25">
      <c r="F990" s="35"/>
      <c r="J990" s="35"/>
      <c r="K990" s="35"/>
      <c r="L990" s="35"/>
      <c r="AF990" s="115" t="str">
        <f t="shared" si="30"/>
        <v/>
      </c>
      <c r="AG990" s="116" t="str">
        <f>IF(AF990="","",COUNTIF(AF990:AF$3000,AF990))</f>
        <v/>
      </c>
      <c r="AH990" s="117" t="str">
        <f t="shared" si="31"/>
        <v/>
      </c>
    </row>
    <row r="991" spans="6:34" x14ac:dyDescent="0.25">
      <c r="F991" s="35"/>
      <c r="J991" s="35"/>
      <c r="K991" s="35"/>
      <c r="L991" s="35"/>
      <c r="AF991" s="115" t="str">
        <f t="shared" si="30"/>
        <v/>
      </c>
      <c r="AG991" s="116" t="str">
        <f>IF(AF991="","",COUNTIF(AF991:AF$3000,AF991))</f>
        <v/>
      </c>
      <c r="AH991" s="117" t="str">
        <f t="shared" si="31"/>
        <v/>
      </c>
    </row>
    <row r="992" spans="6:34" x14ac:dyDescent="0.25">
      <c r="F992" s="35"/>
      <c r="J992" s="35"/>
      <c r="K992" s="35"/>
      <c r="L992" s="35"/>
      <c r="AF992" s="115" t="str">
        <f t="shared" si="30"/>
        <v/>
      </c>
      <c r="AG992" s="116" t="str">
        <f>IF(AF992="","",COUNTIF(AF992:AF$3000,AF992))</f>
        <v/>
      </c>
      <c r="AH992" s="117" t="str">
        <f t="shared" si="31"/>
        <v/>
      </c>
    </row>
    <row r="993" spans="6:34" x14ac:dyDescent="0.25">
      <c r="F993" s="35"/>
      <c r="J993" s="35"/>
      <c r="K993" s="35"/>
      <c r="L993" s="35"/>
      <c r="AF993" s="115" t="str">
        <f t="shared" si="30"/>
        <v/>
      </c>
      <c r="AG993" s="116" t="str">
        <f>IF(AF993="","",COUNTIF(AF993:AF$3000,AF993))</f>
        <v/>
      </c>
      <c r="AH993" s="117" t="str">
        <f t="shared" si="31"/>
        <v/>
      </c>
    </row>
    <row r="994" spans="6:34" x14ac:dyDescent="0.25">
      <c r="F994" s="35"/>
      <c r="J994" s="35"/>
      <c r="K994" s="35"/>
      <c r="L994" s="35"/>
      <c r="AF994" s="115" t="str">
        <f t="shared" si="30"/>
        <v/>
      </c>
      <c r="AG994" s="116" t="str">
        <f>IF(AF994="","",COUNTIF(AF994:AF$3000,AF994))</f>
        <v/>
      </c>
      <c r="AH994" s="117" t="str">
        <f t="shared" si="31"/>
        <v/>
      </c>
    </row>
    <row r="995" spans="6:34" x14ac:dyDescent="0.25">
      <c r="F995" s="35"/>
      <c r="J995" s="35"/>
      <c r="K995" s="35"/>
      <c r="L995" s="35"/>
      <c r="AF995" s="115" t="str">
        <f t="shared" si="30"/>
        <v/>
      </c>
      <c r="AG995" s="116" t="str">
        <f>IF(AF995="","",COUNTIF(AF995:AF$3000,AF995))</f>
        <v/>
      </c>
      <c r="AH995" s="117" t="str">
        <f t="shared" si="31"/>
        <v/>
      </c>
    </row>
    <row r="996" spans="6:34" x14ac:dyDescent="0.25">
      <c r="F996" s="35"/>
      <c r="J996" s="35"/>
      <c r="K996" s="35"/>
      <c r="L996" s="35"/>
      <c r="AF996" s="115" t="str">
        <f t="shared" si="30"/>
        <v/>
      </c>
      <c r="AG996" s="116" t="str">
        <f>IF(AF996="","",COUNTIF(AF996:AF$3000,AF996))</f>
        <v/>
      </c>
      <c r="AH996" s="117" t="str">
        <f t="shared" si="31"/>
        <v/>
      </c>
    </row>
    <row r="997" spans="6:34" x14ac:dyDescent="0.25">
      <c r="F997" s="35"/>
      <c r="J997" s="35"/>
      <c r="K997" s="35"/>
      <c r="L997" s="35"/>
      <c r="AF997" s="115" t="str">
        <f t="shared" si="30"/>
        <v/>
      </c>
      <c r="AG997" s="116" t="str">
        <f>IF(AF997="","",COUNTIF(AF997:AF$3000,AF997))</f>
        <v/>
      </c>
      <c r="AH997" s="117" t="str">
        <f t="shared" si="31"/>
        <v/>
      </c>
    </row>
    <row r="998" spans="6:34" x14ac:dyDescent="0.25">
      <c r="F998" s="35"/>
      <c r="J998" s="35"/>
      <c r="K998" s="35"/>
      <c r="L998" s="35"/>
      <c r="AF998" s="115" t="str">
        <f t="shared" si="30"/>
        <v/>
      </c>
      <c r="AG998" s="116" t="str">
        <f>IF(AF998="","",COUNTIF(AF998:AF$3000,AF998))</f>
        <v/>
      </c>
      <c r="AH998" s="117" t="str">
        <f t="shared" si="31"/>
        <v/>
      </c>
    </row>
    <row r="999" spans="6:34" x14ac:dyDescent="0.25">
      <c r="F999" s="35"/>
      <c r="J999" s="35"/>
      <c r="K999" s="35"/>
      <c r="L999" s="35"/>
      <c r="AF999" s="115" t="str">
        <f t="shared" si="30"/>
        <v/>
      </c>
      <c r="AG999" s="116" t="str">
        <f>IF(AF999="","",COUNTIF(AF999:AF$3000,AF999))</f>
        <v/>
      </c>
      <c r="AH999" s="117" t="str">
        <f t="shared" si="31"/>
        <v/>
      </c>
    </row>
    <row r="1000" spans="6:34" x14ac:dyDescent="0.25">
      <c r="F1000" s="35"/>
      <c r="J1000" s="35"/>
      <c r="K1000" s="35"/>
      <c r="L1000" s="35"/>
      <c r="AF1000" s="115" t="str">
        <f t="shared" si="30"/>
        <v/>
      </c>
      <c r="AG1000" s="116" t="str">
        <f>IF(AF1000="","",COUNTIF(AF1000:AF$3000,AF1000))</f>
        <v/>
      </c>
      <c r="AH1000" s="117" t="str">
        <f t="shared" si="31"/>
        <v/>
      </c>
    </row>
    <row r="1001" spans="6:34" x14ac:dyDescent="0.25">
      <c r="F1001" s="35"/>
      <c r="J1001" s="35"/>
      <c r="K1001" s="35"/>
      <c r="L1001" s="35"/>
    </row>
    <row r="1002" spans="6:34" x14ac:dyDescent="0.25">
      <c r="F1002" s="35"/>
      <c r="J1002" s="35"/>
      <c r="K1002" s="35"/>
      <c r="L1002" s="35"/>
    </row>
  </sheetData>
  <autoFilter ref="B2:AE2" xr:uid="{00000000-0009-0000-0000-000002000000}"/>
  <mergeCells count="8">
    <mergeCell ref="AF1:AH1"/>
    <mergeCell ref="Y1:AE1"/>
    <mergeCell ref="B1:C1"/>
    <mergeCell ref="D1:H1"/>
    <mergeCell ref="I1:M1"/>
    <mergeCell ref="N1:R1"/>
    <mergeCell ref="S1:U1"/>
    <mergeCell ref="V1:X1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B1:M405"/>
  <sheetViews>
    <sheetView workbookViewId="0">
      <pane ySplit="3" topLeftCell="A4" activePane="bottomLeft" state="frozen"/>
      <selection pane="bottomLeft" activeCell="K3" sqref="K3"/>
    </sheetView>
  </sheetViews>
  <sheetFormatPr defaultRowHeight="15" x14ac:dyDescent="0.25"/>
  <cols>
    <col min="1" max="1" width="3.28515625" customWidth="1"/>
    <col min="2" max="2" width="8.7109375" style="1" customWidth="1"/>
    <col min="3" max="3" width="22.28515625" style="1" bestFit="1" customWidth="1"/>
    <col min="4" max="4" width="51.7109375" style="1" customWidth="1"/>
    <col min="5" max="5" width="11.140625" style="1" bestFit="1" customWidth="1"/>
    <col min="6" max="6" width="20.85546875" style="1" bestFit="1" customWidth="1"/>
    <col min="7" max="7" width="10.5703125" style="1" bestFit="1" customWidth="1"/>
    <col min="8" max="8" width="9.28515625" style="1" bestFit="1" customWidth="1"/>
    <col min="9" max="9" width="10.42578125" style="1" bestFit="1" customWidth="1"/>
    <col min="10" max="10" width="16.85546875" style="1" bestFit="1" customWidth="1"/>
    <col min="11" max="11" width="15.7109375" style="1" customWidth="1"/>
    <col min="12" max="13" width="8.85546875" style="1"/>
  </cols>
  <sheetData>
    <row r="1" spans="2:11" x14ac:dyDescent="0.25">
      <c r="B1" s="77"/>
      <c r="C1" s="76"/>
      <c r="D1" s="76"/>
      <c r="E1" s="76"/>
      <c r="F1" s="76"/>
      <c r="G1" s="76"/>
      <c r="H1" s="76"/>
      <c r="I1" s="76"/>
      <c r="J1" s="76"/>
      <c r="K1" s="76"/>
    </row>
    <row r="2" spans="2:11" x14ac:dyDescent="0.25">
      <c r="B2" s="77"/>
      <c r="C2" s="76"/>
      <c r="D2" s="76"/>
      <c r="E2" s="76"/>
      <c r="F2" s="76"/>
      <c r="G2" s="76"/>
      <c r="H2" s="76"/>
      <c r="I2" s="76"/>
      <c r="J2" s="107" t="s">
        <v>104</v>
      </c>
      <c r="K2" s="110">
        <f>SUBTOTAL(9,K4:K10000)</f>
        <v>0</v>
      </c>
    </row>
    <row r="3" spans="2:11" x14ac:dyDescent="0.25">
      <c r="B3" s="111" t="s">
        <v>89</v>
      </c>
      <c r="C3" s="112" t="s">
        <v>130</v>
      </c>
      <c r="D3" s="112" t="s">
        <v>103</v>
      </c>
      <c r="E3" s="79" t="s">
        <v>102</v>
      </c>
      <c r="F3" s="79" t="s">
        <v>93</v>
      </c>
      <c r="G3" s="78" t="s">
        <v>131</v>
      </c>
      <c r="H3" s="78" t="s">
        <v>84</v>
      </c>
      <c r="I3" s="78" t="s">
        <v>132</v>
      </c>
      <c r="J3" s="78" t="s">
        <v>78</v>
      </c>
      <c r="K3" s="78" t="s">
        <v>133</v>
      </c>
    </row>
    <row r="4" spans="2:11" x14ac:dyDescent="0.25">
      <c r="E4" s="73"/>
      <c r="G4" s="47"/>
      <c r="H4" s="47"/>
      <c r="I4" s="47"/>
      <c r="J4" s="74"/>
      <c r="K4" s="75"/>
    </row>
    <row r="5" spans="2:11" x14ac:dyDescent="0.25">
      <c r="E5" s="73"/>
      <c r="G5" s="47"/>
      <c r="H5" s="47"/>
      <c r="I5" s="47"/>
      <c r="J5" s="74"/>
      <c r="K5" s="75"/>
    </row>
    <row r="6" spans="2:11" x14ac:dyDescent="0.25">
      <c r="E6" s="73"/>
      <c r="G6" s="47"/>
      <c r="H6" s="47"/>
      <c r="I6" s="47"/>
      <c r="J6" s="74"/>
      <c r="K6" s="75"/>
    </row>
    <row r="7" spans="2:11" x14ac:dyDescent="0.25">
      <c r="E7" s="73"/>
      <c r="G7" s="47"/>
      <c r="H7" s="47"/>
      <c r="I7" s="47"/>
      <c r="J7" s="74"/>
      <c r="K7" s="75"/>
    </row>
    <row r="8" spans="2:11" x14ac:dyDescent="0.25">
      <c r="E8" s="73"/>
      <c r="G8" s="47"/>
      <c r="H8" s="47"/>
      <c r="I8" s="47"/>
      <c r="J8" s="74"/>
      <c r="K8" s="75"/>
    </row>
    <row r="9" spans="2:11" x14ac:dyDescent="0.25">
      <c r="E9" s="73"/>
      <c r="G9" s="47"/>
      <c r="H9" s="47"/>
      <c r="I9" s="47"/>
      <c r="J9" s="74"/>
      <c r="K9" s="75"/>
    </row>
    <row r="10" spans="2:11" x14ac:dyDescent="0.25">
      <c r="E10" s="73"/>
      <c r="G10" s="47"/>
      <c r="H10" s="47"/>
      <c r="I10" s="47"/>
      <c r="J10" s="74"/>
      <c r="K10" s="75"/>
    </row>
    <row r="11" spans="2:11" x14ac:dyDescent="0.25">
      <c r="E11" s="73"/>
      <c r="G11" s="47"/>
      <c r="H11" s="47"/>
      <c r="I11" s="47"/>
      <c r="J11" s="74"/>
      <c r="K11" s="75"/>
    </row>
    <row r="12" spans="2:11" x14ac:dyDescent="0.25">
      <c r="E12" s="73"/>
      <c r="G12" s="47"/>
      <c r="H12" s="47"/>
      <c r="I12" s="47"/>
      <c r="J12" s="74"/>
      <c r="K12" s="75"/>
    </row>
    <row r="13" spans="2:11" x14ac:dyDescent="0.25">
      <c r="E13" s="73"/>
      <c r="G13" s="47"/>
      <c r="H13" s="47"/>
      <c r="I13" s="47"/>
      <c r="J13" s="74"/>
      <c r="K13" s="75"/>
    </row>
    <row r="14" spans="2:11" x14ac:dyDescent="0.25">
      <c r="E14" s="73"/>
      <c r="G14" s="47"/>
      <c r="H14" s="47"/>
      <c r="I14" s="47"/>
      <c r="J14" s="74"/>
      <c r="K14" s="75"/>
    </row>
    <row r="15" spans="2:11" x14ac:dyDescent="0.25">
      <c r="E15" s="73"/>
      <c r="G15" s="47"/>
      <c r="H15" s="47"/>
      <c r="I15" s="47"/>
      <c r="J15" s="74"/>
      <c r="K15" s="75"/>
    </row>
    <row r="16" spans="2:11" x14ac:dyDescent="0.25">
      <c r="E16" s="73"/>
      <c r="G16" s="47"/>
      <c r="H16" s="47"/>
      <c r="I16" s="47"/>
      <c r="J16" s="74"/>
      <c r="K16" s="75"/>
    </row>
    <row r="17" spans="5:11" x14ac:dyDescent="0.25">
      <c r="E17" s="73"/>
      <c r="G17" s="47"/>
      <c r="H17" s="47"/>
      <c r="I17" s="47"/>
      <c r="J17" s="74"/>
      <c r="K17" s="75"/>
    </row>
    <row r="18" spans="5:11" x14ac:dyDescent="0.25">
      <c r="E18" s="73"/>
      <c r="G18" s="47"/>
      <c r="H18" s="47"/>
      <c r="I18" s="47"/>
      <c r="J18" s="74"/>
      <c r="K18" s="75"/>
    </row>
    <row r="19" spans="5:11" x14ac:dyDescent="0.25">
      <c r="E19" s="73"/>
      <c r="G19" s="47"/>
      <c r="H19" s="47"/>
      <c r="I19" s="47"/>
      <c r="J19" s="74"/>
      <c r="K19" s="75"/>
    </row>
    <row r="20" spans="5:11" x14ac:dyDescent="0.25">
      <c r="E20" s="73"/>
      <c r="G20" s="47"/>
      <c r="H20" s="47"/>
      <c r="I20" s="47"/>
      <c r="J20" s="74"/>
      <c r="K20" s="75"/>
    </row>
    <row r="21" spans="5:11" x14ac:dyDescent="0.25">
      <c r="E21" s="73"/>
      <c r="G21" s="47"/>
      <c r="H21" s="47"/>
      <c r="I21" s="47"/>
      <c r="J21" s="74"/>
      <c r="K21" s="75"/>
    </row>
    <row r="22" spans="5:11" x14ac:dyDescent="0.25">
      <c r="E22" s="73"/>
      <c r="G22" s="47"/>
      <c r="H22" s="47"/>
      <c r="I22" s="47"/>
      <c r="J22" s="74"/>
      <c r="K22" s="75"/>
    </row>
    <row r="23" spans="5:11" x14ac:dyDescent="0.25">
      <c r="E23" s="73"/>
      <c r="G23" s="47"/>
      <c r="H23" s="47"/>
      <c r="I23" s="47"/>
      <c r="J23" s="74"/>
      <c r="K23" s="75"/>
    </row>
    <row r="24" spans="5:11" x14ac:dyDescent="0.25">
      <c r="E24" s="73"/>
      <c r="G24" s="47"/>
      <c r="H24" s="47"/>
      <c r="I24" s="47"/>
      <c r="J24" s="74"/>
      <c r="K24" s="75"/>
    </row>
    <row r="25" spans="5:11" x14ac:dyDescent="0.25">
      <c r="E25" s="73"/>
      <c r="G25" s="47"/>
      <c r="H25" s="47"/>
      <c r="I25" s="47"/>
      <c r="J25" s="74"/>
      <c r="K25" s="75"/>
    </row>
    <row r="26" spans="5:11" x14ac:dyDescent="0.25">
      <c r="E26" s="73"/>
      <c r="G26" s="47"/>
      <c r="H26" s="47"/>
      <c r="I26" s="47"/>
      <c r="J26" s="74"/>
      <c r="K26" s="75"/>
    </row>
    <row r="27" spans="5:11" x14ac:dyDescent="0.25">
      <c r="E27" s="73"/>
      <c r="G27" s="47"/>
      <c r="H27" s="47"/>
      <c r="I27" s="47"/>
      <c r="J27" s="74"/>
      <c r="K27" s="75"/>
    </row>
    <row r="28" spans="5:11" x14ac:dyDescent="0.25">
      <c r="E28" s="73"/>
      <c r="G28" s="47"/>
      <c r="H28" s="47"/>
      <c r="I28" s="47"/>
      <c r="J28" s="74"/>
      <c r="K28" s="75"/>
    </row>
    <row r="29" spans="5:11" x14ac:dyDescent="0.25">
      <c r="E29" s="73"/>
      <c r="G29" s="47"/>
      <c r="H29" s="47"/>
      <c r="I29" s="47"/>
      <c r="J29" s="74"/>
      <c r="K29" s="75"/>
    </row>
    <row r="30" spans="5:11" x14ac:dyDescent="0.25">
      <c r="E30" s="73"/>
      <c r="G30" s="47"/>
      <c r="H30" s="47"/>
      <c r="I30" s="47"/>
      <c r="J30" s="74"/>
      <c r="K30" s="75"/>
    </row>
    <row r="31" spans="5:11" x14ac:dyDescent="0.25">
      <c r="E31" s="73"/>
      <c r="G31" s="47"/>
      <c r="H31" s="47"/>
      <c r="I31" s="47"/>
      <c r="J31" s="74"/>
      <c r="K31" s="75"/>
    </row>
    <row r="32" spans="5:11" x14ac:dyDescent="0.25">
      <c r="E32" s="73"/>
      <c r="G32" s="47"/>
      <c r="H32" s="47"/>
      <c r="I32" s="47"/>
      <c r="J32" s="74"/>
      <c r="K32" s="75"/>
    </row>
    <row r="33" spans="5:11" x14ac:dyDescent="0.25">
      <c r="E33" s="73"/>
      <c r="G33" s="47"/>
      <c r="H33" s="47"/>
      <c r="I33" s="47"/>
      <c r="J33" s="74"/>
      <c r="K33" s="75"/>
    </row>
    <row r="34" spans="5:11" x14ac:dyDescent="0.25">
      <c r="E34" s="73"/>
      <c r="G34" s="47"/>
      <c r="H34" s="47"/>
      <c r="I34" s="47"/>
      <c r="J34" s="74"/>
      <c r="K34" s="75"/>
    </row>
    <row r="35" spans="5:11" x14ac:dyDescent="0.25">
      <c r="E35" s="73"/>
      <c r="G35" s="47"/>
      <c r="H35" s="47"/>
      <c r="I35" s="47"/>
      <c r="J35" s="74"/>
      <c r="K35" s="75"/>
    </row>
    <row r="36" spans="5:11" x14ac:dyDescent="0.25">
      <c r="E36" s="73"/>
      <c r="G36" s="47"/>
      <c r="H36" s="47"/>
      <c r="I36" s="47"/>
      <c r="J36" s="74"/>
      <c r="K36" s="75"/>
    </row>
    <row r="37" spans="5:11" x14ac:dyDescent="0.25">
      <c r="E37" s="73"/>
      <c r="G37" s="47"/>
      <c r="H37" s="47"/>
      <c r="I37" s="47"/>
      <c r="J37" s="74"/>
      <c r="K37" s="75"/>
    </row>
    <row r="38" spans="5:11" x14ac:dyDescent="0.25">
      <c r="E38" s="73"/>
      <c r="G38" s="47"/>
      <c r="H38" s="47"/>
      <c r="I38" s="47"/>
      <c r="J38" s="74"/>
      <c r="K38" s="75"/>
    </row>
    <row r="39" spans="5:11" x14ac:dyDescent="0.25">
      <c r="E39" s="73"/>
      <c r="G39" s="47"/>
      <c r="H39" s="47"/>
      <c r="I39" s="47"/>
      <c r="J39" s="74"/>
      <c r="K39" s="75"/>
    </row>
    <row r="40" spans="5:11" x14ac:dyDescent="0.25">
      <c r="E40" s="73"/>
      <c r="G40" s="47"/>
      <c r="H40" s="47"/>
      <c r="I40" s="47"/>
      <c r="J40" s="74"/>
      <c r="K40" s="75"/>
    </row>
    <row r="41" spans="5:11" x14ac:dyDescent="0.25">
      <c r="E41" s="73"/>
      <c r="G41" s="47"/>
      <c r="H41" s="47"/>
      <c r="I41" s="47"/>
      <c r="J41" s="74"/>
      <c r="K41" s="75"/>
    </row>
    <row r="42" spans="5:11" x14ac:dyDescent="0.25">
      <c r="E42" s="73"/>
      <c r="G42" s="47"/>
      <c r="H42" s="47"/>
      <c r="I42" s="47"/>
      <c r="J42" s="74"/>
      <c r="K42" s="75"/>
    </row>
    <row r="43" spans="5:11" x14ac:dyDescent="0.25">
      <c r="E43" s="73"/>
      <c r="G43" s="47"/>
      <c r="H43" s="47"/>
      <c r="I43" s="47"/>
      <c r="J43" s="74"/>
      <c r="K43" s="75"/>
    </row>
    <row r="44" spans="5:11" x14ac:dyDescent="0.25">
      <c r="E44" s="73"/>
      <c r="G44" s="47"/>
      <c r="H44" s="47"/>
      <c r="I44" s="47"/>
      <c r="J44" s="74"/>
      <c r="K44" s="75"/>
    </row>
    <row r="45" spans="5:11" x14ac:dyDescent="0.25">
      <c r="E45" s="73"/>
      <c r="G45" s="47"/>
      <c r="H45" s="47"/>
      <c r="I45" s="47"/>
      <c r="J45" s="74"/>
      <c r="K45" s="75"/>
    </row>
    <row r="46" spans="5:11" x14ac:dyDescent="0.25">
      <c r="E46" s="73"/>
      <c r="G46" s="47"/>
      <c r="H46" s="47"/>
      <c r="I46" s="47"/>
      <c r="J46" s="74"/>
      <c r="K46" s="75"/>
    </row>
    <row r="47" spans="5:11" x14ac:dyDescent="0.25">
      <c r="E47" s="73"/>
      <c r="G47" s="47"/>
      <c r="H47" s="47"/>
      <c r="I47" s="47"/>
      <c r="J47" s="74"/>
      <c r="K47" s="75"/>
    </row>
    <row r="48" spans="5:11" x14ac:dyDescent="0.25">
      <c r="E48" s="73"/>
      <c r="G48" s="47"/>
      <c r="H48" s="47"/>
      <c r="I48" s="47"/>
      <c r="J48" s="74"/>
      <c r="K48" s="75"/>
    </row>
    <row r="49" spans="5:11" x14ac:dyDescent="0.25">
      <c r="E49" s="73"/>
      <c r="G49" s="47"/>
      <c r="H49" s="47"/>
      <c r="I49" s="47"/>
      <c r="J49" s="74"/>
      <c r="K49" s="75"/>
    </row>
    <row r="50" spans="5:11" x14ac:dyDescent="0.25">
      <c r="E50" s="73"/>
      <c r="G50" s="47"/>
      <c r="H50" s="47"/>
      <c r="I50" s="47"/>
      <c r="J50" s="74"/>
      <c r="K50" s="75"/>
    </row>
    <row r="51" spans="5:11" x14ac:dyDescent="0.25">
      <c r="E51" s="73"/>
      <c r="G51" s="47"/>
      <c r="H51" s="47"/>
      <c r="I51" s="47"/>
      <c r="J51" s="74"/>
      <c r="K51" s="75"/>
    </row>
    <row r="52" spans="5:11" x14ac:dyDescent="0.25">
      <c r="E52" s="73"/>
      <c r="G52" s="47"/>
      <c r="H52" s="47"/>
      <c r="I52" s="47"/>
      <c r="J52" s="74"/>
      <c r="K52" s="75"/>
    </row>
    <row r="53" spans="5:11" x14ac:dyDescent="0.25">
      <c r="E53" s="73"/>
      <c r="G53" s="47"/>
      <c r="H53" s="47"/>
      <c r="I53" s="47"/>
      <c r="J53" s="74"/>
      <c r="K53" s="75"/>
    </row>
    <row r="54" spans="5:11" x14ac:dyDescent="0.25">
      <c r="E54" s="73"/>
      <c r="G54" s="47"/>
      <c r="H54" s="47"/>
      <c r="I54" s="47"/>
      <c r="J54" s="74"/>
      <c r="K54" s="75"/>
    </row>
    <row r="55" spans="5:11" x14ac:dyDescent="0.25">
      <c r="E55" s="73"/>
      <c r="G55" s="47"/>
      <c r="H55" s="47"/>
      <c r="I55" s="47"/>
      <c r="J55" s="74"/>
      <c r="K55" s="75"/>
    </row>
    <row r="56" spans="5:11" x14ac:dyDescent="0.25">
      <c r="E56" s="73"/>
      <c r="G56" s="47"/>
      <c r="H56" s="47"/>
      <c r="I56" s="47"/>
      <c r="J56" s="74"/>
      <c r="K56" s="75"/>
    </row>
    <row r="57" spans="5:11" x14ac:dyDescent="0.25">
      <c r="E57" s="73"/>
      <c r="G57" s="47"/>
      <c r="H57" s="47"/>
      <c r="I57" s="47"/>
      <c r="J57" s="74"/>
      <c r="K57" s="75"/>
    </row>
    <row r="58" spans="5:11" x14ac:dyDescent="0.25">
      <c r="E58" s="73"/>
      <c r="G58" s="47"/>
      <c r="H58" s="47"/>
      <c r="I58" s="47"/>
      <c r="J58" s="74"/>
      <c r="K58" s="75"/>
    </row>
    <row r="59" spans="5:11" x14ac:dyDescent="0.25">
      <c r="E59" s="73"/>
      <c r="G59" s="47"/>
      <c r="H59" s="47"/>
      <c r="I59" s="47"/>
      <c r="J59" s="74"/>
      <c r="K59" s="75"/>
    </row>
    <row r="60" spans="5:11" x14ac:dyDescent="0.25">
      <c r="E60" s="73"/>
      <c r="G60" s="47"/>
      <c r="H60" s="47"/>
      <c r="I60" s="47"/>
      <c r="J60" s="74"/>
      <c r="K60" s="75"/>
    </row>
    <row r="61" spans="5:11" x14ac:dyDescent="0.25">
      <c r="E61" s="73"/>
      <c r="G61" s="47"/>
      <c r="H61" s="47"/>
      <c r="I61" s="47"/>
      <c r="J61" s="74"/>
      <c r="K61" s="75"/>
    </row>
    <row r="62" spans="5:11" x14ac:dyDescent="0.25">
      <c r="E62" s="73"/>
      <c r="G62" s="47"/>
      <c r="H62" s="47"/>
      <c r="I62" s="47"/>
      <c r="J62" s="74"/>
      <c r="K62" s="75"/>
    </row>
    <row r="63" spans="5:11" x14ac:dyDescent="0.25">
      <c r="E63" s="73"/>
      <c r="G63" s="47"/>
      <c r="H63" s="47"/>
      <c r="I63" s="47"/>
      <c r="J63" s="74"/>
      <c r="K63" s="75"/>
    </row>
    <row r="64" spans="5:11" x14ac:dyDescent="0.25">
      <c r="E64" s="73"/>
      <c r="G64" s="47"/>
      <c r="H64" s="47"/>
      <c r="I64" s="47"/>
      <c r="J64" s="74"/>
      <c r="K64" s="75"/>
    </row>
    <row r="65" spans="5:11" x14ac:dyDescent="0.25">
      <c r="E65" s="73"/>
      <c r="G65" s="47"/>
      <c r="H65" s="47"/>
      <c r="I65" s="47"/>
      <c r="J65" s="74"/>
      <c r="K65" s="75"/>
    </row>
    <row r="66" spans="5:11" x14ac:dyDescent="0.25">
      <c r="E66" s="73"/>
      <c r="G66" s="47"/>
      <c r="H66" s="47"/>
      <c r="I66" s="47"/>
      <c r="J66" s="74"/>
      <c r="K66" s="75"/>
    </row>
    <row r="67" spans="5:11" x14ac:dyDescent="0.25">
      <c r="E67" s="73"/>
      <c r="G67" s="47"/>
      <c r="H67" s="47"/>
      <c r="I67" s="47"/>
      <c r="J67" s="74"/>
      <c r="K67" s="75"/>
    </row>
    <row r="68" spans="5:11" x14ac:dyDescent="0.25">
      <c r="E68" s="73"/>
      <c r="G68" s="47"/>
      <c r="H68" s="47"/>
      <c r="I68" s="47"/>
      <c r="J68" s="74"/>
      <c r="K68" s="75"/>
    </row>
    <row r="69" spans="5:11" x14ac:dyDescent="0.25">
      <c r="E69" s="73"/>
      <c r="G69" s="47"/>
      <c r="H69" s="47"/>
      <c r="I69" s="47"/>
      <c r="J69" s="74"/>
      <c r="K69" s="75"/>
    </row>
    <row r="70" spans="5:11" x14ac:dyDescent="0.25">
      <c r="E70" s="73"/>
      <c r="G70" s="47"/>
      <c r="H70" s="47"/>
      <c r="I70" s="47"/>
      <c r="J70" s="74"/>
      <c r="K70" s="75"/>
    </row>
    <row r="71" spans="5:11" x14ac:dyDescent="0.25">
      <c r="E71" s="73"/>
      <c r="G71" s="47"/>
      <c r="H71" s="47"/>
      <c r="I71" s="47"/>
      <c r="J71" s="74"/>
      <c r="K71" s="75"/>
    </row>
    <row r="72" spans="5:11" x14ac:dyDescent="0.25">
      <c r="E72" s="73"/>
      <c r="G72" s="47"/>
      <c r="H72" s="47"/>
      <c r="I72" s="47"/>
      <c r="J72" s="74"/>
      <c r="K72" s="75"/>
    </row>
    <row r="73" spans="5:11" x14ac:dyDescent="0.25">
      <c r="E73" s="73"/>
      <c r="G73" s="47"/>
      <c r="H73" s="47"/>
      <c r="I73" s="47"/>
      <c r="J73" s="74"/>
      <c r="K73" s="75"/>
    </row>
    <row r="74" spans="5:11" x14ac:dyDescent="0.25">
      <c r="E74" s="73"/>
      <c r="G74" s="47"/>
      <c r="H74" s="47"/>
      <c r="I74" s="47"/>
      <c r="J74" s="74"/>
      <c r="K74" s="75"/>
    </row>
    <row r="75" spans="5:11" x14ac:dyDescent="0.25">
      <c r="E75" s="73"/>
      <c r="G75" s="47"/>
      <c r="H75" s="47"/>
      <c r="I75" s="47"/>
      <c r="J75" s="74"/>
      <c r="K75" s="75"/>
    </row>
    <row r="76" spans="5:11" x14ac:dyDescent="0.25">
      <c r="E76" s="73"/>
      <c r="G76" s="47"/>
      <c r="H76" s="47"/>
      <c r="I76" s="47"/>
      <c r="J76" s="74"/>
      <c r="K76" s="75"/>
    </row>
    <row r="77" spans="5:11" x14ac:dyDescent="0.25">
      <c r="E77" s="73"/>
      <c r="G77" s="47"/>
      <c r="H77" s="47"/>
      <c r="I77" s="47"/>
      <c r="J77" s="74"/>
      <c r="K77" s="75"/>
    </row>
    <row r="78" spans="5:11" x14ac:dyDescent="0.25">
      <c r="E78" s="73"/>
      <c r="G78" s="47"/>
      <c r="H78" s="47"/>
      <c r="I78" s="47"/>
      <c r="J78" s="74"/>
      <c r="K78" s="75"/>
    </row>
    <row r="79" spans="5:11" x14ac:dyDescent="0.25">
      <c r="E79" s="73"/>
      <c r="G79" s="47"/>
      <c r="H79" s="47"/>
      <c r="I79" s="47"/>
      <c r="J79" s="74"/>
      <c r="K79" s="75"/>
    </row>
    <row r="80" spans="5:11" x14ac:dyDescent="0.25">
      <c r="E80" s="73"/>
      <c r="G80" s="47"/>
      <c r="H80" s="47"/>
      <c r="I80" s="47"/>
      <c r="J80" s="74"/>
      <c r="K80" s="75"/>
    </row>
    <row r="81" spans="5:11" x14ac:dyDescent="0.25">
      <c r="E81" s="73"/>
      <c r="G81" s="47"/>
      <c r="H81" s="47"/>
      <c r="I81" s="47"/>
      <c r="J81" s="74"/>
      <c r="K81" s="75"/>
    </row>
    <row r="82" spans="5:11" x14ac:dyDescent="0.25">
      <c r="E82" s="73"/>
      <c r="G82" s="47"/>
      <c r="H82" s="47"/>
      <c r="I82" s="47"/>
      <c r="J82" s="74"/>
      <c r="K82" s="75"/>
    </row>
    <row r="83" spans="5:11" x14ac:dyDescent="0.25">
      <c r="E83" s="73"/>
      <c r="G83" s="47"/>
      <c r="H83" s="47"/>
      <c r="I83" s="47"/>
      <c r="J83" s="74"/>
      <c r="K83" s="75"/>
    </row>
    <row r="84" spans="5:11" x14ac:dyDescent="0.25">
      <c r="E84" s="73"/>
      <c r="G84" s="47"/>
      <c r="H84" s="47"/>
      <c r="I84" s="47"/>
      <c r="J84" s="74"/>
      <c r="K84" s="75"/>
    </row>
    <row r="85" spans="5:11" x14ac:dyDescent="0.25">
      <c r="E85" s="73"/>
      <c r="G85" s="47"/>
      <c r="H85" s="47"/>
      <c r="I85" s="47"/>
      <c r="J85" s="74"/>
      <c r="K85" s="75"/>
    </row>
    <row r="86" spans="5:11" x14ac:dyDescent="0.25">
      <c r="E86" s="73"/>
      <c r="G86" s="47"/>
      <c r="H86" s="47"/>
      <c r="I86" s="47"/>
      <c r="J86" s="74"/>
      <c r="K86" s="75"/>
    </row>
    <row r="87" spans="5:11" x14ac:dyDescent="0.25">
      <c r="E87" s="73"/>
      <c r="G87" s="47"/>
      <c r="H87" s="47"/>
      <c r="I87" s="47"/>
      <c r="J87" s="74"/>
      <c r="K87" s="75"/>
    </row>
    <row r="88" spans="5:11" x14ac:dyDescent="0.25">
      <c r="E88" s="73"/>
      <c r="G88" s="47"/>
      <c r="H88" s="47"/>
      <c r="I88" s="47"/>
      <c r="J88" s="74"/>
      <c r="K88" s="75"/>
    </row>
    <row r="89" spans="5:11" x14ac:dyDescent="0.25">
      <c r="E89" s="73"/>
      <c r="G89" s="47"/>
      <c r="H89" s="47"/>
      <c r="I89" s="47"/>
      <c r="J89" s="74"/>
      <c r="K89" s="75"/>
    </row>
    <row r="90" spans="5:11" x14ac:dyDescent="0.25">
      <c r="E90" s="73"/>
      <c r="G90" s="47"/>
      <c r="H90" s="47"/>
      <c r="I90" s="47"/>
      <c r="J90" s="74"/>
      <c r="K90" s="75"/>
    </row>
    <row r="91" spans="5:11" x14ac:dyDescent="0.25">
      <c r="E91" s="73"/>
      <c r="G91" s="47"/>
      <c r="H91" s="47"/>
      <c r="I91" s="47"/>
      <c r="J91" s="74"/>
      <c r="K91" s="75"/>
    </row>
    <row r="92" spans="5:11" x14ac:dyDescent="0.25">
      <c r="E92" s="73"/>
      <c r="G92" s="47"/>
      <c r="H92" s="47"/>
      <c r="I92" s="47"/>
      <c r="J92" s="74"/>
      <c r="K92" s="75"/>
    </row>
    <row r="93" spans="5:11" x14ac:dyDescent="0.25">
      <c r="E93" s="73"/>
      <c r="G93" s="47"/>
      <c r="H93" s="47"/>
      <c r="I93" s="47"/>
      <c r="J93" s="74"/>
      <c r="K93" s="75"/>
    </row>
    <row r="94" spans="5:11" x14ac:dyDescent="0.25">
      <c r="E94" s="73"/>
      <c r="G94" s="47"/>
      <c r="H94" s="47"/>
      <c r="I94" s="47"/>
      <c r="J94" s="74"/>
      <c r="K94" s="75"/>
    </row>
    <row r="95" spans="5:11" x14ac:dyDescent="0.25">
      <c r="E95" s="73"/>
      <c r="G95" s="47"/>
      <c r="H95" s="47"/>
      <c r="I95" s="47"/>
      <c r="J95" s="74"/>
      <c r="K95" s="75"/>
    </row>
    <row r="96" spans="5:11" x14ac:dyDescent="0.25">
      <c r="E96" s="73"/>
      <c r="G96" s="47"/>
      <c r="H96" s="47"/>
      <c r="I96" s="47"/>
      <c r="J96" s="74"/>
      <c r="K96" s="75"/>
    </row>
    <row r="97" spans="5:11" x14ac:dyDescent="0.25">
      <c r="E97" s="73"/>
      <c r="G97" s="47"/>
      <c r="H97" s="47"/>
      <c r="I97" s="47"/>
      <c r="J97" s="74"/>
      <c r="K97" s="75"/>
    </row>
    <row r="98" spans="5:11" x14ac:dyDescent="0.25">
      <c r="E98" s="73"/>
      <c r="G98" s="47"/>
      <c r="H98" s="47"/>
      <c r="I98" s="47"/>
      <c r="J98" s="74"/>
      <c r="K98" s="75"/>
    </row>
    <row r="99" spans="5:11" x14ac:dyDescent="0.25">
      <c r="E99" s="73"/>
      <c r="G99" s="47"/>
      <c r="H99" s="47"/>
      <c r="I99" s="47"/>
      <c r="J99" s="74"/>
      <c r="K99" s="75"/>
    </row>
    <row r="100" spans="5:11" x14ac:dyDescent="0.25">
      <c r="E100" s="73"/>
      <c r="G100" s="47"/>
      <c r="H100" s="47"/>
      <c r="I100" s="47"/>
      <c r="J100" s="74"/>
      <c r="K100" s="75"/>
    </row>
    <row r="101" spans="5:11" x14ac:dyDescent="0.25">
      <c r="E101" s="73"/>
      <c r="G101" s="47"/>
      <c r="H101" s="47"/>
      <c r="I101" s="47"/>
      <c r="J101" s="74"/>
      <c r="K101" s="75"/>
    </row>
    <row r="102" spans="5:11" x14ac:dyDescent="0.25">
      <c r="E102" s="73"/>
      <c r="G102" s="47"/>
      <c r="H102" s="47"/>
      <c r="I102" s="47"/>
      <c r="J102" s="74"/>
      <c r="K102" s="75"/>
    </row>
    <row r="103" spans="5:11" x14ac:dyDescent="0.25">
      <c r="E103" s="73"/>
      <c r="G103" s="47"/>
      <c r="H103" s="47"/>
      <c r="I103" s="47"/>
      <c r="J103" s="74"/>
      <c r="K103" s="75"/>
    </row>
    <row r="104" spans="5:11" x14ac:dyDescent="0.25">
      <c r="G104" s="47"/>
      <c r="H104" s="47"/>
      <c r="I104" s="47"/>
      <c r="J104" s="74"/>
      <c r="K104" s="75"/>
    </row>
    <row r="105" spans="5:11" x14ac:dyDescent="0.25">
      <c r="G105" s="47"/>
      <c r="H105" s="47"/>
      <c r="I105" s="47"/>
      <c r="J105" s="74"/>
      <c r="K105" s="75"/>
    </row>
    <row r="106" spans="5:11" x14ac:dyDescent="0.25">
      <c r="G106" s="47"/>
      <c r="H106" s="47"/>
      <c r="I106" s="47"/>
      <c r="J106" s="74"/>
      <c r="K106" s="75"/>
    </row>
    <row r="107" spans="5:11" x14ac:dyDescent="0.25">
      <c r="G107" s="47"/>
      <c r="H107" s="47"/>
      <c r="I107" s="47"/>
      <c r="J107" s="74"/>
      <c r="K107" s="75"/>
    </row>
    <row r="108" spans="5:11" x14ac:dyDescent="0.25">
      <c r="G108" s="47"/>
      <c r="H108" s="47"/>
      <c r="I108" s="47"/>
      <c r="J108" s="74"/>
      <c r="K108" s="75"/>
    </row>
    <row r="109" spans="5:11" x14ac:dyDescent="0.25">
      <c r="G109" s="47"/>
      <c r="H109" s="47"/>
      <c r="I109" s="47"/>
      <c r="J109" s="74"/>
      <c r="K109" s="75"/>
    </row>
    <row r="110" spans="5:11" x14ac:dyDescent="0.25">
      <c r="G110" s="47"/>
      <c r="H110" s="47"/>
      <c r="I110" s="47"/>
      <c r="J110" s="74"/>
      <c r="K110" s="75"/>
    </row>
    <row r="111" spans="5:11" x14ac:dyDescent="0.25">
      <c r="G111" s="47"/>
      <c r="H111" s="47"/>
      <c r="I111" s="47"/>
      <c r="J111" s="74"/>
      <c r="K111" s="75"/>
    </row>
    <row r="112" spans="5:11" x14ac:dyDescent="0.25">
      <c r="G112" s="47"/>
      <c r="H112" s="47"/>
      <c r="I112" s="47"/>
      <c r="J112" s="74"/>
      <c r="K112" s="75"/>
    </row>
    <row r="113" spans="7:11" x14ac:dyDescent="0.25">
      <c r="G113" s="47"/>
      <c r="H113" s="47"/>
      <c r="I113" s="47"/>
      <c r="J113" s="74"/>
      <c r="K113" s="75"/>
    </row>
    <row r="114" spans="7:11" x14ac:dyDescent="0.25">
      <c r="G114" s="47"/>
      <c r="H114" s="47"/>
      <c r="I114" s="47"/>
      <c r="J114" s="74"/>
      <c r="K114" s="75"/>
    </row>
    <row r="115" spans="7:11" x14ac:dyDescent="0.25">
      <c r="G115" s="47"/>
      <c r="H115" s="47"/>
      <c r="I115" s="47"/>
      <c r="J115" s="74"/>
      <c r="K115" s="75"/>
    </row>
    <row r="116" spans="7:11" x14ac:dyDescent="0.25">
      <c r="G116" s="47"/>
      <c r="H116" s="47"/>
      <c r="I116" s="47"/>
      <c r="J116" s="74"/>
      <c r="K116" s="75"/>
    </row>
    <row r="117" spans="7:11" x14ac:dyDescent="0.25">
      <c r="G117" s="47"/>
      <c r="H117" s="47"/>
      <c r="I117" s="47"/>
      <c r="J117" s="74"/>
      <c r="K117" s="75"/>
    </row>
    <row r="118" spans="7:11" x14ac:dyDescent="0.25">
      <c r="G118" s="47"/>
      <c r="H118" s="47"/>
      <c r="I118" s="47"/>
      <c r="J118" s="74"/>
      <c r="K118" s="75"/>
    </row>
    <row r="119" spans="7:11" x14ac:dyDescent="0.25">
      <c r="G119" s="47"/>
      <c r="H119" s="47"/>
      <c r="I119" s="47"/>
      <c r="J119" s="74"/>
      <c r="K119" s="75"/>
    </row>
    <row r="120" spans="7:11" x14ac:dyDescent="0.25">
      <c r="G120" s="47"/>
      <c r="H120" s="47"/>
      <c r="I120" s="47"/>
      <c r="J120" s="74"/>
      <c r="K120" s="75"/>
    </row>
    <row r="121" spans="7:11" x14ac:dyDescent="0.25">
      <c r="G121" s="47"/>
      <c r="H121" s="47"/>
      <c r="I121" s="47"/>
      <c r="J121" s="74"/>
      <c r="K121" s="75"/>
    </row>
    <row r="122" spans="7:11" x14ac:dyDescent="0.25">
      <c r="G122" s="47"/>
      <c r="H122" s="47"/>
      <c r="I122" s="47"/>
      <c r="J122" s="74"/>
      <c r="K122" s="75"/>
    </row>
    <row r="123" spans="7:11" x14ac:dyDescent="0.25">
      <c r="G123" s="47"/>
      <c r="H123" s="47"/>
      <c r="I123" s="47"/>
      <c r="J123" s="74"/>
      <c r="K123" s="75"/>
    </row>
    <row r="124" spans="7:11" x14ac:dyDescent="0.25">
      <c r="G124" s="47"/>
      <c r="H124" s="47"/>
      <c r="I124" s="47"/>
      <c r="J124" s="74"/>
      <c r="K124" s="75"/>
    </row>
    <row r="125" spans="7:11" x14ac:dyDescent="0.25">
      <c r="G125" s="47"/>
      <c r="H125" s="47"/>
      <c r="I125" s="47"/>
      <c r="J125" s="74"/>
      <c r="K125" s="75"/>
    </row>
    <row r="126" spans="7:11" x14ac:dyDescent="0.25">
      <c r="G126" s="47"/>
      <c r="H126" s="47"/>
      <c r="I126" s="47"/>
      <c r="J126" s="74"/>
      <c r="K126" s="75"/>
    </row>
    <row r="127" spans="7:11" x14ac:dyDescent="0.25">
      <c r="G127" s="47"/>
      <c r="H127" s="47"/>
      <c r="I127" s="47"/>
      <c r="J127" s="74"/>
      <c r="K127" s="75"/>
    </row>
    <row r="128" spans="7:11" x14ac:dyDescent="0.25">
      <c r="G128" s="47"/>
      <c r="H128" s="47"/>
      <c r="I128" s="47"/>
      <c r="J128" s="74"/>
      <c r="K128" s="75"/>
    </row>
    <row r="129" spans="7:11" x14ac:dyDescent="0.25">
      <c r="G129" s="47"/>
      <c r="H129" s="47"/>
      <c r="I129" s="47"/>
      <c r="J129" s="74"/>
      <c r="K129" s="75"/>
    </row>
    <row r="130" spans="7:11" x14ac:dyDescent="0.25">
      <c r="G130" s="47"/>
      <c r="H130" s="47"/>
      <c r="I130" s="47"/>
      <c r="J130" s="74"/>
      <c r="K130" s="75"/>
    </row>
    <row r="131" spans="7:11" x14ac:dyDescent="0.25">
      <c r="G131" s="47"/>
      <c r="H131" s="47"/>
      <c r="I131" s="47"/>
      <c r="J131" s="74"/>
      <c r="K131" s="75"/>
    </row>
    <row r="132" spans="7:11" x14ac:dyDescent="0.25">
      <c r="G132" s="47"/>
      <c r="H132" s="47"/>
      <c r="I132" s="47"/>
      <c r="J132" s="74"/>
      <c r="K132" s="75"/>
    </row>
    <row r="133" spans="7:11" x14ac:dyDescent="0.25">
      <c r="G133" s="47"/>
      <c r="H133" s="47"/>
      <c r="I133" s="47"/>
      <c r="J133" s="74"/>
      <c r="K133" s="75"/>
    </row>
    <row r="134" spans="7:11" x14ac:dyDescent="0.25">
      <c r="G134" s="47"/>
      <c r="H134" s="47"/>
      <c r="I134" s="47"/>
      <c r="J134" s="74"/>
      <c r="K134" s="75"/>
    </row>
    <row r="135" spans="7:11" x14ac:dyDescent="0.25">
      <c r="G135" s="47"/>
      <c r="H135" s="47"/>
      <c r="I135" s="47"/>
      <c r="J135" s="74"/>
      <c r="K135" s="75"/>
    </row>
    <row r="136" spans="7:11" x14ac:dyDescent="0.25">
      <c r="G136" s="47"/>
      <c r="H136" s="47"/>
      <c r="I136" s="47"/>
      <c r="J136" s="74"/>
      <c r="K136" s="75"/>
    </row>
    <row r="137" spans="7:11" x14ac:dyDescent="0.25">
      <c r="G137" s="47"/>
      <c r="H137" s="47"/>
      <c r="I137" s="47"/>
      <c r="J137" s="74"/>
      <c r="K137" s="75"/>
    </row>
    <row r="138" spans="7:11" x14ac:dyDescent="0.25">
      <c r="G138" s="47"/>
      <c r="H138" s="47"/>
      <c r="I138" s="47"/>
      <c r="J138" s="74"/>
      <c r="K138" s="75"/>
    </row>
    <row r="139" spans="7:11" x14ac:dyDescent="0.25">
      <c r="G139" s="47"/>
      <c r="H139" s="47"/>
      <c r="I139" s="47"/>
      <c r="J139" s="74"/>
      <c r="K139" s="75"/>
    </row>
    <row r="140" spans="7:11" x14ac:dyDescent="0.25">
      <c r="G140" s="47"/>
      <c r="H140" s="47"/>
      <c r="I140" s="47"/>
      <c r="J140" s="74"/>
      <c r="K140" s="75"/>
    </row>
    <row r="141" spans="7:11" x14ac:dyDescent="0.25">
      <c r="G141" s="47"/>
      <c r="H141" s="47"/>
      <c r="I141" s="47"/>
      <c r="J141" s="74"/>
      <c r="K141" s="75"/>
    </row>
    <row r="142" spans="7:11" x14ac:dyDescent="0.25">
      <c r="G142" s="47"/>
      <c r="H142" s="47"/>
      <c r="I142" s="47"/>
      <c r="J142" s="74"/>
      <c r="K142" s="75"/>
    </row>
    <row r="143" spans="7:11" x14ac:dyDescent="0.25">
      <c r="G143" s="47"/>
      <c r="H143" s="47"/>
      <c r="I143" s="47"/>
      <c r="J143" s="74"/>
      <c r="K143" s="75"/>
    </row>
    <row r="144" spans="7:11" x14ac:dyDescent="0.25">
      <c r="G144" s="47"/>
      <c r="H144" s="47"/>
      <c r="I144" s="47"/>
      <c r="J144" s="74"/>
      <c r="K144" s="75"/>
    </row>
    <row r="145" spans="7:11" x14ac:dyDescent="0.25">
      <c r="G145" s="47"/>
      <c r="H145" s="47"/>
      <c r="I145" s="47"/>
      <c r="J145" s="74"/>
      <c r="K145" s="75"/>
    </row>
    <row r="146" spans="7:11" x14ac:dyDescent="0.25">
      <c r="G146" s="47"/>
      <c r="H146" s="47"/>
      <c r="I146" s="47"/>
      <c r="J146" s="74"/>
      <c r="K146" s="75"/>
    </row>
    <row r="147" spans="7:11" x14ac:dyDescent="0.25">
      <c r="G147" s="47"/>
      <c r="H147" s="47"/>
      <c r="I147" s="47"/>
      <c r="J147" s="74"/>
      <c r="K147" s="75"/>
    </row>
    <row r="148" spans="7:11" x14ac:dyDescent="0.25">
      <c r="G148" s="47"/>
      <c r="H148" s="47"/>
      <c r="I148" s="47"/>
      <c r="J148" s="74"/>
      <c r="K148" s="75"/>
    </row>
    <row r="149" spans="7:11" x14ac:dyDescent="0.25">
      <c r="G149" s="47"/>
      <c r="H149" s="47"/>
      <c r="I149" s="47"/>
      <c r="J149" s="74"/>
      <c r="K149" s="75"/>
    </row>
    <row r="150" spans="7:11" x14ac:dyDescent="0.25">
      <c r="G150" s="47"/>
      <c r="H150" s="47"/>
      <c r="I150" s="47"/>
      <c r="J150" s="74"/>
      <c r="K150" s="75"/>
    </row>
    <row r="151" spans="7:11" x14ac:dyDescent="0.25">
      <c r="G151" s="47"/>
      <c r="H151" s="47"/>
      <c r="I151" s="47"/>
      <c r="J151" s="74"/>
      <c r="K151" s="75"/>
    </row>
    <row r="152" spans="7:11" x14ac:dyDescent="0.25">
      <c r="G152" s="47"/>
      <c r="H152" s="47"/>
      <c r="I152" s="47"/>
      <c r="J152" s="74"/>
      <c r="K152" s="75"/>
    </row>
    <row r="153" spans="7:11" x14ac:dyDescent="0.25">
      <c r="G153" s="47"/>
      <c r="H153" s="47"/>
      <c r="I153" s="47"/>
      <c r="J153" s="74"/>
      <c r="K153" s="75"/>
    </row>
    <row r="154" spans="7:11" x14ac:dyDescent="0.25">
      <c r="G154" s="47"/>
      <c r="H154" s="47"/>
      <c r="I154" s="47"/>
      <c r="J154" s="74"/>
      <c r="K154" s="75"/>
    </row>
    <row r="155" spans="7:11" x14ac:dyDescent="0.25">
      <c r="G155" s="47"/>
      <c r="H155" s="47"/>
      <c r="I155" s="47"/>
      <c r="J155" s="74"/>
      <c r="K155" s="75"/>
    </row>
    <row r="156" spans="7:11" x14ac:dyDescent="0.25">
      <c r="G156" s="47"/>
      <c r="H156" s="47"/>
      <c r="I156" s="47"/>
      <c r="J156" s="74"/>
      <c r="K156" s="75"/>
    </row>
    <row r="157" spans="7:11" x14ac:dyDescent="0.25">
      <c r="G157" s="47"/>
      <c r="H157" s="47"/>
      <c r="I157" s="47"/>
      <c r="J157" s="74"/>
      <c r="K157" s="75"/>
    </row>
    <row r="158" spans="7:11" x14ac:dyDescent="0.25">
      <c r="G158" s="47"/>
      <c r="H158" s="47"/>
      <c r="I158" s="47"/>
      <c r="J158" s="74"/>
      <c r="K158" s="75"/>
    </row>
    <row r="159" spans="7:11" x14ac:dyDescent="0.25">
      <c r="G159" s="47"/>
      <c r="H159" s="47"/>
      <c r="I159" s="47"/>
      <c r="J159" s="74"/>
      <c r="K159" s="75"/>
    </row>
    <row r="160" spans="7:11" x14ac:dyDescent="0.25">
      <c r="G160" s="47"/>
      <c r="H160" s="47"/>
      <c r="I160" s="47"/>
      <c r="J160" s="74"/>
      <c r="K160" s="75"/>
    </row>
    <row r="161" spans="7:11" x14ac:dyDescent="0.25">
      <c r="G161" s="47"/>
      <c r="H161" s="47"/>
      <c r="I161" s="47"/>
      <c r="J161" s="74"/>
      <c r="K161" s="75"/>
    </row>
    <row r="162" spans="7:11" x14ac:dyDescent="0.25">
      <c r="G162" s="47"/>
      <c r="H162" s="47"/>
      <c r="I162" s="47"/>
      <c r="J162" s="74"/>
      <c r="K162" s="75"/>
    </row>
    <row r="163" spans="7:11" x14ac:dyDescent="0.25">
      <c r="G163" s="47"/>
      <c r="H163" s="47"/>
      <c r="I163" s="47"/>
      <c r="J163" s="74"/>
      <c r="K163" s="75"/>
    </row>
    <row r="164" spans="7:11" x14ac:dyDescent="0.25">
      <c r="G164" s="47"/>
      <c r="H164" s="47"/>
      <c r="I164" s="47"/>
      <c r="J164" s="74"/>
      <c r="K164" s="75"/>
    </row>
    <row r="165" spans="7:11" x14ac:dyDescent="0.25">
      <c r="G165" s="47"/>
      <c r="H165" s="47"/>
      <c r="I165" s="47"/>
      <c r="J165" s="74"/>
      <c r="K165" s="75"/>
    </row>
    <row r="166" spans="7:11" x14ac:dyDescent="0.25">
      <c r="G166" s="47"/>
      <c r="H166" s="47"/>
      <c r="I166" s="47"/>
      <c r="J166" s="74"/>
      <c r="K166" s="75"/>
    </row>
    <row r="167" spans="7:11" x14ac:dyDescent="0.25">
      <c r="G167" s="47"/>
      <c r="H167" s="47"/>
      <c r="I167" s="47"/>
      <c r="J167" s="74"/>
      <c r="K167" s="75"/>
    </row>
    <row r="168" spans="7:11" x14ac:dyDescent="0.25">
      <c r="G168" s="47"/>
      <c r="H168" s="47"/>
      <c r="I168" s="47"/>
      <c r="J168" s="74"/>
      <c r="K168" s="75"/>
    </row>
    <row r="169" spans="7:11" x14ac:dyDescent="0.25">
      <c r="G169" s="47"/>
      <c r="H169" s="47"/>
      <c r="I169" s="47"/>
      <c r="J169" s="74"/>
      <c r="K169" s="75"/>
    </row>
    <row r="170" spans="7:11" x14ac:dyDescent="0.25">
      <c r="G170" s="47"/>
      <c r="H170" s="47"/>
      <c r="I170" s="47"/>
      <c r="J170" s="74"/>
      <c r="K170" s="75"/>
    </row>
    <row r="171" spans="7:11" x14ac:dyDescent="0.25">
      <c r="G171" s="47"/>
      <c r="H171" s="47"/>
      <c r="I171" s="47"/>
      <c r="J171" s="74"/>
      <c r="K171" s="75"/>
    </row>
    <row r="172" spans="7:11" x14ac:dyDescent="0.25">
      <c r="G172" s="47"/>
      <c r="H172" s="47"/>
      <c r="I172" s="47"/>
      <c r="J172" s="74"/>
      <c r="K172" s="75"/>
    </row>
    <row r="173" spans="7:11" x14ac:dyDescent="0.25">
      <c r="G173" s="47"/>
      <c r="H173" s="47"/>
      <c r="I173" s="47"/>
      <c r="J173" s="74"/>
      <c r="K173" s="75"/>
    </row>
    <row r="174" spans="7:11" x14ac:dyDescent="0.25">
      <c r="G174" s="47"/>
      <c r="H174" s="47"/>
      <c r="I174" s="47"/>
      <c r="J174" s="74"/>
      <c r="K174" s="75"/>
    </row>
    <row r="175" spans="7:11" x14ac:dyDescent="0.25">
      <c r="G175" s="47"/>
      <c r="H175" s="47"/>
      <c r="I175" s="47"/>
      <c r="J175" s="74"/>
      <c r="K175" s="75"/>
    </row>
    <row r="176" spans="7:11" x14ac:dyDescent="0.25">
      <c r="G176" s="47"/>
      <c r="H176" s="47"/>
      <c r="I176" s="47"/>
      <c r="J176" s="74"/>
      <c r="K176" s="75"/>
    </row>
    <row r="177" spans="7:11" x14ac:dyDescent="0.25">
      <c r="G177" s="47"/>
      <c r="H177" s="47"/>
      <c r="I177" s="47"/>
      <c r="J177" s="74"/>
      <c r="K177" s="75"/>
    </row>
    <row r="178" spans="7:11" x14ac:dyDescent="0.25">
      <c r="G178" s="47"/>
      <c r="H178" s="47"/>
      <c r="I178" s="47"/>
      <c r="J178" s="74"/>
      <c r="K178" s="75"/>
    </row>
    <row r="179" spans="7:11" x14ac:dyDescent="0.25">
      <c r="G179" s="47"/>
      <c r="H179" s="47"/>
      <c r="I179" s="47"/>
      <c r="J179" s="74"/>
      <c r="K179" s="75"/>
    </row>
    <row r="180" spans="7:11" x14ac:dyDescent="0.25">
      <c r="G180" s="47"/>
      <c r="H180" s="47"/>
      <c r="I180" s="47"/>
      <c r="J180" s="74"/>
      <c r="K180" s="75"/>
    </row>
    <row r="181" spans="7:11" x14ac:dyDescent="0.25">
      <c r="G181" s="47"/>
      <c r="H181" s="47"/>
      <c r="I181" s="47"/>
      <c r="J181" s="74"/>
      <c r="K181" s="75"/>
    </row>
    <row r="182" spans="7:11" x14ac:dyDescent="0.25">
      <c r="G182" s="47"/>
      <c r="H182" s="47"/>
      <c r="I182" s="47"/>
      <c r="J182" s="74"/>
      <c r="K182" s="75"/>
    </row>
    <row r="183" spans="7:11" x14ac:dyDescent="0.25">
      <c r="G183" s="47"/>
      <c r="H183" s="47"/>
      <c r="I183" s="47"/>
      <c r="J183" s="74"/>
      <c r="K183" s="75"/>
    </row>
    <row r="184" spans="7:11" x14ac:dyDescent="0.25">
      <c r="G184" s="47"/>
      <c r="H184" s="47"/>
      <c r="I184" s="47"/>
      <c r="J184" s="74"/>
      <c r="K184" s="75"/>
    </row>
    <row r="185" spans="7:11" x14ac:dyDescent="0.25">
      <c r="G185" s="47"/>
      <c r="H185" s="47"/>
      <c r="I185" s="47"/>
      <c r="J185" s="74"/>
      <c r="K185" s="75"/>
    </row>
    <row r="186" spans="7:11" x14ac:dyDescent="0.25">
      <c r="G186" s="47"/>
      <c r="H186" s="47"/>
      <c r="I186" s="47"/>
      <c r="J186" s="74"/>
      <c r="K186" s="75"/>
    </row>
    <row r="187" spans="7:11" x14ac:dyDescent="0.25">
      <c r="G187" s="47"/>
      <c r="H187" s="47"/>
      <c r="I187" s="47"/>
      <c r="J187" s="74"/>
      <c r="K187" s="75"/>
    </row>
    <row r="188" spans="7:11" x14ac:dyDescent="0.25">
      <c r="G188" s="47"/>
      <c r="H188" s="47"/>
      <c r="I188" s="47"/>
      <c r="J188" s="74"/>
      <c r="K188" s="75"/>
    </row>
    <row r="189" spans="7:11" x14ac:dyDescent="0.25">
      <c r="G189" s="47"/>
      <c r="H189" s="47"/>
      <c r="I189" s="47"/>
      <c r="J189" s="74"/>
      <c r="K189" s="75"/>
    </row>
    <row r="190" spans="7:11" x14ac:dyDescent="0.25">
      <c r="G190" s="47"/>
      <c r="H190" s="47"/>
      <c r="I190" s="47"/>
      <c r="J190" s="74"/>
      <c r="K190" s="75"/>
    </row>
    <row r="191" spans="7:11" x14ac:dyDescent="0.25">
      <c r="G191" s="47"/>
      <c r="H191" s="47"/>
      <c r="I191" s="47"/>
      <c r="J191" s="74"/>
      <c r="K191" s="75"/>
    </row>
    <row r="192" spans="7:11" x14ac:dyDescent="0.25">
      <c r="G192" s="47"/>
      <c r="H192" s="47"/>
      <c r="I192" s="47"/>
      <c r="J192" s="74"/>
      <c r="K192" s="75"/>
    </row>
    <row r="193" spans="7:11" x14ac:dyDescent="0.25">
      <c r="G193" s="47"/>
      <c r="H193" s="47"/>
      <c r="I193" s="47"/>
      <c r="J193" s="74"/>
      <c r="K193" s="75"/>
    </row>
    <row r="194" spans="7:11" x14ac:dyDescent="0.25">
      <c r="G194" s="47"/>
      <c r="H194" s="47"/>
      <c r="I194" s="47"/>
      <c r="J194" s="74"/>
      <c r="K194" s="75"/>
    </row>
    <row r="195" spans="7:11" x14ac:dyDescent="0.25">
      <c r="G195" s="47"/>
      <c r="H195" s="47"/>
      <c r="I195" s="47"/>
      <c r="J195" s="74"/>
      <c r="K195" s="75"/>
    </row>
    <row r="196" spans="7:11" x14ac:dyDescent="0.25">
      <c r="G196" s="47"/>
      <c r="H196" s="47"/>
      <c r="I196" s="47"/>
      <c r="J196" s="74"/>
      <c r="K196" s="75"/>
    </row>
    <row r="197" spans="7:11" x14ac:dyDescent="0.25">
      <c r="G197" s="47"/>
      <c r="H197" s="47"/>
      <c r="I197" s="47"/>
      <c r="J197" s="74"/>
      <c r="K197" s="75"/>
    </row>
    <row r="198" spans="7:11" x14ac:dyDescent="0.25">
      <c r="G198" s="47"/>
      <c r="H198" s="47"/>
      <c r="I198" s="47"/>
      <c r="J198" s="74"/>
      <c r="K198" s="75"/>
    </row>
    <row r="199" spans="7:11" x14ac:dyDescent="0.25">
      <c r="G199" s="47"/>
      <c r="H199" s="47"/>
      <c r="I199" s="47"/>
      <c r="J199" s="74"/>
      <c r="K199" s="75"/>
    </row>
    <row r="200" spans="7:11" x14ac:dyDescent="0.25">
      <c r="G200" s="47"/>
      <c r="H200" s="47"/>
      <c r="I200" s="47"/>
      <c r="J200" s="74"/>
      <c r="K200" s="75"/>
    </row>
    <row r="201" spans="7:11" x14ac:dyDescent="0.25">
      <c r="G201" s="47"/>
      <c r="H201" s="47"/>
      <c r="I201" s="47"/>
      <c r="J201" s="74"/>
      <c r="K201" s="75"/>
    </row>
    <row r="202" spans="7:11" x14ac:dyDescent="0.25">
      <c r="G202" s="47"/>
      <c r="H202" s="47"/>
      <c r="I202" s="47"/>
      <c r="J202" s="74"/>
      <c r="K202" s="75"/>
    </row>
    <row r="203" spans="7:11" x14ac:dyDescent="0.25">
      <c r="G203" s="47"/>
      <c r="H203" s="47"/>
      <c r="I203" s="47"/>
      <c r="J203" s="74"/>
      <c r="K203" s="75"/>
    </row>
    <row r="204" spans="7:11" x14ac:dyDescent="0.25">
      <c r="G204" s="47"/>
      <c r="H204" s="47"/>
      <c r="I204" s="47"/>
      <c r="J204" s="74"/>
      <c r="K204" s="75"/>
    </row>
    <row r="205" spans="7:11" x14ac:dyDescent="0.25">
      <c r="G205" s="47"/>
      <c r="H205" s="47"/>
      <c r="I205" s="47"/>
      <c r="J205" s="74"/>
      <c r="K205" s="75"/>
    </row>
    <row r="206" spans="7:11" x14ac:dyDescent="0.25">
      <c r="G206" s="47"/>
      <c r="H206" s="47"/>
      <c r="I206" s="47"/>
      <c r="J206" s="74"/>
      <c r="K206" s="75"/>
    </row>
    <row r="207" spans="7:11" x14ac:dyDescent="0.25">
      <c r="G207" s="47"/>
      <c r="H207" s="47"/>
      <c r="I207" s="47"/>
      <c r="J207" s="74"/>
      <c r="K207" s="75"/>
    </row>
    <row r="208" spans="7:11" x14ac:dyDescent="0.25">
      <c r="G208" s="47"/>
      <c r="H208" s="47"/>
      <c r="I208" s="47"/>
      <c r="J208" s="74"/>
      <c r="K208" s="75"/>
    </row>
    <row r="209" spans="7:11" x14ac:dyDescent="0.25">
      <c r="G209" s="47"/>
      <c r="H209" s="47"/>
      <c r="I209" s="47"/>
      <c r="J209" s="74"/>
      <c r="K209" s="75"/>
    </row>
    <row r="210" spans="7:11" x14ac:dyDescent="0.25">
      <c r="G210" s="47"/>
      <c r="H210" s="47"/>
      <c r="I210" s="47"/>
      <c r="J210" s="74"/>
      <c r="K210" s="75"/>
    </row>
    <row r="211" spans="7:11" x14ac:dyDescent="0.25">
      <c r="G211" s="47"/>
      <c r="H211" s="47"/>
      <c r="I211" s="47"/>
      <c r="J211" s="74"/>
      <c r="K211" s="75"/>
    </row>
    <row r="212" spans="7:11" x14ac:dyDescent="0.25">
      <c r="G212" s="47"/>
      <c r="H212" s="47"/>
      <c r="I212" s="47"/>
      <c r="J212" s="74"/>
      <c r="K212" s="75"/>
    </row>
    <row r="213" spans="7:11" x14ac:dyDescent="0.25">
      <c r="G213" s="47"/>
      <c r="H213" s="47"/>
      <c r="I213" s="47"/>
      <c r="J213" s="74"/>
      <c r="K213" s="75"/>
    </row>
    <row r="214" spans="7:11" x14ac:dyDescent="0.25">
      <c r="G214" s="47"/>
      <c r="H214" s="47"/>
      <c r="I214" s="47"/>
      <c r="J214" s="74"/>
      <c r="K214" s="75"/>
    </row>
    <row r="215" spans="7:11" x14ac:dyDescent="0.25">
      <c r="G215" s="47"/>
      <c r="H215" s="47"/>
      <c r="I215" s="47"/>
      <c r="J215" s="74"/>
      <c r="K215" s="75"/>
    </row>
    <row r="216" spans="7:11" x14ac:dyDescent="0.25">
      <c r="G216" s="47"/>
      <c r="H216" s="47"/>
      <c r="I216" s="47"/>
      <c r="J216" s="74"/>
      <c r="K216" s="75"/>
    </row>
    <row r="217" spans="7:11" x14ac:dyDescent="0.25">
      <c r="G217" s="47"/>
      <c r="H217" s="47"/>
      <c r="I217" s="47"/>
      <c r="J217" s="74"/>
      <c r="K217" s="75"/>
    </row>
    <row r="218" spans="7:11" x14ac:dyDescent="0.25">
      <c r="G218" s="47"/>
      <c r="H218" s="47"/>
      <c r="I218" s="47"/>
      <c r="J218" s="74"/>
      <c r="K218" s="75"/>
    </row>
    <row r="219" spans="7:11" x14ac:dyDescent="0.25">
      <c r="G219" s="47"/>
      <c r="H219" s="47"/>
      <c r="I219" s="47"/>
      <c r="J219" s="74"/>
      <c r="K219" s="75"/>
    </row>
    <row r="220" spans="7:11" x14ac:dyDescent="0.25">
      <c r="G220" s="47"/>
      <c r="H220" s="47"/>
      <c r="I220" s="47"/>
      <c r="J220" s="74"/>
      <c r="K220" s="75"/>
    </row>
    <row r="221" spans="7:11" x14ac:dyDescent="0.25">
      <c r="G221" s="47"/>
      <c r="H221" s="47"/>
      <c r="I221" s="47"/>
      <c r="J221" s="74"/>
      <c r="K221" s="75"/>
    </row>
    <row r="222" spans="7:11" x14ac:dyDescent="0.25">
      <c r="G222" s="47"/>
      <c r="H222" s="47"/>
      <c r="I222" s="47"/>
      <c r="J222" s="74"/>
      <c r="K222" s="75"/>
    </row>
    <row r="223" spans="7:11" x14ac:dyDescent="0.25">
      <c r="G223" s="47"/>
      <c r="H223" s="47"/>
      <c r="I223" s="47"/>
      <c r="J223" s="74"/>
      <c r="K223" s="75"/>
    </row>
    <row r="224" spans="7:11" x14ac:dyDescent="0.25">
      <c r="G224" s="47"/>
      <c r="H224" s="47"/>
      <c r="I224" s="47"/>
      <c r="J224" s="74"/>
      <c r="K224" s="75"/>
    </row>
    <row r="225" spans="7:11" x14ac:dyDescent="0.25">
      <c r="G225" s="47"/>
      <c r="H225" s="47"/>
      <c r="I225" s="47"/>
      <c r="J225" s="74"/>
      <c r="K225" s="75"/>
    </row>
    <row r="226" spans="7:11" x14ac:dyDescent="0.25">
      <c r="G226" s="47"/>
      <c r="H226" s="47"/>
      <c r="I226" s="47"/>
      <c r="J226" s="74"/>
      <c r="K226" s="75"/>
    </row>
    <row r="227" spans="7:11" x14ac:dyDescent="0.25">
      <c r="G227" s="47"/>
      <c r="H227" s="47"/>
      <c r="I227" s="47"/>
      <c r="J227" s="74"/>
      <c r="K227" s="75"/>
    </row>
    <row r="228" spans="7:11" x14ac:dyDescent="0.25">
      <c r="G228" s="47"/>
      <c r="H228" s="47"/>
      <c r="I228" s="47"/>
      <c r="J228" s="74"/>
      <c r="K228" s="75"/>
    </row>
    <row r="229" spans="7:11" x14ac:dyDescent="0.25">
      <c r="G229" s="47"/>
      <c r="H229" s="47"/>
      <c r="I229" s="47"/>
      <c r="J229" s="74"/>
      <c r="K229" s="75"/>
    </row>
    <row r="230" spans="7:11" x14ac:dyDescent="0.25">
      <c r="G230" s="47"/>
      <c r="H230" s="47"/>
      <c r="I230" s="47"/>
      <c r="J230" s="74"/>
      <c r="K230" s="75"/>
    </row>
    <row r="231" spans="7:11" x14ac:dyDescent="0.25">
      <c r="G231" s="47"/>
      <c r="H231" s="47"/>
      <c r="I231" s="47"/>
      <c r="J231" s="74"/>
      <c r="K231" s="75"/>
    </row>
    <row r="232" spans="7:11" x14ac:dyDescent="0.25">
      <c r="G232" s="47"/>
      <c r="H232" s="47"/>
      <c r="I232" s="47"/>
      <c r="J232" s="74"/>
      <c r="K232" s="75"/>
    </row>
    <row r="233" spans="7:11" x14ac:dyDescent="0.25">
      <c r="G233" s="47"/>
      <c r="H233" s="47"/>
      <c r="I233" s="47"/>
      <c r="J233" s="74"/>
      <c r="K233" s="75"/>
    </row>
    <row r="234" spans="7:11" x14ac:dyDescent="0.25">
      <c r="G234" s="47"/>
      <c r="H234" s="47"/>
      <c r="I234" s="47"/>
      <c r="J234" s="74"/>
      <c r="K234" s="75"/>
    </row>
    <row r="235" spans="7:11" x14ac:dyDescent="0.25">
      <c r="G235" s="47"/>
      <c r="H235" s="47"/>
      <c r="I235" s="47"/>
      <c r="J235" s="74"/>
      <c r="K235" s="75"/>
    </row>
    <row r="236" spans="7:11" x14ac:dyDescent="0.25">
      <c r="G236" s="47"/>
      <c r="H236" s="47"/>
      <c r="I236" s="47"/>
      <c r="J236" s="74"/>
      <c r="K236" s="75"/>
    </row>
    <row r="237" spans="7:11" x14ac:dyDescent="0.25">
      <c r="G237" s="47"/>
      <c r="H237" s="47"/>
      <c r="I237" s="47"/>
      <c r="J237" s="74"/>
      <c r="K237" s="75"/>
    </row>
    <row r="238" spans="7:11" x14ac:dyDescent="0.25">
      <c r="G238" s="47"/>
      <c r="H238" s="47"/>
      <c r="I238" s="47"/>
      <c r="J238" s="74"/>
      <c r="K238" s="75"/>
    </row>
    <row r="239" spans="7:11" x14ac:dyDescent="0.25">
      <c r="G239" s="47"/>
      <c r="H239" s="47"/>
      <c r="I239" s="47"/>
      <c r="J239" s="74"/>
      <c r="K239" s="75"/>
    </row>
    <row r="240" spans="7:11" x14ac:dyDescent="0.25">
      <c r="G240" s="47"/>
      <c r="H240" s="47"/>
      <c r="I240" s="47"/>
      <c r="J240" s="74"/>
      <c r="K240" s="75"/>
    </row>
    <row r="241" spans="7:11" x14ac:dyDescent="0.25">
      <c r="G241" s="47"/>
      <c r="H241" s="47"/>
      <c r="I241" s="47"/>
      <c r="J241" s="74"/>
      <c r="K241" s="75"/>
    </row>
    <row r="242" spans="7:11" x14ac:dyDescent="0.25">
      <c r="G242" s="47"/>
      <c r="H242" s="47"/>
      <c r="I242" s="47"/>
      <c r="J242" s="74"/>
      <c r="K242" s="75"/>
    </row>
    <row r="243" spans="7:11" x14ac:dyDescent="0.25">
      <c r="G243" s="47"/>
      <c r="H243" s="47"/>
      <c r="I243" s="47"/>
      <c r="J243" s="74"/>
      <c r="K243" s="75"/>
    </row>
    <row r="244" spans="7:11" x14ac:dyDescent="0.25">
      <c r="G244" s="47"/>
      <c r="H244" s="47"/>
      <c r="I244" s="47"/>
      <c r="J244" s="74"/>
      <c r="K244" s="75"/>
    </row>
    <row r="245" spans="7:11" x14ac:dyDescent="0.25">
      <c r="G245" s="47"/>
      <c r="H245" s="47"/>
      <c r="I245" s="47"/>
      <c r="J245" s="74"/>
      <c r="K245" s="75"/>
    </row>
    <row r="246" spans="7:11" x14ac:dyDescent="0.25">
      <c r="G246" s="47"/>
      <c r="H246" s="47"/>
      <c r="I246" s="47"/>
      <c r="J246" s="74"/>
      <c r="K246" s="75"/>
    </row>
    <row r="247" spans="7:11" x14ac:dyDescent="0.25">
      <c r="G247" s="47"/>
      <c r="H247" s="47"/>
      <c r="I247" s="47"/>
      <c r="J247" s="74"/>
      <c r="K247" s="75"/>
    </row>
    <row r="248" spans="7:11" x14ac:dyDescent="0.25">
      <c r="G248" s="47"/>
      <c r="H248" s="47"/>
      <c r="I248" s="47"/>
      <c r="J248" s="74"/>
      <c r="K248" s="75"/>
    </row>
    <row r="249" spans="7:11" x14ac:dyDescent="0.25">
      <c r="G249" s="47"/>
      <c r="H249" s="47"/>
      <c r="I249" s="47"/>
      <c r="J249" s="74"/>
      <c r="K249" s="75"/>
    </row>
    <row r="250" spans="7:11" x14ac:dyDescent="0.25">
      <c r="G250" s="47"/>
      <c r="H250" s="47"/>
      <c r="I250" s="47"/>
      <c r="J250" s="74"/>
      <c r="K250" s="75"/>
    </row>
    <row r="251" spans="7:11" x14ac:dyDescent="0.25">
      <c r="G251" s="47"/>
      <c r="H251" s="47"/>
      <c r="I251" s="47"/>
      <c r="J251" s="74"/>
      <c r="K251" s="75"/>
    </row>
    <row r="252" spans="7:11" x14ac:dyDescent="0.25">
      <c r="G252" s="47"/>
      <c r="H252" s="47"/>
      <c r="I252" s="47"/>
      <c r="J252" s="74"/>
      <c r="K252" s="75"/>
    </row>
    <row r="253" spans="7:11" x14ac:dyDescent="0.25">
      <c r="G253" s="47"/>
      <c r="H253" s="47"/>
      <c r="I253" s="47"/>
      <c r="J253" s="74"/>
      <c r="K253" s="75"/>
    </row>
    <row r="254" spans="7:11" x14ac:dyDescent="0.25">
      <c r="G254" s="47"/>
      <c r="H254" s="47"/>
      <c r="I254" s="47"/>
      <c r="J254" s="74"/>
      <c r="K254" s="75"/>
    </row>
    <row r="255" spans="7:11" x14ac:dyDescent="0.25">
      <c r="G255" s="47"/>
      <c r="H255" s="47"/>
      <c r="I255" s="47"/>
      <c r="J255" s="74"/>
      <c r="K255" s="75"/>
    </row>
    <row r="256" spans="7:11" x14ac:dyDescent="0.25">
      <c r="G256" s="47"/>
      <c r="H256" s="47"/>
      <c r="I256" s="47"/>
      <c r="J256" s="74"/>
      <c r="K256" s="75"/>
    </row>
    <row r="257" spans="7:11" x14ac:dyDescent="0.25">
      <c r="G257" s="47"/>
      <c r="H257" s="47"/>
      <c r="I257" s="47"/>
      <c r="J257" s="74"/>
      <c r="K257" s="75"/>
    </row>
    <row r="258" spans="7:11" x14ac:dyDescent="0.25">
      <c r="G258" s="47"/>
      <c r="H258" s="47"/>
      <c r="I258" s="47"/>
      <c r="J258" s="74"/>
      <c r="K258" s="75"/>
    </row>
    <row r="259" spans="7:11" x14ac:dyDescent="0.25">
      <c r="G259" s="47"/>
      <c r="H259" s="47"/>
      <c r="I259" s="47"/>
      <c r="J259" s="74"/>
      <c r="K259" s="75"/>
    </row>
    <row r="260" spans="7:11" x14ac:dyDescent="0.25">
      <c r="G260" s="47"/>
      <c r="H260" s="47"/>
      <c r="I260" s="47"/>
      <c r="J260" s="74"/>
      <c r="K260" s="75"/>
    </row>
    <row r="261" spans="7:11" x14ac:dyDescent="0.25">
      <c r="G261" s="47"/>
      <c r="H261" s="47"/>
      <c r="I261" s="47"/>
      <c r="J261" s="74"/>
      <c r="K261" s="75"/>
    </row>
    <row r="262" spans="7:11" x14ac:dyDescent="0.25">
      <c r="G262" s="47"/>
      <c r="H262" s="47"/>
      <c r="I262" s="47"/>
      <c r="J262" s="74"/>
      <c r="K262" s="75"/>
    </row>
    <row r="263" spans="7:11" x14ac:dyDescent="0.25">
      <c r="G263" s="47"/>
      <c r="H263" s="47"/>
      <c r="I263" s="47"/>
      <c r="J263" s="74"/>
      <c r="K263" s="75"/>
    </row>
    <row r="264" spans="7:11" x14ac:dyDescent="0.25">
      <c r="G264" s="47"/>
      <c r="H264" s="47"/>
      <c r="I264" s="47"/>
      <c r="J264" s="74"/>
      <c r="K264" s="75"/>
    </row>
    <row r="265" spans="7:11" x14ac:dyDescent="0.25">
      <c r="G265" s="47"/>
      <c r="H265" s="47"/>
      <c r="I265" s="47"/>
      <c r="J265" s="74"/>
      <c r="K265" s="75"/>
    </row>
    <row r="266" spans="7:11" x14ac:dyDescent="0.25">
      <c r="G266" s="47"/>
      <c r="H266" s="47"/>
      <c r="I266" s="47"/>
      <c r="J266" s="74"/>
      <c r="K266" s="75"/>
    </row>
    <row r="267" spans="7:11" x14ac:dyDescent="0.25">
      <c r="G267" s="47"/>
      <c r="H267" s="47"/>
      <c r="I267" s="47"/>
      <c r="J267" s="74"/>
      <c r="K267" s="75"/>
    </row>
    <row r="268" spans="7:11" x14ac:dyDescent="0.25">
      <c r="G268" s="47"/>
      <c r="H268" s="47"/>
      <c r="I268" s="47"/>
      <c r="J268" s="74"/>
      <c r="K268" s="75"/>
    </row>
    <row r="269" spans="7:11" x14ac:dyDescent="0.25">
      <c r="G269" s="47"/>
      <c r="H269" s="47"/>
      <c r="I269" s="47"/>
      <c r="J269" s="74"/>
      <c r="K269" s="75"/>
    </row>
    <row r="270" spans="7:11" x14ac:dyDescent="0.25">
      <c r="G270" s="47"/>
      <c r="H270" s="47"/>
      <c r="I270" s="47"/>
      <c r="J270" s="74"/>
      <c r="K270" s="75"/>
    </row>
    <row r="271" spans="7:11" x14ac:dyDescent="0.25">
      <c r="G271" s="47"/>
      <c r="H271" s="47"/>
      <c r="I271" s="47"/>
      <c r="J271" s="74"/>
      <c r="K271" s="75"/>
    </row>
    <row r="272" spans="7:11" x14ac:dyDescent="0.25">
      <c r="G272" s="47"/>
      <c r="H272" s="47"/>
      <c r="I272" s="47"/>
      <c r="J272" s="74"/>
      <c r="K272" s="75"/>
    </row>
    <row r="273" spans="7:11" x14ac:dyDescent="0.25">
      <c r="G273" s="47"/>
      <c r="H273" s="47"/>
      <c r="I273" s="47"/>
      <c r="J273" s="74"/>
      <c r="K273" s="75"/>
    </row>
    <row r="274" spans="7:11" x14ac:dyDescent="0.25">
      <c r="G274" s="47"/>
      <c r="H274" s="47"/>
      <c r="I274" s="47"/>
      <c r="J274" s="74"/>
      <c r="K274" s="75"/>
    </row>
    <row r="275" spans="7:11" x14ac:dyDescent="0.25">
      <c r="G275" s="47"/>
      <c r="H275" s="47"/>
      <c r="I275" s="47"/>
      <c r="J275" s="74"/>
      <c r="K275" s="75"/>
    </row>
    <row r="276" spans="7:11" x14ac:dyDescent="0.25">
      <c r="G276" s="47"/>
      <c r="H276" s="47"/>
      <c r="I276" s="47"/>
      <c r="J276" s="74"/>
      <c r="K276" s="75"/>
    </row>
    <row r="277" spans="7:11" x14ac:dyDescent="0.25">
      <c r="G277" s="47"/>
      <c r="H277" s="47"/>
      <c r="I277" s="47"/>
      <c r="J277" s="74"/>
      <c r="K277" s="75"/>
    </row>
    <row r="278" spans="7:11" x14ac:dyDescent="0.25">
      <c r="G278" s="47"/>
      <c r="H278" s="47"/>
      <c r="I278" s="47"/>
      <c r="J278" s="74"/>
      <c r="K278" s="75"/>
    </row>
    <row r="279" spans="7:11" x14ac:dyDescent="0.25">
      <c r="G279" s="47"/>
      <c r="H279" s="47"/>
      <c r="I279" s="47"/>
      <c r="J279" s="74"/>
      <c r="K279" s="75"/>
    </row>
    <row r="280" spans="7:11" x14ac:dyDescent="0.25">
      <c r="G280" s="47"/>
      <c r="H280" s="47"/>
      <c r="I280" s="47"/>
      <c r="J280" s="74"/>
      <c r="K280" s="75"/>
    </row>
    <row r="281" spans="7:11" x14ac:dyDescent="0.25">
      <c r="G281" s="47"/>
      <c r="H281" s="47"/>
      <c r="I281" s="47"/>
      <c r="J281" s="74"/>
      <c r="K281" s="75"/>
    </row>
    <row r="282" spans="7:11" x14ac:dyDescent="0.25">
      <c r="G282" s="47"/>
      <c r="H282" s="47"/>
      <c r="I282" s="47"/>
      <c r="J282" s="74"/>
      <c r="K282" s="75"/>
    </row>
    <row r="283" spans="7:11" x14ac:dyDescent="0.25">
      <c r="G283" s="47"/>
      <c r="H283" s="47"/>
      <c r="I283" s="47"/>
      <c r="J283" s="74"/>
      <c r="K283" s="75"/>
    </row>
    <row r="284" spans="7:11" x14ac:dyDescent="0.25">
      <c r="G284" s="47"/>
      <c r="H284" s="47"/>
      <c r="I284" s="47"/>
      <c r="J284" s="74"/>
      <c r="K284" s="75"/>
    </row>
    <row r="285" spans="7:11" x14ac:dyDescent="0.25">
      <c r="G285" s="47"/>
      <c r="H285" s="47"/>
      <c r="I285" s="47"/>
      <c r="J285" s="74"/>
      <c r="K285" s="75"/>
    </row>
    <row r="286" spans="7:11" x14ac:dyDescent="0.25">
      <c r="G286" s="47"/>
      <c r="H286" s="47"/>
      <c r="I286" s="47"/>
      <c r="J286" s="74"/>
      <c r="K286" s="75"/>
    </row>
    <row r="287" spans="7:11" x14ac:dyDescent="0.25">
      <c r="G287" s="47"/>
      <c r="H287" s="47"/>
      <c r="I287" s="47"/>
      <c r="J287" s="74"/>
      <c r="K287" s="75"/>
    </row>
    <row r="288" spans="7:11" x14ac:dyDescent="0.25">
      <c r="G288" s="47"/>
      <c r="H288" s="47"/>
      <c r="I288" s="47"/>
      <c r="J288" s="74"/>
      <c r="K288" s="75"/>
    </row>
    <row r="289" spans="7:11" x14ac:dyDescent="0.25">
      <c r="G289" s="47"/>
      <c r="H289" s="47"/>
      <c r="I289" s="47"/>
      <c r="J289" s="74"/>
      <c r="K289" s="75"/>
    </row>
    <row r="290" spans="7:11" x14ac:dyDescent="0.25">
      <c r="G290" s="47"/>
      <c r="H290" s="47"/>
      <c r="I290" s="47"/>
      <c r="J290" s="74"/>
      <c r="K290" s="75"/>
    </row>
    <row r="291" spans="7:11" x14ac:dyDescent="0.25">
      <c r="G291" s="47"/>
      <c r="H291" s="47"/>
      <c r="I291" s="47"/>
      <c r="J291" s="74"/>
      <c r="K291" s="75"/>
    </row>
    <row r="292" spans="7:11" x14ac:dyDescent="0.25">
      <c r="G292" s="47"/>
      <c r="H292" s="47"/>
      <c r="I292" s="47"/>
      <c r="J292" s="74"/>
      <c r="K292" s="75"/>
    </row>
    <row r="293" spans="7:11" x14ac:dyDescent="0.25">
      <c r="G293" s="47"/>
      <c r="H293" s="47"/>
      <c r="I293" s="47"/>
      <c r="J293" s="74"/>
      <c r="K293" s="75"/>
    </row>
    <row r="294" spans="7:11" x14ac:dyDescent="0.25">
      <c r="G294" s="47"/>
      <c r="H294" s="47"/>
      <c r="I294" s="47"/>
      <c r="J294" s="74"/>
      <c r="K294" s="75"/>
    </row>
    <row r="295" spans="7:11" x14ac:dyDescent="0.25">
      <c r="G295" s="47"/>
      <c r="H295" s="47"/>
      <c r="I295" s="47"/>
      <c r="J295" s="74"/>
      <c r="K295" s="75"/>
    </row>
    <row r="296" spans="7:11" x14ac:dyDescent="0.25">
      <c r="G296" s="47"/>
      <c r="H296" s="47"/>
      <c r="I296" s="47"/>
      <c r="J296" s="74"/>
      <c r="K296" s="75"/>
    </row>
    <row r="297" spans="7:11" x14ac:dyDescent="0.25">
      <c r="G297" s="47"/>
      <c r="H297" s="47"/>
      <c r="I297" s="47"/>
      <c r="J297" s="74"/>
      <c r="K297" s="75"/>
    </row>
    <row r="298" spans="7:11" x14ac:dyDescent="0.25">
      <c r="G298" s="47"/>
      <c r="H298" s="47"/>
      <c r="I298" s="47"/>
      <c r="J298" s="74"/>
      <c r="K298" s="75"/>
    </row>
    <row r="299" spans="7:11" x14ac:dyDescent="0.25">
      <c r="G299" s="47"/>
      <c r="H299" s="47"/>
      <c r="I299" s="47"/>
      <c r="J299" s="74"/>
      <c r="K299" s="75"/>
    </row>
    <row r="300" spans="7:11" x14ac:dyDescent="0.25">
      <c r="G300" s="47"/>
      <c r="H300" s="47"/>
      <c r="I300" s="47"/>
      <c r="J300" s="74"/>
      <c r="K300" s="75"/>
    </row>
    <row r="301" spans="7:11" x14ac:dyDescent="0.25">
      <c r="G301" s="47"/>
      <c r="H301" s="47"/>
      <c r="I301" s="47"/>
      <c r="J301" s="74"/>
      <c r="K301" s="75"/>
    </row>
    <row r="302" spans="7:11" x14ac:dyDescent="0.25">
      <c r="G302" s="47"/>
      <c r="H302" s="47"/>
      <c r="I302" s="47"/>
      <c r="J302" s="74"/>
      <c r="K302" s="75"/>
    </row>
    <row r="303" spans="7:11" x14ac:dyDescent="0.25">
      <c r="G303" s="47"/>
      <c r="H303" s="47"/>
      <c r="I303" s="47"/>
      <c r="J303" s="74"/>
      <c r="K303" s="75"/>
    </row>
    <row r="304" spans="7:11" x14ac:dyDescent="0.25">
      <c r="G304" s="47"/>
      <c r="H304" s="47"/>
      <c r="I304" s="47"/>
      <c r="J304" s="74"/>
      <c r="K304" s="75"/>
    </row>
    <row r="305" spans="7:11" x14ac:dyDescent="0.25">
      <c r="G305" s="47"/>
      <c r="H305" s="47"/>
      <c r="I305" s="47"/>
      <c r="J305" s="74"/>
      <c r="K305" s="75"/>
    </row>
    <row r="306" spans="7:11" x14ac:dyDescent="0.25">
      <c r="G306" s="47"/>
      <c r="H306" s="47"/>
      <c r="I306" s="47"/>
      <c r="J306" s="74"/>
      <c r="K306" s="75"/>
    </row>
    <row r="307" spans="7:11" x14ac:dyDescent="0.25">
      <c r="G307" s="47"/>
      <c r="H307" s="47"/>
      <c r="I307" s="47"/>
      <c r="J307" s="74"/>
      <c r="K307" s="75"/>
    </row>
    <row r="308" spans="7:11" x14ac:dyDescent="0.25">
      <c r="G308" s="47"/>
      <c r="H308" s="47"/>
      <c r="I308" s="47"/>
      <c r="J308" s="74"/>
      <c r="K308" s="75"/>
    </row>
    <row r="309" spans="7:11" x14ac:dyDescent="0.25">
      <c r="G309" s="47"/>
      <c r="H309" s="47"/>
      <c r="I309" s="47"/>
      <c r="J309" s="74"/>
      <c r="K309" s="75"/>
    </row>
    <row r="310" spans="7:11" x14ac:dyDescent="0.25">
      <c r="G310" s="47"/>
      <c r="H310" s="47"/>
      <c r="I310" s="47"/>
      <c r="J310" s="74"/>
      <c r="K310" s="75"/>
    </row>
    <row r="311" spans="7:11" x14ac:dyDescent="0.25">
      <c r="G311" s="47"/>
      <c r="H311" s="47"/>
      <c r="I311" s="47"/>
      <c r="J311" s="74"/>
      <c r="K311" s="75"/>
    </row>
    <row r="312" spans="7:11" x14ac:dyDescent="0.25">
      <c r="G312" s="47"/>
      <c r="H312" s="47"/>
      <c r="I312" s="47"/>
      <c r="J312" s="74"/>
      <c r="K312" s="75"/>
    </row>
    <row r="313" spans="7:11" x14ac:dyDescent="0.25">
      <c r="G313" s="47"/>
      <c r="H313" s="47"/>
      <c r="I313" s="47"/>
      <c r="J313" s="74"/>
      <c r="K313" s="75"/>
    </row>
    <row r="314" spans="7:11" x14ac:dyDescent="0.25">
      <c r="G314" s="47"/>
      <c r="H314" s="47"/>
      <c r="I314" s="47"/>
      <c r="J314" s="74"/>
      <c r="K314" s="75"/>
    </row>
    <row r="315" spans="7:11" x14ac:dyDescent="0.25">
      <c r="G315" s="47"/>
      <c r="H315" s="47"/>
      <c r="I315" s="47"/>
      <c r="J315" s="74"/>
      <c r="K315" s="75"/>
    </row>
    <row r="316" spans="7:11" x14ac:dyDescent="0.25">
      <c r="G316" s="47"/>
      <c r="H316" s="47"/>
      <c r="I316" s="47"/>
      <c r="J316" s="74"/>
      <c r="K316" s="75"/>
    </row>
    <row r="317" spans="7:11" x14ac:dyDescent="0.25">
      <c r="G317" s="47"/>
      <c r="H317" s="47"/>
      <c r="I317" s="47"/>
      <c r="J317" s="74"/>
      <c r="K317" s="75"/>
    </row>
    <row r="318" spans="7:11" x14ac:dyDescent="0.25">
      <c r="G318" s="47"/>
      <c r="H318" s="47"/>
      <c r="I318" s="47"/>
      <c r="J318" s="74"/>
      <c r="K318" s="75"/>
    </row>
    <row r="319" spans="7:11" x14ac:dyDescent="0.25">
      <c r="G319" s="47"/>
      <c r="H319" s="47"/>
      <c r="I319" s="47"/>
      <c r="J319" s="74"/>
      <c r="K319" s="75"/>
    </row>
    <row r="320" spans="7:11" x14ac:dyDescent="0.25">
      <c r="G320" s="47"/>
      <c r="H320" s="47"/>
      <c r="I320" s="47"/>
      <c r="J320" s="74"/>
      <c r="K320" s="75"/>
    </row>
    <row r="321" spans="7:11" x14ac:dyDescent="0.25">
      <c r="G321" s="47"/>
      <c r="H321" s="47"/>
      <c r="I321" s="47"/>
      <c r="J321" s="74"/>
      <c r="K321" s="75"/>
    </row>
    <row r="322" spans="7:11" x14ac:dyDescent="0.25">
      <c r="G322" s="47"/>
      <c r="H322" s="47"/>
      <c r="I322" s="47"/>
      <c r="J322" s="74"/>
      <c r="K322" s="75"/>
    </row>
    <row r="323" spans="7:11" x14ac:dyDescent="0.25">
      <c r="G323" s="47"/>
      <c r="H323" s="47"/>
      <c r="I323" s="47"/>
      <c r="J323" s="74"/>
      <c r="K323" s="75"/>
    </row>
    <row r="324" spans="7:11" x14ac:dyDescent="0.25">
      <c r="G324" s="47"/>
      <c r="H324" s="47"/>
      <c r="I324" s="47"/>
      <c r="J324" s="74"/>
      <c r="K324" s="75"/>
    </row>
    <row r="325" spans="7:11" x14ac:dyDescent="0.25">
      <c r="G325" s="47"/>
      <c r="H325" s="47"/>
      <c r="I325" s="47"/>
      <c r="J325" s="74"/>
      <c r="K325" s="75"/>
    </row>
    <row r="326" spans="7:11" x14ac:dyDescent="0.25">
      <c r="G326" s="47"/>
      <c r="H326" s="47"/>
      <c r="I326" s="47"/>
      <c r="J326" s="74"/>
      <c r="K326" s="75"/>
    </row>
    <row r="327" spans="7:11" x14ac:dyDescent="0.25">
      <c r="G327" s="47"/>
      <c r="H327" s="47"/>
      <c r="I327" s="47"/>
      <c r="J327" s="74"/>
      <c r="K327" s="75"/>
    </row>
    <row r="328" spans="7:11" x14ac:dyDescent="0.25">
      <c r="G328" s="47"/>
      <c r="H328" s="47"/>
      <c r="I328" s="47"/>
      <c r="J328" s="74"/>
      <c r="K328" s="75"/>
    </row>
    <row r="329" spans="7:11" x14ac:dyDescent="0.25">
      <c r="G329" s="47"/>
      <c r="H329" s="47"/>
      <c r="I329" s="47"/>
      <c r="J329" s="74"/>
      <c r="K329" s="75"/>
    </row>
    <row r="330" spans="7:11" x14ac:dyDescent="0.25">
      <c r="G330" s="47"/>
      <c r="H330" s="47"/>
      <c r="I330" s="47"/>
      <c r="J330" s="74"/>
      <c r="K330" s="75"/>
    </row>
    <row r="331" spans="7:11" x14ac:dyDescent="0.25">
      <c r="G331" s="47"/>
      <c r="H331" s="47"/>
      <c r="I331" s="47"/>
      <c r="J331" s="74"/>
      <c r="K331" s="75"/>
    </row>
    <row r="332" spans="7:11" x14ac:dyDescent="0.25">
      <c r="G332" s="47"/>
      <c r="H332" s="47"/>
      <c r="I332" s="47"/>
      <c r="J332" s="74"/>
      <c r="K332" s="75"/>
    </row>
    <row r="333" spans="7:11" x14ac:dyDescent="0.25">
      <c r="G333" s="47"/>
      <c r="H333" s="47"/>
      <c r="I333" s="47"/>
      <c r="J333" s="74"/>
      <c r="K333" s="75"/>
    </row>
    <row r="334" spans="7:11" x14ac:dyDescent="0.25">
      <c r="G334" s="47"/>
      <c r="H334" s="47"/>
      <c r="I334" s="47"/>
      <c r="J334" s="74"/>
      <c r="K334" s="75"/>
    </row>
    <row r="335" spans="7:11" x14ac:dyDescent="0.25">
      <c r="G335" s="47"/>
      <c r="H335" s="47"/>
      <c r="I335" s="47"/>
      <c r="J335" s="74"/>
      <c r="K335" s="75"/>
    </row>
    <row r="336" spans="7:11" x14ac:dyDescent="0.25">
      <c r="G336" s="47"/>
      <c r="H336" s="47"/>
      <c r="I336" s="47"/>
      <c r="J336" s="74"/>
      <c r="K336" s="75"/>
    </row>
    <row r="337" spans="7:11" x14ac:dyDescent="0.25">
      <c r="G337" s="47"/>
      <c r="H337" s="47"/>
      <c r="I337" s="47"/>
      <c r="J337" s="74"/>
      <c r="K337" s="75"/>
    </row>
    <row r="338" spans="7:11" x14ac:dyDescent="0.25">
      <c r="G338" s="47"/>
      <c r="H338" s="47"/>
      <c r="I338" s="47"/>
      <c r="J338" s="74"/>
      <c r="K338" s="75"/>
    </row>
    <row r="339" spans="7:11" x14ac:dyDescent="0.25">
      <c r="G339" s="47"/>
      <c r="H339" s="47"/>
      <c r="I339" s="47"/>
      <c r="J339" s="74"/>
      <c r="K339" s="75"/>
    </row>
    <row r="340" spans="7:11" x14ac:dyDescent="0.25">
      <c r="G340" s="47"/>
      <c r="H340" s="47"/>
      <c r="I340" s="47"/>
      <c r="J340" s="74"/>
      <c r="K340" s="75"/>
    </row>
    <row r="341" spans="7:11" x14ac:dyDescent="0.25">
      <c r="G341" s="47"/>
      <c r="H341" s="47"/>
      <c r="I341" s="47"/>
      <c r="J341" s="74"/>
      <c r="K341" s="75"/>
    </row>
    <row r="342" spans="7:11" x14ac:dyDescent="0.25">
      <c r="G342" s="47"/>
      <c r="H342" s="47"/>
      <c r="I342" s="47"/>
      <c r="J342" s="74"/>
      <c r="K342" s="75"/>
    </row>
    <row r="343" spans="7:11" x14ac:dyDescent="0.25">
      <c r="G343" s="47"/>
      <c r="H343" s="47"/>
      <c r="I343" s="47"/>
      <c r="J343" s="74"/>
      <c r="K343" s="75"/>
    </row>
    <row r="344" spans="7:11" x14ac:dyDescent="0.25">
      <c r="G344" s="47"/>
      <c r="H344" s="47"/>
      <c r="I344" s="47"/>
      <c r="J344" s="74"/>
      <c r="K344" s="75"/>
    </row>
    <row r="345" spans="7:11" x14ac:dyDescent="0.25">
      <c r="G345" s="47"/>
      <c r="H345" s="47"/>
      <c r="I345" s="47"/>
      <c r="J345" s="74"/>
      <c r="K345" s="75"/>
    </row>
    <row r="346" spans="7:11" x14ac:dyDescent="0.25">
      <c r="G346" s="47"/>
      <c r="H346" s="47"/>
      <c r="I346" s="47"/>
      <c r="J346" s="74"/>
      <c r="K346" s="75"/>
    </row>
    <row r="347" spans="7:11" x14ac:dyDescent="0.25">
      <c r="G347" s="47"/>
      <c r="H347" s="47"/>
      <c r="I347" s="47"/>
      <c r="J347" s="74"/>
      <c r="K347" s="75"/>
    </row>
    <row r="348" spans="7:11" x14ac:dyDescent="0.25">
      <c r="G348" s="47"/>
      <c r="H348" s="47"/>
      <c r="I348" s="47"/>
      <c r="J348" s="74"/>
      <c r="K348" s="75"/>
    </row>
    <row r="349" spans="7:11" x14ac:dyDescent="0.25">
      <c r="G349" s="47"/>
      <c r="H349" s="47"/>
      <c r="I349" s="47"/>
      <c r="J349" s="74"/>
      <c r="K349" s="75"/>
    </row>
    <row r="350" spans="7:11" x14ac:dyDescent="0.25">
      <c r="G350" s="47"/>
      <c r="H350" s="47"/>
      <c r="I350" s="47"/>
      <c r="J350" s="74"/>
      <c r="K350" s="75"/>
    </row>
    <row r="351" spans="7:11" x14ac:dyDescent="0.25">
      <c r="G351" s="47"/>
      <c r="H351" s="47"/>
      <c r="I351" s="47"/>
      <c r="J351" s="74"/>
      <c r="K351" s="75"/>
    </row>
    <row r="352" spans="7:11" x14ac:dyDescent="0.25">
      <c r="G352" s="47"/>
      <c r="H352" s="47"/>
      <c r="I352" s="47"/>
      <c r="J352" s="74"/>
      <c r="K352" s="75"/>
    </row>
    <row r="353" spans="7:11" x14ac:dyDescent="0.25">
      <c r="G353" s="47"/>
      <c r="H353" s="47"/>
      <c r="I353" s="47"/>
      <c r="J353" s="74"/>
      <c r="K353" s="75"/>
    </row>
    <row r="354" spans="7:11" x14ac:dyDescent="0.25">
      <c r="G354" s="47"/>
      <c r="H354" s="47"/>
      <c r="I354" s="47"/>
      <c r="J354" s="74"/>
      <c r="K354" s="75"/>
    </row>
    <row r="355" spans="7:11" x14ac:dyDescent="0.25">
      <c r="G355" s="47"/>
      <c r="H355" s="47"/>
      <c r="I355" s="47"/>
      <c r="J355" s="74"/>
      <c r="K355" s="75"/>
    </row>
    <row r="356" spans="7:11" x14ac:dyDescent="0.25">
      <c r="G356" s="47"/>
      <c r="H356" s="47"/>
      <c r="I356" s="47"/>
      <c r="J356" s="74"/>
      <c r="K356" s="75"/>
    </row>
    <row r="357" spans="7:11" x14ac:dyDescent="0.25">
      <c r="G357" s="47"/>
      <c r="H357" s="47"/>
      <c r="I357" s="47"/>
      <c r="J357" s="74"/>
      <c r="K357" s="75"/>
    </row>
    <row r="358" spans="7:11" x14ac:dyDescent="0.25">
      <c r="G358" s="47"/>
      <c r="H358" s="47"/>
      <c r="I358" s="47"/>
      <c r="J358" s="74"/>
      <c r="K358" s="75"/>
    </row>
    <row r="359" spans="7:11" x14ac:dyDescent="0.25">
      <c r="G359" s="47"/>
      <c r="H359" s="47"/>
      <c r="I359" s="47"/>
      <c r="J359" s="74"/>
      <c r="K359" s="75"/>
    </row>
    <row r="360" spans="7:11" x14ac:dyDescent="0.25">
      <c r="G360" s="47"/>
      <c r="H360" s="47"/>
      <c r="I360" s="47"/>
      <c r="J360" s="74"/>
      <c r="K360" s="75"/>
    </row>
    <row r="361" spans="7:11" x14ac:dyDescent="0.25">
      <c r="G361" s="47"/>
      <c r="H361" s="47"/>
      <c r="I361" s="47"/>
      <c r="J361" s="74"/>
      <c r="K361" s="75"/>
    </row>
    <row r="362" spans="7:11" x14ac:dyDescent="0.25">
      <c r="G362" s="47"/>
      <c r="H362" s="47"/>
      <c r="I362" s="47"/>
      <c r="J362" s="74"/>
      <c r="K362" s="75"/>
    </row>
    <row r="363" spans="7:11" x14ac:dyDescent="0.25">
      <c r="G363" s="47"/>
      <c r="H363" s="47"/>
      <c r="I363" s="47"/>
      <c r="J363" s="74"/>
      <c r="K363" s="75"/>
    </row>
    <row r="364" spans="7:11" x14ac:dyDescent="0.25">
      <c r="G364" s="47"/>
      <c r="H364" s="47"/>
      <c r="I364" s="47"/>
      <c r="J364" s="74"/>
      <c r="K364" s="75"/>
    </row>
    <row r="365" spans="7:11" x14ac:dyDescent="0.25">
      <c r="G365" s="47"/>
      <c r="H365" s="47"/>
      <c r="I365" s="47"/>
      <c r="J365" s="74"/>
      <c r="K365" s="75"/>
    </row>
    <row r="366" spans="7:11" x14ac:dyDescent="0.25">
      <c r="G366" s="47"/>
      <c r="H366" s="47"/>
      <c r="I366" s="47"/>
      <c r="J366" s="74"/>
      <c r="K366" s="75"/>
    </row>
    <row r="367" spans="7:11" x14ac:dyDescent="0.25">
      <c r="G367" s="47"/>
      <c r="H367" s="47"/>
      <c r="I367" s="47"/>
      <c r="J367" s="74"/>
      <c r="K367" s="75"/>
    </row>
    <row r="368" spans="7:11" x14ac:dyDescent="0.25">
      <c r="G368" s="47"/>
      <c r="H368" s="47"/>
      <c r="I368" s="47"/>
      <c r="J368" s="74"/>
      <c r="K368" s="75"/>
    </row>
    <row r="369" spans="7:11" x14ac:dyDescent="0.25">
      <c r="G369" s="47"/>
      <c r="H369" s="47"/>
      <c r="I369" s="47"/>
      <c r="J369" s="74"/>
      <c r="K369" s="75"/>
    </row>
    <row r="370" spans="7:11" x14ac:dyDescent="0.25">
      <c r="G370" s="47"/>
      <c r="H370" s="47"/>
      <c r="I370" s="47"/>
      <c r="J370" s="74"/>
      <c r="K370" s="75"/>
    </row>
    <row r="371" spans="7:11" x14ac:dyDescent="0.25">
      <c r="G371" s="47"/>
      <c r="H371" s="47"/>
      <c r="I371" s="47"/>
      <c r="J371" s="74"/>
      <c r="K371" s="75"/>
    </row>
    <row r="372" spans="7:11" x14ac:dyDescent="0.25">
      <c r="G372" s="47"/>
      <c r="H372" s="47"/>
      <c r="I372" s="47"/>
      <c r="J372" s="74"/>
      <c r="K372" s="75"/>
    </row>
    <row r="373" spans="7:11" x14ac:dyDescent="0.25">
      <c r="G373" s="47"/>
      <c r="H373" s="47"/>
      <c r="I373" s="47"/>
      <c r="J373" s="74"/>
      <c r="K373" s="75"/>
    </row>
    <row r="374" spans="7:11" x14ac:dyDescent="0.25">
      <c r="G374" s="47"/>
      <c r="H374" s="47"/>
      <c r="I374" s="47"/>
      <c r="J374" s="74"/>
      <c r="K374" s="75"/>
    </row>
    <row r="375" spans="7:11" x14ac:dyDescent="0.25">
      <c r="G375" s="47"/>
      <c r="H375" s="47"/>
      <c r="I375" s="47"/>
      <c r="J375" s="74"/>
      <c r="K375" s="75"/>
    </row>
    <row r="376" spans="7:11" x14ac:dyDescent="0.25">
      <c r="G376" s="47"/>
      <c r="H376" s="47"/>
      <c r="I376" s="47"/>
      <c r="J376" s="74"/>
      <c r="K376" s="75"/>
    </row>
    <row r="377" spans="7:11" x14ac:dyDescent="0.25">
      <c r="G377" s="47"/>
      <c r="H377" s="47"/>
      <c r="I377" s="47"/>
      <c r="J377" s="74"/>
      <c r="K377" s="75"/>
    </row>
    <row r="378" spans="7:11" x14ac:dyDescent="0.25">
      <c r="G378" s="47"/>
      <c r="H378" s="47"/>
      <c r="I378" s="47"/>
      <c r="J378" s="74"/>
      <c r="K378" s="75"/>
    </row>
    <row r="379" spans="7:11" x14ac:dyDescent="0.25">
      <c r="G379" s="47"/>
      <c r="H379" s="47"/>
      <c r="I379" s="47"/>
      <c r="J379" s="74"/>
      <c r="K379" s="75"/>
    </row>
    <row r="380" spans="7:11" x14ac:dyDescent="0.25">
      <c r="G380" s="47"/>
      <c r="H380" s="47"/>
      <c r="I380" s="47"/>
      <c r="J380" s="74"/>
      <c r="K380" s="75"/>
    </row>
    <row r="381" spans="7:11" x14ac:dyDescent="0.25">
      <c r="G381" s="47"/>
      <c r="H381" s="47"/>
      <c r="I381" s="47"/>
      <c r="J381" s="74"/>
      <c r="K381" s="75"/>
    </row>
    <row r="382" spans="7:11" x14ac:dyDescent="0.25">
      <c r="G382" s="47"/>
      <c r="H382" s="47"/>
      <c r="I382" s="47"/>
      <c r="J382" s="74"/>
      <c r="K382" s="75"/>
    </row>
    <row r="383" spans="7:11" x14ac:dyDescent="0.25">
      <c r="G383" s="47"/>
      <c r="H383" s="47"/>
      <c r="I383" s="47"/>
      <c r="J383" s="74"/>
      <c r="K383" s="75"/>
    </row>
    <row r="384" spans="7:11" x14ac:dyDescent="0.25">
      <c r="G384" s="47"/>
      <c r="H384" s="47"/>
      <c r="I384" s="47"/>
      <c r="J384" s="74"/>
      <c r="K384" s="75"/>
    </row>
    <row r="385" spans="7:11" x14ac:dyDescent="0.25">
      <c r="G385" s="47"/>
      <c r="H385" s="47"/>
      <c r="I385" s="47"/>
      <c r="J385" s="74"/>
      <c r="K385" s="75"/>
    </row>
    <row r="386" spans="7:11" x14ac:dyDescent="0.25">
      <c r="G386" s="47"/>
      <c r="H386" s="47"/>
      <c r="I386" s="47"/>
      <c r="J386" s="74"/>
      <c r="K386" s="75"/>
    </row>
    <row r="387" spans="7:11" x14ac:dyDescent="0.25">
      <c r="G387" s="47"/>
      <c r="H387" s="47"/>
      <c r="I387" s="47"/>
      <c r="J387" s="74"/>
      <c r="K387" s="75"/>
    </row>
    <row r="388" spans="7:11" x14ac:dyDescent="0.25">
      <c r="G388" s="47"/>
      <c r="H388" s="47"/>
      <c r="I388" s="47"/>
      <c r="J388" s="74"/>
      <c r="K388" s="75"/>
    </row>
    <row r="389" spans="7:11" x14ac:dyDescent="0.25">
      <c r="G389" s="47"/>
      <c r="H389" s="47"/>
      <c r="I389" s="47"/>
      <c r="J389" s="74"/>
      <c r="K389" s="75"/>
    </row>
    <row r="390" spans="7:11" x14ac:dyDescent="0.25">
      <c r="G390" s="47"/>
      <c r="H390" s="47"/>
      <c r="I390" s="47"/>
      <c r="J390" s="74"/>
      <c r="K390" s="75"/>
    </row>
    <row r="391" spans="7:11" x14ac:dyDescent="0.25">
      <c r="G391" s="47"/>
      <c r="H391" s="47"/>
      <c r="I391" s="47"/>
      <c r="J391" s="74"/>
      <c r="K391" s="75"/>
    </row>
    <row r="392" spans="7:11" x14ac:dyDescent="0.25">
      <c r="G392" s="47"/>
      <c r="H392" s="47"/>
      <c r="I392" s="47"/>
      <c r="J392" s="74"/>
      <c r="K392" s="75"/>
    </row>
    <row r="393" spans="7:11" x14ac:dyDescent="0.25">
      <c r="G393" s="47"/>
      <c r="H393" s="47"/>
      <c r="I393" s="47"/>
      <c r="J393" s="74"/>
      <c r="K393" s="75"/>
    </row>
    <row r="394" spans="7:11" x14ac:dyDescent="0.25">
      <c r="G394" s="47"/>
      <c r="H394" s="47"/>
      <c r="I394" s="47"/>
      <c r="J394" s="74"/>
      <c r="K394" s="75"/>
    </row>
    <row r="395" spans="7:11" x14ac:dyDescent="0.25">
      <c r="G395" s="47"/>
      <c r="H395" s="47"/>
      <c r="I395" s="47"/>
      <c r="J395" s="74"/>
      <c r="K395" s="75"/>
    </row>
    <row r="396" spans="7:11" x14ac:dyDescent="0.25">
      <c r="G396" s="47"/>
      <c r="H396" s="47"/>
      <c r="I396" s="47"/>
      <c r="J396" s="74"/>
      <c r="K396" s="75"/>
    </row>
    <row r="397" spans="7:11" x14ac:dyDescent="0.25">
      <c r="G397" s="47"/>
      <c r="H397" s="47"/>
      <c r="I397" s="47"/>
      <c r="J397" s="74"/>
      <c r="K397" s="75"/>
    </row>
    <row r="398" spans="7:11" x14ac:dyDescent="0.25">
      <c r="G398" s="47"/>
      <c r="H398" s="47"/>
      <c r="I398" s="47"/>
      <c r="J398" s="74"/>
      <c r="K398" s="75"/>
    </row>
    <row r="399" spans="7:11" x14ac:dyDescent="0.25">
      <c r="G399" s="47"/>
      <c r="H399" s="47"/>
      <c r="I399" s="47"/>
      <c r="J399" s="74"/>
      <c r="K399" s="75"/>
    </row>
    <row r="400" spans="7:11" x14ac:dyDescent="0.25">
      <c r="G400" s="47"/>
      <c r="H400" s="47"/>
      <c r="I400" s="47"/>
      <c r="J400" s="74"/>
      <c r="K400" s="75"/>
    </row>
    <row r="401" spans="7:11" x14ac:dyDescent="0.25">
      <c r="G401" s="47"/>
      <c r="H401" s="47"/>
      <c r="I401" s="47"/>
      <c r="J401" s="74"/>
      <c r="K401" s="75"/>
    </row>
    <row r="402" spans="7:11" x14ac:dyDescent="0.25">
      <c r="G402" s="47"/>
      <c r="H402" s="47"/>
      <c r="I402" s="47"/>
      <c r="J402" s="74"/>
      <c r="K402" s="75"/>
    </row>
    <row r="403" spans="7:11" x14ac:dyDescent="0.25">
      <c r="G403" s="47"/>
      <c r="H403" s="47"/>
      <c r="I403" s="47"/>
      <c r="J403" s="74"/>
      <c r="K403" s="75"/>
    </row>
    <row r="404" spans="7:11" x14ac:dyDescent="0.25">
      <c r="G404" s="47"/>
      <c r="H404" s="47"/>
      <c r="I404" s="47"/>
      <c r="J404" s="74"/>
      <c r="K404" s="75"/>
    </row>
    <row r="405" spans="7:11" x14ac:dyDescent="0.25">
      <c r="G405" s="47"/>
      <c r="H405" s="47"/>
      <c r="I405" s="47"/>
      <c r="J405" s="74"/>
      <c r="K405" s="75"/>
    </row>
  </sheetData>
  <autoFilter ref="B3:K8" xr:uid="{00000000-0009-0000-0000-000003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B2:C21"/>
  <sheetViews>
    <sheetView workbookViewId="0">
      <selection activeCell="B23" sqref="B23"/>
    </sheetView>
  </sheetViews>
  <sheetFormatPr defaultRowHeight="15" x14ac:dyDescent="0.25"/>
  <sheetData>
    <row r="2" spans="2:3" x14ac:dyDescent="0.25">
      <c r="B2" t="s">
        <v>66</v>
      </c>
    </row>
    <row r="3" spans="2:3" x14ac:dyDescent="0.25">
      <c r="B3" t="s">
        <v>67</v>
      </c>
    </row>
    <row r="4" spans="2:3" x14ac:dyDescent="0.25">
      <c r="B4" t="s">
        <v>68</v>
      </c>
    </row>
    <row r="6" spans="2:3" x14ac:dyDescent="0.25">
      <c r="B6" t="s">
        <v>64</v>
      </c>
    </row>
    <row r="7" spans="2:3" x14ac:dyDescent="0.25">
      <c r="B7" t="s">
        <v>69</v>
      </c>
    </row>
    <row r="9" spans="2:3" x14ac:dyDescent="0.25">
      <c r="B9" t="s">
        <v>107</v>
      </c>
    </row>
    <row r="11" spans="2:3" x14ac:dyDescent="0.25">
      <c r="B11" t="s">
        <v>109</v>
      </c>
    </row>
    <row r="12" spans="2:3" x14ac:dyDescent="0.25">
      <c r="C12" t="s">
        <v>110</v>
      </c>
    </row>
    <row r="15" spans="2:3" x14ac:dyDescent="0.25">
      <c r="B15" t="s">
        <v>111</v>
      </c>
    </row>
    <row r="18" spans="2:2" x14ac:dyDescent="0.25">
      <c r="B18" t="s">
        <v>112</v>
      </c>
    </row>
    <row r="21" spans="2:2" x14ac:dyDescent="0.25">
      <c r="B21" t="s">
        <v>113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MC</vt:lpstr>
      <vt:lpstr>ARM</vt:lpstr>
      <vt:lpstr>DADOS</vt:lpstr>
      <vt:lpstr>MEDICAO</vt:lpstr>
      <vt:lpstr>Obs</vt:lpstr>
      <vt:lpstr>MC!Titulos_de_impressao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LIMA DE PAIVA</dc:creator>
  <cp:lastModifiedBy>Thelmo Pinheiro Sym - PrestServ</cp:lastModifiedBy>
  <cp:lastPrinted>2018-07-17T15:25:13Z</cp:lastPrinted>
  <dcterms:created xsi:type="dcterms:W3CDTF">2015-06-05T18:19:34Z</dcterms:created>
  <dcterms:modified xsi:type="dcterms:W3CDTF">2026-07-29T21:20:39Z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2024-11-27T18:45:23Z</vt:lpwstr>
  </property>
  <property fmtid="{D5CDD505-2E9C-101B-9397-08002B2CF9AE}" pid="4" name="MSIP_Label_140b9f7d-8e3a-482f-9702-4b7ffc40985a_Method">
    <vt:lpwstr>Privileged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26a21544-0d80-4e9b-b235-0c641c448d27</vt:lpwstr>
  </property>
  <property fmtid="{D5CDD505-2E9C-101B-9397-08002B2CF9AE}" pid="8" name="MSIP_Label_140b9f7d-8e3a-482f-9702-4b7ffc40985a_ContentBits">
    <vt:lpwstr>2</vt:lpwstr>
  </property>
</Properties>
</file>
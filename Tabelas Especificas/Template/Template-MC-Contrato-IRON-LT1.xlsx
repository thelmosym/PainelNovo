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Thelmo\Tabelas Especificas\Template\"/>
    </mc:Choice>
  </mc:AlternateContent>
  <xr:revisionPtr revIDLastSave="0" documentId="13_ncr:1_{5DD41655-5968-4AFD-959E-0B4E2F00685E}" xr6:coauthVersionLast="47" xr6:coauthVersionMax="47" xr10:uidLastSave="{00000000-0000-0000-0000-000000000000}"/>
  <bookViews>
    <workbookView xWindow="-108" yWindow="-108" windowWidth="30936" windowHeight="16776" tabRatio="736" xr2:uid="{00000000-000D-0000-FFFF-FFFF00000000}"/>
  </bookViews>
  <sheets>
    <sheet name="MC" sheetId="2" r:id="rId1"/>
    <sheet name="ARM" sheetId="3" r:id="rId2"/>
    <sheet name="DADOS" sheetId="6" r:id="rId3"/>
    <sheet name="MEDICAO" sheetId="4" r:id="rId4"/>
    <sheet name="Obs" sheetId="5" r:id="rId5"/>
  </sheets>
  <definedNames>
    <definedName name="_xlnm._FilterDatabase" localSheetId="1" hidden="1">ARM!$A$1:$K$57</definedName>
    <definedName name="_xlnm._FilterDatabase" localSheetId="2" hidden="1">DADOS!$B$2:$AE$2</definedName>
    <definedName name="_xlnm._FilterDatabase" localSheetId="3" hidden="1">MEDICAO!$B$3:$K$3</definedName>
    <definedName name="_xlnm.Print_Titles" localSheetId="0">MC!$3:$10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" i="6" l="1"/>
  <c r="J30" i="2" l="1"/>
  <c r="J13" i="2"/>
  <c r="AF3" i="6"/>
  <c r="AG6" i="6"/>
  <c r="AF4" i="6"/>
  <c r="AG4" i="6" s="1"/>
  <c r="AH4" i="6"/>
  <c r="AF5" i="6"/>
  <c r="AG5" i="6" s="1"/>
  <c r="AH5" i="6"/>
  <c r="AF6" i="6"/>
  <c r="AH6" i="6"/>
  <c r="AF7" i="6"/>
  <c r="AG7" i="6"/>
  <c r="AH7" i="6"/>
  <c r="AF8" i="6"/>
  <c r="AG8" i="6"/>
  <c r="AH8" i="6"/>
  <c r="AF9" i="6"/>
  <c r="AG9" i="6"/>
  <c r="AH9" i="6"/>
  <c r="AF10" i="6"/>
  <c r="AG10" i="6"/>
  <c r="AH10" i="6"/>
  <c r="AF11" i="6"/>
  <c r="AG11" i="6" s="1"/>
  <c r="AH11" i="6"/>
  <c r="AF12" i="6"/>
  <c r="AG12" i="6" s="1"/>
  <c r="AH12" i="6"/>
  <c r="AF13" i="6"/>
  <c r="AG13" i="6" s="1"/>
  <c r="AH13" i="6"/>
  <c r="AF14" i="6"/>
  <c r="AG14" i="6" s="1"/>
  <c r="AH14" i="6"/>
  <c r="AF15" i="6"/>
  <c r="AG15" i="6"/>
  <c r="AH15" i="6"/>
  <c r="AF16" i="6"/>
  <c r="AG16" i="6"/>
  <c r="AH16" i="6"/>
  <c r="AF17" i="6"/>
  <c r="AG17" i="6"/>
  <c r="AH17" i="6"/>
  <c r="AF18" i="6"/>
  <c r="AG18" i="6"/>
  <c r="AH18" i="6"/>
  <c r="AF19" i="6"/>
  <c r="AG19" i="6" s="1"/>
  <c r="AH19" i="6"/>
  <c r="AF20" i="6"/>
  <c r="AG20" i="6" s="1"/>
  <c r="AH20" i="6"/>
  <c r="AF21" i="6"/>
  <c r="AG21" i="6" s="1"/>
  <c r="AH21" i="6"/>
  <c r="AF22" i="6"/>
  <c r="AG22" i="6" s="1"/>
  <c r="AH22" i="6"/>
  <c r="AF23" i="6"/>
  <c r="AG23" i="6"/>
  <c r="AH23" i="6"/>
  <c r="AF24" i="6"/>
  <c r="AG24" i="6"/>
  <c r="AH24" i="6"/>
  <c r="AF25" i="6"/>
  <c r="AG25" i="6"/>
  <c r="AH25" i="6"/>
  <c r="AF26" i="6"/>
  <c r="AG26" i="6"/>
  <c r="AH26" i="6"/>
  <c r="AF27" i="6"/>
  <c r="AG27" i="6" s="1"/>
  <c r="AH27" i="6"/>
  <c r="AF28" i="6"/>
  <c r="AG28" i="6" s="1"/>
  <c r="AH28" i="6"/>
  <c r="AF29" i="6"/>
  <c r="AG29" i="6" s="1"/>
  <c r="AH29" i="6"/>
  <c r="AF30" i="6"/>
  <c r="AG30" i="6" s="1"/>
  <c r="AH30" i="6"/>
  <c r="AF31" i="6"/>
  <c r="AG31" i="6"/>
  <c r="AH31" i="6"/>
  <c r="AF32" i="6"/>
  <c r="AG32" i="6"/>
  <c r="AH32" i="6"/>
  <c r="AF33" i="6"/>
  <c r="AG33" i="6"/>
  <c r="AH33" i="6"/>
  <c r="AF34" i="6"/>
  <c r="AG34" i="6"/>
  <c r="AH34" i="6"/>
  <c r="AF35" i="6"/>
  <c r="AG35" i="6" s="1"/>
  <c r="AH35" i="6"/>
  <c r="AF36" i="6"/>
  <c r="AG36" i="6" s="1"/>
  <c r="AH36" i="6"/>
  <c r="AF37" i="6"/>
  <c r="AG37" i="6" s="1"/>
  <c r="AH37" i="6"/>
  <c r="AF38" i="6"/>
  <c r="AG38" i="6" s="1"/>
  <c r="AH38" i="6"/>
  <c r="AF39" i="6"/>
  <c r="AG39" i="6"/>
  <c r="AH39" i="6"/>
  <c r="AF40" i="6"/>
  <c r="AG40" i="6"/>
  <c r="AH40" i="6"/>
  <c r="AF41" i="6"/>
  <c r="AG41" i="6"/>
  <c r="AH41" i="6"/>
  <c r="AF42" i="6"/>
  <c r="AG42" i="6"/>
  <c r="AH42" i="6"/>
  <c r="AF43" i="6"/>
  <c r="AG43" i="6" s="1"/>
  <c r="AH43" i="6"/>
  <c r="AF44" i="6"/>
  <c r="AG44" i="6" s="1"/>
  <c r="AH44" i="6"/>
  <c r="AF45" i="6"/>
  <c r="AG45" i="6" s="1"/>
  <c r="AH45" i="6"/>
  <c r="AF46" i="6"/>
  <c r="AG46" i="6" s="1"/>
  <c r="AH46" i="6"/>
  <c r="AF47" i="6"/>
  <c r="AG47" i="6"/>
  <c r="AH47" i="6"/>
  <c r="AF48" i="6"/>
  <c r="AG48" i="6"/>
  <c r="AH48" i="6"/>
  <c r="AF49" i="6"/>
  <c r="AG49" i="6"/>
  <c r="AH49" i="6"/>
  <c r="AF50" i="6"/>
  <c r="AG50" i="6"/>
  <c r="AH50" i="6"/>
  <c r="AF51" i="6"/>
  <c r="AG51" i="6" s="1"/>
  <c r="AH51" i="6"/>
  <c r="AF52" i="6"/>
  <c r="AG52" i="6" s="1"/>
  <c r="AH52" i="6"/>
  <c r="AF53" i="6"/>
  <c r="AG53" i="6" s="1"/>
  <c r="AH53" i="6"/>
  <c r="AF54" i="6"/>
  <c r="AG54" i="6" s="1"/>
  <c r="AH54" i="6"/>
  <c r="AF55" i="6"/>
  <c r="AG55" i="6"/>
  <c r="AH55" i="6"/>
  <c r="AF56" i="6"/>
  <c r="AG56" i="6"/>
  <c r="AH56" i="6"/>
  <c r="AF57" i="6"/>
  <c r="AG57" i="6"/>
  <c r="AH57" i="6"/>
  <c r="AF58" i="6"/>
  <c r="AG58" i="6"/>
  <c r="AH58" i="6"/>
  <c r="AF59" i="6"/>
  <c r="AG59" i="6" s="1"/>
  <c r="AH59" i="6"/>
  <c r="AF60" i="6"/>
  <c r="AG60" i="6" s="1"/>
  <c r="AH60" i="6"/>
  <c r="AF61" i="6"/>
  <c r="AG61" i="6" s="1"/>
  <c r="AH61" i="6"/>
  <c r="AF62" i="6"/>
  <c r="AG62" i="6" s="1"/>
  <c r="AH62" i="6"/>
  <c r="AF63" i="6"/>
  <c r="AG63" i="6"/>
  <c r="AH63" i="6"/>
  <c r="AF64" i="6"/>
  <c r="AG64" i="6"/>
  <c r="AH64" i="6"/>
  <c r="AF65" i="6"/>
  <c r="AG65" i="6"/>
  <c r="AH65" i="6"/>
  <c r="AF66" i="6"/>
  <c r="AG66" i="6"/>
  <c r="AH66" i="6"/>
  <c r="AF67" i="6"/>
  <c r="AG67" i="6" s="1"/>
  <c r="AH67" i="6"/>
  <c r="AF68" i="6"/>
  <c r="AG68" i="6" s="1"/>
  <c r="AH68" i="6"/>
  <c r="AF69" i="6"/>
  <c r="AG69" i="6" s="1"/>
  <c r="AH69" i="6"/>
  <c r="AF70" i="6"/>
  <c r="AG70" i="6" s="1"/>
  <c r="AH70" i="6"/>
  <c r="AF71" i="6"/>
  <c r="AG71" i="6"/>
  <c r="AH71" i="6"/>
  <c r="AF72" i="6"/>
  <c r="AG72" i="6"/>
  <c r="AH72" i="6"/>
  <c r="AF73" i="6"/>
  <c r="AG73" i="6"/>
  <c r="AH73" i="6"/>
  <c r="AF74" i="6"/>
  <c r="AG74" i="6"/>
  <c r="AH74" i="6"/>
  <c r="AF75" i="6"/>
  <c r="AG75" i="6" s="1"/>
  <c r="AH75" i="6"/>
  <c r="AF76" i="6"/>
  <c r="AG76" i="6" s="1"/>
  <c r="AH76" i="6"/>
  <c r="AF77" i="6"/>
  <c r="AG77" i="6" s="1"/>
  <c r="AH77" i="6"/>
  <c r="AF78" i="6"/>
  <c r="AG78" i="6" s="1"/>
  <c r="AH78" i="6"/>
  <c r="AF79" i="6"/>
  <c r="AG79" i="6"/>
  <c r="AH79" i="6"/>
  <c r="AF80" i="6"/>
  <c r="AG80" i="6"/>
  <c r="AH80" i="6"/>
  <c r="AF81" i="6"/>
  <c r="AG81" i="6"/>
  <c r="AH81" i="6"/>
  <c r="AF82" i="6"/>
  <c r="AG82" i="6"/>
  <c r="AH82" i="6"/>
  <c r="AF83" i="6"/>
  <c r="AG83" i="6" s="1"/>
  <c r="AH83" i="6"/>
  <c r="AF84" i="6"/>
  <c r="AG84" i="6" s="1"/>
  <c r="AH84" i="6"/>
  <c r="AF85" i="6"/>
  <c r="AG85" i="6" s="1"/>
  <c r="AH85" i="6"/>
  <c r="AF86" i="6"/>
  <c r="AG86" i="6" s="1"/>
  <c r="AH86" i="6"/>
  <c r="AF87" i="6"/>
  <c r="AG87" i="6"/>
  <c r="AH87" i="6"/>
  <c r="AF88" i="6"/>
  <c r="AG88" i="6"/>
  <c r="AH88" i="6"/>
  <c r="AF89" i="6"/>
  <c r="AG89" i="6"/>
  <c r="AH89" i="6"/>
  <c r="AF90" i="6"/>
  <c r="AG90" i="6"/>
  <c r="AH90" i="6"/>
  <c r="AF91" i="6"/>
  <c r="AG91" i="6" s="1"/>
  <c r="AH91" i="6"/>
  <c r="AF92" i="6"/>
  <c r="AG92" i="6" s="1"/>
  <c r="AH92" i="6"/>
  <c r="AF93" i="6"/>
  <c r="AG93" i="6" s="1"/>
  <c r="AH93" i="6"/>
  <c r="AF94" i="6"/>
  <c r="AG94" i="6" s="1"/>
  <c r="AH94" i="6"/>
  <c r="AF95" i="6"/>
  <c r="AG95" i="6"/>
  <c r="AH95" i="6"/>
  <c r="AF96" i="6"/>
  <c r="AG96" i="6"/>
  <c r="AH96" i="6"/>
  <c r="AF97" i="6"/>
  <c r="AG97" i="6"/>
  <c r="AH97" i="6"/>
  <c r="AF98" i="6"/>
  <c r="AG98" i="6"/>
  <c r="AH98" i="6"/>
  <c r="AF99" i="6"/>
  <c r="AG99" i="6" s="1"/>
  <c r="AH99" i="6"/>
  <c r="AF100" i="6"/>
  <c r="AG100" i="6" s="1"/>
  <c r="AH100" i="6"/>
  <c r="AF101" i="6"/>
  <c r="AG101" i="6" s="1"/>
  <c r="AH101" i="6"/>
  <c r="AF102" i="6"/>
  <c r="AG102" i="6" s="1"/>
  <c r="AH102" i="6"/>
  <c r="AF103" i="6"/>
  <c r="AG103" i="6"/>
  <c r="AH103" i="6"/>
  <c r="AF104" i="6"/>
  <c r="AG104" i="6"/>
  <c r="AH104" i="6"/>
  <c r="AF105" i="6"/>
  <c r="AG105" i="6"/>
  <c r="AH105" i="6"/>
  <c r="AF106" i="6"/>
  <c r="AG106" i="6"/>
  <c r="AH106" i="6"/>
  <c r="AF107" i="6"/>
  <c r="AG107" i="6" s="1"/>
  <c r="AH107" i="6"/>
  <c r="AF108" i="6"/>
  <c r="AG108" i="6" s="1"/>
  <c r="AH108" i="6"/>
  <c r="AF109" i="6"/>
  <c r="AG109" i="6" s="1"/>
  <c r="AH109" i="6"/>
  <c r="AF110" i="6"/>
  <c r="AG110" i="6" s="1"/>
  <c r="AH110" i="6"/>
  <c r="AF111" i="6"/>
  <c r="AG111" i="6"/>
  <c r="AH111" i="6"/>
  <c r="AF112" i="6"/>
  <c r="AG112" i="6"/>
  <c r="AH112" i="6"/>
  <c r="AF113" i="6"/>
  <c r="AG113" i="6"/>
  <c r="AH113" i="6"/>
  <c r="AF114" i="6"/>
  <c r="AG114" i="6"/>
  <c r="AH114" i="6"/>
  <c r="AF115" i="6"/>
  <c r="AG115" i="6" s="1"/>
  <c r="AH115" i="6"/>
  <c r="AF116" i="6"/>
  <c r="AG116" i="6" s="1"/>
  <c r="AH116" i="6"/>
  <c r="AF117" i="6"/>
  <c r="AG117" i="6" s="1"/>
  <c r="AH117" i="6"/>
  <c r="AF118" i="6"/>
  <c r="AG118" i="6" s="1"/>
  <c r="AH118" i="6"/>
  <c r="AF119" i="6"/>
  <c r="AG119" i="6"/>
  <c r="AH119" i="6"/>
  <c r="AF120" i="6"/>
  <c r="AG120" i="6"/>
  <c r="AH120" i="6"/>
  <c r="AF121" i="6"/>
  <c r="AG121" i="6"/>
  <c r="AH121" i="6"/>
  <c r="AF122" i="6"/>
  <c r="AG122" i="6"/>
  <c r="AH122" i="6"/>
  <c r="AF123" i="6"/>
  <c r="AG123" i="6" s="1"/>
  <c r="AH123" i="6"/>
  <c r="AF124" i="6"/>
  <c r="AG124" i="6" s="1"/>
  <c r="AH124" i="6"/>
  <c r="AF125" i="6"/>
  <c r="AG125" i="6" s="1"/>
  <c r="AH125" i="6"/>
  <c r="AF126" i="6"/>
  <c r="AG126" i="6" s="1"/>
  <c r="AH126" i="6"/>
  <c r="AF127" i="6"/>
  <c r="AG127" i="6"/>
  <c r="AH127" i="6"/>
  <c r="AF128" i="6"/>
  <c r="AG128" i="6"/>
  <c r="AH128" i="6"/>
  <c r="AF129" i="6"/>
  <c r="AG129" i="6"/>
  <c r="AH129" i="6"/>
  <c r="AF130" i="6"/>
  <c r="AG130" i="6"/>
  <c r="AH130" i="6"/>
  <c r="AF131" i="6"/>
  <c r="AG131" i="6" s="1"/>
  <c r="AH131" i="6"/>
  <c r="AF132" i="6"/>
  <c r="AG132" i="6" s="1"/>
  <c r="AH132" i="6"/>
  <c r="AF133" i="6"/>
  <c r="AG133" i="6" s="1"/>
  <c r="AH133" i="6"/>
  <c r="AF134" i="6"/>
  <c r="AG134" i="6" s="1"/>
  <c r="AH134" i="6"/>
  <c r="AF135" i="6"/>
  <c r="AG135" i="6"/>
  <c r="AH135" i="6"/>
  <c r="AF136" i="6"/>
  <c r="AG136" i="6"/>
  <c r="AH136" i="6"/>
  <c r="AF137" i="6"/>
  <c r="AG137" i="6"/>
  <c r="AH137" i="6"/>
  <c r="AF138" i="6"/>
  <c r="AG138" i="6"/>
  <c r="AH138" i="6"/>
  <c r="AF139" i="6"/>
  <c r="AG139" i="6" s="1"/>
  <c r="AH139" i="6"/>
  <c r="AF140" i="6"/>
  <c r="AG140" i="6" s="1"/>
  <c r="AH140" i="6"/>
  <c r="AF141" i="6"/>
  <c r="AG141" i="6" s="1"/>
  <c r="AH141" i="6"/>
  <c r="AF142" i="6"/>
  <c r="AG142" i="6" s="1"/>
  <c r="AH142" i="6"/>
  <c r="AF143" i="6"/>
  <c r="AG143" i="6"/>
  <c r="AH143" i="6"/>
  <c r="AF144" i="6"/>
  <c r="AG144" i="6"/>
  <c r="AH144" i="6"/>
  <c r="AF145" i="6"/>
  <c r="AG145" i="6"/>
  <c r="AH145" i="6"/>
  <c r="AF146" i="6"/>
  <c r="AG146" i="6"/>
  <c r="AH146" i="6"/>
  <c r="AF147" i="6"/>
  <c r="AG147" i="6" s="1"/>
  <c r="AH147" i="6"/>
  <c r="AF148" i="6"/>
  <c r="AG148" i="6" s="1"/>
  <c r="AH148" i="6"/>
  <c r="AF149" i="6"/>
  <c r="AG149" i="6" s="1"/>
  <c r="AH149" i="6"/>
  <c r="AF150" i="6"/>
  <c r="AG150" i="6" s="1"/>
  <c r="AH150" i="6"/>
  <c r="AF151" i="6"/>
  <c r="AG151" i="6"/>
  <c r="AH151" i="6"/>
  <c r="AF152" i="6"/>
  <c r="AG152" i="6"/>
  <c r="AH152" i="6"/>
  <c r="AF153" i="6"/>
  <c r="AG153" i="6"/>
  <c r="AH153" i="6"/>
  <c r="AF154" i="6"/>
  <c r="AG154" i="6"/>
  <c r="AH154" i="6"/>
  <c r="AF155" i="6"/>
  <c r="AG155" i="6" s="1"/>
  <c r="AH155" i="6"/>
  <c r="AF156" i="6"/>
  <c r="AG156" i="6" s="1"/>
  <c r="AH156" i="6"/>
  <c r="AF157" i="6"/>
  <c r="AG157" i="6" s="1"/>
  <c r="AH157" i="6"/>
  <c r="AF158" i="6"/>
  <c r="AG158" i="6" s="1"/>
  <c r="AH158" i="6"/>
  <c r="AF159" i="6"/>
  <c r="AG159" i="6"/>
  <c r="AH159" i="6"/>
  <c r="AF160" i="6"/>
  <c r="AG160" i="6"/>
  <c r="AH160" i="6"/>
  <c r="AF161" i="6"/>
  <c r="AG161" i="6"/>
  <c r="AH161" i="6"/>
  <c r="AF162" i="6"/>
  <c r="AG162" i="6"/>
  <c r="AH162" i="6"/>
  <c r="AF163" i="6"/>
  <c r="AG163" i="6" s="1"/>
  <c r="AH163" i="6"/>
  <c r="AF164" i="6"/>
  <c r="AG164" i="6" s="1"/>
  <c r="AH164" i="6"/>
  <c r="AF165" i="6"/>
  <c r="AG165" i="6" s="1"/>
  <c r="AH165" i="6"/>
  <c r="AF166" i="6"/>
  <c r="AG166" i="6" s="1"/>
  <c r="AH166" i="6"/>
  <c r="AF167" i="6"/>
  <c r="AG167" i="6"/>
  <c r="AH167" i="6"/>
  <c r="AF168" i="6"/>
  <c r="AG168" i="6"/>
  <c r="AH168" i="6"/>
  <c r="AF169" i="6"/>
  <c r="AG169" i="6"/>
  <c r="AH169" i="6"/>
  <c r="AF170" i="6"/>
  <c r="AG170" i="6"/>
  <c r="AH170" i="6"/>
  <c r="AF171" i="6"/>
  <c r="AG171" i="6" s="1"/>
  <c r="AH171" i="6"/>
  <c r="AF172" i="6"/>
  <c r="AG172" i="6" s="1"/>
  <c r="AH172" i="6"/>
  <c r="AF173" i="6"/>
  <c r="AG173" i="6" s="1"/>
  <c r="AH173" i="6"/>
  <c r="AF174" i="6"/>
  <c r="AG174" i="6" s="1"/>
  <c r="AH174" i="6"/>
  <c r="AF175" i="6"/>
  <c r="AG175" i="6"/>
  <c r="AH175" i="6"/>
  <c r="AF176" i="6"/>
  <c r="AG176" i="6"/>
  <c r="AH176" i="6"/>
  <c r="AF177" i="6"/>
  <c r="AG177" i="6"/>
  <c r="AH177" i="6"/>
  <c r="AF178" i="6"/>
  <c r="AG178" i="6"/>
  <c r="AH178" i="6"/>
  <c r="AF179" i="6"/>
  <c r="AG179" i="6" s="1"/>
  <c r="AH179" i="6"/>
  <c r="AF180" i="6"/>
  <c r="AG180" i="6" s="1"/>
  <c r="AH180" i="6"/>
  <c r="AF181" i="6"/>
  <c r="AG181" i="6" s="1"/>
  <c r="AH181" i="6"/>
  <c r="AF182" i="6"/>
  <c r="AG182" i="6" s="1"/>
  <c r="AH182" i="6"/>
  <c r="AF183" i="6"/>
  <c r="AG183" i="6"/>
  <c r="AH183" i="6"/>
  <c r="AF184" i="6"/>
  <c r="AG184" i="6"/>
  <c r="AH184" i="6"/>
  <c r="AF185" i="6"/>
  <c r="AG185" i="6"/>
  <c r="AH185" i="6"/>
  <c r="AF186" i="6"/>
  <c r="AG186" i="6"/>
  <c r="AH186" i="6"/>
  <c r="AF187" i="6"/>
  <c r="AG187" i="6" s="1"/>
  <c r="AH187" i="6"/>
  <c r="AF188" i="6"/>
  <c r="AG188" i="6" s="1"/>
  <c r="AH188" i="6"/>
  <c r="AF189" i="6"/>
  <c r="AG189" i="6" s="1"/>
  <c r="AH189" i="6"/>
  <c r="AF190" i="6"/>
  <c r="AG190" i="6" s="1"/>
  <c r="AH190" i="6"/>
  <c r="AF191" i="6"/>
  <c r="AG191" i="6"/>
  <c r="AH191" i="6"/>
  <c r="AF192" i="6"/>
  <c r="AG192" i="6"/>
  <c r="AH192" i="6"/>
  <c r="AF193" i="6"/>
  <c r="AG193" i="6"/>
  <c r="AH193" i="6"/>
  <c r="AF194" i="6"/>
  <c r="AG194" i="6"/>
  <c r="AH194" i="6"/>
  <c r="AF195" i="6"/>
  <c r="AG195" i="6" s="1"/>
  <c r="AH195" i="6"/>
  <c r="AF196" i="6"/>
  <c r="AG196" i="6" s="1"/>
  <c r="AH196" i="6"/>
  <c r="AF197" i="6"/>
  <c r="AG197" i="6" s="1"/>
  <c r="AH197" i="6"/>
  <c r="AF198" i="6"/>
  <c r="AG198" i="6" s="1"/>
  <c r="AH198" i="6"/>
  <c r="AF199" i="6"/>
  <c r="AG199" i="6"/>
  <c r="AH199" i="6"/>
  <c r="AF200" i="6"/>
  <c r="AG200" i="6"/>
  <c r="AH200" i="6"/>
  <c r="AF201" i="6"/>
  <c r="AG201" i="6"/>
  <c r="AH201" i="6"/>
  <c r="AF202" i="6"/>
  <c r="AG202" i="6"/>
  <c r="AH202" i="6"/>
  <c r="AF203" i="6"/>
  <c r="AG203" i="6" s="1"/>
  <c r="AH203" i="6"/>
  <c r="AF204" i="6"/>
  <c r="AG204" i="6" s="1"/>
  <c r="AH204" i="6"/>
  <c r="AF205" i="6"/>
  <c r="AG205" i="6" s="1"/>
  <c r="AH205" i="6"/>
  <c r="AF206" i="6"/>
  <c r="AG206" i="6" s="1"/>
  <c r="AH206" i="6"/>
  <c r="AF207" i="6"/>
  <c r="AG207" i="6"/>
  <c r="AH207" i="6"/>
  <c r="AF208" i="6"/>
  <c r="AG208" i="6"/>
  <c r="AH208" i="6"/>
  <c r="AF209" i="6"/>
  <c r="AG209" i="6"/>
  <c r="AH209" i="6"/>
  <c r="AF210" i="6"/>
  <c r="AG210" i="6"/>
  <c r="AH210" i="6"/>
  <c r="AF211" i="6"/>
  <c r="AG211" i="6" s="1"/>
  <c r="AH211" i="6"/>
  <c r="AF212" i="6"/>
  <c r="AG212" i="6" s="1"/>
  <c r="AH212" i="6"/>
  <c r="AF213" i="6"/>
  <c r="AG213" i="6" s="1"/>
  <c r="AH213" i="6"/>
  <c r="AF214" i="6"/>
  <c r="AG214" i="6" s="1"/>
  <c r="AH214" i="6"/>
  <c r="AF215" i="6"/>
  <c r="AG215" i="6"/>
  <c r="AH215" i="6"/>
  <c r="AF216" i="6"/>
  <c r="AG216" i="6"/>
  <c r="AH216" i="6"/>
  <c r="AF217" i="6"/>
  <c r="AG217" i="6"/>
  <c r="AH217" i="6"/>
  <c r="AF218" i="6"/>
  <c r="AG218" i="6"/>
  <c r="AH218" i="6"/>
  <c r="AF219" i="6"/>
  <c r="AG219" i="6" s="1"/>
  <c r="AH219" i="6"/>
  <c r="AF220" i="6"/>
  <c r="AG220" i="6" s="1"/>
  <c r="AH220" i="6"/>
  <c r="AF221" i="6"/>
  <c r="AG221" i="6" s="1"/>
  <c r="AH221" i="6"/>
  <c r="AF222" i="6"/>
  <c r="AG222" i="6" s="1"/>
  <c r="AH222" i="6"/>
  <c r="AF223" i="6"/>
  <c r="AG223" i="6"/>
  <c r="AH223" i="6"/>
  <c r="AF224" i="6"/>
  <c r="AG224" i="6"/>
  <c r="AH224" i="6"/>
  <c r="AF225" i="6"/>
  <c r="AG225" i="6"/>
  <c r="AH225" i="6"/>
  <c r="AF226" i="6"/>
  <c r="AG226" i="6"/>
  <c r="AH226" i="6"/>
  <c r="AF227" i="6"/>
  <c r="AG227" i="6" s="1"/>
  <c r="AH227" i="6"/>
  <c r="AF228" i="6"/>
  <c r="AG228" i="6" s="1"/>
  <c r="AH228" i="6"/>
  <c r="AF229" i="6"/>
  <c r="AG229" i="6" s="1"/>
  <c r="AH229" i="6"/>
  <c r="AF230" i="6"/>
  <c r="AG230" i="6" s="1"/>
  <c r="AH230" i="6"/>
  <c r="AF231" i="6"/>
  <c r="AG231" i="6"/>
  <c r="AH231" i="6"/>
  <c r="AF232" i="6"/>
  <c r="AG232" i="6"/>
  <c r="AH232" i="6"/>
  <c r="AF233" i="6"/>
  <c r="AG233" i="6"/>
  <c r="AH233" i="6"/>
  <c r="AF234" i="6"/>
  <c r="AG234" i="6"/>
  <c r="AH234" i="6"/>
  <c r="AF235" i="6"/>
  <c r="AG235" i="6" s="1"/>
  <c r="AH235" i="6"/>
  <c r="AF236" i="6"/>
  <c r="AG236" i="6" s="1"/>
  <c r="AH236" i="6"/>
  <c r="AF237" i="6"/>
  <c r="AG237" i="6" s="1"/>
  <c r="AH237" i="6"/>
  <c r="AF238" i="6"/>
  <c r="AG238" i="6" s="1"/>
  <c r="AH238" i="6"/>
  <c r="AF239" i="6"/>
  <c r="AG239" i="6"/>
  <c r="AH239" i="6"/>
  <c r="AF240" i="6"/>
  <c r="AG240" i="6"/>
  <c r="AH240" i="6"/>
  <c r="AF241" i="6"/>
  <c r="AG241" i="6"/>
  <c r="AH241" i="6"/>
  <c r="AF242" i="6"/>
  <c r="AG242" i="6"/>
  <c r="AH242" i="6"/>
  <c r="AF243" i="6"/>
  <c r="AG243" i="6" s="1"/>
  <c r="AH243" i="6"/>
  <c r="AF244" i="6"/>
  <c r="AG244" i="6" s="1"/>
  <c r="AH244" i="6"/>
  <c r="AF245" i="6"/>
  <c r="AG245" i="6" s="1"/>
  <c r="AH245" i="6"/>
  <c r="AF246" i="6"/>
  <c r="AG246" i="6" s="1"/>
  <c r="AH246" i="6"/>
  <c r="AF247" i="6"/>
  <c r="AG247" i="6"/>
  <c r="AH247" i="6"/>
  <c r="AF248" i="6"/>
  <c r="AG248" i="6"/>
  <c r="AH248" i="6"/>
  <c r="AF249" i="6"/>
  <c r="AG249" i="6"/>
  <c r="AH249" i="6"/>
  <c r="AF250" i="6"/>
  <c r="AG250" i="6"/>
  <c r="AH250" i="6"/>
  <c r="AF251" i="6"/>
  <c r="AG251" i="6" s="1"/>
  <c r="AH251" i="6"/>
  <c r="AF252" i="6"/>
  <c r="AG252" i="6" s="1"/>
  <c r="AH252" i="6"/>
  <c r="AF253" i="6"/>
  <c r="AG253" i="6" s="1"/>
  <c r="AH253" i="6"/>
  <c r="AF254" i="6"/>
  <c r="AG254" i="6" s="1"/>
  <c r="AH254" i="6"/>
  <c r="AF255" i="6"/>
  <c r="AG255" i="6"/>
  <c r="AH255" i="6"/>
  <c r="AF256" i="6"/>
  <c r="AG256" i="6"/>
  <c r="AH256" i="6"/>
  <c r="AF257" i="6"/>
  <c r="AG257" i="6"/>
  <c r="AH257" i="6"/>
  <c r="AF258" i="6"/>
  <c r="AG258" i="6"/>
  <c r="AH258" i="6"/>
  <c r="AF259" i="6"/>
  <c r="AG259" i="6" s="1"/>
  <c r="AH259" i="6"/>
  <c r="AF260" i="6"/>
  <c r="AG260" i="6" s="1"/>
  <c r="AH260" i="6"/>
  <c r="AF261" i="6"/>
  <c r="AG261" i="6" s="1"/>
  <c r="AH261" i="6"/>
  <c r="AF262" i="6"/>
  <c r="AG262" i="6" s="1"/>
  <c r="AH262" i="6"/>
  <c r="AF263" i="6"/>
  <c r="AG263" i="6"/>
  <c r="AH263" i="6"/>
  <c r="AF264" i="6"/>
  <c r="AG264" i="6"/>
  <c r="AH264" i="6"/>
  <c r="AF265" i="6"/>
  <c r="AG265" i="6"/>
  <c r="AH265" i="6"/>
  <c r="AF266" i="6"/>
  <c r="AG266" i="6"/>
  <c r="AH266" i="6"/>
  <c r="AF267" i="6"/>
  <c r="AG267" i="6" s="1"/>
  <c r="AH267" i="6"/>
  <c r="AF268" i="6"/>
  <c r="AG268" i="6" s="1"/>
  <c r="AH268" i="6"/>
  <c r="AF269" i="6"/>
  <c r="AG269" i="6" s="1"/>
  <c r="AH269" i="6"/>
  <c r="AF270" i="6"/>
  <c r="AG270" i="6" s="1"/>
  <c r="AH270" i="6"/>
  <c r="AF271" i="6"/>
  <c r="AG271" i="6"/>
  <c r="AH271" i="6"/>
  <c r="AF272" i="6"/>
  <c r="AG272" i="6"/>
  <c r="AH272" i="6"/>
  <c r="AF273" i="6"/>
  <c r="AG273" i="6"/>
  <c r="AH273" i="6"/>
  <c r="AF274" i="6"/>
  <c r="AG274" i="6"/>
  <c r="AH274" i="6"/>
  <c r="AF275" i="6"/>
  <c r="AG275" i="6" s="1"/>
  <c r="AH275" i="6"/>
  <c r="AF276" i="6"/>
  <c r="AG276" i="6" s="1"/>
  <c r="AH276" i="6"/>
  <c r="AF277" i="6"/>
  <c r="AG277" i="6" s="1"/>
  <c r="AH277" i="6"/>
  <c r="AF278" i="6"/>
  <c r="AG278" i="6" s="1"/>
  <c r="AH278" i="6"/>
  <c r="AF279" i="6"/>
  <c r="AG279" i="6"/>
  <c r="AH279" i="6"/>
  <c r="AF280" i="6"/>
  <c r="AG280" i="6"/>
  <c r="AH280" i="6"/>
  <c r="AF281" i="6"/>
  <c r="AG281" i="6"/>
  <c r="AH281" i="6"/>
  <c r="AF282" i="6"/>
  <c r="AG282" i="6"/>
  <c r="AH282" i="6"/>
  <c r="AF283" i="6"/>
  <c r="AG283" i="6" s="1"/>
  <c r="AH283" i="6"/>
  <c r="AF284" i="6"/>
  <c r="AG284" i="6" s="1"/>
  <c r="AH284" i="6"/>
  <c r="AF285" i="6"/>
  <c r="AG285" i="6" s="1"/>
  <c r="AH285" i="6"/>
  <c r="AF286" i="6"/>
  <c r="AG286" i="6" s="1"/>
  <c r="AH286" i="6"/>
  <c r="AF287" i="6"/>
  <c r="AG287" i="6"/>
  <c r="AH287" i="6"/>
  <c r="AF288" i="6"/>
  <c r="AG288" i="6"/>
  <c r="AH288" i="6"/>
  <c r="AF289" i="6"/>
  <c r="AG289" i="6"/>
  <c r="AH289" i="6"/>
  <c r="AF290" i="6"/>
  <c r="AG290" i="6"/>
  <c r="AH290" i="6"/>
  <c r="AF291" i="6"/>
  <c r="AG291" i="6" s="1"/>
  <c r="AH291" i="6"/>
  <c r="AF292" i="6"/>
  <c r="AG292" i="6" s="1"/>
  <c r="AH292" i="6"/>
  <c r="AF293" i="6"/>
  <c r="AG293" i="6" s="1"/>
  <c r="AH293" i="6"/>
  <c r="AF294" i="6"/>
  <c r="AG294" i="6" s="1"/>
  <c r="AH294" i="6"/>
  <c r="AF295" i="6"/>
  <c r="AG295" i="6"/>
  <c r="AH295" i="6"/>
  <c r="AF296" i="6"/>
  <c r="AG296" i="6"/>
  <c r="AH296" i="6"/>
  <c r="AF297" i="6"/>
  <c r="AG297" i="6"/>
  <c r="AH297" i="6"/>
  <c r="AF298" i="6"/>
  <c r="AG298" i="6"/>
  <c r="AH298" i="6"/>
  <c r="AF299" i="6"/>
  <c r="AG299" i="6" s="1"/>
  <c r="AH299" i="6"/>
  <c r="AF300" i="6"/>
  <c r="AG300" i="6" s="1"/>
  <c r="AH300" i="6"/>
  <c r="AF301" i="6"/>
  <c r="AG301" i="6" s="1"/>
  <c r="AH301" i="6"/>
  <c r="AF302" i="6"/>
  <c r="AG302" i="6" s="1"/>
  <c r="AH302" i="6"/>
  <c r="AF303" i="6"/>
  <c r="AG303" i="6"/>
  <c r="AH303" i="6"/>
  <c r="AF304" i="6"/>
  <c r="AG304" i="6"/>
  <c r="AH304" i="6"/>
  <c r="AF305" i="6"/>
  <c r="AG305" i="6"/>
  <c r="AH305" i="6"/>
  <c r="AF306" i="6"/>
  <c r="AG306" i="6"/>
  <c r="AH306" i="6"/>
  <c r="AF307" i="6"/>
  <c r="AG307" i="6" s="1"/>
  <c r="AH307" i="6"/>
  <c r="AF308" i="6"/>
  <c r="AG308" i="6" s="1"/>
  <c r="AH308" i="6"/>
  <c r="AF309" i="6"/>
  <c r="AG309" i="6" s="1"/>
  <c r="AH309" i="6"/>
  <c r="AF310" i="6"/>
  <c r="AG310" i="6" s="1"/>
  <c r="AH310" i="6"/>
  <c r="AF311" i="6"/>
  <c r="AG311" i="6"/>
  <c r="AH311" i="6"/>
  <c r="AF312" i="6"/>
  <c r="AG312" i="6"/>
  <c r="AH312" i="6"/>
  <c r="AF313" i="6"/>
  <c r="AG313" i="6"/>
  <c r="AH313" i="6"/>
  <c r="AF314" i="6"/>
  <c r="AG314" i="6"/>
  <c r="AH314" i="6"/>
  <c r="AF315" i="6"/>
  <c r="AG315" i="6" s="1"/>
  <c r="AH315" i="6"/>
  <c r="AF316" i="6"/>
  <c r="AG316" i="6" s="1"/>
  <c r="AH316" i="6"/>
  <c r="AF317" i="6"/>
  <c r="AG317" i="6" s="1"/>
  <c r="AH317" i="6"/>
  <c r="AF318" i="6"/>
  <c r="AG318" i="6" s="1"/>
  <c r="AH318" i="6"/>
  <c r="AF319" i="6"/>
  <c r="AG319" i="6"/>
  <c r="AH319" i="6"/>
  <c r="AF320" i="6"/>
  <c r="AG320" i="6"/>
  <c r="AH320" i="6"/>
  <c r="AF321" i="6"/>
  <c r="AG321" i="6"/>
  <c r="AH321" i="6"/>
  <c r="AF322" i="6"/>
  <c r="AG322" i="6"/>
  <c r="AH322" i="6"/>
  <c r="AF323" i="6"/>
  <c r="AG323" i="6" s="1"/>
  <c r="AH323" i="6"/>
  <c r="AF324" i="6"/>
  <c r="AG324" i="6" s="1"/>
  <c r="AH324" i="6"/>
  <c r="AF325" i="6"/>
  <c r="AG325" i="6" s="1"/>
  <c r="AH325" i="6"/>
  <c r="AF326" i="6"/>
  <c r="AG326" i="6" s="1"/>
  <c r="AH326" i="6"/>
  <c r="AF327" i="6"/>
  <c r="AG327" i="6"/>
  <c r="AH327" i="6"/>
  <c r="AF328" i="6"/>
  <c r="AG328" i="6"/>
  <c r="AH328" i="6"/>
  <c r="AF329" i="6"/>
  <c r="AG329" i="6"/>
  <c r="AH329" i="6"/>
  <c r="AF330" i="6"/>
  <c r="AG330" i="6"/>
  <c r="AH330" i="6"/>
  <c r="AF331" i="6"/>
  <c r="AG331" i="6" s="1"/>
  <c r="AH331" i="6"/>
  <c r="AF332" i="6"/>
  <c r="AG332" i="6" s="1"/>
  <c r="AH332" i="6"/>
  <c r="AF333" i="6"/>
  <c r="AG333" i="6" s="1"/>
  <c r="AH333" i="6"/>
  <c r="AF334" i="6"/>
  <c r="AG334" i="6" s="1"/>
  <c r="AH334" i="6"/>
  <c r="AF335" i="6"/>
  <c r="AG335" i="6"/>
  <c r="AH335" i="6"/>
  <c r="AF336" i="6"/>
  <c r="AG336" i="6"/>
  <c r="AH336" i="6"/>
  <c r="AF337" i="6"/>
  <c r="AG337" i="6"/>
  <c r="AH337" i="6"/>
  <c r="AF338" i="6"/>
  <c r="AG338" i="6"/>
  <c r="AH338" i="6"/>
  <c r="AF339" i="6"/>
  <c r="AG339" i="6" s="1"/>
  <c r="AH339" i="6"/>
  <c r="AF340" i="6"/>
  <c r="AG340" i="6" s="1"/>
  <c r="AH340" i="6"/>
  <c r="AF341" i="6"/>
  <c r="AG341" i="6" s="1"/>
  <c r="AH341" i="6"/>
  <c r="AF342" i="6"/>
  <c r="AG342" i="6" s="1"/>
  <c r="AH342" i="6"/>
  <c r="AF343" i="6"/>
  <c r="AG343" i="6"/>
  <c r="AH343" i="6"/>
  <c r="AF344" i="6"/>
  <c r="AG344" i="6"/>
  <c r="AH344" i="6"/>
  <c r="AF345" i="6"/>
  <c r="AG345" i="6"/>
  <c r="AH345" i="6"/>
  <c r="AF346" i="6"/>
  <c r="AG346" i="6"/>
  <c r="AH346" i="6"/>
  <c r="AF347" i="6"/>
  <c r="AG347" i="6" s="1"/>
  <c r="AH347" i="6"/>
  <c r="AF348" i="6"/>
  <c r="AG348" i="6" s="1"/>
  <c r="AH348" i="6"/>
  <c r="AF349" i="6"/>
  <c r="AG349" i="6" s="1"/>
  <c r="AH349" i="6"/>
  <c r="AF350" i="6"/>
  <c r="AG350" i="6" s="1"/>
  <c r="AH350" i="6"/>
  <c r="AF351" i="6"/>
  <c r="AG351" i="6"/>
  <c r="AH351" i="6"/>
  <c r="AF352" i="6"/>
  <c r="AG352" i="6"/>
  <c r="AH352" i="6"/>
  <c r="AF353" i="6"/>
  <c r="AG353" i="6"/>
  <c r="AH353" i="6"/>
  <c r="AF354" i="6"/>
  <c r="AG354" i="6"/>
  <c r="AH354" i="6"/>
  <c r="AF355" i="6"/>
  <c r="AG355" i="6" s="1"/>
  <c r="AH355" i="6"/>
  <c r="AF356" i="6"/>
  <c r="AG356" i="6" s="1"/>
  <c r="AH356" i="6"/>
  <c r="AF357" i="6"/>
  <c r="AG357" i="6" s="1"/>
  <c r="AH357" i="6"/>
  <c r="AF358" i="6"/>
  <c r="AG358" i="6" s="1"/>
  <c r="AH358" i="6"/>
  <c r="AF359" i="6"/>
  <c r="AG359" i="6"/>
  <c r="AH359" i="6"/>
  <c r="AF360" i="6"/>
  <c r="AG360" i="6"/>
  <c r="AH360" i="6"/>
  <c r="AF361" i="6"/>
  <c r="AG361" i="6"/>
  <c r="AH361" i="6"/>
  <c r="AF362" i="6"/>
  <c r="AG362" i="6"/>
  <c r="AH362" i="6"/>
  <c r="AF363" i="6"/>
  <c r="AG363" i="6" s="1"/>
  <c r="AH363" i="6"/>
  <c r="AF364" i="6"/>
  <c r="AG364" i="6" s="1"/>
  <c r="AH364" i="6"/>
  <c r="AF365" i="6"/>
  <c r="AG365" i="6" s="1"/>
  <c r="AH365" i="6"/>
  <c r="AF366" i="6"/>
  <c r="AG366" i="6" s="1"/>
  <c r="AH366" i="6"/>
  <c r="AF367" i="6"/>
  <c r="AG367" i="6"/>
  <c r="AH367" i="6"/>
  <c r="AF368" i="6"/>
  <c r="AG368" i="6"/>
  <c r="AH368" i="6"/>
  <c r="AF369" i="6"/>
  <c r="AG369" i="6"/>
  <c r="AH369" i="6"/>
  <c r="AF370" i="6"/>
  <c r="AG370" i="6"/>
  <c r="AH370" i="6"/>
  <c r="AF371" i="6"/>
  <c r="AG371" i="6" s="1"/>
  <c r="AH371" i="6"/>
  <c r="AF372" i="6"/>
  <c r="AG372" i="6" s="1"/>
  <c r="AH372" i="6"/>
  <c r="AF373" i="6"/>
  <c r="AG373" i="6" s="1"/>
  <c r="AH373" i="6"/>
  <c r="AF374" i="6"/>
  <c r="AG374" i="6" s="1"/>
  <c r="AH374" i="6"/>
  <c r="AF375" i="6"/>
  <c r="AG375" i="6"/>
  <c r="AH375" i="6"/>
  <c r="AF376" i="6"/>
  <c r="AG376" i="6"/>
  <c r="AH376" i="6"/>
  <c r="AF377" i="6"/>
  <c r="AG377" i="6"/>
  <c r="AH377" i="6"/>
  <c r="AF378" i="6"/>
  <c r="AG378" i="6"/>
  <c r="AH378" i="6"/>
  <c r="AF379" i="6"/>
  <c r="AG379" i="6" s="1"/>
  <c r="AH379" i="6"/>
  <c r="AF380" i="6"/>
  <c r="AG380" i="6" s="1"/>
  <c r="AH380" i="6"/>
  <c r="AF381" i="6"/>
  <c r="AG381" i="6" s="1"/>
  <c r="AH381" i="6"/>
  <c r="AF382" i="6"/>
  <c r="AG382" i="6" s="1"/>
  <c r="AH382" i="6"/>
  <c r="AF383" i="6"/>
  <c r="AG383" i="6"/>
  <c r="AH383" i="6"/>
  <c r="AF384" i="6"/>
  <c r="AG384" i="6"/>
  <c r="AH384" i="6"/>
  <c r="AF385" i="6"/>
  <c r="AG385" i="6"/>
  <c r="AH385" i="6"/>
  <c r="AF386" i="6"/>
  <c r="AG386" i="6"/>
  <c r="AH386" i="6"/>
  <c r="AF387" i="6"/>
  <c r="AG387" i="6" s="1"/>
  <c r="AH387" i="6"/>
  <c r="AF388" i="6"/>
  <c r="AG388" i="6" s="1"/>
  <c r="AH388" i="6"/>
  <c r="AF389" i="6"/>
  <c r="AG389" i="6" s="1"/>
  <c r="AH389" i="6"/>
  <c r="AF390" i="6"/>
  <c r="AG390" i="6" s="1"/>
  <c r="AH390" i="6"/>
  <c r="AF391" i="6"/>
  <c r="AG391" i="6"/>
  <c r="AH391" i="6"/>
  <c r="AF392" i="6"/>
  <c r="AG392" i="6"/>
  <c r="AH392" i="6"/>
  <c r="AF393" i="6"/>
  <c r="AG393" i="6"/>
  <c r="AH393" i="6"/>
  <c r="AF394" i="6"/>
  <c r="AG394" i="6"/>
  <c r="AH394" i="6"/>
  <c r="AF395" i="6"/>
  <c r="AG395" i="6" s="1"/>
  <c r="AH395" i="6"/>
  <c r="AF396" i="6"/>
  <c r="AG396" i="6" s="1"/>
  <c r="AH396" i="6"/>
  <c r="AF397" i="6"/>
  <c r="AG397" i="6" s="1"/>
  <c r="AH397" i="6"/>
  <c r="AF398" i="6"/>
  <c r="AG398" i="6" s="1"/>
  <c r="AH398" i="6"/>
  <c r="AF399" i="6"/>
  <c r="AG399" i="6"/>
  <c r="AH399" i="6"/>
  <c r="AF400" i="6"/>
  <c r="AG400" i="6"/>
  <c r="AH400" i="6"/>
  <c r="AF401" i="6"/>
  <c r="AG401" i="6"/>
  <c r="AH401" i="6"/>
  <c r="AF402" i="6"/>
  <c r="AG402" i="6"/>
  <c r="AH402" i="6"/>
  <c r="AF403" i="6"/>
  <c r="AG403" i="6" s="1"/>
  <c r="AH403" i="6"/>
  <c r="AF404" i="6"/>
  <c r="AG404" i="6" s="1"/>
  <c r="AH404" i="6"/>
  <c r="AF405" i="6"/>
  <c r="AG405" i="6" s="1"/>
  <c r="AH405" i="6"/>
  <c r="AF406" i="6"/>
  <c r="AG406" i="6" s="1"/>
  <c r="AH406" i="6"/>
  <c r="AF407" i="6"/>
  <c r="AG407" i="6"/>
  <c r="AH407" i="6"/>
  <c r="AF408" i="6"/>
  <c r="AG408" i="6"/>
  <c r="AH408" i="6"/>
  <c r="AF409" i="6"/>
  <c r="AG409" i="6"/>
  <c r="AH409" i="6"/>
  <c r="AF410" i="6"/>
  <c r="AG410" i="6"/>
  <c r="AH410" i="6"/>
  <c r="AF411" i="6"/>
  <c r="AG411" i="6" s="1"/>
  <c r="AH411" i="6"/>
  <c r="AF412" i="6"/>
  <c r="AG412" i="6" s="1"/>
  <c r="AH412" i="6"/>
  <c r="AF413" i="6"/>
  <c r="AG413" i="6" s="1"/>
  <c r="AH413" i="6"/>
  <c r="AF414" i="6"/>
  <c r="AG414" i="6" s="1"/>
  <c r="AH414" i="6"/>
  <c r="AF415" i="6"/>
  <c r="AG415" i="6"/>
  <c r="AH415" i="6"/>
  <c r="AF416" i="6"/>
  <c r="AG416" i="6"/>
  <c r="AH416" i="6"/>
  <c r="AF417" i="6"/>
  <c r="AG417" i="6"/>
  <c r="AH417" i="6"/>
  <c r="AF418" i="6"/>
  <c r="AG418" i="6"/>
  <c r="AH418" i="6"/>
  <c r="AF419" i="6"/>
  <c r="AG419" i="6" s="1"/>
  <c r="AH419" i="6"/>
  <c r="AF420" i="6"/>
  <c r="AG420" i="6" s="1"/>
  <c r="AH420" i="6"/>
  <c r="AF421" i="6"/>
  <c r="AG421" i="6" s="1"/>
  <c r="AH421" i="6"/>
  <c r="AF422" i="6"/>
  <c r="AG422" i="6" s="1"/>
  <c r="AH422" i="6"/>
  <c r="AF423" i="6"/>
  <c r="AG423" i="6"/>
  <c r="AH423" i="6"/>
  <c r="AF424" i="6"/>
  <c r="AG424" i="6"/>
  <c r="AH424" i="6"/>
  <c r="AF425" i="6"/>
  <c r="AG425" i="6"/>
  <c r="AH425" i="6"/>
  <c r="AF426" i="6"/>
  <c r="AG426" i="6"/>
  <c r="AH426" i="6"/>
  <c r="AF427" i="6"/>
  <c r="AG427" i="6" s="1"/>
  <c r="AH427" i="6"/>
  <c r="AF428" i="6"/>
  <c r="AG428" i="6" s="1"/>
  <c r="AH428" i="6"/>
  <c r="AF429" i="6"/>
  <c r="AG429" i="6" s="1"/>
  <c r="AH429" i="6"/>
  <c r="AF430" i="6"/>
  <c r="AG430" i="6" s="1"/>
  <c r="AH430" i="6"/>
  <c r="AF431" i="6"/>
  <c r="AG431" i="6"/>
  <c r="AH431" i="6"/>
  <c r="AF432" i="6"/>
  <c r="AG432" i="6"/>
  <c r="AH432" i="6"/>
  <c r="AF433" i="6"/>
  <c r="AG433" i="6"/>
  <c r="AH433" i="6"/>
  <c r="AF434" i="6"/>
  <c r="AG434" i="6"/>
  <c r="AH434" i="6"/>
  <c r="AF435" i="6"/>
  <c r="AG435" i="6" s="1"/>
  <c r="AH435" i="6"/>
  <c r="AF436" i="6"/>
  <c r="AG436" i="6" s="1"/>
  <c r="AH436" i="6"/>
  <c r="AF437" i="6"/>
  <c r="AG437" i="6" s="1"/>
  <c r="AH437" i="6"/>
  <c r="AF438" i="6"/>
  <c r="AG438" i="6" s="1"/>
  <c r="AH438" i="6"/>
  <c r="AF439" i="6"/>
  <c r="AG439" i="6"/>
  <c r="AH439" i="6"/>
  <c r="AF440" i="6"/>
  <c r="AG440" i="6"/>
  <c r="AH440" i="6"/>
  <c r="AF441" i="6"/>
  <c r="AG441" i="6"/>
  <c r="AH441" i="6"/>
  <c r="AF442" i="6"/>
  <c r="AG442" i="6"/>
  <c r="AH442" i="6"/>
  <c r="AF443" i="6"/>
  <c r="AG443" i="6" s="1"/>
  <c r="AH443" i="6"/>
  <c r="AF444" i="6"/>
  <c r="AG444" i="6" s="1"/>
  <c r="AH444" i="6"/>
  <c r="AF445" i="6"/>
  <c r="AG445" i="6" s="1"/>
  <c r="AH445" i="6"/>
  <c r="AF446" i="6"/>
  <c r="AG446" i="6" s="1"/>
  <c r="AH446" i="6"/>
  <c r="AF447" i="6"/>
  <c r="AG447" i="6"/>
  <c r="AH447" i="6"/>
  <c r="AF448" i="6"/>
  <c r="AG448" i="6"/>
  <c r="AH448" i="6"/>
  <c r="AF449" i="6"/>
  <c r="AG449" i="6"/>
  <c r="AH449" i="6"/>
  <c r="AF450" i="6"/>
  <c r="AG450" i="6"/>
  <c r="AH450" i="6"/>
  <c r="AF451" i="6"/>
  <c r="AG451" i="6" s="1"/>
  <c r="AH451" i="6"/>
  <c r="AF452" i="6"/>
  <c r="AG452" i="6" s="1"/>
  <c r="AH452" i="6"/>
  <c r="AF453" i="6"/>
  <c r="AG453" i="6" s="1"/>
  <c r="AH453" i="6"/>
  <c r="AF454" i="6"/>
  <c r="AG454" i="6" s="1"/>
  <c r="AH454" i="6"/>
  <c r="AF455" i="6"/>
  <c r="AG455" i="6"/>
  <c r="AH455" i="6"/>
  <c r="AF456" i="6"/>
  <c r="AG456" i="6"/>
  <c r="AH456" i="6"/>
  <c r="AF457" i="6"/>
  <c r="AG457" i="6"/>
  <c r="AH457" i="6"/>
  <c r="AF458" i="6"/>
  <c r="AG458" i="6"/>
  <c r="AH458" i="6"/>
  <c r="AF459" i="6"/>
  <c r="AG459" i="6" s="1"/>
  <c r="AH459" i="6"/>
  <c r="AF460" i="6"/>
  <c r="AG460" i="6" s="1"/>
  <c r="AH460" i="6"/>
  <c r="AF461" i="6"/>
  <c r="AG461" i="6" s="1"/>
  <c r="AH461" i="6"/>
  <c r="AF462" i="6"/>
  <c r="AG462" i="6" s="1"/>
  <c r="AH462" i="6"/>
  <c r="AF463" i="6"/>
  <c r="AG463" i="6"/>
  <c r="AH463" i="6"/>
  <c r="AF464" i="6"/>
  <c r="AG464" i="6"/>
  <c r="AH464" i="6"/>
  <c r="AF465" i="6"/>
  <c r="AG465" i="6"/>
  <c r="AH465" i="6"/>
  <c r="AF466" i="6"/>
  <c r="AG466" i="6"/>
  <c r="AH466" i="6"/>
  <c r="AF467" i="6"/>
  <c r="AG467" i="6" s="1"/>
  <c r="AH467" i="6"/>
  <c r="AF468" i="6"/>
  <c r="AG468" i="6" s="1"/>
  <c r="AH468" i="6"/>
  <c r="AF469" i="6"/>
  <c r="AG469" i="6" s="1"/>
  <c r="AH469" i="6"/>
  <c r="AF470" i="6"/>
  <c r="AG470" i="6" s="1"/>
  <c r="AH470" i="6"/>
  <c r="AF471" i="6"/>
  <c r="AG471" i="6"/>
  <c r="AH471" i="6"/>
  <c r="AF472" i="6"/>
  <c r="AG472" i="6"/>
  <c r="AH472" i="6"/>
  <c r="AF473" i="6"/>
  <c r="AG473" i="6"/>
  <c r="AH473" i="6"/>
  <c r="AF474" i="6"/>
  <c r="AG474" i="6"/>
  <c r="AH474" i="6"/>
  <c r="AF475" i="6"/>
  <c r="AG475" i="6" s="1"/>
  <c r="AH475" i="6"/>
  <c r="AF476" i="6"/>
  <c r="AG476" i="6" s="1"/>
  <c r="AH476" i="6"/>
  <c r="AF477" i="6"/>
  <c r="AG477" i="6" s="1"/>
  <c r="AH477" i="6"/>
  <c r="AF478" i="6"/>
  <c r="AG478" i="6" s="1"/>
  <c r="AH478" i="6"/>
  <c r="AF479" i="6"/>
  <c r="AG479" i="6"/>
  <c r="AH479" i="6"/>
  <c r="AF480" i="6"/>
  <c r="AG480" i="6"/>
  <c r="AH480" i="6"/>
  <c r="AF481" i="6"/>
  <c r="AG481" i="6"/>
  <c r="AH481" i="6"/>
  <c r="AF482" i="6"/>
  <c r="AG482" i="6"/>
  <c r="AH482" i="6"/>
  <c r="AF483" i="6"/>
  <c r="AG483" i="6" s="1"/>
  <c r="AH483" i="6"/>
  <c r="AF484" i="6"/>
  <c r="AG484" i="6" s="1"/>
  <c r="AH484" i="6"/>
  <c r="AF485" i="6"/>
  <c r="AG485" i="6" s="1"/>
  <c r="AH485" i="6"/>
  <c r="AF486" i="6"/>
  <c r="AG486" i="6" s="1"/>
  <c r="AH486" i="6"/>
  <c r="AF487" i="6"/>
  <c r="AG487" i="6"/>
  <c r="AH487" i="6"/>
  <c r="AF488" i="6"/>
  <c r="AG488" i="6"/>
  <c r="AH488" i="6"/>
  <c r="AF489" i="6"/>
  <c r="AG489" i="6"/>
  <c r="AH489" i="6"/>
  <c r="AF490" i="6"/>
  <c r="AG490" i="6"/>
  <c r="AH490" i="6"/>
  <c r="AF491" i="6"/>
  <c r="AG491" i="6" s="1"/>
  <c r="AH491" i="6"/>
  <c r="AF492" i="6"/>
  <c r="AG492" i="6" s="1"/>
  <c r="AH492" i="6"/>
  <c r="AF493" i="6"/>
  <c r="AG493" i="6" s="1"/>
  <c r="AH493" i="6"/>
  <c r="AF494" i="6"/>
  <c r="AG494" i="6" s="1"/>
  <c r="AH494" i="6"/>
  <c r="AF495" i="6"/>
  <c r="AG495" i="6"/>
  <c r="AH495" i="6"/>
  <c r="AF496" i="6"/>
  <c r="AG496" i="6"/>
  <c r="AH496" i="6"/>
  <c r="AF497" i="6"/>
  <c r="AG497" i="6"/>
  <c r="AH497" i="6"/>
  <c r="AF498" i="6"/>
  <c r="AG498" i="6"/>
  <c r="AH498" i="6"/>
  <c r="AF499" i="6"/>
  <c r="AG499" i="6" s="1"/>
  <c r="AH499" i="6"/>
  <c r="AF500" i="6"/>
  <c r="AG500" i="6" s="1"/>
  <c r="AH500" i="6"/>
  <c r="AF501" i="6"/>
  <c r="AG501" i="6" s="1"/>
  <c r="AH501" i="6"/>
  <c r="AF502" i="6"/>
  <c r="AG502" i="6" s="1"/>
  <c r="AH502" i="6"/>
  <c r="AF503" i="6"/>
  <c r="AG503" i="6"/>
  <c r="AH503" i="6"/>
  <c r="AF504" i="6"/>
  <c r="AG504" i="6" s="1"/>
  <c r="AH504" i="6"/>
  <c r="AF505" i="6"/>
  <c r="AG505" i="6"/>
  <c r="AH505" i="6"/>
  <c r="AF506" i="6"/>
  <c r="AG506" i="6" s="1"/>
  <c r="AH506" i="6"/>
  <c r="AF507" i="6"/>
  <c r="AG507" i="6" s="1"/>
  <c r="AH507" i="6"/>
  <c r="AF508" i="6"/>
  <c r="AG508" i="6" s="1"/>
  <c r="AH508" i="6"/>
  <c r="AF509" i="6"/>
  <c r="AG509" i="6" s="1"/>
  <c r="AH509" i="6"/>
  <c r="AF510" i="6"/>
  <c r="AG510" i="6" s="1"/>
  <c r="AH510" i="6"/>
  <c r="AF511" i="6"/>
  <c r="AG511" i="6"/>
  <c r="AH511" i="6"/>
  <c r="AF512" i="6"/>
  <c r="AG512" i="6" s="1"/>
  <c r="AH512" i="6"/>
  <c r="AF513" i="6"/>
  <c r="AG513" i="6"/>
  <c r="AH513" i="6"/>
  <c r="AF514" i="6"/>
  <c r="AG514" i="6"/>
  <c r="AH514" i="6"/>
  <c r="AF515" i="6"/>
  <c r="AG515" i="6" s="1"/>
  <c r="AH515" i="6"/>
  <c r="AF516" i="6"/>
  <c r="AG516" i="6" s="1"/>
  <c r="AH516" i="6"/>
  <c r="AF517" i="6"/>
  <c r="AG517" i="6" s="1"/>
  <c r="AH517" i="6"/>
  <c r="AF518" i="6"/>
  <c r="AG518" i="6" s="1"/>
  <c r="AH518" i="6"/>
  <c r="AF519" i="6"/>
  <c r="AG519" i="6"/>
  <c r="AH519" i="6"/>
  <c r="AF520" i="6"/>
  <c r="AG520" i="6" s="1"/>
  <c r="AH520" i="6"/>
  <c r="AF521" i="6"/>
  <c r="AG521" i="6"/>
  <c r="AH521" i="6"/>
  <c r="AF522" i="6"/>
  <c r="AG522" i="6" s="1"/>
  <c r="AH522" i="6"/>
  <c r="AF523" i="6"/>
  <c r="AG523" i="6" s="1"/>
  <c r="AH523" i="6"/>
  <c r="AF524" i="6"/>
  <c r="AG524" i="6" s="1"/>
  <c r="AH524" i="6"/>
  <c r="AF525" i="6"/>
  <c r="AG525" i="6"/>
  <c r="AH525" i="6"/>
  <c r="AF526" i="6"/>
  <c r="AG526" i="6" s="1"/>
  <c r="AH526" i="6"/>
  <c r="AF527" i="6"/>
  <c r="AG527" i="6"/>
  <c r="AH527" i="6"/>
  <c r="AF528" i="6"/>
  <c r="AG528" i="6"/>
  <c r="AH528" i="6"/>
  <c r="AF529" i="6"/>
  <c r="AG529" i="6"/>
  <c r="AH529" i="6"/>
  <c r="AF530" i="6"/>
  <c r="AG530" i="6" s="1"/>
  <c r="AH530" i="6"/>
  <c r="AF531" i="6"/>
  <c r="AG531" i="6" s="1"/>
  <c r="AH531" i="6"/>
  <c r="AF532" i="6"/>
  <c r="AG532" i="6" s="1"/>
  <c r="AH532" i="6"/>
  <c r="AF533" i="6"/>
  <c r="AG533" i="6"/>
  <c r="AH533" i="6"/>
  <c r="AF534" i="6"/>
  <c r="AG534" i="6" s="1"/>
  <c r="AH534" i="6"/>
  <c r="AF535" i="6"/>
  <c r="AG535" i="6"/>
  <c r="AH535" i="6"/>
  <c r="AF536" i="6"/>
  <c r="AG536" i="6"/>
  <c r="AH536" i="6"/>
  <c r="AF537" i="6"/>
  <c r="AG537" i="6"/>
  <c r="AH537" i="6"/>
  <c r="AF538" i="6"/>
  <c r="AG538" i="6" s="1"/>
  <c r="AH538" i="6"/>
  <c r="AF539" i="6"/>
  <c r="AG539" i="6" s="1"/>
  <c r="AH539" i="6"/>
  <c r="AF540" i="6"/>
  <c r="AG540" i="6" s="1"/>
  <c r="AH540" i="6"/>
  <c r="AF541" i="6"/>
  <c r="AG541" i="6"/>
  <c r="AH541" i="6"/>
  <c r="AF542" i="6"/>
  <c r="AG542" i="6" s="1"/>
  <c r="AH542" i="6"/>
  <c r="AF543" i="6"/>
  <c r="AG543" i="6"/>
  <c r="AH543" i="6"/>
  <c r="AF544" i="6"/>
  <c r="AG544" i="6"/>
  <c r="AH544" i="6"/>
  <c r="AF545" i="6"/>
  <c r="AG545" i="6"/>
  <c r="AH545" i="6"/>
  <c r="AF546" i="6"/>
  <c r="AG546" i="6"/>
  <c r="AH546" i="6"/>
  <c r="AF547" i="6"/>
  <c r="AG547" i="6" s="1"/>
  <c r="AH547" i="6"/>
  <c r="AF548" i="6"/>
  <c r="AG548" i="6" s="1"/>
  <c r="AH548" i="6"/>
  <c r="AF549" i="6"/>
  <c r="AG549" i="6"/>
  <c r="AH549" i="6"/>
  <c r="AF550" i="6"/>
  <c r="AG550" i="6" s="1"/>
  <c r="AH550" i="6"/>
  <c r="AF551" i="6"/>
  <c r="AG551" i="6"/>
  <c r="AH551" i="6"/>
  <c r="AF552" i="6"/>
  <c r="AG552" i="6"/>
  <c r="AH552" i="6"/>
  <c r="AF553" i="6"/>
  <c r="AG553" i="6"/>
  <c r="AH553" i="6"/>
  <c r="AF554" i="6"/>
  <c r="AG554" i="6" s="1"/>
  <c r="AH554" i="6"/>
  <c r="AF555" i="6"/>
  <c r="AG555" i="6" s="1"/>
  <c r="AH555" i="6"/>
  <c r="AF556" i="6"/>
  <c r="AG556" i="6" s="1"/>
  <c r="AH556" i="6"/>
  <c r="AF557" i="6"/>
  <c r="AG557" i="6" s="1"/>
  <c r="AH557" i="6"/>
  <c r="AF558" i="6"/>
  <c r="AG558" i="6" s="1"/>
  <c r="AH558" i="6"/>
  <c r="AF559" i="6"/>
  <c r="AG559" i="6"/>
  <c r="AH559" i="6"/>
  <c r="AF560" i="6"/>
  <c r="AG560" i="6" s="1"/>
  <c r="AH560" i="6"/>
  <c r="AF561" i="6"/>
  <c r="AG561" i="6"/>
  <c r="AH561" i="6"/>
  <c r="AF562" i="6"/>
  <c r="AG562" i="6"/>
  <c r="AH562" i="6"/>
  <c r="AF563" i="6"/>
  <c r="AG563" i="6" s="1"/>
  <c r="AH563" i="6"/>
  <c r="AF564" i="6"/>
  <c r="AG564" i="6" s="1"/>
  <c r="AH564" i="6"/>
  <c r="AF565" i="6"/>
  <c r="AG565" i="6"/>
  <c r="AH565" i="6"/>
  <c r="AF566" i="6"/>
  <c r="AG566" i="6" s="1"/>
  <c r="AH566" i="6"/>
  <c r="AF567" i="6"/>
  <c r="AG567" i="6"/>
  <c r="AH567" i="6"/>
  <c r="AF568" i="6"/>
  <c r="AG568" i="6"/>
  <c r="AH568" i="6"/>
  <c r="AF569" i="6"/>
  <c r="AG569" i="6"/>
  <c r="AH569" i="6"/>
  <c r="AF570" i="6"/>
  <c r="AG570" i="6"/>
  <c r="AH570" i="6"/>
  <c r="AF571" i="6"/>
  <c r="AG571" i="6"/>
  <c r="AH571" i="6"/>
  <c r="AF572" i="6"/>
  <c r="AG572" i="6" s="1"/>
  <c r="AH572" i="6"/>
  <c r="AF573" i="6"/>
  <c r="AG573" i="6"/>
  <c r="AH573" i="6"/>
  <c r="AF574" i="6"/>
  <c r="AG574" i="6" s="1"/>
  <c r="AH574" i="6"/>
  <c r="AF575" i="6"/>
  <c r="AG575" i="6"/>
  <c r="AH575" i="6"/>
  <c r="AF576" i="6"/>
  <c r="AG576" i="6"/>
  <c r="AH576" i="6"/>
  <c r="AF577" i="6"/>
  <c r="AG577" i="6"/>
  <c r="AH577" i="6"/>
  <c r="AF578" i="6"/>
  <c r="AG578" i="6"/>
  <c r="AH578" i="6"/>
  <c r="AF579" i="6"/>
  <c r="AG579" i="6" s="1"/>
  <c r="AH579" i="6"/>
  <c r="AF580" i="6"/>
  <c r="AG580" i="6" s="1"/>
  <c r="AH580" i="6"/>
  <c r="AF581" i="6"/>
  <c r="AG581" i="6"/>
  <c r="AH581" i="6"/>
  <c r="AF582" i="6"/>
  <c r="AG582" i="6" s="1"/>
  <c r="AH582" i="6"/>
  <c r="AF583" i="6"/>
  <c r="AG583" i="6"/>
  <c r="AH583" i="6"/>
  <c r="AF584" i="6"/>
  <c r="AG584" i="6"/>
  <c r="AH584" i="6"/>
  <c r="AF585" i="6"/>
  <c r="AG585" i="6"/>
  <c r="AH585" i="6"/>
  <c r="AF586" i="6"/>
  <c r="AG586" i="6" s="1"/>
  <c r="AH586" i="6"/>
  <c r="AF587" i="6"/>
  <c r="AG587" i="6" s="1"/>
  <c r="AH587" i="6"/>
  <c r="AF588" i="6"/>
  <c r="AG588" i="6" s="1"/>
  <c r="AH588" i="6"/>
  <c r="AF589" i="6"/>
  <c r="AG589" i="6" s="1"/>
  <c r="AH589" i="6"/>
  <c r="AF590" i="6"/>
  <c r="AG590" i="6" s="1"/>
  <c r="AH590" i="6"/>
  <c r="AF591" i="6"/>
  <c r="AG591" i="6"/>
  <c r="AH591" i="6"/>
  <c r="AF592" i="6"/>
  <c r="AG592" i="6" s="1"/>
  <c r="AH592" i="6"/>
  <c r="AF593" i="6"/>
  <c r="AG593" i="6"/>
  <c r="AH593" i="6"/>
  <c r="AF594" i="6"/>
  <c r="AG594" i="6"/>
  <c r="AH594" i="6"/>
  <c r="AF595" i="6"/>
  <c r="AG595" i="6" s="1"/>
  <c r="AH595" i="6"/>
  <c r="AF596" i="6"/>
  <c r="AG596" i="6" s="1"/>
  <c r="AH596" i="6"/>
  <c r="AF597" i="6"/>
  <c r="AG597" i="6"/>
  <c r="AH597" i="6"/>
  <c r="AF598" i="6"/>
  <c r="AG598" i="6" s="1"/>
  <c r="AH598" i="6"/>
  <c r="AF599" i="6"/>
  <c r="AG599" i="6"/>
  <c r="AH599" i="6"/>
  <c r="AF600" i="6"/>
  <c r="AG600" i="6"/>
  <c r="AH600" i="6"/>
  <c r="AF601" i="6"/>
  <c r="AG601" i="6"/>
  <c r="AH601" i="6"/>
  <c r="AF602" i="6"/>
  <c r="AG602" i="6"/>
  <c r="AH602" i="6"/>
  <c r="AF603" i="6"/>
  <c r="AG603" i="6"/>
  <c r="AH603" i="6"/>
  <c r="AF604" i="6"/>
  <c r="AG604" i="6" s="1"/>
  <c r="AH604" i="6"/>
  <c r="AF605" i="6"/>
  <c r="AG605" i="6"/>
  <c r="AH605" i="6"/>
  <c r="AF606" i="6"/>
  <c r="AG606" i="6" s="1"/>
  <c r="AH606" i="6"/>
  <c r="AF607" i="6"/>
  <c r="AG607" i="6"/>
  <c r="AH607" i="6"/>
  <c r="AF608" i="6"/>
  <c r="AG608" i="6"/>
  <c r="AH608" i="6"/>
  <c r="AF609" i="6"/>
  <c r="AG609" i="6"/>
  <c r="AH609" i="6"/>
  <c r="AF610" i="6"/>
  <c r="AG610" i="6"/>
  <c r="AH610" i="6"/>
  <c r="AF611" i="6"/>
  <c r="AG611" i="6" s="1"/>
  <c r="AH611" i="6"/>
  <c r="AF612" i="6"/>
  <c r="AG612" i="6" s="1"/>
  <c r="AH612" i="6"/>
  <c r="AF613" i="6"/>
  <c r="AG613" i="6"/>
  <c r="AH613" i="6"/>
  <c r="AF614" i="6"/>
  <c r="AG614" i="6" s="1"/>
  <c r="AH614" i="6"/>
  <c r="AF615" i="6"/>
  <c r="AG615" i="6"/>
  <c r="AH615" i="6"/>
  <c r="AF616" i="6"/>
  <c r="AG616" i="6"/>
  <c r="AH616" i="6"/>
  <c r="AF617" i="6"/>
  <c r="AG617" i="6"/>
  <c r="AH617" i="6"/>
  <c r="AF618" i="6"/>
  <c r="AG618" i="6" s="1"/>
  <c r="AH618" i="6"/>
  <c r="AF619" i="6"/>
  <c r="AG619" i="6" s="1"/>
  <c r="AH619" i="6"/>
  <c r="AF620" i="6"/>
  <c r="AG620" i="6" s="1"/>
  <c r="AH620" i="6"/>
  <c r="AF621" i="6"/>
  <c r="AG621" i="6" s="1"/>
  <c r="AH621" i="6"/>
  <c r="AF622" i="6"/>
  <c r="AG622" i="6" s="1"/>
  <c r="AH622" i="6"/>
  <c r="AF623" i="6"/>
  <c r="AG623" i="6"/>
  <c r="AH623" i="6"/>
  <c r="AF624" i="6"/>
  <c r="AG624" i="6" s="1"/>
  <c r="AH624" i="6"/>
  <c r="AF625" i="6"/>
  <c r="AG625" i="6"/>
  <c r="AH625" i="6"/>
  <c r="AF626" i="6"/>
  <c r="AG626" i="6"/>
  <c r="AH626" i="6"/>
  <c r="AF627" i="6"/>
  <c r="AG627" i="6" s="1"/>
  <c r="AH627" i="6"/>
  <c r="AF628" i="6"/>
  <c r="AG628" i="6" s="1"/>
  <c r="AH628" i="6"/>
  <c r="AF629" i="6"/>
  <c r="AG629" i="6"/>
  <c r="AH629" i="6"/>
  <c r="AF630" i="6"/>
  <c r="AG630" i="6" s="1"/>
  <c r="AH630" i="6"/>
  <c r="AF631" i="6"/>
  <c r="AG631" i="6"/>
  <c r="AH631" i="6"/>
  <c r="AF632" i="6"/>
  <c r="AG632" i="6"/>
  <c r="AH632" i="6"/>
  <c r="AF633" i="6"/>
  <c r="AG633" i="6"/>
  <c r="AH633" i="6"/>
  <c r="AF634" i="6"/>
  <c r="AG634" i="6" s="1"/>
  <c r="AH634" i="6"/>
  <c r="AF635" i="6"/>
  <c r="AG635" i="6"/>
  <c r="AH635" i="6"/>
  <c r="AF636" i="6"/>
  <c r="AG636" i="6" s="1"/>
  <c r="AH636" i="6"/>
  <c r="AF637" i="6"/>
  <c r="AG637" i="6" s="1"/>
  <c r="AH637" i="6"/>
  <c r="AF638" i="6"/>
  <c r="AG638" i="6" s="1"/>
  <c r="AH638" i="6"/>
  <c r="AF639" i="6"/>
  <c r="AG639" i="6"/>
  <c r="AH639" i="6"/>
  <c r="AF640" i="6"/>
  <c r="AG640" i="6" s="1"/>
  <c r="AH640" i="6"/>
  <c r="AF641" i="6"/>
  <c r="AG641" i="6"/>
  <c r="AH641" i="6"/>
  <c r="AF642" i="6"/>
  <c r="AG642" i="6"/>
  <c r="AH642" i="6"/>
  <c r="AF643" i="6"/>
  <c r="AG643" i="6"/>
  <c r="AH643" i="6"/>
  <c r="AF644" i="6"/>
  <c r="AG644" i="6" s="1"/>
  <c r="AH644" i="6"/>
  <c r="AF645" i="6"/>
  <c r="AG645" i="6"/>
  <c r="AH645" i="6"/>
  <c r="AF646" i="6"/>
  <c r="AG646" i="6" s="1"/>
  <c r="AH646" i="6"/>
  <c r="AF647" i="6"/>
  <c r="AG647" i="6"/>
  <c r="AH647" i="6"/>
  <c r="AF648" i="6"/>
  <c r="AG648" i="6"/>
  <c r="AH648" i="6"/>
  <c r="AF649" i="6"/>
  <c r="AG649" i="6"/>
  <c r="AH649" i="6"/>
  <c r="AF650" i="6"/>
  <c r="AG650" i="6" s="1"/>
  <c r="AH650" i="6"/>
  <c r="AF651" i="6"/>
  <c r="AG651" i="6" s="1"/>
  <c r="AH651" i="6"/>
  <c r="AF652" i="6"/>
  <c r="AG652" i="6" s="1"/>
  <c r="AH652" i="6"/>
  <c r="AF653" i="6"/>
  <c r="AG653" i="6" s="1"/>
  <c r="AH653" i="6"/>
  <c r="AF654" i="6"/>
  <c r="AG654" i="6" s="1"/>
  <c r="AH654" i="6"/>
  <c r="AF655" i="6"/>
  <c r="AG655" i="6"/>
  <c r="AH655" i="6"/>
  <c r="AF656" i="6"/>
  <c r="AG656" i="6" s="1"/>
  <c r="AH656" i="6"/>
  <c r="AF657" i="6"/>
  <c r="AG657" i="6"/>
  <c r="AH657" i="6"/>
  <c r="AF658" i="6"/>
  <c r="AG658" i="6"/>
  <c r="AH658" i="6"/>
  <c r="AF659" i="6"/>
  <c r="AG659" i="6" s="1"/>
  <c r="AH659" i="6"/>
  <c r="AF660" i="6"/>
  <c r="AG660" i="6" s="1"/>
  <c r="AH660" i="6"/>
  <c r="AF661" i="6"/>
  <c r="AG661" i="6"/>
  <c r="AH661" i="6"/>
  <c r="AF662" i="6"/>
  <c r="AG662" i="6" s="1"/>
  <c r="AH662" i="6"/>
  <c r="AF663" i="6"/>
  <c r="AG663" i="6"/>
  <c r="AH663" i="6"/>
  <c r="AF664" i="6"/>
  <c r="AG664" i="6"/>
  <c r="AH664" i="6"/>
  <c r="AF665" i="6"/>
  <c r="AG665" i="6"/>
  <c r="AH665" i="6"/>
  <c r="AF666" i="6"/>
  <c r="AG666" i="6" s="1"/>
  <c r="AH666" i="6"/>
  <c r="AF667" i="6"/>
  <c r="AG667" i="6"/>
  <c r="AH667" i="6"/>
  <c r="AF668" i="6"/>
  <c r="AG668" i="6" s="1"/>
  <c r="AH668" i="6"/>
  <c r="AF669" i="6"/>
  <c r="AG669" i="6" s="1"/>
  <c r="AH669" i="6"/>
  <c r="AF670" i="6"/>
  <c r="AG670" i="6" s="1"/>
  <c r="AH670" i="6"/>
  <c r="AF671" i="6"/>
  <c r="AG671" i="6"/>
  <c r="AH671" i="6"/>
  <c r="AF672" i="6"/>
  <c r="AG672" i="6" s="1"/>
  <c r="AH672" i="6"/>
  <c r="AF673" i="6"/>
  <c r="AG673" i="6"/>
  <c r="AH673" i="6"/>
  <c r="AF674" i="6"/>
  <c r="AG674" i="6"/>
  <c r="AH674" i="6"/>
  <c r="AF675" i="6"/>
  <c r="AG675" i="6"/>
  <c r="AH675" i="6"/>
  <c r="AF676" i="6"/>
  <c r="AG676" i="6" s="1"/>
  <c r="AH676" i="6"/>
  <c r="AF677" i="6"/>
  <c r="AG677" i="6"/>
  <c r="AH677" i="6"/>
  <c r="AF678" i="6"/>
  <c r="AG678" i="6" s="1"/>
  <c r="AH678" i="6"/>
  <c r="AF679" i="6"/>
  <c r="AG679" i="6"/>
  <c r="AH679" i="6"/>
  <c r="AF680" i="6"/>
  <c r="AG680" i="6"/>
  <c r="AH680" i="6"/>
  <c r="AF681" i="6"/>
  <c r="AG681" i="6"/>
  <c r="AH681" i="6"/>
  <c r="AF682" i="6"/>
  <c r="AG682" i="6" s="1"/>
  <c r="AH682" i="6"/>
  <c r="AF683" i="6"/>
  <c r="AG683" i="6" s="1"/>
  <c r="AH683" i="6"/>
  <c r="AF684" i="6"/>
  <c r="AG684" i="6"/>
  <c r="AH684" i="6"/>
  <c r="AF685" i="6"/>
  <c r="AG685" i="6" s="1"/>
  <c r="AH685" i="6"/>
  <c r="AF686" i="6"/>
  <c r="AG686" i="6" s="1"/>
  <c r="AH686" i="6"/>
  <c r="AF687" i="6"/>
  <c r="AG687" i="6"/>
  <c r="AH687" i="6"/>
  <c r="AF688" i="6"/>
  <c r="AG688" i="6"/>
  <c r="AH688" i="6"/>
  <c r="AF689" i="6"/>
  <c r="AG689" i="6"/>
  <c r="AH689" i="6"/>
  <c r="AF690" i="6"/>
  <c r="AG690" i="6" s="1"/>
  <c r="AH690" i="6"/>
  <c r="AF691" i="6"/>
  <c r="AG691" i="6" s="1"/>
  <c r="AH691" i="6"/>
  <c r="AF692" i="6"/>
  <c r="AG692" i="6"/>
  <c r="AH692" i="6"/>
  <c r="AF693" i="6"/>
  <c r="AG693" i="6" s="1"/>
  <c r="AH693" i="6"/>
  <c r="AF694" i="6"/>
  <c r="AG694" i="6" s="1"/>
  <c r="AH694" i="6"/>
  <c r="AF695" i="6"/>
  <c r="AG695" i="6"/>
  <c r="AH695" i="6"/>
  <c r="AF696" i="6"/>
  <c r="AG696" i="6"/>
  <c r="AH696" i="6"/>
  <c r="AF697" i="6"/>
  <c r="AG697" i="6"/>
  <c r="AH697" i="6"/>
  <c r="AF698" i="6"/>
  <c r="AG698" i="6" s="1"/>
  <c r="AH698" i="6"/>
  <c r="AF699" i="6"/>
  <c r="AG699" i="6" s="1"/>
  <c r="AH699" i="6"/>
  <c r="AF700" i="6"/>
  <c r="AG700" i="6"/>
  <c r="AH700" i="6"/>
  <c r="AF701" i="6"/>
  <c r="AG701" i="6" s="1"/>
  <c r="AH701" i="6"/>
  <c r="AF702" i="6"/>
  <c r="AG702" i="6" s="1"/>
  <c r="AH702" i="6"/>
  <c r="AF703" i="6"/>
  <c r="AG703" i="6"/>
  <c r="AH703" i="6"/>
  <c r="AF704" i="6"/>
  <c r="AG704" i="6"/>
  <c r="AH704" i="6"/>
  <c r="AF705" i="6"/>
  <c r="AG705" i="6"/>
  <c r="AH705" i="6"/>
  <c r="AF706" i="6"/>
  <c r="AG706" i="6" s="1"/>
  <c r="AH706" i="6"/>
  <c r="AF707" i="6"/>
  <c r="AG707" i="6" s="1"/>
  <c r="AH707" i="6"/>
  <c r="AF708" i="6"/>
  <c r="AG708" i="6"/>
  <c r="AH708" i="6"/>
  <c r="AF709" i="6"/>
  <c r="AG709" i="6" s="1"/>
  <c r="AH709" i="6"/>
  <c r="AF710" i="6"/>
  <c r="AG710" i="6" s="1"/>
  <c r="AH710" i="6"/>
  <c r="AF711" i="6"/>
  <c r="AG711" i="6"/>
  <c r="AH711" i="6"/>
  <c r="AF712" i="6"/>
  <c r="AG712" i="6"/>
  <c r="AH712" i="6"/>
  <c r="AF713" i="6"/>
  <c r="AG713" i="6"/>
  <c r="AH713" i="6"/>
  <c r="AF714" i="6"/>
  <c r="AG714" i="6" s="1"/>
  <c r="AH714" i="6"/>
  <c r="AF715" i="6"/>
  <c r="AG715" i="6" s="1"/>
  <c r="AH715" i="6"/>
  <c r="AF716" i="6"/>
  <c r="AG716" i="6"/>
  <c r="AH716" i="6"/>
  <c r="AF717" i="6"/>
  <c r="AG717" i="6" s="1"/>
  <c r="AH717" i="6"/>
  <c r="AF718" i="6"/>
  <c r="AG718" i="6" s="1"/>
  <c r="AH718" i="6"/>
  <c r="AF719" i="6"/>
  <c r="AG719" i="6"/>
  <c r="AH719" i="6"/>
  <c r="AF720" i="6"/>
  <c r="AG720" i="6"/>
  <c r="AH720" i="6"/>
  <c r="AF721" i="6"/>
  <c r="AG721" i="6"/>
  <c r="AH721" i="6"/>
  <c r="AF722" i="6"/>
  <c r="AG722" i="6" s="1"/>
  <c r="AH722" i="6"/>
  <c r="AF723" i="6"/>
  <c r="AG723" i="6" s="1"/>
  <c r="AH723" i="6"/>
  <c r="AF724" i="6"/>
  <c r="AG724" i="6"/>
  <c r="AH724" i="6"/>
  <c r="AF725" i="6"/>
  <c r="AG725" i="6" s="1"/>
  <c r="AH725" i="6"/>
  <c r="AF726" i="6"/>
  <c r="AG726" i="6" s="1"/>
  <c r="AH726" i="6"/>
  <c r="AF727" i="6"/>
  <c r="AG727" i="6"/>
  <c r="AH727" i="6"/>
  <c r="AF728" i="6"/>
  <c r="AG728" i="6"/>
  <c r="AH728" i="6"/>
  <c r="AF729" i="6"/>
  <c r="AG729" i="6"/>
  <c r="AH729" i="6"/>
  <c r="AF730" i="6"/>
  <c r="AG730" i="6" s="1"/>
  <c r="AH730" i="6"/>
  <c r="AF731" i="6"/>
  <c r="AG731" i="6" s="1"/>
  <c r="AH731" i="6"/>
  <c r="AF732" i="6"/>
  <c r="AG732" i="6"/>
  <c r="AH732" i="6"/>
  <c r="AF733" i="6"/>
  <c r="AG733" i="6" s="1"/>
  <c r="AH733" i="6"/>
  <c r="AF734" i="6"/>
  <c r="AG734" i="6" s="1"/>
  <c r="AH734" i="6"/>
  <c r="AF735" i="6"/>
  <c r="AG735" i="6"/>
  <c r="AH735" i="6"/>
  <c r="AF736" i="6"/>
  <c r="AG736" i="6"/>
  <c r="AH736" i="6"/>
  <c r="AF737" i="6"/>
  <c r="AG737" i="6"/>
  <c r="AH737" i="6"/>
  <c r="AF738" i="6"/>
  <c r="AG738" i="6" s="1"/>
  <c r="AH738" i="6"/>
  <c r="AF739" i="6"/>
  <c r="AG739" i="6" s="1"/>
  <c r="AH739" i="6"/>
  <c r="AF740" i="6"/>
  <c r="AG740" i="6"/>
  <c r="AH740" i="6"/>
  <c r="AF741" i="6"/>
  <c r="AG741" i="6" s="1"/>
  <c r="AH741" i="6"/>
  <c r="AF742" i="6"/>
  <c r="AG742" i="6" s="1"/>
  <c r="AH742" i="6"/>
  <c r="AF743" i="6"/>
  <c r="AG743" i="6"/>
  <c r="AH743" i="6"/>
  <c r="AF744" i="6"/>
  <c r="AG744" i="6"/>
  <c r="AH744" i="6"/>
  <c r="AF745" i="6"/>
  <c r="AG745" i="6"/>
  <c r="AH745" i="6"/>
  <c r="AF746" i="6"/>
  <c r="AG746" i="6" s="1"/>
  <c r="AH746" i="6"/>
  <c r="AF747" i="6"/>
  <c r="AG747" i="6" s="1"/>
  <c r="AH747" i="6"/>
  <c r="AF748" i="6"/>
  <c r="AG748" i="6"/>
  <c r="AH748" i="6"/>
  <c r="AF749" i="6"/>
  <c r="AG749" i="6" s="1"/>
  <c r="AH749" i="6"/>
  <c r="AF750" i="6"/>
  <c r="AG750" i="6" s="1"/>
  <c r="AH750" i="6"/>
  <c r="AF751" i="6"/>
  <c r="AG751" i="6"/>
  <c r="AH751" i="6"/>
  <c r="AF752" i="6"/>
  <c r="AG752" i="6"/>
  <c r="AH752" i="6"/>
  <c r="AF753" i="6"/>
  <c r="AG753" i="6"/>
  <c r="AH753" i="6"/>
  <c r="AF754" i="6"/>
  <c r="AG754" i="6" s="1"/>
  <c r="AH754" i="6"/>
  <c r="AF755" i="6"/>
  <c r="AG755" i="6" s="1"/>
  <c r="AH755" i="6"/>
  <c r="AF756" i="6"/>
  <c r="AG756" i="6"/>
  <c r="AH756" i="6"/>
  <c r="AF757" i="6"/>
  <c r="AG757" i="6" s="1"/>
  <c r="AH757" i="6"/>
  <c r="AF758" i="6"/>
  <c r="AG758" i="6" s="1"/>
  <c r="AH758" i="6"/>
  <c r="AF759" i="6"/>
  <c r="AG759" i="6"/>
  <c r="AH759" i="6"/>
  <c r="AF760" i="6"/>
  <c r="AG760" i="6"/>
  <c r="AH760" i="6"/>
  <c r="AF761" i="6"/>
  <c r="AG761" i="6"/>
  <c r="AH761" i="6"/>
  <c r="AF762" i="6"/>
  <c r="AG762" i="6" s="1"/>
  <c r="AH762" i="6"/>
  <c r="AF763" i="6"/>
  <c r="AG763" i="6" s="1"/>
  <c r="AH763" i="6"/>
  <c r="AF764" i="6"/>
  <c r="AG764" i="6"/>
  <c r="AH764" i="6"/>
  <c r="AF765" i="6"/>
  <c r="AG765" i="6" s="1"/>
  <c r="AH765" i="6"/>
  <c r="AF766" i="6"/>
  <c r="AG766" i="6" s="1"/>
  <c r="AH766" i="6"/>
  <c r="AF767" i="6"/>
  <c r="AG767" i="6"/>
  <c r="AH767" i="6"/>
  <c r="AF768" i="6"/>
  <c r="AG768" i="6"/>
  <c r="AH768" i="6"/>
  <c r="AF769" i="6"/>
  <c r="AG769" i="6"/>
  <c r="AH769" i="6"/>
  <c r="AF770" i="6"/>
  <c r="AG770" i="6" s="1"/>
  <c r="AH770" i="6"/>
  <c r="AF771" i="6"/>
  <c r="AG771" i="6" s="1"/>
  <c r="AH771" i="6"/>
  <c r="AF772" i="6"/>
  <c r="AG772" i="6"/>
  <c r="AH772" i="6"/>
  <c r="AF773" i="6"/>
  <c r="AG773" i="6" s="1"/>
  <c r="AH773" i="6"/>
  <c r="AF774" i="6"/>
  <c r="AG774" i="6" s="1"/>
  <c r="AH774" i="6"/>
  <c r="AF775" i="6"/>
  <c r="AG775" i="6"/>
  <c r="AH775" i="6"/>
  <c r="AF776" i="6"/>
  <c r="AG776" i="6"/>
  <c r="AH776" i="6"/>
  <c r="AF777" i="6"/>
  <c r="AG777" i="6"/>
  <c r="AH777" i="6"/>
  <c r="AF778" i="6"/>
  <c r="AG778" i="6" s="1"/>
  <c r="AH778" i="6"/>
  <c r="AF779" i="6"/>
  <c r="AG779" i="6" s="1"/>
  <c r="AH779" i="6"/>
  <c r="AF780" i="6"/>
  <c r="AG780" i="6"/>
  <c r="AH780" i="6"/>
  <c r="AF781" i="6"/>
  <c r="AG781" i="6" s="1"/>
  <c r="AH781" i="6"/>
  <c r="AF782" i="6"/>
  <c r="AG782" i="6" s="1"/>
  <c r="AH782" i="6"/>
  <c r="AF783" i="6"/>
  <c r="AG783" i="6"/>
  <c r="AH783" i="6"/>
  <c r="AF784" i="6"/>
  <c r="AG784" i="6"/>
  <c r="AH784" i="6"/>
  <c r="AF785" i="6"/>
  <c r="AG785" i="6"/>
  <c r="AH785" i="6"/>
  <c r="AF786" i="6"/>
  <c r="AG786" i="6" s="1"/>
  <c r="AH786" i="6"/>
  <c r="AF787" i="6"/>
  <c r="AG787" i="6" s="1"/>
  <c r="AH787" i="6"/>
  <c r="AF788" i="6"/>
  <c r="AG788" i="6"/>
  <c r="AH788" i="6"/>
  <c r="AF789" i="6"/>
  <c r="AG789" i="6" s="1"/>
  <c r="AH789" i="6"/>
  <c r="AF790" i="6"/>
  <c r="AG790" i="6" s="1"/>
  <c r="AH790" i="6"/>
  <c r="AF791" i="6"/>
  <c r="AG791" i="6"/>
  <c r="AH791" i="6"/>
  <c r="AF792" i="6"/>
  <c r="AG792" i="6"/>
  <c r="AH792" i="6"/>
  <c r="AF793" i="6"/>
  <c r="AG793" i="6"/>
  <c r="AH793" i="6"/>
  <c r="AF794" i="6"/>
  <c r="AG794" i="6" s="1"/>
  <c r="AH794" i="6"/>
  <c r="AF795" i="6"/>
  <c r="AG795" i="6" s="1"/>
  <c r="AH795" i="6"/>
  <c r="AF796" i="6"/>
  <c r="AG796" i="6"/>
  <c r="AH796" i="6"/>
  <c r="AF797" i="6"/>
  <c r="AG797" i="6" s="1"/>
  <c r="AH797" i="6"/>
  <c r="AF798" i="6"/>
  <c r="AG798" i="6" s="1"/>
  <c r="AH798" i="6"/>
  <c r="AF799" i="6"/>
  <c r="AG799" i="6"/>
  <c r="AH799" i="6"/>
  <c r="AF800" i="6"/>
  <c r="AG800" i="6"/>
  <c r="AH800" i="6"/>
  <c r="AF801" i="6"/>
  <c r="AG801" i="6"/>
  <c r="AH801" i="6"/>
  <c r="AF802" i="6"/>
  <c r="AG802" i="6" s="1"/>
  <c r="AH802" i="6"/>
  <c r="AF803" i="6"/>
  <c r="AG803" i="6" s="1"/>
  <c r="AH803" i="6"/>
  <c r="AF804" i="6"/>
  <c r="AG804" i="6"/>
  <c r="AH804" i="6"/>
  <c r="AF805" i="6"/>
  <c r="AG805" i="6" s="1"/>
  <c r="AH805" i="6"/>
  <c r="AF806" i="6"/>
  <c r="AG806" i="6" s="1"/>
  <c r="AH806" i="6"/>
  <c r="AF807" i="6"/>
  <c r="AG807" i="6"/>
  <c r="AH807" i="6"/>
  <c r="AF808" i="6"/>
  <c r="AG808" i="6"/>
  <c r="AH808" i="6"/>
  <c r="AF809" i="6"/>
  <c r="AG809" i="6"/>
  <c r="AH809" i="6"/>
  <c r="AF810" i="6"/>
  <c r="AG810" i="6" s="1"/>
  <c r="AH810" i="6"/>
  <c r="AF811" i="6"/>
  <c r="AG811" i="6" s="1"/>
  <c r="AH811" i="6"/>
  <c r="AF812" i="6"/>
  <c r="AG812" i="6" s="1"/>
  <c r="AH812" i="6"/>
  <c r="AF813" i="6"/>
  <c r="AG813" i="6" s="1"/>
  <c r="AH813" i="6"/>
  <c r="AF814" i="6"/>
  <c r="AG814" i="6" s="1"/>
  <c r="AH814" i="6"/>
  <c r="AF815" i="6"/>
  <c r="AG815" i="6"/>
  <c r="AH815" i="6"/>
  <c r="AF816" i="6"/>
  <c r="AG816" i="6"/>
  <c r="AH816" i="6"/>
  <c r="AF817" i="6"/>
  <c r="AG817" i="6"/>
  <c r="AH817" i="6"/>
  <c r="AF818" i="6"/>
  <c r="AG818" i="6" s="1"/>
  <c r="AH818" i="6"/>
  <c r="AF819" i="6"/>
  <c r="AG819" i="6" s="1"/>
  <c r="AH819" i="6"/>
  <c r="AF820" i="6"/>
  <c r="AG820" i="6" s="1"/>
  <c r="AH820" i="6"/>
  <c r="AF821" i="6"/>
  <c r="AG821" i="6" s="1"/>
  <c r="AH821" i="6"/>
  <c r="AF822" i="6"/>
  <c r="AG822" i="6" s="1"/>
  <c r="AH822" i="6"/>
  <c r="AF823" i="6"/>
  <c r="AG823" i="6"/>
  <c r="AH823" i="6"/>
  <c r="AF824" i="6"/>
  <c r="AG824" i="6"/>
  <c r="AH824" i="6"/>
  <c r="AF825" i="6"/>
  <c r="AG825" i="6"/>
  <c r="AH825" i="6"/>
  <c r="AF826" i="6"/>
  <c r="AG826" i="6" s="1"/>
  <c r="AH826" i="6"/>
  <c r="AF827" i="6"/>
  <c r="AG827" i="6" s="1"/>
  <c r="AH827" i="6"/>
  <c r="AF828" i="6"/>
  <c r="AG828" i="6" s="1"/>
  <c r="AH828" i="6"/>
  <c r="AF829" i="6"/>
  <c r="AG829" i="6" s="1"/>
  <c r="AH829" i="6"/>
  <c r="AF830" i="6"/>
  <c r="AG830" i="6" s="1"/>
  <c r="AH830" i="6"/>
  <c r="AF831" i="6"/>
  <c r="AG831" i="6"/>
  <c r="AH831" i="6"/>
  <c r="AF832" i="6"/>
  <c r="AG832" i="6"/>
  <c r="AH832" i="6"/>
  <c r="AF833" i="6"/>
  <c r="AG833" i="6"/>
  <c r="AH833" i="6"/>
  <c r="AF834" i="6"/>
  <c r="AG834" i="6" s="1"/>
  <c r="AH834" i="6"/>
  <c r="AF835" i="6"/>
  <c r="AG835" i="6" s="1"/>
  <c r="AH835" i="6"/>
  <c r="AF836" i="6"/>
  <c r="AG836" i="6" s="1"/>
  <c r="AH836" i="6"/>
  <c r="AF837" i="6"/>
  <c r="AG837" i="6" s="1"/>
  <c r="AH837" i="6"/>
  <c r="AF838" i="6"/>
  <c r="AG838" i="6" s="1"/>
  <c r="AH838" i="6"/>
  <c r="AF839" i="6"/>
  <c r="AG839" i="6"/>
  <c r="AH839" i="6"/>
  <c r="AF840" i="6"/>
  <c r="AG840" i="6"/>
  <c r="AH840" i="6"/>
  <c r="AF841" i="6"/>
  <c r="AG841" i="6"/>
  <c r="AH841" i="6"/>
  <c r="AF842" i="6"/>
  <c r="AG842" i="6" s="1"/>
  <c r="AH842" i="6"/>
  <c r="AF843" i="6"/>
  <c r="AG843" i="6" s="1"/>
  <c r="AH843" i="6"/>
  <c r="AF844" i="6"/>
  <c r="AG844" i="6"/>
  <c r="AH844" i="6"/>
  <c r="AF845" i="6"/>
  <c r="AG845" i="6" s="1"/>
  <c r="AH845" i="6"/>
  <c r="AF846" i="6"/>
  <c r="AG846" i="6" s="1"/>
  <c r="AH846" i="6"/>
  <c r="AF847" i="6"/>
  <c r="AG847" i="6"/>
  <c r="AH847" i="6"/>
  <c r="AF848" i="6"/>
  <c r="AG848" i="6"/>
  <c r="AH848" i="6"/>
  <c r="AF849" i="6"/>
  <c r="AG849" i="6"/>
  <c r="AH849" i="6"/>
  <c r="AF850" i="6"/>
  <c r="AG850" i="6" s="1"/>
  <c r="AH850" i="6"/>
  <c r="AF851" i="6"/>
  <c r="AG851" i="6" s="1"/>
  <c r="AH851" i="6"/>
  <c r="AF852" i="6"/>
  <c r="AG852" i="6"/>
  <c r="AH852" i="6"/>
  <c r="AF853" i="6"/>
  <c r="AG853" i="6" s="1"/>
  <c r="AH853" i="6"/>
  <c r="AF854" i="6"/>
  <c r="AG854" i="6" s="1"/>
  <c r="AH854" i="6"/>
  <c r="AF855" i="6"/>
  <c r="AG855" i="6"/>
  <c r="AH855" i="6"/>
  <c r="AF856" i="6"/>
  <c r="AG856" i="6"/>
  <c r="AH856" i="6"/>
  <c r="AF857" i="6"/>
  <c r="AG857" i="6"/>
  <c r="AH857" i="6"/>
  <c r="AF858" i="6"/>
  <c r="AG858" i="6" s="1"/>
  <c r="AH858" i="6"/>
  <c r="AF859" i="6"/>
  <c r="AG859" i="6" s="1"/>
  <c r="AH859" i="6"/>
  <c r="AF860" i="6"/>
  <c r="AG860" i="6"/>
  <c r="AH860" i="6"/>
  <c r="AF861" i="6"/>
  <c r="AG861" i="6" s="1"/>
  <c r="AH861" i="6"/>
  <c r="AF862" i="6"/>
  <c r="AG862" i="6" s="1"/>
  <c r="AH862" i="6"/>
  <c r="AF863" i="6"/>
  <c r="AG863" i="6"/>
  <c r="AH863" i="6"/>
  <c r="AF864" i="6"/>
  <c r="AG864" i="6"/>
  <c r="AH864" i="6"/>
  <c r="AF865" i="6"/>
  <c r="AG865" i="6"/>
  <c r="AH865" i="6"/>
  <c r="AF866" i="6"/>
  <c r="AG866" i="6" s="1"/>
  <c r="AH866" i="6"/>
  <c r="AF867" i="6"/>
  <c r="AG867" i="6" s="1"/>
  <c r="AH867" i="6"/>
  <c r="AF868" i="6"/>
  <c r="AG868" i="6" s="1"/>
  <c r="AH868" i="6"/>
  <c r="AF869" i="6"/>
  <c r="AG869" i="6" s="1"/>
  <c r="AH869" i="6"/>
  <c r="AF870" i="6"/>
  <c r="AG870" i="6" s="1"/>
  <c r="AH870" i="6"/>
  <c r="AF871" i="6"/>
  <c r="AG871" i="6"/>
  <c r="AH871" i="6"/>
  <c r="AF872" i="6"/>
  <c r="AG872" i="6"/>
  <c r="AH872" i="6"/>
  <c r="AF873" i="6"/>
  <c r="AG873" i="6"/>
  <c r="AH873" i="6"/>
  <c r="AF874" i="6"/>
  <c r="AG874" i="6" s="1"/>
  <c r="AH874" i="6"/>
  <c r="AF875" i="6"/>
  <c r="AG875" i="6" s="1"/>
  <c r="AH875" i="6"/>
  <c r="AF876" i="6"/>
  <c r="AG876" i="6" s="1"/>
  <c r="AH876" i="6"/>
  <c r="AF877" i="6"/>
  <c r="AG877" i="6" s="1"/>
  <c r="AH877" i="6"/>
  <c r="AF878" i="6"/>
  <c r="AG878" i="6" s="1"/>
  <c r="AH878" i="6"/>
  <c r="AF879" i="6"/>
  <c r="AG879" i="6"/>
  <c r="AH879" i="6"/>
  <c r="AF880" i="6"/>
  <c r="AG880" i="6"/>
  <c r="AH880" i="6"/>
  <c r="AF881" i="6"/>
  <c r="AG881" i="6"/>
  <c r="AH881" i="6"/>
  <c r="AF882" i="6"/>
  <c r="AG882" i="6" s="1"/>
  <c r="AH882" i="6"/>
  <c r="AF883" i="6"/>
  <c r="AG883" i="6" s="1"/>
  <c r="AH883" i="6"/>
  <c r="AF884" i="6"/>
  <c r="AG884" i="6" s="1"/>
  <c r="AH884" i="6"/>
  <c r="AF885" i="6"/>
  <c r="AG885" i="6" s="1"/>
  <c r="AH885" i="6"/>
  <c r="AF886" i="6"/>
  <c r="AG886" i="6" s="1"/>
  <c r="AH886" i="6"/>
  <c r="AF887" i="6"/>
  <c r="AG887" i="6"/>
  <c r="AH887" i="6"/>
  <c r="AF888" i="6"/>
  <c r="AG888" i="6"/>
  <c r="AH888" i="6"/>
  <c r="AF889" i="6"/>
  <c r="AG889" i="6"/>
  <c r="AH889" i="6"/>
  <c r="AF890" i="6"/>
  <c r="AG890" i="6" s="1"/>
  <c r="AH890" i="6"/>
  <c r="AF891" i="6"/>
  <c r="AG891" i="6" s="1"/>
  <c r="AH891" i="6"/>
  <c r="AF892" i="6"/>
  <c r="AG892" i="6" s="1"/>
  <c r="AH892" i="6"/>
  <c r="AF893" i="6"/>
  <c r="AG893" i="6" s="1"/>
  <c r="AH893" i="6"/>
  <c r="AF894" i="6"/>
  <c r="AG894" i="6" s="1"/>
  <c r="AH894" i="6"/>
  <c r="AF895" i="6"/>
  <c r="AG895" i="6"/>
  <c r="AH895" i="6"/>
  <c r="AF896" i="6"/>
  <c r="AG896" i="6"/>
  <c r="AH896" i="6"/>
  <c r="AF897" i="6"/>
  <c r="AG897" i="6"/>
  <c r="AH897" i="6"/>
  <c r="AF898" i="6"/>
  <c r="AG898" i="6" s="1"/>
  <c r="AH898" i="6"/>
  <c r="AF899" i="6"/>
  <c r="AG899" i="6" s="1"/>
  <c r="AH899" i="6"/>
  <c r="AF900" i="6"/>
  <c r="AG900" i="6" s="1"/>
  <c r="AH900" i="6"/>
  <c r="AF901" i="6"/>
  <c r="AG901" i="6" s="1"/>
  <c r="AH901" i="6"/>
  <c r="AF902" i="6"/>
  <c r="AG902" i="6" s="1"/>
  <c r="AH902" i="6"/>
  <c r="AF903" i="6"/>
  <c r="AG903" i="6"/>
  <c r="AH903" i="6"/>
  <c r="AF904" i="6"/>
  <c r="AG904" i="6"/>
  <c r="AH904" i="6"/>
  <c r="AF905" i="6"/>
  <c r="AG905" i="6"/>
  <c r="AH905" i="6"/>
  <c r="AF906" i="6"/>
  <c r="AG906" i="6" s="1"/>
  <c r="AH906" i="6"/>
  <c r="AF907" i="6"/>
  <c r="AG907" i="6" s="1"/>
  <c r="AH907" i="6"/>
  <c r="AF908" i="6"/>
  <c r="AG908" i="6" s="1"/>
  <c r="AH908" i="6"/>
  <c r="AF909" i="6"/>
  <c r="AG909" i="6" s="1"/>
  <c r="AH909" i="6"/>
  <c r="AF910" i="6"/>
  <c r="AG910" i="6" s="1"/>
  <c r="AH910" i="6"/>
  <c r="AF911" i="6"/>
  <c r="AG911" i="6"/>
  <c r="AH911" i="6"/>
  <c r="AF912" i="6"/>
  <c r="AG912" i="6"/>
  <c r="AH912" i="6"/>
  <c r="AF913" i="6"/>
  <c r="AG913" i="6"/>
  <c r="AH913" i="6"/>
  <c r="AF914" i="6"/>
  <c r="AG914" i="6" s="1"/>
  <c r="AH914" i="6"/>
  <c r="AF915" i="6"/>
  <c r="AG915" i="6" s="1"/>
  <c r="AH915" i="6"/>
  <c r="AF916" i="6"/>
  <c r="AG916" i="6" s="1"/>
  <c r="AH916" i="6"/>
  <c r="AF917" i="6"/>
  <c r="AG917" i="6" s="1"/>
  <c r="AH917" i="6"/>
  <c r="AF918" i="6"/>
  <c r="AG918" i="6" s="1"/>
  <c r="AH918" i="6"/>
  <c r="AF919" i="6"/>
  <c r="AG919" i="6"/>
  <c r="AH919" i="6"/>
  <c r="AF920" i="6"/>
  <c r="AG920" i="6"/>
  <c r="AH920" i="6"/>
  <c r="AF921" i="6"/>
  <c r="AG921" i="6"/>
  <c r="AH921" i="6"/>
  <c r="AF922" i="6"/>
  <c r="AG922" i="6" s="1"/>
  <c r="AH922" i="6"/>
  <c r="AF923" i="6"/>
  <c r="AG923" i="6" s="1"/>
  <c r="AH923" i="6"/>
  <c r="AF924" i="6"/>
  <c r="AG924" i="6" s="1"/>
  <c r="AH924" i="6"/>
  <c r="AF925" i="6"/>
  <c r="AG925" i="6" s="1"/>
  <c r="AH925" i="6"/>
  <c r="AF926" i="6"/>
  <c r="AG926" i="6" s="1"/>
  <c r="AH926" i="6"/>
  <c r="AF927" i="6"/>
  <c r="AG927" i="6"/>
  <c r="AH927" i="6"/>
  <c r="AF928" i="6"/>
  <c r="AG928" i="6"/>
  <c r="AH928" i="6"/>
  <c r="AF929" i="6"/>
  <c r="AG929" i="6"/>
  <c r="AH929" i="6"/>
  <c r="AF930" i="6"/>
  <c r="AG930" i="6" s="1"/>
  <c r="AH930" i="6"/>
  <c r="AF931" i="6"/>
  <c r="AG931" i="6" s="1"/>
  <c r="AH931" i="6"/>
  <c r="AF932" i="6"/>
  <c r="AG932" i="6" s="1"/>
  <c r="AH932" i="6"/>
  <c r="AF933" i="6"/>
  <c r="AG933" i="6" s="1"/>
  <c r="AH933" i="6"/>
  <c r="AF934" i="6"/>
  <c r="AG934" i="6" s="1"/>
  <c r="AH934" i="6"/>
  <c r="AF935" i="6"/>
  <c r="AG935" i="6"/>
  <c r="AH935" i="6"/>
  <c r="AF936" i="6"/>
  <c r="AG936" i="6"/>
  <c r="AH936" i="6"/>
  <c r="AF937" i="6"/>
  <c r="AG937" i="6"/>
  <c r="AH937" i="6"/>
  <c r="AF938" i="6"/>
  <c r="AG938" i="6" s="1"/>
  <c r="AH938" i="6"/>
  <c r="AF939" i="6"/>
  <c r="AG939" i="6" s="1"/>
  <c r="AH939" i="6"/>
  <c r="AF940" i="6"/>
  <c r="AG940" i="6" s="1"/>
  <c r="AH940" i="6"/>
  <c r="AF941" i="6"/>
  <c r="AG941" i="6" s="1"/>
  <c r="AH941" i="6"/>
  <c r="AF942" i="6"/>
  <c r="AG942" i="6" s="1"/>
  <c r="AH942" i="6"/>
  <c r="AF943" i="6"/>
  <c r="AG943" i="6"/>
  <c r="AH943" i="6"/>
  <c r="AF944" i="6"/>
  <c r="AG944" i="6"/>
  <c r="AH944" i="6"/>
  <c r="AF945" i="6"/>
  <c r="AG945" i="6"/>
  <c r="AH945" i="6"/>
  <c r="AF946" i="6"/>
  <c r="AG946" i="6" s="1"/>
  <c r="AH946" i="6"/>
  <c r="AF947" i="6"/>
  <c r="AG947" i="6" s="1"/>
  <c r="AH947" i="6"/>
  <c r="AF948" i="6"/>
  <c r="AG948" i="6" s="1"/>
  <c r="AH948" i="6"/>
  <c r="AF949" i="6"/>
  <c r="AG949" i="6" s="1"/>
  <c r="AH949" i="6"/>
  <c r="AF950" i="6"/>
  <c r="AG950" i="6" s="1"/>
  <c r="AH950" i="6"/>
  <c r="AF951" i="6"/>
  <c r="AG951" i="6"/>
  <c r="AH951" i="6"/>
  <c r="AF952" i="6"/>
  <c r="AG952" i="6"/>
  <c r="AH952" i="6"/>
  <c r="AF953" i="6"/>
  <c r="AG953" i="6"/>
  <c r="AH953" i="6"/>
  <c r="AF954" i="6"/>
  <c r="AG954" i="6" s="1"/>
  <c r="AH954" i="6"/>
  <c r="AF955" i="6"/>
  <c r="AG955" i="6" s="1"/>
  <c r="AH955" i="6"/>
  <c r="AF956" i="6"/>
  <c r="AG956" i="6" s="1"/>
  <c r="AH956" i="6"/>
  <c r="AF957" i="6"/>
  <c r="AG957" i="6" s="1"/>
  <c r="AH957" i="6"/>
  <c r="AF958" i="6"/>
  <c r="AG958" i="6" s="1"/>
  <c r="AH958" i="6"/>
  <c r="AF959" i="6"/>
  <c r="AG959" i="6"/>
  <c r="AH959" i="6"/>
  <c r="AF960" i="6"/>
  <c r="AG960" i="6"/>
  <c r="AH960" i="6"/>
  <c r="AF961" i="6"/>
  <c r="AG961" i="6"/>
  <c r="AH961" i="6"/>
  <c r="AF962" i="6"/>
  <c r="AG962" i="6" s="1"/>
  <c r="AH962" i="6"/>
  <c r="AF963" i="6"/>
  <c r="AG963" i="6" s="1"/>
  <c r="AH963" i="6"/>
  <c r="AF964" i="6"/>
  <c r="AG964" i="6" s="1"/>
  <c r="AH964" i="6"/>
  <c r="AF965" i="6"/>
  <c r="AG965" i="6" s="1"/>
  <c r="AH965" i="6"/>
  <c r="AF966" i="6"/>
  <c r="AG966" i="6" s="1"/>
  <c r="AH966" i="6"/>
  <c r="AF967" i="6"/>
  <c r="AG967" i="6"/>
  <c r="AH967" i="6"/>
  <c r="AF968" i="6"/>
  <c r="AG968" i="6"/>
  <c r="AH968" i="6"/>
  <c r="AF969" i="6"/>
  <c r="AG969" i="6"/>
  <c r="AH969" i="6"/>
  <c r="AF970" i="6"/>
  <c r="AG970" i="6" s="1"/>
  <c r="AH970" i="6"/>
  <c r="AF971" i="6"/>
  <c r="AG971" i="6"/>
  <c r="AH971" i="6"/>
  <c r="AF972" i="6"/>
  <c r="AG972" i="6" s="1"/>
  <c r="AH972" i="6"/>
  <c r="AF973" i="6"/>
  <c r="AG973" i="6" s="1"/>
  <c r="AH973" i="6"/>
  <c r="AF974" i="6"/>
  <c r="AG974" i="6" s="1"/>
  <c r="AH974" i="6"/>
  <c r="AF975" i="6"/>
  <c r="AG975" i="6"/>
  <c r="AH975" i="6"/>
  <c r="AF976" i="6"/>
  <c r="AG976" i="6"/>
  <c r="AH976" i="6"/>
  <c r="AF977" i="6"/>
  <c r="AG977" i="6"/>
  <c r="AH977" i="6"/>
  <c r="AF978" i="6"/>
  <c r="AG978" i="6" s="1"/>
  <c r="AH978" i="6"/>
  <c r="AF979" i="6"/>
  <c r="AG979" i="6"/>
  <c r="AH979" i="6"/>
  <c r="AF980" i="6"/>
  <c r="AG980" i="6" s="1"/>
  <c r="AH980" i="6"/>
  <c r="AF981" i="6"/>
  <c r="AG981" i="6" s="1"/>
  <c r="AH981" i="6"/>
  <c r="AF982" i="6"/>
  <c r="AG982" i="6" s="1"/>
  <c r="AH982" i="6"/>
  <c r="AF983" i="6"/>
  <c r="AG983" i="6"/>
  <c r="AH983" i="6"/>
  <c r="AF984" i="6"/>
  <c r="AG984" i="6"/>
  <c r="AH984" i="6"/>
  <c r="AF985" i="6"/>
  <c r="AG985" i="6"/>
  <c r="AH985" i="6"/>
  <c r="AF986" i="6"/>
  <c r="AG986" i="6" s="1"/>
  <c r="AH986" i="6"/>
  <c r="AF987" i="6"/>
  <c r="AG987" i="6"/>
  <c r="AH987" i="6"/>
  <c r="AF988" i="6"/>
  <c r="AG988" i="6" s="1"/>
  <c r="AH988" i="6"/>
  <c r="AF989" i="6"/>
  <c r="AG989" i="6" s="1"/>
  <c r="AH989" i="6"/>
  <c r="AF990" i="6"/>
  <c r="AG990" i="6" s="1"/>
  <c r="AH990" i="6"/>
  <c r="AF991" i="6"/>
  <c r="AG991" i="6"/>
  <c r="AH991" i="6"/>
  <c r="AF992" i="6"/>
  <c r="AG992" i="6"/>
  <c r="AH992" i="6"/>
  <c r="AF993" i="6"/>
  <c r="AG993" i="6"/>
  <c r="AH993" i="6"/>
  <c r="AF994" i="6"/>
  <c r="AG994" i="6" s="1"/>
  <c r="AH994" i="6"/>
  <c r="AF995" i="6"/>
  <c r="AG995" i="6"/>
  <c r="AH995" i="6"/>
  <c r="AF996" i="6"/>
  <c r="AG996" i="6" s="1"/>
  <c r="AH996" i="6"/>
  <c r="AF997" i="6"/>
  <c r="AG997" i="6" s="1"/>
  <c r="AH997" i="6"/>
  <c r="AF998" i="6"/>
  <c r="AG998" i="6" s="1"/>
  <c r="AH998" i="6"/>
  <c r="AF999" i="6"/>
  <c r="AG999" i="6"/>
  <c r="AH999" i="6"/>
  <c r="AF1000" i="6"/>
  <c r="AG1000" i="6"/>
  <c r="AH1000" i="6"/>
  <c r="AF1001" i="6"/>
  <c r="AG1001" i="6"/>
  <c r="AH1001" i="6"/>
  <c r="AF1002" i="6"/>
  <c r="AG1002" i="6" s="1"/>
  <c r="AH1002" i="6"/>
  <c r="AF1003" i="6"/>
  <c r="AG1003" i="6"/>
  <c r="AH1003" i="6"/>
  <c r="AF1004" i="6"/>
  <c r="AG1004" i="6" s="1"/>
  <c r="AH1004" i="6"/>
  <c r="AF1005" i="6"/>
  <c r="AG1005" i="6" s="1"/>
  <c r="AH1005" i="6"/>
  <c r="AF1006" i="6"/>
  <c r="AG1006" i="6" s="1"/>
  <c r="AH1006" i="6"/>
  <c r="AF1007" i="6"/>
  <c r="AG1007" i="6"/>
  <c r="AH1007" i="6"/>
  <c r="AF1008" i="6"/>
  <c r="AG1008" i="6"/>
  <c r="AH1008" i="6"/>
  <c r="AF1009" i="6"/>
  <c r="AG1009" i="6"/>
  <c r="AH1009" i="6"/>
  <c r="AF1010" i="6"/>
  <c r="AG1010" i="6" s="1"/>
  <c r="AH1010" i="6"/>
  <c r="AF1011" i="6"/>
  <c r="AG1011" i="6"/>
  <c r="AH1011" i="6"/>
  <c r="AF1012" i="6"/>
  <c r="AG1012" i="6" s="1"/>
  <c r="AH1012" i="6"/>
  <c r="AF1013" i="6"/>
  <c r="AG1013" i="6" s="1"/>
  <c r="AH1013" i="6"/>
  <c r="AF1014" i="6"/>
  <c r="AG1014" i="6" s="1"/>
  <c r="AH1014" i="6"/>
  <c r="AF1015" i="6"/>
  <c r="AG1015" i="6"/>
  <c r="AH1015" i="6"/>
  <c r="AF1016" i="6"/>
  <c r="AG1016" i="6"/>
  <c r="AH1016" i="6"/>
  <c r="AF1017" i="6"/>
  <c r="AG1017" i="6"/>
  <c r="AH1017" i="6"/>
  <c r="AF1018" i="6"/>
  <c r="AG1018" i="6" s="1"/>
  <c r="AH1018" i="6"/>
  <c r="AF1019" i="6"/>
  <c r="AG1019" i="6"/>
  <c r="AH1019" i="6"/>
  <c r="AF1020" i="6"/>
  <c r="AG1020" i="6" s="1"/>
  <c r="AH1020" i="6"/>
  <c r="AF1021" i="6"/>
  <c r="AG1021" i="6" s="1"/>
  <c r="AH1021" i="6"/>
  <c r="AF1022" i="6"/>
  <c r="AG1022" i="6" s="1"/>
  <c r="AH1022" i="6"/>
  <c r="AF1023" i="6"/>
  <c r="AG1023" i="6"/>
  <c r="AH1023" i="6"/>
  <c r="AF1024" i="6"/>
  <c r="AG1024" i="6"/>
  <c r="AH1024" i="6"/>
  <c r="AF1025" i="6"/>
  <c r="AG1025" i="6"/>
  <c r="AH1025" i="6"/>
  <c r="AF1026" i="6"/>
  <c r="AG1026" i="6" s="1"/>
  <c r="AH1026" i="6"/>
  <c r="AF1027" i="6"/>
  <c r="AG1027" i="6"/>
  <c r="AH1027" i="6"/>
  <c r="AF1028" i="6"/>
  <c r="AG1028" i="6" s="1"/>
  <c r="AH1028" i="6"/>
  <c r="AF1029" i="6"/>
  <c r="AG1029" i="6" s="1"/>
  <c r="AH1029" i="6"/>
  <c r="AF1030" i="6"/>
  <c r="AG1030" i="6" s="1"/>
  <c r="AH1030" i="6"/>
  <c r="AF1031" i="6"/>
  <c r="AG1031" i="6"/>
  <c r="AH1031" i="6"/>
  <c r="AF1032" i="6"/>
  <c r="AG1032" i="6"/>
  <c r="AH1032" i="6"/>
  <c r="AF1033" i="6"/>
  <c r="AG1033" i="6"/>
  <c r="AH1033" i="6"/>
  <c r="AF1034" i="6"/>
  <c r="AG1034" i="6" s="1"/>
  <c r="AH1034" i="6"/>
  <c r="AF1035" i="6"/>
  <c r="AG1035" i="6"/>
  <c r="AH1035" i="6"/>
  <c r="AF1036" i="6"/>
  <c r="AG1036" i="6" s="1"/>
  <c r="AH1036" i="6"/>
  <c r="AF1037" i="6"/>
  <c r="AG1037" i="6" s="1"/>
  <c r="AH1037" i="6"/>
  <c r="AF1038" i="6"/>
  <c r="AG1038" i="6" s="1"/>
  <c r="AH1038" i="6"/>
  <c r="AF1039" i="6"/>
  <c r="AG1039" i="6"/>
  <c r="AH1039" i="6"/>
  <c r="AF1040" i="6"/>
  <c r="AG1040" i="6"/>
  <c r="AH1040" i="6"/>
  <c r="AF1041" i="6"/>
  <c r="AG1041" i="6"/>
  <c r="AH1041" i="6"/>
  <c r="AF1042" i="6"/>
  <c r="AG1042" i="6" s="1"/>
  <c r="AH1042" i="6"/>
  <c r="AF1043" i="6"/>
  <c r="AG1043" i="6"/>
  <c r="AH1043" i="6"/>
  <c r="AF1044" i="6"/>
  <c r="AG1044" i="6" s="1"/>
  <c r="AH1044" i="6"/>
  <c r="AF1045" i="6"/>
  <c r="AG1045" i="6" s="1"/>
  <c r="AH1045" i="6"/>
  <c r="AF1046" i="6"/>
  <c r="AG1046" i="6" s="1"/>
  <c r="AH1046" i="6"/>
  <c r="AF1047" i="6"/>
  <c r="AG1047" i="6"/>
  <c r="AH1047" i="6"/>
  <c r="AF1048" i="6"/>
  <c r="AG1048" i="6"/>
  <c r="AH1048" i="6"/>
  <c r="AF1049" i="6"/>
  <c r="AG1049" i="6"/>
  <c r="AH1049" i="6"/>
  <c r="AF1050" i="6"/>
  <c r="AG1050" i="6" s="1"/>
  <c r="AH1050" i="6"/>
  <c r="AF1051" i="6"/>
  <c r="AG1051" i="6"/>
  <c r="AH1051" i="6"/>
  <c r="AF1052" i="6"/>
  <c r="AG1052" i="6" s="1"/>
  <c r="AH1052" i="6"/>
  <c r="AF1053" i="6"/>
  <c r="AG1053" i="6" s="1"/>
  <c r="AH1053" i="6"/>
  <c r="AF1054" i="6"/>
  <c r="AG1054" i="6" s="1"/>
  <c r="AH1054" i="6"/>
  <c r="AF1055" i="6"/>
  <c r="AG1055" i="6" s="1"/>
  <c r="AH1055" i="6"/>
  <c r="AF1056" i="6"/>
  <c r="AG1056" i="6"/>
  <c r="AH1056" i="6"/>
  <c r="AF1057" i="6"/>
  <c r="AG1057" i="6"/>
  <c r="AH1057" i="6"/>
  <c r="AF1058" i="6"/>
  <c r="AG1058" i="6" s="1"/>
  <c r="AH1058" i="6"/>
  <c r="AF1059" i="6"/>
  <c r="AG1059" i="6"/>
  <c r="AH1059" i="6"/>
  <c r="AF1060" i="6"/>
  <c r="AG1060" i="6" s="1"/>
  <c r="AH1060" i="6"/>
  <c r="AF1061" i="6"/>
  <c r="AG1061" i="6" s="1"/>
  <c r="AH1061" i="6"/>
  <c r="AF1062" i="6"/>
  <c r="AG1062" i="6" s="1"/>
  <c r="AH1062" i="6"/>
  <c r="AF1063" i="6"/>
  <c r="AG1063" i="6" s="1"/>
  <c r="AH1063" i="6"/>
  <c r="AF1064" i="6"/>
  <c r="AG1064" i="6"/>
  <c r="AH1064" i="6"/>
  <c r="AF1065" i="6"/>
  <c r="AG1065" i="6"/>
  <c r="AH1065" i="6"/>
  <c r="AF1066" i="6"/>
  <c r="AG1066" i="6" s="1"/>
  <c r="AH1066" i="6"/>
  <c r="AF1067" i="6"/>
  <c r="AG1067" i="6"/>
  <c r="AH1067" i="6"/>
  <c r="AF1068" i="6"/>
  <c r="AG1068" i="6"/>
  <c r="AH1068" i="6"/>
  <c r="AF1069" i="6"/>
  <c r="AG1069" i="6" s="1"/>
  <c r="AH1069" i="6"/>
  <c r="AF1070" i="6"/>
  <c r="AG1070" i="6" s="1"/>
  <c r="AH1070" i="6"/>
  <c r="AF1071" i="6"/>
  <c r="AG1071" i="6" s="1"/>
  <c r="AH1071" i="6"/>
  <c r="AF1072" i="6"/>
  <c r="AG1072" i="6"/>
  <c r="AH1072" i="6"/>
  <c r="AF1073" i="6"/>
  <c r="AG1073" i="6"/>
  <c r="AH1073" i="6"/>
  <c r="AF1074" i="6"/>
  <c r="AG1074" i="6" s="1"/>
  <c r="AH1074" i="6"/>
  <c r="AF1075" i="6"/>
  <c r="AG1075" i="6" s="1"/>
  <c r="AH1075" i="6"/>
  <c r="AF1076" i="6"/>
  <c r="AG1076" i="6" s="1"/>
  <c r="AH1076" i="6"/>
  <c r="AF1077" i="6"/>
  <c r="AG1077" i="6" s="1"/>
  <c r="AH1077" i="6"/>
  <c r="AF1078" i="6"/>
  <c r="AG1078" i="6" s="1"/>
  <c r="AH1078" i="6"/>
  <c r="AF1079" i="6"/>
  <c r="AG1079" i="6"/>
  <c r="AH1079" i="6"/>
  <c r="AF1080" i="6"/>
  <c r="AG1080" i="6"/>
  <c r="AH1080" i="6"/>
  <c r="AF1081" i="6"/>
  <c r="AG1081" i="6"/>
  <c r="AH1081" i="6"/>
  <c r="AF1082" i="6"/>
  <c r="AG1082" i="6" s="1"/>
  <c r="AH1082" i="6"/>
  <c r="AF1083" i="6"/>
  <c r="AG1083" i="6" s="1"/>
  <c r="AH1083" i="6"/>
  <c r="AF1084" i="6"/>
  <c r="AG1084" i="6" s="1"/>
  <c r="AH1084" i="6"/>
  <c r="AF1085" i="6"/>
  <c r="AG1085" i="6" s="1"/>
  <c r="AH1085" i="6"/>
  <c r="AF1086" i="6"/>
  <c r="AG1086" i="6" s="1"/>
  <c r="AH1086" i="6"/>
  <c r="AF1087" i="6"/>
  <c r="AG1087" i="6"/>
  <c r="AH1087" i="6"/>
  <c r="AF1088" i="6"/>
  <c r="AG1088" i="6"/>
  <c r="AH1088" i="6"/>
  <c r="AF1089" i="6"/>
  <c r="AG1089" i="6"/>
  <c r="AH1089" i="6"/>
  <c r="AF1090" i="6"/>
  <c r="AG1090" i="6" s="1"/>
  <c r="AH1090" i="6"/>
  <c r="AF1091" i="6"/>
  <c r="AG1091" i="6"/>
  <c r="AH1091" i="6"/>
  <c r="AF1092" i="6"/>
  <c r="AG1092" i="6" s="1"/>
  <c r="AH1092" i="6"/>
  <c r="AF1093" i="6"/>
  <c r="AG1093" i="6" s="1"/>
  <c r="AH1093" i="6"/>
  <c r="AF1094" i="6"/>
  <c r="AG1094" i="6" s="1"/>
  <c r="AH1094" i="6"/>
  <c r="AF1095" i="6"/>
  <c r="AG1095" i="6"/>
  <c r="AH1095" i="6"/>
  <c r="AF1096" i="6"/>
  <c r="AG1096" i="6"/>
  <c r="AH1096" i="6"/>
  <c r="AF1097" i="6"/>
  <c r="AG1097" i="6"/>
  <c r="AH1097" i="6"/>
  <c r="AF1098" i="6"/>
  <c r="AG1098" i="6" s="1"/>
  <c r="AH1098" i="6"/>
  <c r="AF1099" i="6"/>
  <c r="AG1099" i="6"/>
  <c r="AH1099" i="6"/>
  <c r="AF1100" i="6"/>
  <c r="AG1100" i="6"/>
  <c r="AH1100" i="6"/>
  <c r="AF1101" i="6"/>
  <c r="AG1101" i="6" s="1"/>
  <c r="AH1101" i="6"/>
  <c r="AF1102" i="6"/>
  <c r="AG1102" i="6" s="1"/>
  <c r="AH1102" i="6"/>
  <c r="AF1103" i="6"/>
  <c r="AG1103" i="6" s="1"/>
  <c r="AH1103" i="6"/>
  <c r="AF1104" i="6"/>
  <c r="AG1104" i="6"/>
  <c r="AH1104" i="6"/>
  <c r="AF1105" i="6"/>
  <c r="AG1105" i="6"/>
  <c r="AH1105" i="6"/>
  <c r="AF1106" i="6"/>
  <c r="AG1106" i="6" s="1"/>
  <c r="AH1106" i="6"/>
  <c r="AF1107" i="6"/>
  <c r="AG1107" i="6"/>
  <c r="AH1107" i="6"/>
  <c r="AF1108" i="6"/>
  <c r="AG1108" i="6"/>
  <c r="AH1108" i="6"/>
  <c r="AF1109" i="6"/>
  <c r="AG1109" i="6" s="1"/>
  <c r="AH1109" i="6"/>
  <c r="AF1110" i="6"/>
  <c r="AG1110" i="6" s="1"/>
  <c r="AH1110" i="6"/>
  <c r="AF1111" i="6"/>
  <c r="AG1111" i="6"/>
  <c r="AH1111" i="6"/>
  <c r="AF1112" i="6"/>
  <c r="AG1112" i="6"/>
  <c r="AH1112" i="6"/>
  <c r="AF1113" i="6"/>
  <c r="AG1113" i="6"/>
  <c r="AH1113" i="6"/>
  <c r="AF1114" i="6"/>
  <c r="AG1114" i="6" s="1"/>
  <c r="AH1114" i="6"/>
  <c r="AF1115" i="6"/>
  <c r="AG1115" i="6" s="1"/>
  <c r="AH1115" i="6"/>
  <c r="AF1116" i="6"/>
  <c r="AG1116" i="6"/>
  <c r="AH1116" i="6"/>
  <c r="AF1117" i="6"/>
  <c r="AG1117" i="6" s="1"/>
  <c r="AH1117" i="6"/>
  <c r="AF1118" i="6"/>
  <c r="AG1118" i="6" s="1"/>
  <c r="AH1118" i="6"/>
  <c r="AF1119" i="6"/>
  <c r="AG1119" i="6" s="1"/>
  <c r="AH1119" i="6"/>
  <c r="AF1120" i="6"/>
  <c r="AG1120" i="6"/>
  <c r="AH1120" i="6"/>
  <c r="AF1121" i="6"/>
  <c r="AG1121" i="6"/>
  <c r="AH1121" i="6"/>
  <c r="AF1122" i="6"/>
  <c r="AG1122" i="6" s="1"/>
  <c r="AH1122" i="6"/>
  <c r="AF1123" i="6"/>
  <c r="AG1123" i="6"/>
  <c r="AH1123" i="6"/>
  <c r="AF1124" i="6"/>
  <c r="AG1124" i="6" s="1"/>
  <c r="AH1124" i="6"/>
  <c r="AF1125" i="6"/>
  <c r="AG1125" i="6" s="1"/>
  <c r="AH1125" i="6"/>
  <c r="AF1126" i="6"/>
  <c r="AG1126" i="6" s="1"/>
  <c r="AH1126" i="6"/>
  <c r="AF1127" i="6"/>
  <c r="AG1127" i="6" s="1"/>
  <c r="AH1127" i="6"/>
  <c r="AF1128" i="6"/>
  <c r="AG1128" i="6"/>
  <c r="AH1128" i="6"/>
  <c r="AF1129" i="6"/>
  <c r="AG1129" i="6"/>
  <c r="AH1129" i="6"/>
  <c r="AF1130" i="6"/>
  <c r="AG1130" i="6" s="1"/>
  <c r="AH1130" i="6"/>
  <c r="AF1131" i="6"/>
  <c r="AG1131" i="6" s="1"/>
  <c r="AH1131" i="6"/>
  <c r="AF1132" i="6"/>
  <c r="AG1132" i="6"/>
  <c r="AH1132" i="6"/>
  <c r="AF1133" i="6"/>
  <c r="AG1133" i="6" s="1"/>
  <c r="AH1133" i="6"/>
  <c r="AF1134" i="6"/>
  <c r="AG1134" i="6" s="1"/>
  <c r="AH1134" i="6"/>
  <c r="AF1135" i="6"/>
  <c r="AG1135" i="6" s="1"/>
  <c r="AH1135" i="6"/>
  <c r="AF1136" i="6"/>
  <c r="AG1136" i="6"/>
  <c r="AH1136" i="6"/>
  <c r="AF1137" i="6"/>
  <c r="AG1137" i="6"/>
  <c r="AH1137" i="6"/>
  <c r="AF1138" i="6"/>
  <c r="AG1138" i="6" s="1"/>
  <c r="AH1138" i="6"/>
  <c r="AF1139" i="6"/>
  <c r="AG1139" i="6" s="1"/>
  <c r="AH1139" i="6"/>
  <c r="AF1140" i="6"/>
  <c r="AG1140" i="6" s="1"/>
  <c r="AH1140" i="6"/>
  <c r="AF1141" i="6"/>
  <c r="AG1141" i="6" s="1"/>
  <c r="AH1141" i="6"/>
  <c r="AF1142" i="6"/>
  <c r="AG1142" i="6" s="1"/>
  <c r="AH1142" i="6"/>
  <c r="AF1143" i="6"/>
  <c r="AG1143" i="6"/>
  <c r="AH1143" i="6"/>
  <c r="AF1144" i="6"/>
  <c r="AG1144" i="6"/>
  <c r="AH1144" i="6"/>
  <c r="AF1145" i="6"/>
  <c r="AG1145" i="6"/>
  <c r="AH1145" i="6"/>
  <c r="AF1146" i="6"/>
  <c r="AG1146" i="6" s="1"/>
  <c r="AH1146" i="6"/>
  <c r="AF1147" i="6"/>
  <c r="AG1147" i="6" s="1"/>
  <c r="AH1147" i="6"/>
  <c r="AF1148" i="6"/>
  <c r="AG1148" i="6" s="1"/>
  <c r="AH1148" i="6"/>
  <c r="AF1149" i="6"/>
  <c r="AG1149" i="6" s="1"/>
  <c r="AH1149" i="6"/>
  <c r="AF1150" i="6"/>
  <c r="AG1150" i="6" s="1"/>
  <c r="AH1150" i="6"/>
  <c r="AF1151" i="6"/>
  <c r="AG1151" i="6"/>
  <c r="AH1151" i="6"/>
  <c r="AF1152" i="6"/>
  <c r="AG1152" i="6"/>
  <c r="AH1152" i="6"/>
  <c r="AF1153" i="6"/>
  <c r="AG1153" i="6"/>
  <c r="AH1153" i="6"/>
  <c r="AF1154" i="6"/>
  <c r="AG1154" i="6" s="1"/>
  <c r="AH1154" i="6"/>
  <c r="AF1155" i="6"/>
  <c r="AG1155" i="6"/>
  <c r="AH1155" i="6"/>
  <c r="AF1156" i="6"/>
  <c r="AG1156" i="6" s="1"/>
  <c r="AH1156" i="6"/>
  <c r="AF1157" i="6"/>
  <c r="AG1157" i="6" s="1"/>
  <c r="AH1157" i="6"/>
  <c r="AF1158" i="6"/>
  <c r="AG1158" i="6" s="1"/>
  <c r="AH1158" i="6"/>
  <c r="AF1159" i="6"/>
  <c r="AG1159" i="6"/>
  <c r="AH1159" i="6"/>
  <c r="AF1160" i="6"/>
  <c r="AG1160" i="6"/>
  <c r="AH1160" i="6"/>
  <c r="AF1161" i="6"/>
  <c r="AG1161" i="6"/>
  <c r="AH1161" i="6"/>
  <c r="AF1162" i="6"/>
  <c r="AG1162" i="6" s="1"/>
  <c r="AH1162" i="6"/>
  <c r="AF1163" i="6"/>
  <c r="AG1163" i="6"/>
  <c r="AH1163" i="6"/>
  <c r="AF1164" i="6"/>
  <c r="AG1164" i="6"/>
  <c r="AH1164" i="6"/>
  <c r="AF1165" i="6"/>
  <c r="AG1165" i="6" s="1"/>
  <c r="AH1165" i="6"/>
  <c r="AF1166" i="6"/>
  <c r="AG1166" i="6" s="1"/>
  <c r="AH1166" i="6"/>
  <c r="AF1167" i="6"/>
  <c r="AG1167" i="6" s="1"/>
  <c r="AH1167" i="6"/>
  <c r="AF1168" i="6"/>
  <c r="AG1168" i="6"/>
  <c r="AH1168" i="6"/>
  <c r="AF1169" i="6"/>
  <c r="AG1169" i="6"/>
  <c r="AH1169" i="6"/>
  <c r="AF1170" i="6"/>
  <c r="AG1170" i="6" s="1"/>
  <c r="AH1170" i="6"/>
  <c r="AF1171" i="6"/>
  <c r="AG1171" i="6"/>
  <c r="AH1171" i="6"/>
  <c r="AF1172" i="6"/>
  <c r="AG1172" i="6"/>
  <c r="AH1172" i="6"/>
  <c r="AF1173" i="6"/>
  <c r="AG1173" i="6" s="1"/>
  <c r="AH1173" i="6"/>
  <c r="AF1174" i="6"/>
  <c r="AG1174" i="6" s="1"/>
  <c r="AH1174" i="6"/>
  <c r="AF1175" i="6"/>
  <c r="AG1175" i="6"/>
  <c r="AH1175" i="6"/>
  <c r="AF1176" i="6"/>
  <c r="AG1176" i="6"/>
  <c r="AH1176" i="6"/>
  <c r="AF1177" i="6"/>
  <c r="AG1177" i="6"/>
  <c r="AH1177" i="6"/>
  <c r="AF1178" i="6"/>
  <c r="AG1178" i="6" s="1"/>
  <c r="AH1178" i="6"/>
  <c r="AF1179" i="6"/>
  <c r="AG1179" i="6" s="1"/>
  <c r="AH1179" i="6"/>
  <c r="AF1180" i="6"/>
  <c r="AG1180" i="6"/>
  <c r="AH1180" i="6"/>
  <c r="AF1181" i="6"/>
  <c r="AG1181" i="6" s="1"/>
  <c r="AH1181" i="6"/>
  <c r="AF1182" i="6"/>
  <c r="AG1182" i="6" s="1"/>
  <c r="AH1182" i="6"/>
  <c r="AF1183" i="6"/>
  <c r="AG1183" i="6" s="1"/>
  <c r="AH1183" i="6"/>
  <c r="AF1184" i="6"/>
  <c r="AG1184" i="6"/>
  <c r="AH1184" i="6"/>
  <c r="AF1185" i="6"/>
  <c r="AG1185" i="6"/>
  <c r="AH1185" i="6"/>
  <c r="AF1186" i="6"/>
  <c r="AG1186" i="6" s="1"/>
  <c r="AH1186" i="6"/>
  <c r="AF1187" i="6"/>
  <c r="AG1187" i="6"/>
  <c r="AH1187" i="6"/>
  <c r="AF1188" i="6"/>
  <c r="AG1188" i="6" s="1"/>
  <c r="AH1188" i="6"/>
  <c r="AF1189" i="6"/>
  <c r="AG1189" i="6" s="1"/>
  <c r="AH1189" i="6"/>
  <c r="AF1190" i="6"/>
  <c r="AG1190" i="6" s="1"/>
  <c r="AH1190" i="6"/>
  <c r="AF1191" i="6"/>
  <c r="AG1191" i="6" s="1"/>
  <c r="AH1191" i="6"/>
  <c r="AF1192" i="6"/>
  <c r="AG1192" i="6"/>
  <c r="AH1192" i="6"/>
  <c r="AF1193" i="6"/>
  <c r="AG1193" i="6"/>
  <c r="AH1193" i="6"/>
  <c r="AF1194" i="6"/>
  <c r="AG1194" i="6" s="1"/>
  <c r="AH1194" i="6"/>
  <c r="AF1195" i="6"/>
  <c r="AG1195" i="6" s="1"/>
  <c r="AH1195" i="6"/>
  <c r="AF1196" i="6"/>
  <c r="AG1196" i="6"/>
  <c r="AH1196" i="6"/>
  <c r="AF1197" i="6"/>
  <c r="AG1197" i="6" s="1"/>
  <c r="AH1197" i="6"/>
  <c r="AF1198" i="6"/>
  <c r="AG1198" i="6" s="1"/>
  <c r="AH1198" i="6"/>
  <c r="AF1199" i="6"/>
  <c r="AG1199" i="6" s="1"/>
  <c r="AH1199" i="6"/>
  <c r="AF1200" i="6"/>
  <c r="AG1200" i="6"/>
  <c r="AH1200" i="6"/>
  <c r="AF1201" i="6"/>
  <c r="AG1201" i="6"/>
  <c r="AH1201" i="6"/>
  <c r="AF1202" i="6"/>
  <c r="AG1202" i="6" s="1"/>
  <c r="AH1202" i="6"/>
  <c r="AF1203" i="6"/>
  <c r="AG1203" i="6" s="1"/>
  <c r="AH1203" i="6"/>
  <c r="AF1204" i="6"/>
  <c r="AG1204" i="6" s="1"/>
  <c r="AH1204" i="6"/>
  <c r="AF1205" i="6"/>
  <c r="AG1205" i="6" s="1"/>
  <c r="AH1205" i="6"/>
  <c r="AF1206" i="6"/>
  <c r="AG1206" i="6" s="1"/>
  <c r="AH1206" i="6"/>
  <c r="AF1207" i="6"/>
  <c r="AG1207" i="6"/>
  <c r="AH1207" i="6"/>
  <c r="AF1208" i="6"/>
  <c r="AG1208" i="6"/>
  <c r="AH1208" i="6"/>
  <c r="AF1209" i="6"/>
  <c r="AG1209" i="6"/>
  <c r="AH1209" i="6"/>
  <c r="AF1210" i="6"/>
  <c r="AG1210" i="6" s="1"/>
  <c r="AH1210" i="6"/>
  <c r="AF1211" i="6"/>
  <c r="AG1211" i="6" s="1"/>
  <c r="AH1211" i="6"/>
  <c r="AF1212" i="6"/>
  <c r="AG1212" i="6" s="1"/>
  <c r="AH1212" i="6"/>
  <c r="AF1213" i="6"/>
  <c r="AG1213" i="6" s="1"/>
  <c r="AH1213" i="6"/>
  <c r="AF1214" i="6"/>
  <c r="AG1214" i="6" s="1"/>
  <c r="AH1214" i="6"/>
  <c r="AF1215" i="6"/>
  <c r="AG1215" i="6"/>
  <c r="AH1215" i="6"/>
  <c r="AF1216" i="6"/>
  <c r="AG1216" i="6"/>
  <c r="AH1216" i="6"/>
  <c r="AF1217" i="6"/>
  <c r="AG1217" i="6"/>
  <c r="AH1217" i="6"/>
  <c r="AF1218" i="6"/>
  <c r="AG1218" i="6" s="1"/>
  <c r="AH1218" i="6"/>
  <c r="AF1219" i="6"/>
  <c r="AG1219" i="6"/>
  <c r="AH1219" i="6"/>
  <c r="AF1220" i="6"/>
  <c r="AG1220" i="6" s="1"/>
  <c r="AH1220" i="6"/>
  <c r="AF1221" i="6"/>
  <c r="AG1221" i="6" s="1"/>
  <c r="AH1221" i="6"/>
  <c r="AF1222" i="6"/>
  <c r="AG1222" i="6" s="1"/>
  <c r="AH1222" i="6"/>
  <c r="AF1223" i="6"/>
  <c r="AG1223" i="6"/>
  <c r="AH1223" i="6"/>
  <c r="AF1224" i="6"/>
  <c r="AG1224" i="6"/>
  <c r="AH1224" i="6"/>
  <c r="AF1225" i="6"/>
  <c r="AG1225" i="6"/>
  <c r="AH1225" i="6"/>
  <c r="AF1226" i="6"/>
  <c r="AG1226" i="6" s="1"/>
  <c r="AH1226" i="6"/>
  <c r="AF1227" i="6"/>
  <c r="AG1227" i="6"/>
  <c r="AH1227" i="6"/>
  <c r="AF1228" i="6"/>
  <c r="AG1228" i="6"/>
  <c r="AH1228" i="6"/>
  <c r="AF1229" i="6"/>
  <c r="AG1229" i="6" s="1"/>
  <c r="AH1229" i="6"/>
  <c r="AF1230" i="6"/>
  <c r="AG1230" i="6" s="1"/>
  <c r="AH1230" i="6"/>
  <c r="AF1231" i="6"/>
  <c r="AG1231" i="6" s="1"/>
  <c r="AH1231" i="6"/>
  <c r="AF1232" i="6"/>
  <c r="AG1232" i="6"/>
  <c r="AH1232" i="6"/>
  <c r="AF1233" i="6"/>
  <c r="AG1233" i="6"/>
  <c r="AH1233" i="6"/>
  <c r="AF1234" i="6"/>
  <c r="AG1234" i="6" s="1"/>
  <c r="AH1234" i="6"/>
  <c r="AF1235" i="6"/>
  <c r="AG1235" i="6"/>
  <c r="AH1235" i="6"/>
  <c r="AF1236" i="6"/>
  <c r="AG1236" i="6"/>
  <c r="AH1236" i="6"/>
  <c r="AF1237" i="6"/>
  <c r="AG1237" i="6" s="1"/>
  <c r="AH1237" i="6"/>
  <c r="AF1238" i="6"/>
  <c r="AG1238" i="6"/>
  <c r="AH1238" i="6"/>
  <c r="AF1239" i="6"/>
  <c r="AG1239" i="6"/>
  <c r="AH1239" i="6"/>
  <c r="AF1240" i="6"/>
  <c r="AG1240" i="6"/>
  <c r="AH1240" i="6"/>
  <c r="AF1241" i="6"/>
  <c r="AG1241" i="6" s="1"/>
  <c r="AH1241" i="6"/>
  <c r="AF1242" i="6"/>
  <c r="AG1242" i="6" s="1"/>
  <c r="AH1242" i="6"/>
  <c r="AF1243" i="6"/>
  <c r="AG1243" i="6" s="1"/>
  <c r="AH1243" i="6"/>
  <c r="AF1244" i="6"/>
  <c r="AG1244" i="6"/>
  <c r="AH1244" i="6"/>
  <c r="AF1245" i="6"/>
  <c r="AG1245" i="6" s="1"/>
  <c r="AH1245" i="6"/>
  <c r="AF1246" i="6"/>
  <c r="AG1246" i="6" s="1"/>
  <c r="AH1246" i="6"/>
  <c r="AF1247" i="6"/>
  <c r="AG1247" i="6"/>
  <c r="AH1247" i="6"/>
  <c r="AF1248" i="6"/>
  <c r="AG1248" i="6"/>
  <c r="AH1248" i="6"/>
  <c r="AF1249" i="6"/>
  <c r="AG1249" i="6"/>
  <c r="AH1249" i="6"/>
  <c r="AF1250" i="6"/>
  <c r="AG1250" i="6"/>
  <c r="AH1250" i="6"/>
  <c r="AF1251" i="6"/>
  <c r="AG1251" i="6"/>
  <c r="AH1251" i="6"/>
  <c r="AF1252" i="6"/>
  <c r="AG1252" i="6" s="1"/>
  <c r="AH1252" i="6"/>
  <c r="AF1253" i="6"/>
  <c r="AG1253" i="6" s="1"/>
  <c r="AH1253" i="6"/>
  <c r="AF1254" i="6"/>
  <c r="AG1254" i="6"/>
  <c r="AH1254" i="6"/>
  <c r="AF1255" i="6"/>
  <c r="AG1255" i="6" s="1"/>
  <c r="AH1255" i="6"/>
  <c r="AF1256" i="6"/>
  <c r="AG1256" i="6"/>
  <c r="AH1256" i="6"/>
  <c r="AF1257" i="6"/>
  <c r="AG1257" i="6" s="1"/>
  <c r="AH1257" i="6"/>
  <c r="AF1258" i="6"/>
  <c r="AG1258" i="6"/>
  <c r="AH1258" i="6"/>
  <c r="AF1259" i="6"/>
  <c r="AG1259" i="6" s="1"/>
  <c r="AH1259" i="6"/>
  <c r="AF1260" i="6"/>
  <c r="AG1260" i="6"/>
  <c r="AH1260" i="6"/>
  <c r="AF1261" i="6"/>
  <c r="AG1261" i="6" s="1"/>
  <c r="AH1261" i="6"/>
  <c r="AF1262" i="6"/>
  <c r="AG1262" i="6" s="1"/>
  <c r="AH1262" i="6"/>
  <c r="AF1263" i="6"/>
  <c r="AG1263" i="6"/>
  <c r="AH1263" i="6"/>
  <c r="AF1264" i="6"/>
  <c r="AG1264" i="6"/>
  <c r="AH1264" i="6"/>
  <c r="AF1265" i="6"/>
  <c r="AG1265" i="6"/>
  <c r="AH1265" i="6"/>
  <c r="AF1266" i="6"/>
  <c r="AG1266" i="6" s="1"/>
  <c r="AH1266" i="6"/>
  <c r="AF1267" i="6"/>
  <c r="AG1267" i="6" s="1"/>
  <c r="AH1267" i="6"/>
  <c r="AF1268" i="6"/>
  <c r="AG1268" i="6" s="1"/>
  <c r="AH1268" i="6"/>
  <c r="AF1269" i="6"/>
  <c r="AG1269" i="6" s="1"/>
  <c r="AH1269" i="6"/>
  <c r="AF1270" i="6"/>
  <c r="AG1270" i="6" s="1"/>
  <c r="AH1270" i="6"/>
  <c r="AF1271" i="6"/>
  <c r="AG1271" i="6" s="1"/>
  <c r="AH1271" i="6"/>
  <c r="AF1272" i="6"/>
  <c r="AG1272" i="6"/>
  <c r="AH1272" i="6"/>
  <c r="AF1273" i="6"/>
  <c r="AG1273" i="6" s="1"/>
  <c r="AH1273" i="6"/>
  <c r="AF1274" i="6"/>
  <c r="AG1274" i="6"/>
  <c r="AH1274" i="6"/>
  <c r="AF1275" i="6"/>
  <c r="AG1275" i="6"/>
  <c r="AH1275" i="6"/>
  <c r="AF1276" i="6"/>
  <c r="AG1276" i="6"/>
  <c r="AH1276" i="6"/>
  <c r="AF1277" i="6"/>
  <c r="AG1277" i="6" s="1"/>
  <c r="AH1277" i="6"/>
  <c r="AF1278" i="6"/>
  <c r="AG1278" i="6"/>
  <c r="AH1278" i="6"/>
  <c r="AF1279" i="6"/>
  <c r="AG1279" i="6"/>
  <c r="AH1279" i="6"/>
  <c r="AF1280" i="6"/>
  <c r="AG1280" i="6"/>
  <c r="AH1280" i="6"/>
  <c r="AF1281" i="6"/>
  <c r="AG1281" i="6" s="1"/>
  <c r="AH1281" i="6"/>
  <c r="AF1282" i="6"/>
  <c r="AG1282" i="6" s="1"/>
  <c r="AH1282" i="6"/>
  <c r="AF1283" i="6"/>
  <c r="AG1283" i="6"/>
  <c r="AH1283" i="6"/>
  <c r="AF1284" i="6"/>
  <c r="AG1284" i="6" s="1"/>
  <c r="AH1284" i="6"/>
  <c r="AF1285" i="6"/>
  <c r="AG1285" i="6" s="1"/>
  <c r="AH1285" i="6"/>
  <c r="AF1286" i="6"/>
  <c r="AG1286" i="6"/>
  <c r="AH1286" i="6"/>
  <c r="AF1287" i="6"/>
  <c r="AG1287" i="6" s="1"/>
  <c r="AH1287" i="6"/>
  <c r="AF1288" i="6"/>
  <c r="AG1288" i="6"/>
  <c r="AH1288" i="6"/>
  <c r="AF1289" i="6"/>
  <c r="AG1289" i="6"/>
  <c r="AH1289" i="6"/>
  <c r="AF1290" i="6"/>
  <c r="AG1290" i="6"/>
  <c r="AH1290" i="6"/>
  <c r="AF1291" i="6"/>
  <c r="AG1291" i="6" s="1"/>
  <c r="AH1291" i="6"/>
  <c r="AF1292" i="6"/>
  <c r="AG1292" i="6" s="1"/>
  <c r="AH1292" i="6"/>
  <c r="AF1293" i="6"/>
  <c r="AG1293" i="6" s="1"/>
  <c r="AH1293" i="6"/>
  <c r="AF1294" i="6"/>
  <c r="AG1294" i="6" s="1"/>
  <c r="AH1294" i="6"/>
  <c r="AF1295" i="6"/>
  <c r="AG1295" i="6" s="1"/>
  <c r="AH1295" i="6"/>
  <c r="AF1296" i="6"/>
  <c r="AG1296" i="6"/>
  <c r="AH1296" i="6"/>
  <c r="AF1297" i="6"/>
  <c r="AG1297" i="6"/>
  <c r="AH1297" i="6"/>
  <c r="AF1298" i="6"/>
  <c r="AG1298" i="6" s="1"/>
  <c r="AH1298" i="6"/>
  <c r="AF1299" i="6"/>
  <c r="AG1299" i="6"/>
  <c r="AH1299" i="6"/>
  <c r="AF1300" i="6"/>
  <c r="AG1300" i="6"/>
  <c r="AH1300" i="6"/>
  <c r="AF1301" i="6"/>
  <c r="AG1301" i="6" s="1"/>
  <c r="AH1301" i="6"/>
  <c r="AF1302" i="6"/>
  <c r="AG1302" i="6"/>
  <c r="AH1302" i="6"/>
  <c r="AF1303" i="6"/>
  <c r="AG1303" i="6"/>
  <c r="AH1303" i="6"/>
  <c r="AF1304" i="6"/>
  <c r="AG1304" i="6"/>
  <c r="AH1304" i="6"/>
  <c r="AF1305" i="6"/>
  <c r="AG1305" i="6" s="1"/>
  <c r="AH1305" i="6"/>
  <c r="AF1306" i="6"/>
  <c r="AG1306" i="6" s="1"/>
  <c r="AH1306" i="6"/>
  <c r="AF1307" i="6"/>
  <c r="AG1307" i="6" s="1"/>
  <c r="AH1307" i="6"/>
  <c r="AF1308" i="6"/>
  <c r="AG1308" i="6"/>
  <c r="AH1308" i="6"/>
  <c r="AF1309" i="6"/>
  <c r="AG1309" i="6" s="1"/>
  <c r="AH1309" i="6"/>
  <c r="AF1310" i="6"/>
  <c r="AG1310" i="6" s="1"/>
  <c r="AH1310" i="6"/>
  <c r="AF1311" i="6"/>
  <c r="AG1311" i="6"/>
  <c r="AH1311" i="6"/>
  <c r="AF1312" i="6"/>
  <c r="AG1312" i="6"/>
  <c r="AH1312" i="6"/>
  <c r="AF1313" i="6"/>
  <c r="AG1313" i="6"/>
  <c r="AH1313" i="6"/>
  <c r="AF1314" i="6"/>
  <c r="AG1314" i="6"/>
  <c r="AH1314" i="6"/>
  <c r="AF1315" i="6"/>
  <c r="AG1315" i="6"/>
  <c r="AH1315" i="6"/>
  <c r="AF1316" i="6"/>
  <c r="AG1316" i="6" s="1"/>
  <c r="AH1316" i="6"/>
  <c r="AF1317" i="6"/>
  <c r="AG1317" i="6" s="1"/>
  <c r="AH1317" i="6"/>
  <c r="AF1318" i="6"/>
  <c r="AG1318" i="6"/>
  <c r="AH1318" i="6"/>
  <c r="AF1319" i="6"/>
  <c r="AG1319" i="6" s="1"/>
  <c r="AH1319" i="6"/>
  <c r="AF1320" i="6"/>
  <c r="AG1320" i="6"/>
  <c r="AH1320" i="6"/>
  <c r="AF1321" i="6"/>
  <c r="AG1321" i="6" s="1"/>
  <c r="AH1321" i="6"/>
  <c r="AF1322" i="6"/>
  <c r="AG1322" i="6"/>
  <c r="AH1322" i="6"/>
  <c r="AF1323" i="6"/>
  <c r="AG1323" i="6" s="1"/>
  <c r="AH1323" i="6"/>
  <c r="AF1324" i="6"/>
  <c r="AG1324" i="6"/>
  <c r="AH1324" i="6"/>
  <c r="AF1325" i="6"/>
  <c r="AG1325" i="6" s="1"/>
  <c r="AH1325" i="6"/>
  <c r="AF1326" i="6"/>
  <c r="AG1326" i="6" s="1"/>
  <c r="AH1326" i="6"/>
  <c r="AF1327" i="6"/>
  <c r="AG1327" i="6"/>
  <c r="AH1327" i="6"/>
  <c r="AF1328" i="6"/>
  <c r="AG1328" i="6"/>
  <c r="AH1328" i="6"/>
  <c r="AF1329" i="6"/>
  <c r="AG1329" i="6"/>
  <c r="AH1329" i="6"/>
  <c r="AF1330" i="6"/>
  <c r="AG1330" i="6" s="1"/>
  <c r="AH1330" i="6"/>
  <c r="AF1331" i="6"/>
  <c r="AG1331" i="6" s="1"/>
  <c r="AH1331" i="6"/>
  <c r="AF1332" i="6"/>
  <c r="AG1332" i="6" s="1"/>
  <c r="AH1332" i="6"/>
  <c r="AF1333" i="6"/>
  <c r="AG1333" i="6" s="1"/>
  <c r="AH1333" i="6"/>
  <c r="AF1334" i="6"/>
  <c r="AG1334" i="6" s="1"/>
  <c r="AH1334" i="6"/>
  <c r="AF1335" i="6"/>
  <c r="AG1335" i="6" s="1"/>
  <c r="AH1335" i="6"/>
  <c r="AF1336" i="6"/>
  <c r="AG1336" i="6"/>
  <c r="AH1336" i="6"/>
  <c r="AF1337" i="6"/>
  <c r="AG1337" i="6" s="1"/>
  <c r="AH1337" i="6"/>
  <c r="AF1338" i="6"/>
  <c r="AG1338" i="6"/>
  <c r="AH1338" i="6"/>
  <c r="AF1339" i="6"/>
  <c r="AG1339" i="6"/>
  <c r="AH1339" i="6"/>
  <c r="AF1340" i="6"/>
  <c r="AG1340" i="6"/>
  <c r="AH1340" i="6"/>
  <c r="AF1341" i="6"/>
  <c r="AG1341" i="6" s="1"/>
  <c r="AH1341" i="6"/>
  <c r="AF1342" i="6"/>
  <c r="AG1342" i="6"/>
  <c r="AH1342" i="6"/>
  <c r="AF1343" i="6"/>
  <c r="AG1343" i="6"/>
  <c r="AH1343" i="6"/>
  <c r="AF1344" i="6"/>
  <c r="AG1344" i="6"/>
  <c r="AH1344" i="6"/>
  <c r="AF1345" i="6"/>
  <c r="AG1345" i="6" s="1"/>
  <c r="AH1345" i="6"/>
  <c r="AF1346" i="6"/>
  <c r="AG1346" i="6" s="1"/>
  <c r="AH1346" i="6"/>
  <c r="AF1347" i="6"/>
  <c r="AG1347" i="6"/>
  <c r="AH1347" i="6"/>
  <c r="AF1348" i="6"/>
  <c r="AG1348" i="6" s="1"/>
  <c r="AH1348" i="6"/>
  <c r="AF1349" i="6"/>
  <c r="AG1349" i="6" s="1"/>
  <c r="AH1349" i="6"/>
  <c r="AF1350" i="6"/>
  <c r="AG1350" i="6"/>
  <c r="AH1350" i="6"/>
  <c r="AF1351" i="6"/>
  <c r="AG1351" i="6" s="1"/>
  <c r="AH1351" i="6"/>
  <c r="AF1352" i="6"/>
  <c r="AG1352" i="6"/>
  <c r="AH1352" i="6"/>
  <c r="AF1353" i="6"/>
  <c r="AG1353" i="6"/>
  <c r="AH1353" i="6"/>
  <c r="AF1354" i="6"/>
  <c r="AG1354" i="6"/>
  <c r="AH1354" i="6"/>
  <c r="AF1355" i="6"/>
  <c r="AG1355" i="6" s="1"/>
  <c r="AH1355" i="6"/>
  <c r="AF1356" i="6"/>
  <c r="AG1356" i="6" s="1"/>
  <c r="AH1356" i="6"/>
  <c r="AF1357" i="6"/>
  <c r="AG1357" i="6" s="1"/>
  <c r="AH1357" i="6"/>
  <c r="AF1358" i="6"/>
  <c r="AG1358" i="6" s="1"/>
  <c r="AH1358" i="6"/>
  <c r="AF1359" i="6"/>
  <c r="AG1359" i="6" s="1"/>
  <c r="AH1359" i="6"/>
  <c r="AF1360" i="6"/>
  <c r="AG1360" i="6"/>
  <c r="AH1360" i="6"/>
  <c r="AF1361" i="6"/>
  <c r="AG1361" i="6"/>
  <c r="AH1361" i="6"/>
  <c r="AF1362" i="6"/>
  <c r="AG1362" i="6" s="1"/>
  <c r="AH1362" i="6"/>
  <c r="AF1363" i="6"/>
  <c r="AG1363" i="6"/>
  <c r="AH1363" i="6"/>
  <c r="AF1364" i="6"/>
  <c r="AG1364" i="6"/>
  <c r="AH1364" i="6"/>
  <c r="AF1365" i="6"/>
  <c r="AG1365" i="6" s="1"/>
  <c r="AH1365" i="6"/>
  <c r="AF1366" i="6"/>
  <c r="AG1366" i="6"/>
  <c r="AH1366" i="6"/>
  <c r="AF1367" i="6"/>
  <c r="AG1367" i="6"/>
  <c r="AH1367" i="6"/>
  <c r="AF1368" i="6"/>
  <c r="AG1368" i="6"/>
  <c r="AH1368" i="6"/>
  <c r="AF1369" i="6"/>
  <c r="AG1369" i="6" s="1"/>
  <c r="AH1369" i="6"/>
  <c r="AF1370" i="6"/>
  <c r="AG1370" i="6" s="1"/>
  <c r="AH1370" i="6"/>
  <c r="AF1371" i="6"/>
  <c r="AG1371" i="6" s="1"/>
  <c r="AH1371" i="6"/>
  <c r="AF1372" i="6"/>
  <c r="AG1372" i="6"/>
  <c r="AH1372" i="6"/>
  <c r="AF1373" i="6"/>
  <c r="AG1373" i="6" s="1"/>
  <c r="AH1373" i="6"/>
  <c r="AF1374" i="6"/>
  <c r="AG1374" i="6" s="1"/>
  <c r="AH1374" i="6"/>
  <c r="AF1375" i="6"/>
  <c r="AG1375" i="6"/>
  <c r="AH1375" i="6"/>
  <c r="AF1376" i="6"/>
  <c r="AG1376" i="6"/>
  <c r="AH1376" i="6"/>
  <c r="AF1377" i="6"/>
  <c r="AG1377" i="6"/>
  <c r="AH1377" i="6"/>
  <c r="AF1378" i="6"/>
  <c r="AG1378" i="6"/>
  <c r="AH1378" i="6"/>
  <c r="AF1379" i="6"/>
  <c r="AG1379" i="6"/>
  <c r="AH1379" i="6"/>
  <c r="AF1380" i="6"/>
  <c r="AG1380" i="6" s="1"/>
  <c r="AH1380" i="6"/>
  <c r="AF1381" i="6"/>
  <c r="AG1381" i="6" s="1"/>
  <c r="AH1381" i="6"/>
  <c r="AF1382" i="6"/>
  <c r="AG1382" i="6"/>
  <c r="AH1382" i="6"/>
  <c r="AF1383" i="6"/>
  <c r="AG1383" i="6" s="1"/>
  <c r="AH1383" i="6"/>
  <c r="AF1384" i="6"/>
  <c r="AG1384" i="6"/>
  <c r="AH1384" i="6"/>
  <c r="AF1385" i="6"/>
  <c r="AG1385" i="6" s="1"/>
  <c r="AH1385" i="6"/>
  <c r="AF1386" i="6"/>
  <c r="AG1386" i="6"/>
  <c r="AH1386" i="6"/>
  <c r="AF1387" i="6"/>
  <c r="AG1387" i="6" s="1"/>
  <c r="AH1387" i="6"/>
  <c r="AF1388" i="6"/>
  <c r="AG1388" i="6"/>
  <c r="AH1388" i="6"/>
  <c r="AF1389" i="6"/>
  <c r="AG1389" i="6" s="1"/>
  <c r="AH1389" i="6"/>
  <c r="AF1390" i="6"/>
  <c r="AG1390" i="6" s="1"/>
  <c r="AH1390" i="6"/>
  <c r="AF1391" i="6"/>
  <c r="AG1391" i="6"/>
  <c r="AH1391" i="6"/>
  <c r="AF1392" i="6"/>
  <c r="AG1392" i="6"/>
  <c r="AH1392" i="6"/>
  <c r="AF1393" i="6"/>
  <c r="AG1393" i="6"/>
  <c r="AH1393" i="6"/>
  <c r="AF1394" i="6"/>
  <c r="AG1394" i="6" s="1"/>
  <c r="AH1394" i="6"/>
  <c r="AF1395" i="6"/>
  <c r="AG1395" i="6" s="1"/>
  <c r="AH1395" i="6"/>
  <c r="AF1396" i="6"/>
  <c r="AG1396" i="6" s="1"/>
  <c r="AH1396" i="6"/>
  <c r="AF1397" i="6"/>
  <c r="AG1397" i="6" s="1"/>
  <c r="AH1397" i="6"/>
  <c r="AF1398" i="6"/>
  <c r="AG1398" i="6" s="1"/>
  <c r="AH1398" i="6"/>
  <c r="AF1399" i="6"/>
  <c r="AG1399" i="6" s="1"/>
  <c r="AH1399" i="6"/>
  <c r="AF1400" i="6"/>
  <c r="AG1400" i="6"/>
  <c r="AH1400" i="6"/>
  <c r="AF1401" i="6"/>
  <c r="AG1401" i="6" s="1"/>
  <c r="AH1401" i="6"/>
  <c r="AF1402" i="6"/>
  <c r="AG1402" i="6"/>
  <c r="AH1402" i="6"/>
  <c r="AF1403" i="6"/>
  <c r="AG1403" i="6"/>
  <c r="AH1403" i="6"/>
  <c r="AF1404" i="6"/>
  <c r="AG1404" i="6"/>
  <c r="AH1404" i="6"/>
  <c r="AF1405" i="6"/>
  <c r="AG1405" i="6" s="1"/>
  <c r="AH1405" i="6"/>
  <c r="AF1406" i="6"/>
  <c r="AG1406" i="6"/>
  <c r="AH1406" i="6"/>
  <c r="AF1407" i="6"/>
  <c r="AG1407" i="6"/>
  <c r="AH1407" i="6"/>
  <c r="AF1408" i="6"/>
  <c r="AG1408" i="6" s="1"/>
  <c r="AH1408" i="6"/>
  <c r="AF1409" i="6"/>
  <c r="AG1409" i="6" s="1"/>
  <c r="AH1409" i="6"/>
  <c r="AF1410" i="6"/>
  <c r="AG1410" i="6" s="1"/>
  <c r="AH1410" i="6"/>
  <c r="AF1411" i="6"/>
  <c r="AG1411" i="6"/>
  <c r="AH1411" i="6"/>
  <c r="AF1412" i="6"/>
  <c r="AG1412" i="6" s="1"/>
  <c r="AH1412" i="6"/>
  <c r="AF1413" i="6"/>
  <c r="AG1413" i="6"/>
  <c r="AH1413" i="6"/>
  <c r="AF1414" i="6"/>
  <c r="AG1414" i="6"/>
  <c r="AH1414" i="6"/>
  <c r="AF1415" i="6"/>
  <c r="AG1415" i="6"/>
  <c r="AH1415" i="6"/>
  <c r="AF1416" i="6"/>
  <c r="AG1416" i="6" s="1"/>
  <c r="AH1416" i="6"/>
  <c r="AF1417" i="6"/>
  <c r="AG1417" i="6" s="1"/>
  <c r="AH1417" i="6"/>
  <c r="AF1418" i="6"/>
  <c r="AG1418" i="6" s="1"/>
  <c r="AH1418" i="6"/>
  <c r="AF1419" i="6"/>
  <c r="AG1419" i="6"/>
  <c r="AH1419" i="6"/>
  <c r="AF1420" i="6"/>
  <c r="AG1420" i="6" s="1"/>
  <c r="AH1420" i="6"/>
  <c r="AF1421" i="6"/>
  <c r="AG1421" i="6"/>
  <c r="AH1421" i="6"/>
  <c r="AF1422" i="6"/>
  <c r="AG1422" i="6" s="1"/>
  <c r="AH1422" i="6"/>
  <c r="AF1423" i="6"/>
  <c r="AG1423" i="6"/>
  <c r="AH1423" i="6"/>
  <c r="AF1424" i="6"/>
  <c r="AG1424" i="6" s="1"/>
  <c r="AH1424" i="6"/>
  <c r="AF1425" i="6"/>
  <c r="AG1425" i="6" s="1"/>
  <c r="AH1425" i="6"/>
  <c r="AF1426" i="6"/>
  <c r="AG1426" i="6" s="1"/>
  <c r="AH1426" i="6"/>
  <c r="AF1427" i="6"/>
  <c r="AG1427" i="6"/>
  <c r="AH1427" i="6"/>
  <c r="AF1428" i="6"/>
  <c r="AG1428" i="6" s="1"/>
  <c r="AH1428" i="6"/>
  <c r="AF1429" i="6"/>
  <c r="AG1429" i="6"/>
  <c r="AH1429" i="6"/>
  <c r="AF1430" i="6"/>
  <c r="AG1430" i="6" s="1"/>
  <c r="AH1430" i="6"/>
  <c r="AF1431" i="6"/>
  <c r="AG1431" i="6"/>
  <c r="AH1431" i="6"/>
  <c r="AF1432" i="6"/>
  <c r="AG1432" i="6" s="1"/>
  <c r="AH1432" i="6"/>
  <c r="AF1433" i="6"/>
  <c r="AG1433" i="6" s="1"/>
  <c r="AH1433" i="6"/>
  <c r="AF1434" i="6"/>
  <c r="AG1434" i="6" s="1"/>
  <c r="AH1434" i="6"/>
  <c r="AF1435" i="6"/>
  <c r="AG1435" i="6"/>
  <c r="AH1435" i="6"/>
  <c r="AF1436" i="6"/>
  <c r="AG1436" i="6" s="1"/>
  <c r="AH1436" i="6"/>
  <c r="AF1437" i="6"/>
  <c r="AG1437" i="6"/>
  <c r="AH1437" i="6"/>
  <c r="AF1438" i="6"/>
  <c r="AG1438" i="6" s="1"/>
  <c r="AH1438" i="6"/>
  <c r="AF1439" i="6"/>
  <c r="AG1439" i="6"/>
  <c r="AH1439" i="6"/>
  <c r="AF1440" i="6"/>
  <c r="AG1440" i="6" s="1"/>
  <c r="AH1440" i="6"/>
  <c r="AF1441" i="6"/>
  <c r="AG1441" i="6" s="1"/>
  <c r="AH1441" i="6"/>
  <c r="AF1442" i="6"/>
  <c r="AG1442" i="6" s="1"/>
  <c r="AH1442" i="6"/>
  <c r="AF1443" i="6"/>
  <c r="AG1443" i="6"/>
  <c r="AH1443" i="6"/>
  <c r="AF1444" i="6"/>
  <c r="AG1444" i="6" s="1"/>
  <c r="AH1444" i="6"/>
  <c r="AF1445" i="6"/>
  <c r="AG1445" i="6"/>
  <c r="AH1445" i="6"/>
  <c r="AF1446" i="6"/>
  <c r="AG1446" i="6" s="1"/>
  <c r="AH1446" i="6"/>
  <c r="AF1447" i="6"/>
  <c r="AG1447" i="6"/>
  <c r="AH1447" i="6"/>
  <c r="AF1448" i="6"/>
  <c r="AG1448" i="6" s="1"/>
  <c r="AH1448" i="6"/>
  <c r="AF1449" i="6"/>
  <c r="AG1449" i="6" s="1"/>
  <c r="AH1449" i="6"/>
  <c r="AF1450" i="6"/>
  <c r="AG1450" i="6" s="1"/>
  <c r="AH1450" i="6"/>
  <c r="AF1451" i="6"/>
  <c r="AG1451" i="6"/>
  <c r="AH1451" i="6"/>
  <c r="AF1452" i="6"/>
  <c r="AG1452" i="6" s="1"/>
  <c r="AH1452" i="6"/>
  <c r="AF1453" i="6"/>
  <c r="AG1453" i="6"/>
  <c r="AH1453" i="6"/>
  <c r="AF1454" i="6"/>
  <c r="AG1454" i="6" s="1"/>
  <c r="AH1454" i="6"/>
  <c r="AF1455" i="6"/>
  <c r="AG1455" i="6"/>
  <c r="AH1455" i="6"/>
  <c r="AF1456" i="6"/>
  <c r="AG1456" i="6" s="1"/>
  <c r="AH1456" i="6"/>
  <c r="AF1457" i="6"/>
  <c r="AG1457" i="6" s="1"/>
  <c r="AH1457" i="6"/>
  <c r="AF1458" i="6"/>
  <c r="AG1458" i="6" s="1"/>
  <c r="AH1458" i="6"/>
  <c r="AF1459" i="6"/>
  <c r="AG1459" i="6"/>
  <c r="AH1459" i="6"/>
  <c r="AF1460" i="6"/>
  <c r="AG1460" i="6" s="1"/>
  <c r="AH1460" i="6"/>
  <c r="AF1461" i="6"/>
  <c r="AG1461" i="6"/>
  <c r="AH1461" i="6"/>
  <c r="AF1462" i="6"/>
  <c r="AG1462" i="6" s="1"/>
  <c r="AH1462" i="6"/>
  <c r="AF1463" i="6"/>
  <c r="AG1463" i="6"/>
  <c r="AH1463" i="6"/>
  <c r="AF1464" i="6"/>
  <c r="AG1464" i="6" s="1"/>
  <c r="AH1464" i="6"/>
  <c r="AF1465" i="6"/>
  <c r="AG1465" i="6" s="1"/>
  <c r="AH1465" i="6"/>
  <c r="AF1466" i="6"/>
  <c r="AG1466" i="6" s="1"/>
  <c r="AH1466" i="6"/>
  <c r="AF1467" i="6"/>
  <c r="AG1467" i="6"/>
  <c r="AH1467" i="6"/>
  <c r="AF1468" i="6"/>
  <c r="AG1468" i="6" s="1"/>
  <c r="AH1468" i="6"/>
  <c r="AF1469" i="6"/>
  <c r="AG1469" i="6"/>
  <c r="AH1469" i="6"/>
  <c r="AF1470" i="6"/>
  <c r="AG1470" i="6" s="1"/>
  <c r="AH1470" i="6"/>
  <c r="AF1471" i="6"/>
  <c r="AG1471" i="6"/>
  <c r="AH1471" i="6"/>
  <c r="AF1472" i="6"/>
  <c r="AG1472" i="6" s="1"/>
  <c r="AH1472" i="6"/>
  <c r="AF1473" i="6"/>
  <c r="AG1473" i="6" s="1"/>
  <c r="AH1473" i="6"/>
  <c r="AF1474" i="6"/>
  <c r="AG1474" i="6" s="1"/>
  <c r="AH1474" i="6"/>
  <c r="AF1475" i="6"/>
  <c r="AG1475" i="6"/>
  <c r="AH1475" i="6"/>
  <c r="AF1476" i="6"/>
  <c r="AG1476" i="6" s="1"/>
  <c r="AH1476" i="6"/>
  <c r="AF1477" i="6"/>
  <c r="AG1477" i="6"/>
  <c r="AH1477" i="6"/>
  <c r="AF1478" i="6"/>
  <c r="AG1478" i="6" s="1"/>
  <c r="AH1478" i="6"/>
  <c r="AF1479" i="6"/>
  <c r="AG1479" i="6"/>
  <c r="AH1479" i="6"/>
  <c r="AF1480" i="6"/>
  <c r="AG1480" i="6" s="1"/>
  <c r="AH1480" i="6"/>
  <c r="AF1481" i="6"/>
  <c r="AG1481" i="6" s="1"/>
  <c r="AH1481" i="6"/>
  <c r="AF1482" i="6"/>
  <c r="AG1482" i="6" s="1"/>
  <c r="AH1482" i="6"/>
  <c r="AF1483" i="6"/>
  <c r="AG1483" i="6"/>
  <c r="AH1483" i="6"/>
  <c r="AF1484" i="6"/>
  <c r="AG1484" i="6" s="1"/>
  <c r="AH1484" i="6"/>
  <c r="AF1485" i="6"/>
  <c r="AG1485" i="6"/>
  <c r="AH1485" i="6"/>
  <c r="AF1486" i="6"/>
  <c r="AG1486" i="6" s="1"/>
  <c r="AH1486" i="6"/>
  <c r="AF1487" i="6"/>
  <c r="AG1487" i="6"/>
  <c r="AH1487" i="6"/>
  <c r="AF1488" i="6"/>
  <c r="AG1488" i="6" s="1"/>
  <c r="AH1488" i="6"/>
  <c r="AF1489" i="6"/>
  <c r="AG1489" i="6" s="1"/>
  <c r="AH1489" i="6"/>
  <c r="AF1490" i="6"/>
  <c r="AG1490" i="6" s="1"/>
  <c r="AH1490" i="6"/>
  <c r="AF1491" i="6"/>
  <c r="AG1491" i="6"/>
  <c r="AH1491" i="6"/>
  <c r="AF1492" i="6"/>
  <c r="AG1492" i="6" s="1"/>
  <c r="AH1492" i="6"/>
  <c r="AF1493" i="6"/>
  <c r="AG1493" i="6"/>
  <c r="AH1493" i="6"/>
  <c r="AF1494" i="6"/>
  <c r="AG1494" i="6" s="1"/>
  <c r="AH1494" i="6"/>
  <c r="AF1495" i="6"/>
  <c r="AG1495" i="6"/>
  <c r="AH1495" i="6"/>
  <c r="AF1496" i="6"/>
  <c r="AG1496" i="6" s="1"/>
  <c r="AH1496" i="6"/>
  <c r="AF1497" i="6"/>
  <c r="AG1497" i="6" s="1"/>
  <c r="AH1497" i="6"/>
  <c r="AF1498" i="6"/>
  <c r="AG1498" i="6" s="1"/>
  <c r="AH1498" i="6"/>
  <c r="AF1499" i="6"/>
  <c r="AG1499" i="6"/>
  <c r="AH1499" i="6"/>
  <c r="AF1500" i="6"/>
  <c r="AG1500" i="6" s="1"/>
  <c r="AH1500" i="6"/>
  <c r="AF1501" i="6"/>
  <c r="AG1501" i="6"/>
  <c r="AH1501" i="6"/>
  <c r="AF1502" i="6"/>
  <c r="AG1502" i="6" s="1"/>
  <c r="AH1502" i="6"/>
  <c r="AF1503" i="6"/>
  <c r="AG1503" i="6"/>
  <c r="AH1503" i="6"/>
  <c r="AF1504" i="6"/>
  <c r="AG1504" i="6" s="1"/>
  <c r="AH1504" i="6"/>
  <c r="AF1505" i="6"/>
  <c r="AG1505" i="6" s="1"/>
  <c r="AH1505" i="6"/>
  <c r="AF1506" i="6"/>
  <c r="AG1506" i="6" s="1"/>
  <c r="AH1506" i="6"/>
  <c r="AF1507" i="6"/>
  <c r="AG1507" i="6"/>
  <c r="AH1507" i="6"/>
  <c r="AF1508" i="6"/>
  <c r="AG1508" i="6" s="1"/>
  <c r="AH1508" i="6"/>
  <c r="AF1509" i="6"/>
  <c r="AG1509" i="6"/>
  <c r="AH1509" i="6"/>
  <c r="AF1510" i="6"/>
  <c r="AG1510" i="6" s="1"/>
  <c r="AH1510" i="6"/>
  <c r="AF1511" i="6"/>
  <c r="AG1511" i="6"/>
  <c r="AH1511" i="6"/>
  <c r="AF1512" i="6"/>
  <c r="AG1512" i="6" s="1"/>
  <c r="AH1512" i="6"/>
  <c r="AF1513" i="6"/>
  <c r="AG1513" i="6" s="1"/>
  <c r="AH1513" i="6"/>
  <c r="AF1514" i="6"/>
  <c r="AG1514" i="6" s="1"/>
  <c r="AH1514" i="6"/>
  <c r="AF1515" i="6"/>
  <c r="AG1515" i="6"/>
  <c r="AH1515" i="6"/>
  <c r="AF1516" i="6"/>
  <c r="AG1516" i="6" s="1"/>
  <c r="AH1516" i="6"/>
  <c r="AF1517" i="6"/>
  <c r="AG1517" i="6"/>
  <c r="AH1517" i="6"/>
  <c r="AF1518" i="6"/>
  <c r="AG1518" i="6" s="1"/>
  <c r="AH1518" i="6"/>
  <c r="AF1519" i="6"/>
  <c r="AG1519" i="6"/>
  <c r="AH1519" i="6"/>
  <c r="AF1520" i="6"/>
  <c r="AG1520" i="6" s="1"/>
  <c r="AH1520" i="6"/>
  <c r="AF1521" i="6"/>
  <c r="AG1521" i="6" s="1"/>
  <c r="AH1521" i="6"/>
  <c r="AF1522" i="6"/>
  <c r="AG1522" i="6" s="1"/>
  <c r="AH1522" i="6"/>
  <c r="AF1523" i="6"/>
  <c r="AG1523" i="6"/>
  <c r="AH1523" i="6"/>
  <c r="AF1524" i="6"/>
  <c r="AG1524" i="6" s="1"/>
  <c r="AH1524" i="6"/>
  <c r="AF1525" i="6"/>
  <c r="AG1525" i="6"/>
  <c r="AH1525" i="6"/>
  <c r="AF1526" i="6"/>
  <c r="AG1526" i="6" s="1"/>
  <c r="AH1526" i="6"/>
  <c r="AF1527" i="6"/>
  <c r="AG1527" i="6"/>
  <c r="AH1527" i="6"/>
  <c r="AF1528" i="6"/>
  <c r="AG1528" i="6" s="1"/>
  <c r="AH1528" i="6"/>
  <c r="AF1529" i="6"/>
  <c r="AG1529" i="6" s="1"/>
  <c r="AH1529" i="6"/>
  <c r="AF1530" i="6"/>
  <c r="AG1530" i="6" s="1"/>
  <c r="AH1530" i="6"/>
  <c r="AF1531" i="6"/>
  <c r="AG1531" i="6"/>
  <c r="AH1531" i="6"/>
  <c r="AF1532" i="6"/>
  <c r="AG1532" i="6" s="1"/>
  <c r="AH1532" i="6"/>
  <c r="AF1533" i="6"/>
  <c r="AG1533" i="6"/>
  <c r="AH1533" i="6"/>
  <c r="AF1534" i="6"/>
  <c r="AG1534" i="6" s="1"/>
  <c r="AH1534" i="6"/>
  <c r="AF1535" i="6"/>
  <c r="AG1535" i="6"/>
  <c r="AH1535" i="6"/>
  <c r="AF1536" i="6"/>
  <c r="AG1536" i="6" s="1"/>
  <c r="AH1536" i="6"/>
  <c r="AF1537" i="6"/>
  <c r="AG1537" i="6" s="1"/>
  <c r="AH1537" i="6"/>
  <c r="AF1538" i="6"/>
  <c r="AG1538" i="6" s="1"/>
  <c r="AH1538" i="6"/>
  <c r="AF1539" i="6"/>
  <c r="AG1539" i="6"/>
  <c r="AH1539" i="6"/>
  <c r="AF1540" i="6"/>
  <c r="AG1540" i="6" s="1"/>
  <c r="AH1540" i="6"/>
  <c r="AF1541" i="6"/>
  <c r="AG1541" i="6"/>
  <c r="AH1541" i="6"/>
  <c r="AF1542" i="6"/>
  <c r="AG1542" i="6" s="1"/>
  <c r="AH1542" i="6"/>
  <c r="AF1543" i="6"/>
  <c r="AG1543" i="6"/>
  <c r="AH1543" i="6"/>
  <c r="AF1544" i="6"/>
  <c r="AG1544" i="6" s="1"/>
  <c r="AH1544" i="6"/>
  <c r="AF1545" i="6"/>
  <c r="AG1545" i="6" s="1"/>
  <c r="AH1545" i="6"/>
  <c r="AF1546" i="6"/>
  <c r="AG1546" i="6" s="1"/>
  <c r="AH1546" i="6"/>
  <c r="AF1547" i="6"/>
  <c r="AG1547" i="6"/>
  <c r="AH1547" i="6"/>
  <c r="AF1548" i="6"/>
  <c r="AG1548" i="6" s="1"/>
  <c r="AH1548" i="6"/>
  <c r="AF1549" i="6"/>
  <c r="AG1549" i="6"/>
  <c r="AH1549" i="6"/>
  <c r="AF1550" i="6"/>
  <c r="AG1550" i="6"/>
  <c r="AH1550" i="6"/>
  <c r="AF1551" i="6"/>
  <c r="AG1551" i="6"/>
  <c r="AH1551" i="6"/>
  <c r="AF1552" i="6"/>
  <c r="AG1552" i="6" s="1"/>
  <c r="AH1552" i="6"/>
  <c r="AF1553" i="6"/>
  <c r="AG1553" i="6"/>
  <c r="AH1553" i="6"/>
  <c r="AF1554" i="6"/>
  <c r="AG1554" i="6" s="1"/>
  <c r="AH1554" i="6"/>
  <c r="AF1555" i="6"/>
  <c r="AG1555" i="6"/>
  <c r="AH1555" i="6"/>
  <c r="AF1556" i="6"/>
  <c r="AG1556" i="6" s="1"/>
  <c r="AH1556" i="6"/>
  <c r="AF1557" i="6"/>
  <c r="AG1557" i="6"/>
  <c r="AH1557" i="6"/>
  <c r="AF1558" i="6"/>
  <c r="AG1558" i="6"/>
  <c r="AH1558" i="6"/>
  <c r="AF1559" i="6"/>
  <c r="AG1559" i="6"/>
  <c r="AH1559" i="6"/>
  <c r="AF1560" i="6"/>
  <c r="AG1560" i="6" s="1"/>
  <c r="AH1560" i="6"/>
  <c r="AF1561" i="6"/>
  <c r="AG1561" i="6"/>
  <c r="AH1561" i="6"/>
  <c r="AF1562" i="6"/>
  <c r="AG1562" i="6" s="1"/>
  <c r="AH1562" i="6"/>
  <c r="AF1563" i="6"/>
  <c r="AG1563" i="6"/>
  <c r="AH1563" i="6"/>
  <c r="AF1564" i="6"/>
  <c r="AG1564" i="6" s="1"/>
  <c r="AH1564" i="6"/>
  <c r="AF1565" i="6"/>
  <c r="AG1565" i="6"/>
  <c r="AH1565" i="6"/>
  <c r="AF1566" i="6"/>
  <c r="AG1566" i="6"/>
  <c r="AH1566" i="6"/>
  <c r="AF1567" i="6"/>
  <c r="AG1567" i="6"/>
  <c r="AH1567" i="6"/>
  <c r="AF1568" i="6"/>
  <c r="AG1568" i="6" s="1"/>
  <c r="AH1568" i="6"/>
  <c r="AF1569" i="6"/>
  <c r="AG1569" i="6"/>
  <c r="AH1569" i="6"/>
  <c r="AF1570" i="6"/>
  <c r="AG1570" i="6" s="1"/>
  <c r="AH1570" i="6"/>
  <c r="AF1571" i="6"/>
  <c r="AG1571" i="6"/>
  <c r="AH1571" i="6"/>
  <c r="AF1572" i="6"/>
  <c r="AG1572" i="6" s="1"/>
  <c r="AH1572" i="6"/>
  <c r="AF1573" i="6"/>
  <c r="AG1573" i="6"/>
  <c r="AH1573" i="6"/>
  <c r="AF1574" i="6"/>
  <c r="AG1574" i="6" s="1"/>
  <c r="AH1574" i="6"/>
  <c r="AF1575" i="6"/>
  <c r="AG1575" i="6"/>
  <c r="AH1575" i="6"/>
  <c r="AF1576" i="6"/>
  <c r="AG1576" i="6" s="1"/>
  <c r="AH1576" i="6"/>
  <c r="AF1577" i="6"/>
  <c r="AG1577" i="6" s="1"/>
  <c r="AH1577" i="6"/>
  <c r="AF1578" i="6"/>
  <c r="AG1578" i="6" s="1"/>
  <c r="AH1578" i="6"/>
  <c r="AF1579" i="6"/>
  <c r="AG1579" i="6"/>
  <c r="AH1579" i="6"/>
  <c r="AF1580" i="6"/>
  <c r="AG1580" i="6" s="1"/>
  <c r="AH1580" i="6"/>
  <c r="AF1581" i="6"/>
  <c r="AG1581" i="6"/>
  <c r="AH1581" i="6"/>
  <c r="AF1582" i="6"/>
  <c r="AG1582" i="6"/>
  <c r="AH1582" i="6"/>
  <c r="AF1583" i="6"/>
  <c r="AG1583" i="6"/>
  <c r="AH1583" i="6"/>
  <c r="AF1584" i="6"/>
  <c r="AG1584" i="6" s="1"/>
  <c r="AH1584" i="6"/>
  <c r="AF1585" i="6"/>
  <c r="AG1585" i="6"/>
  <c r="AH1585" i="6"/>
  <c r="AF1586" i="6"/>
  <c r="AG1586" i="6" s="1"/>
  <c r="AH1586" i="6"/>
  <c r="AF1587" i="6"/>
  <c r="AG1587" i="6"/>
  <c r="AH1587" i="6"/>
  <c r="AF1588" i="6"/>
  <c r="AG1588" i="6" s="1"/>
  <c r="AH1588" i="6"/>
  <c r="AF1589" i="6"/>
  <c r="AG1589" i="6"/>
  <c r="AH1589" i="6"/>
  <c r="AF1590" i="6"/>
  <c r="AG1590" i="6" s="1"/>
  <c r="AH1590" i="6"/>
  <c r="AF1591" i="6"/>
  <c r="AG1591" i="6"/>
  <c r="AH1591" i="6"/>
  <c r="AF1592" i="6"/>
  <c r="AG1592" i="6" s="1"/>
  <c r="AH1592" i="6"/>
  <c r="AF1593" i="6"/>
  <c r="AG1593" i="6" s="1"/>
  <c r="AH1593" i="6"/>
  <c r="AF1594" i="6"/>
  <c r="AG1594" i="6" s="1"/>
  <c r="AH1594" i="6"/>
  <c r="AF1595" i="6"/>
  <c r="AG1595" i="6"/>
  <c r="AH1595" i="6"/>
  <c r="AF1596" i="6"/>
  <c r="AG1596" i="6" s="1"/>
  <c r="AH1596" i="6"/>
  <c r="AF1597" i="6"/>
  <c r="AG1597" i="6"/>
  <c r="AH1597" i="6"/>
  <c r="AF1598" i="6"/>
  <c r="AG1598" i="6"/>
  <c r="AH1598" i="6"/>
  <c r="AF1599" i="6"/>
  <c r="AG1599" i="6"/>
  <c r="AH1599" i="6"/>
  <c r="AF1600" i="6"/>
  <c r="AG1600" i="6" s="1"/>
  <c r="AH1600" i="6"/>
  <c r="AF1601" i="6"/>
  <c r="AG1601" i="6"/>
  <c r="AH1601" i="6"/>
  <c r="AF1602" i="6"/>
  <c r="AG1602" i="6" s="1"/>
  <c r="AH1602" i="6"/>
  <c r="AF1603" i="6"/>
  <c r="AG1603" i="6"/>
  <c r="AH1603" i="6"/>
  <c r="AF1604" i="6"/>
  <c r="AG1604" i="6" s="1"/>
  <c r="AH1604" i="6"/>
  <c r="AF1605" i="6"/>
  <c r="AG1605" i="6"/>
  <c r="AH1605" i="6"/>
  <c r="AF1606" i="6"/>
  <c r="AG1606" i="6" s="1"/>
  <c r="AH1606" i="6"/>
  <c r="AF1607" i="6"/>
  <c r="AG1607" i="6"/>
  <c r="AH1607" i="6"/>
  <c r="AF1608" i="6"/>
  <c r="AG1608" i="6" s="1"/>
  <c r="AH1608" i="6"/>
  <c r="AF1609" i="6"/>
  <c r="AG1609" i="6" s="1"/>
  <c r="AH1609" i="6"/>
  <c r="AF1610" i="6"/>
  <c r="AG1610" i="6" s="1"/>
  <c r="AH1610" i="6"/>
  <c r="AF1611" i="6"/>
  <c r="AG1611" i="6"/>
  <c r="AH1611" i="6"/>
  <c r="AF1612" i="6"/>
  <c r="AG1612" i="6" s="1"/>
  <c r="AH1612" i="6"/>
  <c r="AF1613" i="6"/>
  <c r="AG1613" i="6"/>
  <c r="AH1613" i="6"/>
  <c r="AF1614" i="6"/>
  <c r="AG1614" i="6"/>
  <c r="AH1614" i="6"/>
  <c r="AF1615" i="6"/>
  <c r="AG1615" i="6"/>
  <c r="AH1615" i="6"/>
  <c r="AF1616" i="6"/>
  <c r="AG1616" i="6" s="1"/>
  <c r="AH1616" i="6"/>
  <c r="AF1617" i="6"/>
  <c r="AG1617" i="6"/>
  <c r="AH1617" i="6"/>
  <c r="AF1618" i="6"/>
  <c r="AG1618" i="6" s="1"/>
  <c r="AH1618" i="6"/>
  <c r="AF1619" i="6"/>
  <c r="AG1619" i="6"/>
  <c r="AH1619" i="6"/>
  <c r="AF1620" i="6"/>
  <c r="AG1620" i="6" s="1"/>
  <c r="AH1620" i="6"/>
  <c r="AF1621" i="6"/>
  <c r="AG1621" i="6"/>
  <c r="AH1621" i="6"/>
  <c r="AF1622" i="6"/>
  <c r="AG1622" i="6"/>
  <c r="AH1622" i="6"/>
  <c r="AF1623" i="6"/>
  <c r="AG1623" i="6"/>
  <c r="AH1623" i="6"/>
  <c r="AF1624" i="6"/>
  <c r="AG1624" i="6" s="1"/>
  <c r="AH1624" i="6"/>
  <c r="AF1625" i="6"/>
  <c r="AG1625" i="6"/>
  <c r="AH1625" i="6"/>
  <c r="AF1626" i="6"/>
  <c r="AG1626" i="6" s="1"/>
  <c r="AH1626" i="6"/>
  <c r="AF1627" i="6"/>
  <c r="AG1627" i="6"/>
  <c r="AH1627" i="6"/>
  <c r="AF1628" i="6"/>
  <c r="AG1628" i="6" s="1"/>
  <c r="AH1628" i="6"/>
  <c r="AF1629" i="6"/>
  <c r="AG1629" i="6"/>
  <c r="AH1629" i="6"/>
  <c r="AF1630" i="6"/>
  <c r="AG1630" i="6"/>
  <c r="AH1630" i="6"/>
  <c r="AF1631" i="6"/>
  <c r="AG1631" i="6"/>
  <c r="AH1631" i="6"/>
  <c r="AF1632" i="6"/>
  <c r="AG1632" i="6" s="1"/>
  <c r="AH1632" i="6"/>
  <c r="AF1633" i="6"/>
  <c r="AG1633" i="6"/>
  <c r="AH1633" i="6"/>
  <c r="AF1634" i="6"/>
  <c r="AG1634" i="6" s="1"/>
  <c r="AH1634" i="6"/>
  <c r="AF1635" i="6"/>
  <c r="AG1635" i="6"/>
  <c r="AH1635" i="6"/>
  <c r="AF1636" i="6"/>
  <c r="AG1636" i="6" s="1"/>
  <c r="AH1636" i="6"/>
  <c r="AF1637" i="6"/>
  <c r="AG1637" i="6"/>
  <c r="AH1637" i="6"/>
  <c r="AF1638" i="6"/>
  <c r="AG1638" i="6" s="1"/>
  <c r="AH1638" i="6"/>
  <c r="AF1639" i="6"/>
  <c r="AG1639" i="6"/>
  <c r="AH1639" i="6"/>
  <c r="AF1640" i="6"/>
  <c r="AG1640" i="6" s="1"/>
  <c r="AH1640" i="6"/>
  <c r="AF1641" i="6"/>
  <c r="AG1641" i="6" s="1"/>
  <c r="AH1641" i="6"/>
  <c r="AF1642" i="6"/>
  <c r="AG1642" i="6" s="1"/>
  <c r="AH1642" i="6"/>
  <c r="AF1643" i="6"/>
  <c r="AG1643" i="6"/>
  <c r="AH1643" i="6"/>
  <c r="AF1644" i="6"/>
  <c r="AG1644" i="6" s="1"/>
  <c r="AH1644" i="6"/>
  <c r="AF1645" i="6"/>
  <c r="AG1645" i="6"/>
  <c r="AH1645" i="6"/>
  <c r="AF1646" i="6"/>
  <c r="AG1646" i="6"/>
  <c r="AH1646" i="6"/>
  <c r="AF1647" i="6"/>
  <c r="AG1647" i="6"/>
  <c r="AH1647" i="6"/>
  <c r="AF1648" i="6"/>
  <c r="AG1648" i="6" s="1"/>
  <c r="AH1648" i="6"/>
  <c r="AF1649" i="6"/>
  <c r="AG1649" i="6"/>
  <c r="AH1649" i="6"/>
  <c r="AF1650" i="6"/>
  <c r="AG1650" i="6" s="1"/>
  <c r="AH1650" i="6"/>
  <c r="AF1651" i="6"/>
  <c r="AG1651" i="6"/>
  <c r="AH1651" i="6"/>
  <c r="AF1652" i="6"/>
  <c r="AG1652" i="6" s="1"/>
  <c r="AH1652" i="6"/>
  <c r="AF1653" i="6"/>
  <c r="AG1653" i="6"/>
  <c r="AH1653" i="6"/>
  <c r="AF1654" i="6"/>
  <c r="AG1654" i="6" s="1"/>
  <c r="AH1654" i="6"/>
  <c r="AF1655" i="6"/>
  <c r="AG1655" i="6"/>
  <c r="AH1655" i="6"/>
  <c r="AF1656" i="6"/>
  <c r="AG1656" i="6" s="1"/>
  <c r="AH1656" i="6"/>
  <c r="AF1657" i="6"/>
  <c r="AG1657" i="6" s="1"/>
  <c r="AH1657" i="6"/>
  <c r="AF1658" i="6"/>
  <c r="AG1658" i="6" s="1"/>
  <c r="AH1658" i="6"/>
  <c r="AF1659" i="6"/>
  <c r="AG1659" i="6"/>
  <c r="AH1659" i="6"/>
  <c r="AF1660" i="6"/>
  <c r="AG1660" i="6" s="1"/>
  <c r="AH1660" i="6"/>
  <c r="AF1661" i="6"/>
  <c r="AG1661" i="6"/>
  <c r="AH1661" i="6"/>
  <c r="AF1662" i="6"/>
  <c r="AG1662" i="6"/>
  <c r="AH1662" i="6"/>
  <c r="AF1663" i="6"/>
  <c r="AG1663" i="6"/>
  <c r="AH1663" i="6"/>
  <c r="AF1664" i="6"/>
  <c r="AG1664" i="6" s="1"/>
  <c r="AH1664" i="6"/>
  <c r="AF1665" i="6"/>
  <c r="AG1665" i="6"/>
  <c r="AH1665" i="6"/>
  <c r="AF1666" i="6"/>
  <c r="AG1666" i="6" s="1"/>
  <c r="AH1666" i="6"/>
  <c r="AF1667" i="6"/>
  <c r="AG1667" i="6"/>
  <c r="AH1667" i="6"/>
  <c r="AF1668" i="6"/>
  <c r="AG1668" i="6" s="1"/>
  <c r="AH1668" i="6"/>
  <c r="AF1669" i="6"/>
  <c r="AG1669" i="6"/>
  <c r="AH1669" i="6"/>
  <c r="AF1670" i="6"/>
  <c r="AG1670" i="6" s="1"/>
  <c r="AH1670" i="6"/>
  <c r="AF1671" i="6"/>
  <c r="AG1671" i="6"/>
  <c r="AH1671" i="6"/>
  <c r="AF1672" i="6"/>
  <c r="AG1672" i="6" s="1"/>
  <c r="AH1672" i="6"/>
  <c r="AF1673" i="6"/>
  <c r="AG1673" i="6" s="1"/>
  <c r="AH1673" i="6"/>
  <c r="AF1674" i="6"/>
  <c r="AG1674" i="6" s="1"/>
  <c r="AH1674" i="6"/>
  <c r="AF1675" i="6"/>
  <c r="AG1675" i="6"/>
  <c r="AH1675" i="6"/>
  <c r="AF1676" i="6"/>
  <c r="AG1676" i="6" s="1"/>
  <c r="AH1676" i="6"/>
  <c r="AF1677" i="6"/>
  <c r="AG1677" i="6"/>
  <c r="AH1677" i="6"/>
  <c r="AF1678" i="6"/>
  <c r="AG1678" i="6"/>
  <c r="AH1678" i="6"/>
  <c r="AF1679" i="6"/>
  <c r="AG1679" i="6"/>
  <c r="AH1679" i="6"/>
  <c r="AF1680" i="6"/>
  <c r="AG1680" i="6" s="1"/>
  <c r="AH1680" i="6"/>
  <c r="AF1681" i="6"/>
  <c r="AG1681" i="6"/>
  <c r="AH1681" i="6"/>
  <c r="AF1682" i="6"/>
  <c r="AG1682" i="6" s="1"/>
  <c r="AH1682" i="6"/>
  <c r="AF1683" i="6"/>
  <c r="AG1683" i="6"/>
  <c r="AH1683" i="6"/>
  <c r="AF1684" i="6"/>
  <c r="AG1684" i="6" s="1"/>
  <c r="AH1684" i="6"/>
  <c r="AF1685" i="6"/>
  <c r="AG1685" i="6"/>
  <c r="AH1685" i="6"/>
  <c r="AF1686" i="6"/>
  <c r="AG1686" i="6"/>
  <c r="AH1686" i="6"/>
  <c r="AF1687" i="6"/>
  <c r="AG1687" i="6"/>
  <c r="AH1687" i="6"/>
  <c r="AF1688" i="6"/>
  <c r="AG1688" i="6" s="1"/>
  <c r="AH1688" i="6"/>
  <c r="AF1689" i="6"/>
  <c r="AG1689" i="6"/>
  <c r="AH1689" i="6"/>
  <c r="AF1690" i="6"/>
  <c r="AG1690" i="6" s="1"/>
  <c r="AH1690" i="6"/>
  <c r="AF1691" i="6"/>
  <c r="AG1691" i="6"/>
  <c r="AH1691" i="6"/>
  <c r="AF1692" i="6"/>
  <c r="AG1692" i="6" s="1"/>
  <c r="AH1692" i="6"/>
  <c r="AF1693" i="6"/>
  <c r="AG1693" i="6"/>
  <c r="AH1693" i="6"/>
  <c r="AF1694" i="6"/>
  <c r="AG1694" i="6"/>
  <c r="AH1694" i="6"/>
  <c r="AF1695" i="6"/>
  <c r="AG1695" i="6"/>
  <c r="AH1695" i="6"/>
  <c r="AF1696" i="6"/>
  <c r="AG1696" i="6" s="1"/>
  <c r="AH1696" i="6"/>
  <c r="AF1697" i="6"/>
  <c r="AG1697" i="6"/>
  <c r="AH1697" i="6"/>
  <c r="AF1698" i="6"/>
  <c r="AG1698" i="6" s="1"/>
  <c r="AH1698" i="6"/>
  <c r="AF1699" i="6"/>
  <c r="AG1699" i="6"/>
  <c r="AH1699" i="6"/>
  <c r="AF1700" i="6"/>
  <c r="AG1700" i="6" s="1"/>
  <c r="AH1700" i="6"/>
  <c r="AF1701" i="6"/>
  <c r="AG1701" i="6"/>
  <c r="AH1701" i="6"/>
  <c r="AF1702" i="6"/>
  <c r="AG1702" i="6" s="1"/>
  <c r="AH1702" i="6"/>
  <c r="AF1703" i="6"/>
  <c r="AG1703" i="6"/>
  <c r="AH1703" i="6"/>
  <c r="AF1704" i="6"/>
  <c r="AG1704" i="6" s="1"/>
  <c r="AH1704" i="6"/>
  <c r="AF1705" i="6"/>
  <c r="AG1705" i="6" s="1"/>
  <c r="AH1705" i="6"/>
  <c r="AF1706" i="6"/>
  <c r="AG1706" i="6" s="1"/>
  <c r="AH1706" i="6"/>
  <c r="AF1707" i="6"/>
  <c r="AG1707" i="6"/>
  <c r="AH1707" i="6"/>
  <c r="AF1708" i="6"/>
  <c r="AG1708" i="6" s="1"/>
  <c r="AH1708" i="6"/>
  <c r="AF1709" i="6"/>
  <c r="AG1709" i="6"/>
  <c r="AH1709" i="6"/>
  <c r="AF1710" i="6"/>
  <c r="AG1710" i="6"/>
  <c r="AH1710" i="6"/>
  <c r="AF1711" i="6"/>
  <c r="AG1711" i="6"/>
  <c r="AH1711" i="6"/>
  <c r="AF1712" i="6"/>
  <c r="AG1712" i="6" s="1"/>
  <c r="AH1712" i="6"/>
  <c r="AF1713" i="6"/>
  <c r="AG1713" i="6"/>
  <c r="AH1713" i="6"/>
  <c r="AF1714" i="6"/>
  <c r="AG1714" i="6" s="1"/>
  <c r="AH1714" i="6"/>
  <c r="AF1715" i="6"/>
  <c r="AG1715" i="6"/>
  <c r="AH1715" i="6"/>
  <c r="AF1716" i="6"/>
  <c r="AG1716" i="6" s="1"/>
  <c r="AH1716" i="6"/>
  <c r="AF1717" i="6"/>
  <c r="AG1717" i="6"/>
  <c r="AH1717" i="6"/>
  <c r="AF1718" i="6"/>
  <c r="AG1718" i="6" s="1"/>
  <c r="AH1718" i="6"/>
  <c r="AF1719" i="6"/>
  <c r="AG1719" i="6"/>
  <c r="AH1719" i="6"/>
  <c r="AF1720" i="6"/>
  <c r="AG1720" i="6" s="1"/>
  <c r="AH1720" i="6"/>
  <c r="AF1721" i="6"/>
  <c r="AG1721" i="6" s="1"/>
  <c r="AH1721" i="6"/>
  <c r="AF1722" i="6"/>
  <c r="AG1722" i="6" s="1"/>
  <c r="AH1722" i="6"/>
  <c r="AF1723" i="6"/>
  <c r="AG1723" i="6"/>
  <c r="AH1723" i="6"/>
  <c r="AF1724" i="6"/>
  <c r="AG1724" i="6" s="1"/>
  <c r="AH1724" i="6"/>
  <c r="AF1725" i="6"/>
  <c r="AG1725" i="6"/>
  <c r="AH1725" i="6"/>
  <c r="AF1726" i="6"/>
  <c r="AG1726" i="6"/>
  <c r="AH1726" i="6"/>
  <c r="AF1727" i="6"/>
  <c r="AG1727" i="6"/>
  <c r="AH1727" i="6"/>
  <c r="AF1728" i="6"/>
  <c r="AG1728" i="6" s="1"/>
  <c r="AH1728" i="6"/>
  <c r="AF1729" i="6"/>
  <c r="AG1729" i="6"/>
  <c r="AH1729" i="6"/>
  <c r="AF1730" i="6"/>
  <c r="AG1730" i="6" s="1"/>
  <c r="AH1730" i="6"/>
  <c r="AF1731" i="6"/>
  <c r="AG1731" i="6"/>
  <c r="AH1731" i="6"/>
  <c r="AF1732" i="6"/>
  <c r="AG1732" i="6" s="1"/>
  <c r="AH1732" i="6"/>
  <c r="AF1733" i="6"/>
  <c r="AG1733" i="6"/>
  <c r="AH1733" i="6"/>
  <c r="AF1734" i="6"/>
  <c r="AG1734" i="6" s="1"/>
  <c r="AH1734" i="6"/>
  <c r="AF1735" i="6"/>
  <c r="AG1735" i="6"/>
  <c r="AH1735" i="6"/>
  <c r="AF1736" i="6"/>
  <c r="AG1736" i="6" s="1"/>
  <c r="AH1736" i="6"/>
  <c r="AF1737" i="6"/>
  <c r="AG1737" i="6" s="1"/>
  <c r="AH1737" i="6"/>
  <c r="AF1738" i="6"/>
  <c r="AG1738" i="6" s="1"/>
  <c r="AH1738" i="6"/>
  <c r="AF1739" i="6"/>
  <c r="AG1739" i="6"/>
  <c r="AH1739" i="6"/>
  <c r="AF1740" i="6"/>
  <c r="AG1740" i="6" s="1"/>
  <c r="AH1740" i="6"/>
  <c r="AF1741" i="6"/>
  <c r="AG1741" i="6"/>
  <c r="AH1741" i="6"/>
  <c r="AF1742" i="6"/>
  <c r="AG1742" i="6"/>
  <c r="AH1742" i="6"/>
  <c r="AF1743" i="6"/>
  <c r="AG1743" i="6"/>
  <c r="AH1743" i="6"/>
  <c r="AF1744" i="6"/>
  <c r="AG1744" i="6" s="1"/>
  <c r="AH1744" i="6"/>
  <c r="AF1745" i="6"/>
  <c r="AG1745" i="6"/>
  <c r="AH1745" i="6"/>
  <c r="AF1746" i="6"/>
  <c r="AG1746" i="6" s="1"/>
  <c r="AH1746" i="6"/>
  <c r="AF1747" i="6"/>
  <c r="AG1747" i="6"/>
  <c r="AH1747" i="6"/>
  <c r="AF1748" i="6"/>
  <c r="AG1748" i="6" s="1"/>
  <c r="AH1748" i="6"/>
  <c r="AF1749" i="6"/>
  <c r="AG1749" i="6"/>
  <c r="AH1749" i="6"/>
  <c r="AF1750" i="6"/>
  <c r="AG1750" i="6"/>
  <c r="AH1750" i="6"/>
  <c r="AF1751" i="6"/>
  <c r="AG1751" i="6"/>
  <c r="AH1751" i="6"/>
  <c r="AF1752" i="6"/>
  <c r="AG1752" i="6" s="1"/>
  <c r="AH1752" i="6"/>
  <c r="AF1753" i="6"/>
  <c r="AG1753" i="6"/>
  <c r="AH1753" i="6"/>
  <c r="AF1754" i="6"/>
  <c r="AG1754" i="6" s="1"/>
  <c r="AH1754" i="6"/>
  <c r="AF1755" i="6"/>
  <c r="AG1755" i="6"/>
  <c r="AH1755" i="6"/>
  <c r="AF1756" i="6"/>
  <c r="AG1756" i="6"/>
  <c r="AH1756" i="6"/>
  <c r="AF1757" i="6"/>
  <c r="AG1757" i="6"/>
  <c r="AH1757" i="6"/>
  <c r="AF1758" i="6"/>
  <c r="AG1758" i="6" s="1"/>
  <c r="AH1758" i="6"/>
  <c r="AF1759" i="6"/>
  <c r="AG1759" i="6"/>
  <c r="AH1759" i="6"/>
  <c r="AF1760" i="6"/>
  <c r="AG1760" i="6" s="1"/>
  <c r="AH1760" i="6"/>
  <c r="AF1761" i="6"/>
  <c r="AG1761" i="6" s="1"/>
  <c r="AH1761" i="6"/>
  <c r="AF1762" i="6"/>
  <c r="AG1762" i="6" s="1"/>
  <c r="AH1762" i="6"/>
  <c r="AF1763" i="6"/>
  <c r="AG1763" i="6"/>
  <c r="AH1763" i="6"/>
  <c r="AF1764" i="6"/>
  <c r="AG1764" i="6" s="1"/>
  <c r="AH1764" i="6"/>
  <c r="AF1765" i="6"/>
  <c r="AG1765" i="6"/>
  <c r="AH1765" i="6"/>
  <c r="AF1766" i="6"/>
  <c r="AG1766" i="6" s="1"/>
  <c r="AH1766" i="6"/>
  <c r="AF1767" i="6"/>
  <c r="AG1767" i="6"/>
  <c r="AH1767" i="6"/>
  <c r="AF1768" i="6"/>
  <c r="AG1768" i="6" s="1"/>
  <c r="AH1768" i="6"/>
  <c r="AF1769" i="6"/>
  <c r="AG1769" i="6" s="1"/>
  <c r="AH1769" i="6"/>
  <c r="AF1770" i="6"/>
  <c r="AG1770" i="6" s="1"/>
  <c r="AH1770" i="6"/>
  <c r="AF1771" i="6"/>
  <c r="AG1771" i="6"/>
  <c r="AH1771" i="6"/>
  <c r="AF1772" i="6"/>
  <c r="AG1772" i="6" s="1"/>
  <c r="AH1772" i="6"/>
  <c r="AF1773" i="6"/>
  <c r="AG1773" i="6"/>
  <c r="AH1773" i="6"/>
  <c r="AF1774" i="6"/>
  <c r="AG1774" i="6" s="1"/>
  <c r="AH1774" i="6"/>
  <c r="AF1775" i="6"/>
  <c r="AG1775" i="6"/>
  <c r="AH1775" i="6"/>
  <c r="AF1776" i="6"/>
  <c r="AG1776" i="6" s="1"/>
  <c r="AH1776" i="6"/>
  <c r="AF1777" i="6"/>
  <c r="AG1777" i="6" s="1"/>
  <c r="AH1777" i="6"/>
  <c r="AF1778" i="6"/>
  <c r="AG1778" i="6" s="1"/>
  <c r="AH1778" i="6"/>
  <c r="AF1779" i="6"/>
  <c r="AG1779" i="6"/>
  <c r="AH1779" i="6"/>
  <c r="AF1780" i="6"/>
  <c r="AG1780" i="6" s="1"/>
  <c r="AH1780" i="6"/>
  <c r="AF1781" i="6"/>
  <c r="AG1781" i="6"/>
  <c r="AH1781" i="6"/>
  <c r="AF1782" i="6"/>
  <c r="AG1782" i="6"/>
  <c r="AH1782" i="6"/>
  <c r="AF1783" i="6"/>
  <c r="AG1783" i="6"/>
  <c r="AH1783" i="6"/>
  <c r="AF1784" i="6"/>
  <c r="AG1784" i="6" s="1"/>
  <c r="AH1784" i="6"/>
  <c r="AF1785" i="6"/>
  <c r="AG1785" i="6"/>
  <c r="AH1785" i="6"/>
  <c r="AF1786" i="6"/>
  <c r="AG1786" i="6" s="1"/>
  <c r="AH1786" i="6"/>
  <c r="AF1787" i="6"/>
  <c r="AG1787" i="6"/>
  <c r="AH1787" i="6"/>
  <c r="AF1788" i="6"/>
  <c r="AG1788" i="6"/>
  <c r="AH1788" i="6"/>
  <c r="AF1789" i="6"/>
  <c r="AG1789" i="6"/>
  <c r="AH1789" i="6"/>
  <c r="AF1790" i="6"/>
  <c r="AG1790" i="6" s="1"/>
  <c r="AH1790" i="6"/>
  <c r="AF1791" i="6"/>
  <c r="AG1791" i="6"/>
  <c r="AH1791" i="6"/>
  <c r="AF1792" i="6"/>
  <c r="AG1792" i="6" s="1"/>
  <c r="AH1792" i="6"/>
  <c r="AF1793" i="6"/>
  <c r="AG1793" i="6" s="1"/>
  <c r="AH1793" i="6"/>
  <c r="AF1794" i="6"/>
  <c r="AG1794" i="6" s="1"/>
  <c r="AH1794" i="6"/>
  <c r="AF1795" i="6"/>
  <c r="AG1795" i="6"/>
  <c r="AH1795" i="6"/>
  <c r="AF1796" i="6"/>
  <c r="AG1796" i="6" s="1"/>
  <c r="AH1796" i="6"/>
  <c r="AF1797" i="6"/>
  <c r="AG1797" i="6"/>
  <c r="AH1797" i="6"/>
  <c r="AF1798" i="6"/>
  <c r="AG1798" i="6" s="1"/>
  <c r="AH1798" i="6"/>
  <c r="AF1799" i="6"/>
  <c r="AG1799" i="6"/>
  <c r="AH1799" i="6"/>
  <c r="AF1800" i="6"/>
  <c r="AG1800" i="6" s="1"/>
  <c r="AH1800" i="6"/>
  <c r="AF1801" i="6"/>
  <c r="AG1801" i="6" s="1"/>
  <c r="AH1801" i="6"/>
  <c r="AF1802" i="6"/>
  <c r="AG1802" i="6" s="1"/>
  <c r="AH1802" i="6"/>
  <c r="AF1803" i="6"/>
  <c r="AG1803" i="6"/>
  <c r="AH1803" i="6"/>
  <c r="AF1804" i="6"/>
  <c r="AG1804" i="6" s="1"/>
  <c r="AH1804" i="6"/>
  <c r="AF1805" i="6"/>
  <c r="AG1805" i="6"/>
  <c r="AH1805" i="6"/>
  <c r="AF1806" i="6"/>
  <c r="AG1806" i="6" s="1"/>
  <c r="AH1806" i="6"/>
  <c r="AF1807" i="6"/>
  <c r="AG1807" i="6"/>
  <c r="AH1807" i="6"/>
  <c r="AF1808" i="6"/>
  <c r="AG1808" i="6" s="1"/>
  <c r="AH1808" i="6"/>
  <c r="AF1809" i="6"/>
  <c r="AG1809" i="6" s="1"/>
  <c r="AH1809" i="6"/>
  <c r="AF1810" i="6"/>
  <c r="AG1810" i="6" s="1"/>
  <c r="AH1810" i="6"/>
  <c r="AF1811" i="6"/>
  <c r="AG1811" i="6"/>
  <c r="AH1811" i="6"/>
  <c r="AF1812" i="6"/>
  <c r="AG1812" i="6" s="1"/>
  <c r="AH1812" i="6"/>
  <c r="AF1813" i="6"/>
  <c r="AG1813" i="6"/>
  <c r="AH1813" i="6"/>
  <c r="AF1814" i="6"/>
  <c r="AG1814" i="6"/>
  <c r="AH1814" i="6"/>
  <c r="AF1815" i="6"/>
  <c r="AG1815" i="6"/>
  <c r="AH1815" i="6"/>
  <c r="AF1816" i="6"/>
  <c r="AG1816" i="6" s="1"/>
  <c r="AH1816" i="6"/>
  <c r="AF1817" i="6"/>
  <c r="AG1817" i="6"/>
  <c r="AH1817" i="6"/>
  <c r="AF1818" i="6"/>
  <c r="AG1818" i="6" s="1"/>
  <c r="AH1818" i="6"/>
  <c r="AF1819" i="6"/>
  <c r="AG1819" i="6"/>
  <c r="AH1819" i="6"/>
  <c r="AF1820" i="6"/>
  <c r="AG1820" i="6"/>
  <c r="AH1820" i="6"/>
  <c r="AF1821" i="6"/>
  <c r="AG1821" i="6"/>
  <c r="AH1821" i="6"/>
  <c r="AF1822" i="6"/>
  <c r="AG1822" i="6" s="1"/>
  <c r="AH1822" i="6"/>
  <c r="AF1823" i="6"/>
  <c r="AG1823" i="6"/>
  <c r="AH1823" i="6"/>
  <c r="AF1824" i="6"/>
  <c r="AG1824" i="6" s="1"/>
  <c r="AH1824" i="6"/>
  <c r="AF1825" i="6"/>
  <c r="AG1825" i="6" s="1"/>
  <c r="AH1825" i="6"/>
  <c r="AF1826" i="6"/>
  <c r="AG1826" i="6" s="1"/>
  <c r="AH1826" i="6"/>
  <c r="AF1827" i="6"/>
  <c r="AG1827" i="6"/>
  <c r="AH1827" i="6"/>
  <c r="AF1828" i="6"/>
  <c r="AG1828" i="6" s="1"/>
  <c r="AH1828" i="6"/>
  <c r="AF1829" i="6"/>
  <c r="AG1829" i="6"/>
  <c r="AH1829" i="6"/>
  <c r="AF1830" i="6"/>
  <c r="AG1830" i="6" s="1"/>
  <c r="AH1830" i="6"/>
  <c r="AF1831" i="6"/>
  <c r="AG1831" i="6"/>
  <c r="AH1831" i="6"/>
  <c r="AF1832" i="6"/>
  <c r="AG1832" i="6" s="1"/>
  <c r="AH1832" i="6"/>
  <c r="AF1833" i="6"/>
  <c r="AG1833" i="6" s="1"/>
  <c r="AH1833" i="6"/>
  <c r="AF1834" i="6"/>
  <c r="AG1834" i="6" s="1"/>
  <c r="AH1834" i="6"/>
  <c r="AF1835" i="6"/>
  <c r="AG1835" i="6"/>
  <c r="AH1835" i="6"/>
  <c r="AF1836" i="6"/>
  <c r="AG1836" i="6" s="1"/>
  <c r="AH1836" i="6"/>
  <c r="AF1837" i="6"/>
  <c r="AG1837" i="6"/>
  <c r="AH1837" i="6"/>
  <c r="AF1838" i="6"/>
  <c r="AG1838" i="6" s="1"/>
  <c r="AH1838" i="6"/>
  <c r="AF1839" i="6"/>
  <c r="AG1839" i="6"/>
  <c r="AH1839" i="6"/>
  <c r="AF1840" i="6"/>
  <c r="AG1840" i="6" s="1"/>
  <c r="AH1840" i="6"/>
  <c r="AF1841" i="6"/>
  <c r="AG1841" i="6" s="1"/>
  <c r="AH1841" i="6"/>
  <c r="AF1842" i="6"/>
  <c r="AG1842" i="6" s="1"/>
  <c r="AH1842" i="6"/>
  <c r="AF1843" i="6"/>
  <c r="AG1843" i="6"/>
  <c r="AH1843" i="6"/>
  <c r="AF1844" i="6"/>
  <c r="AG1844" i="6" s="1"/>
  <c r="AH1844" i="6"/>
  <c r="AF1845" i="6"/>
  <c r="AG1845" i="6"/>
  <c r="AH1845" i="6"/>
  <c r="AF1846" i="6"/>
  <c r="AG1846" i="6"/>
  <c r="AH1846" i="6"/>
  <c r="AF1847" i="6"/>
  <c r="AG1847" i="6"/>
  <c r="AH1847" i="6"/>
  <c r="AF1848" i="6"/>
  <c r="AG1848" i="6" s="1"/>
  <c r="AH1848" i="6"/>
  <c r="AF1849" i="6"/>
  <c r="AG1849" i="6"/>
  <c r="AH1849" i="6"/>
  <c r="AF1850" i="6"/>
  <c r="AG1850" i="6" s="1"/>
  <c r="AH1850" i="6"/>
  <c r="AF1851" i="6"/>
  <c r="AG1851" i="6"/>
  <c r="AH1851" i="6"/>
  <c r="AF1852" i="6"/>
  <c r="AG1852" i="6"/>
  <c r="AH1852" i="6"/>
  <c r="AF1853" i="6"/>
  <c r="AG1853" i="6"/>
  <c r="AH1853" i="6"/>
  <c r="AF1854" i="6"/>
  <c r="AG1854" i="6" s="1"/>
  <c r="AH1854" i="6"/>
  <c r="AF1855" i="6"/>
  <c r="AG1855" i="6"/>
  <c r="AH1855" i="6"/>
  <c r="AF1856" i="6"/>
  <c r="AG1856" i="6" s="1"/>
  <c r="AH1856" i="6"/>
  <c r="AF1857" i="6"/>
  <c r="AG1857" i="6" s="1"/>
  <c r="AH1857" i="6"/>
  <c r="AF1858" i="6"/>
  <c r="AG1858" i="6" s="1"/>
  <c r="AH1858" i="6"/>
  <c r="AF1859" i="6"/>
  <c r="AG1859" i="6"/>
  <c r="AH1859" i="6"/>
  <c r="AF1860" i="6"/>
  <c r="AG1860" i="6" s="1"/>
  <c r="AH1860" i="6"/>
  <c r="AF1861" i="6"/>
  <c r="AG1861" i="6"/>
  <c r="AH1861" i="6"/>
  <c r="AF1862" i="6"/>
  <c r="AG1862" i="6" s="1"/>
  <c r="AH1862" i="6"/>
  <c r="AF1863" i="6"/>
  <c r="AG1863" i="6"/>
  <c r="AH1863" i="6"/>
  <c r="AF1864" i="6"/>
  <c r="AG1864" i="6" s="1"/>
  <c r="AH1864" i="6"/>
  <c r="AF1865" i="6"/>
  <c r="AG1865" i="6" s="1"/>
  <c r="AH1865" i="6"/>
  <c r="AF1866" i="6"/>
  <c r="AG1866" i="6" s="1"/>
  <c r="AH1866" i="6"/>
  <c r="AF1867" i="6"/>
  <c r="AG1867" i="6"/>
  <c r="AH1867" i="6"/>
  <c r="AF1868" i="6"/>
  <c r="AG1868" i="6" s="1"/>
  <c r="AH1868" i="6"/>
  <c r="AF1869" i="6"/>
  <c r="AG1869" i="6"/>
  <c r="AH1869" i="6"/>
  <c r="AF1870" i="6"/>
  <c r="AG1870" i="6" s="1"/>
  <c r="AH1870" i="6"/>
  <c r="AF1871" i="6"/>
  <c r="AG1871" i="6"/>
  <c r="AH1871" i="6"/>
  <c r="AF1872" i="6"/>
  <c r="AG1872" i="6" s="1"/>
  <c r="AH1872" i="6"/>
  <c r="AF1873" i="6"/>
  <c r="AG1873" i="6" s="1"/>
  <c r="AH1873" i="6"/>
  <c r="AF1874" i="6"/>
  <c r="AG1874" i="6"/>
  <c r="AH1874" i="6"/>
  <c r="AF1875" i="6"/>
  <c r="AG1875" i="6"/>
  <c r="AH1875" i="6"/>
  <c r="AF1876" i="6"/>
  <c r="AG1876" i="6"/>
  <c r="AH1876" i="6"/>
  <c r="AF1877" i="6"/>
  <c r="AG1877" i="6" s="1"/>
  <c r="AH1877" i="6"/>
  <c r="AF1878" i="6"/>
  <c r="AG1878" i="6"/>
  <c r="AH1878" i="6"/>
  <c r="AF1879" i="6"/>
  <c r="AG1879" i="6" s="1"/>
  <c r="AH1879" i="6"/>
  <c r="AF1880" i="6"/>
  <c r="AG1880" i="6" s="1"/>
  <c r="AH1880" i="6"/>
  <c r="AF1881" i="6"/>
  <c r="AG1881" i="6"/>
  <c r="AH1881" i="6"/>
  <c r="AF1882" i="6"/>
  <c r="AG1882" i="6" s="1"/>
  <c r="AH1882" i="6"/>
  <c r="AF1883" i="6"/>
  <c r="AG1883" i="6"/>
  <c r="AH1883" i="6"/>
  <c r="AF1884" i="6"/>
  <c r="AG1884" i="6" s="1"/>
  <c r="AH1884" i="6"/>
  <c r="AF1885" i="6"/>
  <c r="AG1885" i="6"/>
  <c r="AH1885" i="6"/>
  <c r="AF1886" i="6"/>
  <c r="AG1886" i="6"/>
  <c r="AH1886" i="6"/>
  <c r="AF1887" i="6"/>
  <c r="AG1887" i="6"/>
  <c r="AH1887" i="6"/>
  <c r="AF1888" i="6"/>
  <c r="AG1888" i="6" s="1"/>
  <c r="AH1888" i="6"/>
  <c r="AF1889" i="6"/>
  <c r="AG1889" i="6"/>
  <c r="AH1889" i="6"/>
  <c r="AF1890" i="6"/>
  <c r="AG1890" i="6" s="1"/>
  <c r="AH1890" i="6"/>
  <c r="AF1891" i="6"/>
  <c r="AG1891" i="6"/>
  <c r="AH1891" i="6"/>
  <c r="AF1892" i="6"/>
  <c r="AG1892" i="6" s="1"/>
  <c r="AH1892" i="6"/>
  <c r="AF1893" i="6"/>
  <c r="AG1893" i="6"/>
  <c r="AH1893" i="6"/>
  <c r="AF1894" i="6"/>
  <c r="AG1894" i="6"/>
  <c r="AH1894" i="6"/>
  <c r="AF1895" i="6"/>
  <c r="AG1895" i="6"/>
  <c r="AH1895" i="6"/>
  <c r="AF1896" i="6"/>
  <c r="AG1896" i="6" s="1"/>
  <c r="AH1896" i="6"/>
  <c r="AF1897" i="6"/>
  <c r="AG1897" i="6"/>
  <c r="AH1897" i="6"/>
  <c r="AF1898" i="6"/>
  <c r="AG1898" i="6" s="1"/>
  <c r="AH1898" i="6"/>
  <c r="AF1899" i="6"/>
  <c r="AG1899" i="6"/>
  <c r="AH1899" i="6"/>
  <c r="AF1900" i="6"/>
  <c r="AG1900" i="6" s="1"/>
  <c r="AH1900" i="6"/>
  <c r="AF1901" i="6"/>
  <c r="AG1901" i="6"/>
  <c r="AH1901" i="6"/>
  <c r="AF1902" i="6"/>
  <c r="AG1902" i="6"/>
  <c r="AH1902" i="6"/>
  <c r="AF1903" i="6"/>
  <c r="AG1903" i="6"/>
  <c r="AH1903" i="6"/>
  <c r="AF1904" i="6"/>
  <c r="AG1904" i="6" s="1"/>
  <c r="AH1904" i="6"/>
  <c r="AF1905" i="6"/>
  <c r="AG1905" i="6"/>
  <c r="AH1905" i="6"/>
  <c r="AF1906" i="6"/>
  <c r="AG1906" i="6" s="1"/>
  <c r="AH1906" i="6"/>
  <c r="AF1907" i="6"/>
  <c r="AG1907" i="6"/>
  <c r="AH1907" i="6"/>
  <c r="AF1908" i="6"/>
  <c r="AG1908" i="6" s="1"/>
  <c r="AH1908" i="6"/>
  <c r="AF1909" i="6"/>
  <c r="AG1909" i="6"/>
  <c r="AH1909" i="6"/>
  <c r="AF1910" i="6"/>
  <c r="AG1910" i="6"/>
  <c r="AH1910" i="6"/>
  <c r="AF1911" i="6"/>
  <c r="AG1911" i="6"/>
  <c r="AH1911" i="6"/>
  <c r="AF1912" i="6"/>
  <c r="AG1912" i="6" s="1"/>
  <c r="AH1912" i="6"/>
  <c r="AF1913" i="6"/>
  <c r="AG1913" i="6"/>
  <c r="AH1913" i="6"/>
  <c r="AF1914" i="6"/>
  <c r="AG1914" i="6" s="1"/>
  <c r="AH1914" i="6"/>
  <c r="AF1915" i="6"/>
  <c r="AG1915" i="6"/>
  <c r="AH1915" i="6"/>
  <c r="AF1916" i="6"/>
  <c r="AG1916" i="6" s="1"/>
  <c r="AH1916" i="6"/>
  <c r="AF1917" i="6"/>
  <c r="AG1917" i="6"/>
  <c r="AH1917" i="6"/>
  <c r="AF1918" i="6"/>
  <c r="AG1918" i="6"/>
  <c r="AH1918" i="6"/>
  <c r="AF1919" i="6"/>
  <c r="AG1919" i="6"/>
  <c r="AH1919" i="6"/>
  <c r="AF1920" i="6"/>
  <c r="AG1920" i="6" s="1"/>
  <c r="AH1920" i="6"/>
  <c r="AF1921" i="6"/>
  <c r="AG1921" i="6"/>
  <c r="AH1921" i="6"/>
  <c r="AF1922" i="6"/>
  <c r="AG1922" i="6" s="1"/>
  <c r="AH1922" i="6"/>
  <c r="AF1923" i="6"/>
  <c r="AG1923" i="6"/>
  <c r="AH1923" i="6"/>
  <c r="AF1924" i="6"/>
  <c r="AG1924" i="6" s="1"/>
  <c r="AH1924" i="6"/>
  <c r="AF1925" i="6"/>
  <c r="AG1925" i="6"/>
  <c r="AH1925" i="6"/>
  <c r="AF1926" i="6"/>
  <c r="AG1926" i="6"/>
  <c r="AH1926" i="6"/>
  <c r="AF1927" i="6"/>
  <c r="AG1927" i="6"/>
  <c r="AH1927" i="6"/>
  <c r="AF1928" i="6"/>
  <c r="AG1928" i="6" s="1"/>
  <c r="AH1928" i="6"/>
  <c r="AF1929" i="6"/>
  <c r="AG1929" i="6"/>
  <c r="AH1929" i="6"/>
  <c r="AF1930" i="6"/>
  <c r="AG1930" i="6" s="1"/>
  <c r="AH1930" i="6"/>
  <c r="AF1931" i="6"/>
  <c r="AG1931" i="6"/>
  <c r="AH1931" i="6"/>
  <c r="AF1932" i="6"/>
  <c r="AG1932" i="6" s="1"/>
  <c r="AH1932" i="6"/>
  <c r="AF1933" i="6"/>
  <c r="AG1933" i="6"/>
  <c r="AH1933" i="6"/>
  <c r="AF1934" i="6"/>
  <c r="AG1934" i="6"/>
  <c r="AH1934" i="6"/>
  <c r="AF1935" i="6"/>
  <c r="AG1935" i="6"/>
  <c r="AH1935" i="6"/>
  <c r="AF1936" i="6"/>
  <c r="AG1936" i="6" s="1"/>
  <c r="AH1936" i="6"/>
  <c r="AF1937" i="6"/>
  <c r="AG1937" i="6"/>
  <c r="AH1937" i="6"/>
  <c r="AF1938" i="6"/>
  <c r="AG1938" i="6" s="1"/>
  <c r="AH1938" i="6"/>
  <c r="AF1939" i="6"/>
  <c r="AG1939" i="6"/>
  <c r="AH1939" i="6"/>
  <c r="AF1940" i="6"/>
  <c r="AG1940" i="6" s="1"/>
  <c r="AH1940" i="6"/>
  <c r="AF1941" i="6"/>
  <c r="AG1941" i="6"/>
  <c r="AH1941" i="6"/>
  <c r="AF1942" i="6"/>
  <c r="AG1942" i="6"/>
  <c r="AH1942" i="6"/>
  <c r="AF1943" i="6"/>
  <c r="AG1943" i="6"/>
  <c r="AH1943" i="6"/>
  <c r="AF1944" i="6"/>
  <c r="AG1944" i="6" s="1"/>
  <c r="AH1944" i="6"/>
  <c r="AF1945" i="6"/>
  <c r="AG1945" i="6"/>
  <c r="AH1945" i="6"/>
  <c r="AF1946" i="6"/>
  <c r="AG1946" i="6" s="1"/>
  <c r="AH1946" i="6"/>
  <c r="AF1947" i="6"/>
  <c r="AG1947" i="6"/>
  <c r="AH1947" i="6"/>
  <c r="AF1948" i="6"/>
  <c r="AG1948" i="6" s="1"/>
  <c r="AH1948" i="6"/>
  <c r="AF1949" i="6"/>
  <c r="AG1949" i="6"/>
  <c r="AH1949" i="6"/>
  <c r="AF1950" i="6"/>
  <c r="AG1950" i="6"/>
  <c r="AH1950" i="6"/>
  <c r="AF1951" i="6"/>
  <c r="AG1951" i="6"/>
  <c r="AH1951" i="6"/>
  <c r="AF1952" i="6"/>
  <c r="AG1952" i="6" s="1"/>
  <c r="AH1952" i="6"/>
  <c r="AF1953" i="6"/>
  <c r="AG1953" i="6"/>
  <c r="AH1953" i="6"/>
  <c r="AF1954" i="6"/>
  <c r="AG1954" i="6" s="1"/>
  <c r="AH1954" i="6"/>
  <c r="AF1955" i="6"/>
  <c r="AG1955" i="6"/>
  <c r="AH1955" i="6"/>
  <c r="AF1956" i="6"/>
  <c r="AG1956" i="6" s="1"/>
  <c r="AH1956" i="6"/>
  <c r="AF1957" i="6"/>
  <c r="AG1957" i="6"/>
  <c r="AH1957" i="6"/>
  <c r="AF1958" i="6"/>
  <c r="AG1958" i="6"/>
  <c r="AH1958" i="6"/>
  <c r="AF1959" i="6"/>
  <c r="AG1959" i="6"/>
  <c r="AH1959" i="6"/>
  <c r="AF1960" i="6"/>
  <c r="AG1960" i="6" s="1"/>
  <c r="AH1960" i="6"/>
  <c r="AF1961" i="6"/>
  <c r="AG1961" i="6"/>
  <c r="AH1961" i="6"/>
  <c r="AF1962" i="6"/>
  <c r="AG1962" i="6" s="1"/>
  <c r="AH1962" i="6"/>
  <c r="AF1963" i="6"/>
  <c r="AG1963" i="6"/>
  <c r="AH1963" i="6"/>
  <c r="AF1964" i="6"/>
  <c r="AG1964" i="6" s="1"/>
  <c r="AH1964" i="6"/>
  <c r="AF1965" i="6"/>
  <c r="AG1965" i="6"/>
  <c r="AH1965" i="6"/>
  <c r="AF1966" i="6"/>
  <c r="AG1966" i="6"/>
  <c r="AH1966" i="6"/>
  <c r="AF1967" i="6"/>
  <c r="AG1967" i="6"/>
  <c r="AH1967" i="6"/>
  <c r="AF1968" i="6"/>
  <c r="AG1968" i="6" s="1"/>
  <c r="AH1968" i="6"/>
  <c r="AF1969" i="6"/>
  <c r="AG1969" i="6"/>
  <c r="AH1969" i="6"/>
  <c r="AF1970" i="6"/>
  <c r="AG1970" i="6" s="1"/>
  <c r="AH1970" i="6"/>
  <c r="AF1971" i="6"/>
  <c r="AG1971" i="6"/>
  <c r="AH1971" i="6"/>
  <c r="AF1972" i="6"/>
  <c r="AG1972" i="6" s="1"/>
  <c r="AH1972" i="6"/>
  <c r="AF1973" i="6"/>
  <c r="AG1973" i="6"/>
  <c r="AH1973" i="6"/>
  <c r="AF1974" i="6"/>
  <c r="AG1974" i="6"/>
  <c r="AH1974" i="6"/>
  <c r="AF1975" i="6"/>
  <c r="AG1975" i="6"/>
  <c r="AH1975" i="6"/>
  <c r="AF1976" i="6"/>
  <c r="AG1976" i="6" s="1"/>
  <c r="AH1976" i="6"/>
  <c r="AF1977" i="6"/>
  <c r="AG1977" i="6"/>
  <c r="AH1977" i="6"/>
  <c r="AF1978" i="6"/>
  <c r="AG1978" i="6" s="1"/>
  <c r="AH1978" i="6"/>
  <c r="AF1979" i="6"/>
  <c r="AG1979" i="6"/>
  <c r="AH1979" i="6"/>
  <c r="AF1980" i="6"/>
  <c r="AG1980" i="6" s="1"/>
  <c r="AH1980" i="6"/>
  <c r="AF1981" i="6"/>
  <c r="AG1981" i="6"/>
  <c r="AH1981" i="6"/>
  <c r="AF1982" i="6"/>
  <c r="AG1982" i="6"/>
  <c r="AH1982" i="6"/>
  <c r="AF1983" i="6"/>
  <c r="AG1983" i="6"/>
  <c r="AH1983" i="6"/>
  <c r="AF1984" i="6"/>
  <c r="AG1984" i="6" s="1"/>
  <c r="AH1984" i="6"/>
  <c r="AF1985" i="6"/>
  <c r="AG1985" i="6"/>
  <c r="AH1985" i="6"/>
  <c r="AF1986" i="6"/>
  <c r="AG1986" i="6" s="1"/>
  <c r="AH1986" i="6"/>
  <c r="AF1987" i="6"/>
  <c r="AG1987" i="6"/>
  <c r="AH1987" i="6"/>
  <c r="AF1988" i="6"/>
  <c r="AG1988" i="6" s="1"/>
  <c r="AH1988" i="6"/>
  <c r="AF1989" i="6"/>
  <c r="AG1989" i="6"/>
  <c r="AH1989" i="6"/>
  <c r="AF1990" i="6"/>
  <c r="AG1990" i="6"/>
  <c r="AH1990" i="6"/>
  <c r="AF1991" i="6"/>
  <c r="AG1991" i="6"/>
  <c r="AH1991" i="6"/>
  <c r="AF1992" i="6"/>
  <c r="AG1992" i="6" s="1"/>
  <c r="AH1992" i="6"/>
  <c r="AF1993" i="6"/>
  <c r="AG1993" i="6"/>
  <c r="AH1993" i="6"/>
  <c r="AF1994" i="6"/>
  <c r="AG1994" i="6" s="1"/>
  <c r="AH1994" i="6"/>
  <c r="AF1995" i="6"/>
  <c r="AG1995" i="6"/>
  <c r="AH1995" i="6"/>
  <c r="AF1996" i="6"/>
  <c r="AG1996" i="6" s="1"/>
  <c r="AH1996" i="6"/>
  <c r="AF1997" i="6"/>
  <c r="AG1997" i="6"/>
  <c r="AH1997" i="6"/>
  <c r="AF1998" i="6"/>
  <c r="AG1998" i="6"/>
  <c r="AH1998" i="6"/>
  <c r="AF1999" i="6"/>
  <c r="AG1999" i="6"/>
  <c r="AH1999" i="6"/>
  <c r="AF2000" i="6"/>
  <c r="AG2000" i="6" s="1"/>
  <c r="AH2000" i="6"/>
  <c r="AG3" i="6"/>
  <c r="K2" i="4"/>
  <c r="J39" i="2"/>
  <c r="J44" i="2"/>
  <c r="J45" i="2"/>
  <c r="J46" i="2"/>
  <c r="J47" i="2"/>
  <c r="J34" i="2"/>
  <c r="J35" i="2"/>
  <c r="J36" i="2"/>
  <c r="J33" i="2"/>
  <c r="J41" i="2" l="1"/>
  <c r="J40" i="2"/>
  <c r="J31" i="2"/>
  <c r="K31" i="2" s="1"/>
  <c r="J42" i="2"/>
  <c r="J38" i="2"/>
  <c r="K30" i="2"/>
  <c r="J43" i="2"/>
  <c r="J32" i="2"/>
  <c r="K32" i="2" s="1"/>
  <c r="K33" i="2"/>
  <c r="K34" i="2"/>
  <c r="K35" i="2"/>
  <c r="K36" i="2"/>
  <c r="G29" i="2" l="1"/>
  <c r="J16" i="2" l="1"/>
  <c r="K16" i="2" s="1"/>
  <c r="G14" i="2"/>
  <c r="F14" i="2"/>
  <c r="E14" i="2"/>
  <c r="D14" i="2"/>
  <c r="G17" i="2"/>
  <c r="F17" i="2"/>
  <c r="E17" i="2"/>
  <c r="D17" i="2"/>
  <c r="G20" i="2"/>
  <c r="F20" i="2"/>
  <c r="E20" i="2"/>
  <c r="D20" i="2"/>
  <c r="G23" i="2"/>
  <c r="F23" i="2"/>
  <c r="E23" i="2"/>
  <c r="D23" i="2"/>
  <c r="J19" i="2" l="1"/>
  <c r="K19" i="2" s="1"/>
  <c r="J22" i="2"/>
  <c r="K22" i="2" s="1"/>
  <c r="K13" i="2"/>
  <c r="H14" i="2"/>
  <c r="H17" i="2"/>
  <c r="H20" i="2"/>
  <c r="H23" i="2"/>
  <c r="F29" i="2" l="1"/>
  <c r="E29" i="2"/>
  <c r="D29" i="2"/>
  <c r="G26" i="2"/>
  <c r="F26" i="2"/>
  <c r="E26" i="2"/>
  <c r="D26" i="2"/>
  <c r="J28" i="2"/>
  <c r="K28" i="2" s="1"/>
  <c r="J25" i="2"/>
  <c r="K25" i="2" s="1"/>
  <c r="H26" i="2" l="1"/>
  <c r="H29" i="2"/>
  <c r="M30" i="2" l="1"/>
  <c r="K38" i="2"/>
  <c r="M38" i="2" s="1"/>
  <c r="K39" i="2"/>
  <c r="M39" i="2" s="1"/>
  <c r="M22" i="2"/>
  <c r="M25" i="2"/>
  <c r="M33" i="2"/>
  <c r="K44" i="2"/>
  <c r="M44" i="2" s="1"/>
  <c r="K40" i="2"/>
  <c r="M40" i="2" s="1"/>
  <c r="M32" i="2"/>
  <c r="M28" i="2"/>
  <c r="M19" i="2"/>
  <c r="K47" i="2"/>
  <c r="M47" i="2" s="1"/>
  <c r="K42" i="2"/>
  <c r="M42" i="2" s="1"/>
  <c r="K41" i="2"/>
  <c r="M41" i="2" s="1"/>
  <c r="M35" i="2"/>
  <c r="M36" i="2"/>
  <c r="K46" i="2"/>
  <c r="M46" i="2" s="1"/>
  <c r="M16" i="2"/>
  <c r="M34" i="2"/>
  <c r="M31" i="2"/>
  <c r="K43" i="2"/>
  <c r="M43" i="2" s="1"/>
  <c r="K45" i="2"/>
  <c r="M45" i="2" s="1"/>
  <c r="M13" i="2"/>
  <c r="M48" i="2" l="1"/>
</calcChain>
</file>

<file path=xl/sharedStrings.xml><?xml version="1.0" encoding="utf-8"?>
<sst xmlns="http://schemas.openxmlformats.org/spreadsheetml/2006/main" count="221" uniqueCount="156">
  <si>
    <r>
      <rPr>
        <b/>
        <sz val="11"/>
        <color theme="1"/>
        <rFont val="Calibri"/>
        <family val="2"/>
        <scheme val="minor"/>
      </rPr>
      <t>Razão Social:</t>
    </r>
    <r>
      <rPr>
        <sz val="11"/>
        <color theme="1"/>
        <rFont val="Calibri"/>
        <family val="2"/>
        <scheme val="minor"/>
      </rPr>
      <t xml:space="preserve"> </t>
    </r>
  </si>
  <si>
    <r>
      <rPr>
        <b/>
        <sz val="11"/>
        <color theme="1"/>
        <rFont val="Calibri"/>
        <family val="2"/>
        <scheme val="minor"/>
      </rPr>
      <t>CNPJ:</t>
    </r>
    <r>
      <rPr>
        <sz val="11"/>
        <color theme="1"/>
        <rFont val="Calibri"/>
        <family val="2"/>
        <scheme val="minor"/>
      </rPr>
      <t xml:space="preserve"> </t>
    </r>
  </si>
  <si>
    <t>P E T R O L E O  B R A S I L E I R O  S. A.  P E T R O B R A S</t>
  </si>
  <si>
    <r>
      <rPr>
        <b/>
        <sz val="11"/>
        <color theme="1"/>
        <rFont val="Calibri"/>
        <family val="2"/>
        <scheme val="minor"/>
      </rPr>
      <t>Contrato SAP:</t>
    </r>
    <r>
      <rPr>
        <sz val="11"/>
        <color theme="1"/>
        <rFont val="Calibri"/>
        <family val="2"/>
        <scheme val="minor"/>
      </rPr>
      <t xml:space="preserve"> </t>
    </r>
  </si>
  <si>
    <t>M E M Ó R I A   D E   C Á L C U L O   D E   M E D I Ç Ã O</t>
  </si>
  <si>
    <t>FDM:</t>
  </si>
  <si>
    <t>TOTAL DO RM</t>
  </si>
  <si>
    <t>REPRESENTANTE DA PETROBRAS</t>
  </si>
  <si>
    <t>REPRESENTANTE DA CONTRATADA</t>
  </si>
  <si>
    <t>OBSERVAÇÕES GERAIS</t>
  </si>
  <si>
    <t>PEDIDO</t>
  </si>
  <si>
    <t>FRS</t>
  </si>
  <si>
    <t>RM</t>
  </si>
  <si>
    <t>NL</t>
  </si>
  <si>
    <t>VALOR</t>
  </si>
  <si>
    <t>COMENTÁRIOS DA FISCALIZAÇÃO</t>
  </si>
  <si>
    <t>ARM-CX-DOC: Armazenamento de caixas para documentos</t>
  </si>
  <si>
    <t>1.1</t>
  </si>
  <si>
    <t>UA</t>
  </si>
  <si>
    <t>ARM-TB: Armazenamento de tubos</t>
  </si>
  <si>
    <t>1.3</t>
  </si>
  <si>
    <t>1.4</t>
  </si>
  <si>
    <t>FC</t>
  </si>
  <si>
    <t>Qtd.</t>
  </si>
  <si>
    <t>1.2</t>
  </si>
  <si>
    <t>1.5</t>
  </si>
  <si>
    <t>1.6</t>
  </si>
  <si>
    <t>ARM-CX-MID: Armazenamento de caixas para mídias</t>
  </si>
  <si>
    <t>ARM-MIC: Armazenamento de microformas</t>
  </si>
  <si>
    <t>ARM-MID: Armazenamento de midias</t>
  </si>
  <si>
    <t>Frete</t>
  </si>
  <si>
    <t>1.7</t>
  </si>
  <si>
    <t>FRE-NRM: Frete normal</t>
  </si>
  <si>
    <t>1.8</t>
  </si>
  <si>
    <t>1.9</t>
  </si>
  <si>
    <t>1.10</t>
  </si>
  <si>
    <t>1.11</t>
  </si>
  <si>
    <t>1.12</t>
  </si>
  <si>
    <t>1.13</t>
  </si>
  <si>
    <t>2.1</t>
  </si>
  <si>
    <t>2.2</t>
  </si>
  <si>
    <t>2.3</t>
  </si>
  <si>
    <t>2.4</t>
  </si>
  <si>
    <t>2.5</t>
  </si>
  <si>
    <t>2.6</t>
  </si>
  <si>
    <t>2.7</t>
  </si>
  <si>
    <t>2.8</t>
  </si>
  <si>
    <t>2.9</t>
  </si>
  <si>
    <t>2.10</t>
  </si>
  <si>
    <t>FRE-EXP: Frete expresso</t>
  </si>
  <si>
    <t>KM-AD: Quilometragem adicional</t>
  </si>
  <si>
    <t>DES-EMB: Destruição segura de documentos</t>
  </si>
  <si>
    <t>PES-ITEM: Pesquisa de itens avulsos</t>
  </si>
  <si>
    <t>DIG-MI: Digitalização de microfilmes</t>
  </si>
  <si>
    <t>DIG-MF: Digitalização de microfichas</t>
  </si>
  <si>
    <t>DIG-DOC: Digitalização de documentos</t>
  </si>
  <si>
    <t>IND-DOC: Indexação de documentos</t>
  </si>
  <si>
    <t>CONV-MID: Conversão de mídias</t>
  </si>
  <si>
    <t>GRV-MID: Gravação de mídias</t>
  </si>
  <si>
    <t>COP-MID: Cópia de mídias</t>
  </si>
  <si>
    <t>COP-VID: Cópia de vídeos</t>
  </si>
  <si>
    <t>KM</t>
  </si>
  <si>
    <t>Item Avulso</t>
  </si>
  <si>
    <t>Embalagem</t>
  </si>
  <si>
    <t>Transferência</t>
  </si>
  <si>
    <t>UD</t>
  </si>
  <si>
    <t>Mídia</t>
  </si>
  <si>
    <t>Planilha Dados2: dados para medição</t>
  </si>
  <si>
    <t>Lote 1</t>
  </si>
  <si>
    <t>Área contrato:</t>
  </si>
  <si>
    <t>Planilha Dados1 (Serão os dados do painel de controle)</t>
  </si>
  <si>
    <t xml:space="preserve"> - Referência dos modelos de memória de cálculo dos contratos anteriores</t>
  </si>
  <si>
    <t xml:space="preserve"> - Juntar as informações das planilhasControleDeOS e FreteConsolidado</t>
  </si>
  <si>
    <t xml:space="preserve"> - Ter um quadro com a divisão das medições de frete separadas por região ou estado</t>
  </si>
  <si>
    <t>QUAm</t>
  </si>
  <si>
    <t>QBm</t>
  </si>
  <si>
    <t>QDm</t>
  </si>
  <si>
    <t>QNm</t>
  </si>
  <si>
    <t>QUAm-1</t>
  </si>
  <si>
    <t>Item</t>
  </si>
  <si>
    <t>Descrição da atividade</t>
  </si>
  <si>
    <t>Unidade</t>
  </si>
  <si>
    <t>Valor unitário</t>
  </si>
  <si>
    <t>Valor total a pagar</t>
  </si>
  <si>
    <t>Observações</t>
  </si>
  <si>
    <t>Aplicação</t>
  </si>
  <si>
    <t>D. abertura</t>
  </si>
  <si>
    <t>Agrupamento</t>
  </si>
  <si>
    <t>FDM</t>
  </si>
  <si>
    <t>Obs. Isenção</t>
  </si>
  <si>
    <t>FA</t>
  </si>
  <si>
    <t>Localidade</t>
  </si>
  <si>
    <t>Município</t>
  </si>
  <si>
    <t>Estado</t>
  </si>
  <si>
    <t>DADOS DO CLIENTE</t>
  </si>
  <si>
    <t>DADOS DA GUARDA EXTERNA</t>
  </si>
  <si>
    <t>DADOS DO CONTRATO</t>
  </si>
  <si>
    <t>Linha de serviço PPU</t>
  </si>
  <si>
    <t>DADOS DA MEDIÇÃO</t>
  </si>
  <si>
    <t>Contrato-Reg.</t>
  </si>
  <si>
    <t>Lotação</t>
  </si>
  <si>
    <r>
      <t>QUAm-</t>
    </r>
    <r>
      <rPr>
        <b/>
        <sz val="9"/>
        <color theme="9" tint="0.79998168889431442"/>
        <rFont val="Calibri"/>
        <family val="2"/>
        <scheme val="minor"/>
      </rPr>
      <t>1</t>
    </r>
  </si>
  <si>
    <t>Centro</t>
  </si>
  <si>
    <t>Código Centro</t>
  </si>
  <si>
    <t>ARM-MA: Armazenamento de mapotecas e arquivos de aço</t>
  </si>
  <si>
    <t>QUA</t>
  </si>
  <si>
    <t>Item PPU</t>
  </si>
  <si>
    <t>Decrição da atividade</t>
  </si>
  <si>
    <t>Valor total</t>
  </si>
  <si>
    <t>QFinal</t>
  </si>
  <si>
    <t>QExec</t>
  </si>
  <si>
    <t xml:space="preserve"> - Inserir um quadro com índice de siglas</t>
  </si>
  <si>
    <t>Linha de serviço PPU 1</t>
  </si>
  <si>
    <t>Dados de medição do contrato</t>
  </si>
  <si>
    <t xml:space="preserve">Inserir as fórmulas de cálculo </t>
  </si>
  <si>
    <t>QUAFCN  = Ʃ [QItemFCN x FCFCN]</t>
  </si>
  <si>
    <t>QUAm =  QUAm-1 + QNm - QBm - QDm</t>
  </si>
  <si>
    <t>QFinal = QExec x FDM</t>
  </si>
  <si>
    <t>Guarda de Documentos e Informações</t>
  </si>
  <si>
    <t>Gerenciamento de Documentos e Informações</t>
  </si>
  <si>
    <r>
      <rPr>
        <b/>
        <sz val="11"/>
        <color theme="1"/>
        <rFont val="Calibri"/>
        <family val="2"/>
        <scheme val="minor"/>
      </rPr>
      <t>Objeto:</t>
    </r>
    <r>
      <rPr>
        <sz val="11"/>
        <color theme="1"/>
        <rFont val="Calibri"/>
        <family val="2"/>
        <scheme val="minor"/>
      </rPr>
      <t/>
    </r>
  </si>
  <si>
    <t xml:space="preserve"> Serviços de guarda e gerenciamento de documentos e informações do acervo da PETROBRAS</t>
  </si>
  <si>
    <t>IAPEFARQ:</t>
  </si>
  <si>
    <t>Item 1 PPU</t>
  </si>
  <si>
    <t>Item 2 PPU</t>
  </si>
  <si>
    <t>Código da solicitação</t>
  </si>
  <si>
    <t>D. solicitação</t>
  </si>
  <si>
    <t>Gerência solicitante</t>
  </si>
  <si>
    <t>D. fechamento</t>
  </si>
  <si>
    <t>Período:</t>
  </si>
  <si>
    <t>Instr. contratual:</t>
  </si>
  <si>
    <t>Prazo combinado</t>
  </si>
  <si>
    <t>Centro#Cód. Centro</t>
  </si>
  <si>
    <t>Subtotal</t>
  </si>
  <si>
    <t>Qexec</t>
  </si>
  <si>
    <t>Qfinal</t>
  </si>
  <si>
    <t>Classificação</t>
  </si>
  <si>
    <t>DADOS DA FISCALIZAÇÃO</t>
  </si>
  <si>
    <t>DADOS DA LOCALIZAÇÃO (IMÓVEL PETROBRAS)</t>
  </si>
  <si>
    <t>DADOS DA LOCALIZAÇÃO (GALPÃO GUARDA EXTERNA)</t>
  </si>
  <si>
    <t>UF</t>
  </si>
  <si>
    <t>Código OS</t>
  </si>
  <si>
    <t>Formula</t>
  </si>
  <si>
    <t>Identificador</t>
  </si>
  <si>
    <t>Contador</t>
  </si>
  <si>
    <t>Novo QExec</t>
  </si>
  <si>
    <t>IRON MOUNTAIN DO BRASIL LTDA</t>
  </si>
  <si>
    <t>5900.0133210.25.2</t>
  </si>
  <si>
    <t>04.120.966/0001-13</t>
  </si>
  <si>
    <t/>
  </si>
  <si>
    <t>TRANSF: Transferência inicial de acervo documental</t>
  </si>
  <si>
    <t xml:space="preserve">MIGR-UA: Migração de acervo documental para digitalização </t>
  </si>
  <si>
    <t>CAT-ITEM: Catalogação de documentos digitalizados</t>
  </si>
  <si>
    <t>Documento</t>
  </si>
  <si>
    <t>ORG-DOC: Organização de documentos para digitalização</t>
  </si>
  <si>
    <t>26/6/2026  à  25/7/2026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</si>
</sst>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R$&quot;\ * #,##0.00_-;\-&quot;R$&quot;\ * #,##0.00_-;_-&quot;R$&quot;\ * &quot;-&quot;??_-;_-@_-"/>
    <numFmt numFmtId="164" formatCode="&quot;R$&quot;\ #,##0.00"/>
    <numFmt numFmtId="165" formatCode="0.000"/>
    <numFmt numFmtId="166" formatCode="#,##0.000"/>
    <numFmt numFmtId="167" formatCode="0.0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9" tint="0.79998168889431442"/>
      <name val="Calibri"/>
      <family val="2"/>
      <scheme val="minor"/>
    </font>
    <font>
      <sz val="11"/>
      <color theme="9" tint="0.79998168889431442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9"/>
      <color theme="9" tint="0.79998168889431442"/>
      <name val="Calibri"/>
      <family val="2"/>
      <scheme val="minor"/>
    </font>
    <font>
      <sz val="11"/>
      <color theme="8" tint="-0.499984740745262"/>
      <name val="Calibri"/>
      <family val="2"/>
      <scheme val="minor"/>
    </font>
    <font>
      <b/>
      <sz val="11"/>
      <color theme="8" tint="-0.499984740745262"/>
      <name val="Calibri"/>
      <family val="2"/>
      <scheme val="minor"/>
    </font>
    <font>
      <b/>
      <sz val="11"/>
      <color rgb="FFFFC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249977111117893"/>
        <bgColor indexed="64"/>
      </patternFill>
    </fill>
  </fills>
  <borders count="28">
    <border>
      <left/>
      <right/>
      <top/>
      <bottom/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theme="9" tint="0.59996337778862885"/>
      </left>
      <right/>
      <top style="thick">
        <color theme="9" tint="0.59996337778862885"/>
      </top>
      <bottom/>
      <diagonal/>
    </border>
    <border>
      <left/>
      <right style="thick">
        <color theme="9" tint="0.59996337778862885"/>
      </right>
      <top style="thick">
        <color theme="9" tint="0.59996337778862885"/>
      </top>
      <bottom/>
      <diagonal/>
    </border>
    <border>
      <left/>
      <right/>
      <top style="thick">
        <color theme="9" tint="0.59996337778862885"/>
      </top>
      <bottom/>
      <diagonal/>
    </border>
    <border>
      <left style="thick">
        <color theme="9" tint="0.59996337778862885"/>
      </left>
      <right/>
      <top/>
      <bottom/>
      <diagonal/>
    </border>
    <border>
      <left/>
      <right style="thick">
        <color theme="9" tint="0.59996337778862885"/>
      </right>
      <top/>
      <bottom/>
      <diagonal/>
    </border>
    <border>
      <left style="thin">
        <color auto="1"/>
      </left>
      <right/>
      <top/>
      <bottom/>
      <diagonal/>
    </border>
  </borders>
  <cellStyleXfs count="3">
    <xf numFmtId="0" fontId="0" fillId="0" borderId="0"/>
    <xf numFmtId="9" fontId="7" fillId="0" borderId="0" applyFont="0" applyFill="0" applyBorder="0" applyAlignment="0" applyProtection="0"/>
    <xf numFmtId="44" fontId="7" fillId="0" borderId="0" applyFont="0" applyFill="0" applyBorder="0" applyAlignment="0" applyProtection="0"/>
  </cellStyleXfs>
  <cellXfs count="16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5" fillId="0" borderId="0" xfId="0" applyFont="1" applyAlignment="1">
      <alignment horizontal="left" vertical="center"/>
    </xf>
    <xf numFmtId="0" fontId="5" fillId="0" borderId="10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8" xfId="0" applyBorder="1" applyAlignment="1">
      <alignment vertical="center"/>
    </xf>
    <xf numFmtId="0" fontId="1" fillId="0" borderId="12" xfId="0" applyFont="1" applyBorder="1" applyAlignment="1">
      <alignment horizontal="center" vertical="center"/>
    </xf>
    <xf numFmtId="0" fontId="0" fillId="0" borderId="16" xfId="0" applyBorder="1" applyAlignment="1">
      <alignment vertical="center" wrapText="1"/>
    </xf>
    <xf numFmtId="0" fontId="0" fillId="0" borderId="17" xfId="0" applyBorder="1" applyAlignment="1">
      <alignment vertical="center" wrapText="1"/>
    </xf>
    <xf numFmtId="0" fontId="0" fillId="0" borderId="18" xfId="0" applyBorder="1" applyAlignment="1">
      <alignment vertical="center" wrapText="1"/>
    </xf>
    <xf numFmtId="0" fontId="1" fillId="0" borderId="12" xfId="0" applyFont="1" applyBorder="1" applyAlignment="1">
      <alignment vertical="center"/>
    </xf>
    <xf numFmtId="0" fontId="1" fillId="0" borderId="18" xfId="0" applyFont="1" applyBorder="1" applyAlignment="1">
      <alignment horizontal="center" vertical="center"/>
    </xf>
    <xf numFmtId="0" fontId="11" fillId="0" borderId="18" xfId="0" applyFont="1" applyBorder="1" applyAlignment="1">
      <alignment vertical="center"/>
    </xf>
    <xf numFmtId="0" fontId="0" fillId="0" borderId="20" xfId="0" applyBorder="1" applyAlignment="1">
      <alignment horizontal="center" vertical="center"/>
    </xf>
    <xf numFmtId="44" fontId="10" fillId="0" borderId="20" xfId="0" applyNumberFormat="1" applyFont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0" fontId="0" fillId="4" borderId="22" xfId="0" applyFill="1" applyBorder="1"/>
    <xf numFmtId="0" fontId="0" fillId="2" borderId="25" xfId="0" applyFill="1" applyBorder="1"/>
    <xf numFmtId="0" fontId="14" fillId="2" borderId="26" xfId="0" applyFont="1" applyFill="1" applyBorder="1" applyAlignment="1">
      <alignment horizontal="left" vertical="center"/>
    </xf>
    <xf numFmtId="0" fontId="14" fillId="2" borderId="0" xfId="0" applyFont="1" applyFill="1" applyAlignment="1">
      <alignment horizontal="center" vertical="center"/>
    </xf>
    <xf numFmtId="0" fontId="14" fillId="2" borderId="26" xfId="0" applyFont="1" applyFill="1" applyBorder="1" applyAlignment="1">
      <alignment horizontal="center" vertical="center"/>
    </xf>
    <xf numFmtId="0" fontId="14" fillId="2" borderId="25" xfId="0" applyFont="1" applyFill="1" applyBorder="1" applyAlignment="1">
      <alignment horizontal="center" vertical="center"/>
    </xf>
    <xf numFmtId="0" fontId="14" fillId="2" borderId="0" xfId="0" applyFont="1" applyFill="1" applyAlignment="1">
      <alignment horizontal="left" vertical="center"/>
    </xf>
    <xf numFmtId="22" fontId="0" fillId="0" borderId="0" xfId="0" applyNumberFormat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left"/>
    </xf>
    <xf numFmtId="0" fontId="13" fillId="2" borderId="0" xfId="0" applyFont="1" applyFill="1" applyAlignment="1">
      <alignment horizontal="center"/>
    </xf>
    <xf numFmtId="3" fontId="0" fillId="0" borderId="0" xfId="0" applyNumberFormat="1" applyAlignment="1">
      <alignment horizontal="center"/>
    </xf>
    <xf numFmtId="0" fontId="16" fillId="0" borderId="12" xfId="0" applyFont="1" applyBorder="1" applyAlignment="1">
      <alignment horizontal="center" vertical="center"/>
    </xf>
    <xf numFmtId="165" fontId="18" fillId="0" borderId="12" xfId="0" applyNumberFormat="1" applyFont="1" applyBorder="1" applyAlignment="1">
      <alignment horizontal="center" vertical="center"/>
    </xf>
    <xf numFmtId="44" fontId="18" fillId="0" borderId="12" xfId="0" applyNumberFormat="1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44" fontId="18" fillId="0" borderId="12" xfId="0" applyNumberFormat="1" applyFont="1" applyBorder="1" applyAlignment="1">
      <alignment horizontal="right" vertical="center"/>
    </xf>
    <xf numFmtId="166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13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/>
    </xf>
    <xf numFmtId="165" fontId="18" fillId="0" borderId="14" xfId="0" applyNumberFormat="1" applyFont="1" applyBorder="1" applyAlignment="1">
      <alignment horizontal="center" vertical="center"/>
    </xf>
    <xf numFmtId="44" fontId="18" fillId="0" borderId="14" xfId="0" applyNumberFormat="1" applyFont="1" applyBorder="1" applyAlignment="1">
      <alignment horizontal="center" vertical="center"/>
    </xf>
    <xf numFmtId="44" fontId="18" fillId="0" borderId="14" xfId="0" applyNumberFormat="1" applyFont="1" applyBorder="1" applyAlignment="1">
      <alignment horizontal="right" vertical="center"/>
    </xf>
    <xf numFmtId="165" fontId="18" fillId="0" borderId="0" xfId="0" applyNumberFormat="1" applyFont="1" applyAlignment="1">
      <alignment horizontal="center" vertical="center"/>
    </xf>
    <xf numFmtId="44" fontId="18" fillId="0" borderId="0" xfId="0" applyNumberFormat="1" applyFont="1" applyAlignment="1">
      <alignment horizontal="right" vertical="center"/>
    </xf>
    <xf numFmtId="0" fontId="18" fillId="0" borderId="19" xfId="0" applyFont="1" applyBorder="1" applyAlignment="1">
      <alignment horizontal="center" vertical="center"/>
    </xf>
    <xf numFmtId="44" fontId="18" fillId="0" borderId="19" xfId="0" applyNumberFormat="1" applyFont="1" applyBorder="1" applyAlignment="1">
      <alignment horizontal="center" vertical="center"/>
    </xf>
    <xf numFmtId="165" fontId="18" fillId="0" borderId="20" xfId="0" applyNumberFormat="1" applyFont="1" applyBorder="1" applyAlignment="1">
      <alignment horizontal="center" vertical="center"/>
    </xf>
    <xf numFmtId="44" fontId="18" fillId="0" borderId="20" xfId="0" applyNumberFormat="1" applyFont="1" applyBorder="1" applyAlignment="1">
      <alignment horizontal="right" vertical="center"/>
    </xf>
    <xf numFmtId="165" fontId="18" fillId="0" borderId="19" xfId="0" applyNumberFormat="1" applyFont="1" applyBorder="1" applyAlignment="1">
      <alignment horizontal="center" vertical="center"/>
    </xf>
    <xf numFmtId="44" fontId="18" fillId="0" borderId="19" xfId="0" applyNumberFormat="1" applyFont="1" applyBorder="1" applyAlignment="1">
      <alignment horizontal="right" vertical="center"/>
    </xf>
    <xf numFmtId="0" fontId="18" fillId="0" borderId="13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18" fillId="0" borderId="13" xfId="0" applyFont="1" applyBorder="1" applyAlignment="1">
      <alignment vertical="center"/>
    </xf>
    <xf numFmtId="0" fontId="18" fillId="0" borderId="15" xfId="0" applyFont="1" applyBorder="1" applyAlignment="1">
      <alignment vertical="center"/>
    </xf>
    <xf numFmtId="165" fontId="18" fillId="0" borderId="15" xfId="0" applyNumberFormat="1" applyFont="1" applyBorder="1" applyAlignment="1">
      <alignment horizontal="center" vertical="center"/>
    </xf>
    <xf numFmtId="165" fontId="18" fillId="0" borderId="13" xfId="0" applyNumberFormat="1" applyFont="1" applyBorder="1" applyAlignment="1">
      <alignment horizontal="center" vertical="center"/>
    </xf>
    <xf numFmtId="44" fontId="18" fillId="0" borderId="13" xfId="0" applyNumberFormat="1" applyFont="1" applyBorder="1" applyAlignment="1">
      <alignment horizontal="center" vertical="center"/>
    </xf>
    <xf numFmtId="44" fontId="18" fillId="0" borderId="15" xfId="0" applyNumberFormat="1" applyFont="1" applyBorder="1" applyAlignment="1">
      <alignment horizontal="right" vertical="center"/>
    </xf>
    <xf numFmtId="44" fontId="18" fillId="0" borderId="13" xfId="0" applyNumberFormat="1" applyFont="1" applyBorder="1" applyAlignment="1">
      <alignment horizontal="right" vertical="center"/>
    </xf>
    <xf numFmtId="49" fontId="0" fillId="0" borderId="0" xfId="0" applyNumberFormat="1" applyAlignment="1">
      <alignment horizontal="center"/>
    </xf>
    <xf numFmtId="44" fontId="0" fillId="0" borderId="0" xfId="2" applyFont="1" applyAlignment="1">
      <alignment horizontal="center"/>
    </xf>
    <xf numFmtId="44" fontId="0" fillId="0" borderId="0" xfId="0" applyNumberFormat="1" applyAlignment="1">
      <alignment horizontal="center"/>
    </xf>
    <xf numFmtId="0" fontId="15" fillId="5" borderId="0" xfId="0" applyFont="1" applyFill="1"/>
    <xf numFmtId="0" fontId="15" fillId="5" borderId="27" xfId="0" applyFont="1" applyFill="1" applyBorder="1"/>
    <xf numFmtId="0" fontId="13" fillId="3" borderId="0" xfId="0" applyFont="1" applyFill="1" applyAlignment="1">
      <alignment horizontal="center" vertical="center"/>
    </xf>
    <xf numFmtId="0" fontId="13" fillId="3" borderId="0" xfId="0" applyFont="1" applyFill="1" applyAlignment="1">
      <alignment horizontal="left" vertical="center"/>
    </xf>
    <xf numFmtId="0" fontId="1" fillId="6" borderId="16" xfId="0" applyFont="1" applyFill="1" applyBorder="1" applyAlignment="1">
      <alignment horizontal="center" vertical="center"/>
    </xf>
    <xf numFmtId="0" fontId="1" fillId="6" borderId="17" xfId="0" applyFont="1" applyFill="1" applyBorder="1" applyAlignment="1">
      <alignment vertical="center"/>
    </xf>
    <xf numFmtId="0" fontId="1" fillId="6" borderId="18" xfId="0" applyFont="1" applyFill="1" applyBorder="1" applyAlignment="1">
      <alignment vertical="center"/>
    </xf>
    <xf numFmtId="0" fontId="1" fillId="6" borderId="18" xfId="0" applyFont="1" applyFill="1" applyBorder="1" applyAlignment="1">
      <alignment horizontal="center" vertical="center"/>
    </xf>
    <xf numFmtId="0" fontId="19" fillId="6" borderId="17" xfId="0" applyFont="1" applyFill="1" applyBorder="1" applyAlignment="1">
      <alignment horizontal="center" vertical="center"/>
    </xf>
    <xf numFmtId="165" fontId="19" fillId="6" borderId="17" xfId="0" applyNumberFormat="1" applyFont="1" applyFill="1" applyBorder="1" applyAlignment="1">
      <alignment horizontal="center" vertical="center"/>
    </xf>
    <xf numFmtId="44" fontId="19" fillId="6" borderId="17" xfId="0" applyNumberFormat="1" applyFont="1" applyFill="1" applyBorder="1" applyAlignment="1">
      <alignment horizontal="center" vertical="center"/>
    </xf>
    <xf numFmtId="44" fontId="19" fillId="6" borderId="17" xfId="0" applyNumberFormat="1" applyFont="1" applyFill="1" applyBorder="1" applyAlignment="1">
      <alignment horizontal="right" vertical="center"/>
    </xf>
    <xf numFmtId="0" fontId="11" fillId="0" borderId="0" xfId="0" applyFont="1" applyAlignment="1">
      <alignment horizontal="center"/>
    </xf>
    <xf numFmtId="0" fontId="16" fillId="0" borderId="16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 wrapText="1"/>
    </xf>
    <xf numFmtId="0" fontId="1" fillId="6" borderId="16" xfId="0" applyFont="1" applyFill="1" applyBorder="1" applyAlignment="1">
      <alignment vertical="center"/>
    </xf>
    <xf numFmtId="9" fontId="8" fillId="0" borderId="6" xfId="1" applyFont="1" applyBorder="1" applyAlignment="1">
      <alignment vertical="center"/>
    </xf>
    <xf numFmtId="0" fontId="6" fillId="0" borderId="11" xfId="0" applyFont="1" applyBorder="1" applyAlignment="1">
      <alignment vertical="center"/>
    </xf>
    <xf numFmtId="9" fontId="8" fillId="0" borderId="8" xfId="1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1" fillId="0" borderId="5" xfId="0" applyFont="1" applyBorder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1" fillId="0" borderId="10" xfId="0" applyFont="1" applyBorder="1" applyAlignment="1">
      <alignment horizontal="right" vertical="center"/>
    </xf>
    <xf numFmtId="0" fontId="14" fillId="3" borderId="0" xfId="0" applyFont="1" applyFill="1" applyAlignment="1">
      <alignment horizontal="left" vertical="center"/>
    </xf>
    <xf numFmtId="0" fontId="1" fillId="0" borderId="10" xfId="0" applyFont="1" applyBorder="1" applyAlignment="1">
      <alignment vertical="center"/>
    </xf>
    <xf numFmtId="0" fontId="5" fillId="0" borderId="12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0" xfId="0" applyFont="1" applyBorder="1" applyAlignment="1">
      <alignment horizontal="left" vertical="center"/>
    </xf>
    <xf numFmtId="0" fontId="8" fillId="0" borderId="5" xfId="1" applyNumberFormat="1" applyFont="1" applyBorder="1" applyAlignment="1">
      <alignment horizontal="left" vertical="center"/>
    </xf>
    <xf numFmtId="0" fontId="8" fillId="0" borderId="0" xfId="1" applyNumberFormat="1" applyFont="1" applyBorder="1" applyAlignment="1">
      <alignment horizontal="left" vertical="center"/>
    </xf>
    <xf numFmtId="0" fontId="15" fillId="5" borderId="0" xfId="0" applyFont="1" applyFill="1" applyAlignment="1">
      <alignment horizontal="center"/>
    </xf>
    <xf numFmtId="44" fontId="15" fillId="5" borderId="0" xfId="2" applyFont="1" applyFill="1" applyBorder="1" applyAlignment="1"/>
    <xf numFmtId="0" fontId="20" fillId="3" borderId="0" xfId="0" applyFont="1" applyFill="1" applyAlignment="1">
      <alignment horizontal="left" vertical="center"/>
    </xf>
    <xf numFmtId="0" fontId="20" fillId="3" borderId="0" xfId="0" applyFont="1" applyFill="1" applyAlignment="1">
      <alignment horizontal="center" vertical="center"/>
    </xf>
    <xf numFmtId="49" fontId="15" fillId="7" borderId="0" xfId="0" applyNumberFormat="1" applyFont="1" applyFill="1" applyAlignment="1">
      <alignment horizontal="center" vertical="center"/>
    </xf>
    <xf numFmtId="0" fontId="15" fillId="7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left"/>
    </xf>
    <xf numFmtId="0" fontId="2" fillId="7" borderId="0" xfId="0" applyFont="1" applyFill="1"/>
    <xf numFmtId="0" fontId="15" fillId="7" borderId="0" xfId="0" applyFont="1" applyFill="1" applyAlignment="1">
      <alignment horizontal="center" vertical="center"/>
    </xf>
    <xf numFmtId="0" fontId="15" fillId="5" borderId="25" xfId="0" applyFont="1" applyFill="1" applyBorder="1" applyAlignment="1">
      <alignment horizontal="center"/>
    </xf>
    <xf numFmtId="0" fontId="15" fillId="5" borderId="0" xfId="0" applyFont="1" applyFill="1" applyAlignment="1">
      <alignment horizontal="center"/>
    </xf>
    <xf numFmtId="0" fontId="13" fillId="4" borderId="24" xfId="0" applyFont="1" applyFill="1" applyBorder="1" applyAlignment="1">
      <alignment horizontal="center"/>
    </xf>
    <xf numFmtId="0" fontId="13" fillId="4" borderId="23" xfId="0" applyFont="1" applyFill="1" applyBorder="1" applyAlignment="1">
      <alignment horizontal="center"/>
    </xf>
    <xf numFmtId="0" fontId="13" fillId="4" borderId="22" xfId="0" applyFont="1" applyFill="1" applyBorder="1" applyAlignment="1">
      <alignment horizont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5" xfId="0" applyFont="1" applyBorder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1" fillId="0" borderId="10" xfId="0" applyFont="1" applyBorder="1" applyAlignment="1">
      <alignment horizontal="right" vertical="center"/>
    </xf>
    <xf numFmtId="0" fontId="1" fillId="0" borderId="17" xfId="0" applyFont="1" applyBorder="1" applyAlignment="1">
      <alignment horizontal="center" vertical="center"/>
    </xf>
    <xf numFmtId="0" fontId="1" fillId="6" borderId="17" xfId="0" applyFont="1" applyFill="1" applyBorder="1" applyAlignment="1">
      <alignment horizontal="left" vertical="center"/>
    </xf>
    <xf numFmtId="0" fontId="0" fillId="0" borderId="16" xfId="0" applyBorder="1" applyAlignment="1">
      <alignment horizontal="left" vertical="center" wrapText="1"/>
    </xf>
    <xf numFmtId="0" fontId="0" fillId="0" borderId="17" xfId="0" applyBorder="1" applyAlignment="1">
      <alignment horizontal="left" vertical="center" wrapText="1"/>
    </xf>
    <xf numFmtId="0" fontId="0" fillId="0" borderId="18" xfId="0" applyBorder="1" applyAlignment="1">
      <alignment horizontal="left" vertical="center" wrapText="1"/>
    </xf>
    <xf numFmtId="0" fontId="0" fillId="0" borderId="18" xfId="0" applyBorder="1" applyAlignment="1">
      <alignment horizontal="justify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Alignment="1">
      <alignment horizontal="left"/>
    </xf>
    <xf numFmtId="0" fontId="5" fillId="0" borderId="0" xfId="0" applyFont="1" applyAlignment="1">
      <alignment horizontal="left" vertical="center" wrapText="1"/>
    </xf>
    <xf numFmtId="0" fontId="5" fillId="0" borderId="10" xfId="0" applyFont="1" applyBorder="1" applyAlignment="1">
      <alignment horizontal="left" vertical="center" wrapText="1"/>
    </xf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left"/>
    </xf>
    <xf numFmtId="0" fontId="16" fillId="0" borderId="16" xfId="0" applyFont="1" applyBorder="1" applyAlignment="1">
      <alignment horizontal="left" vertical="center" wrapText="1"/>
    </xf>
    <xf numFmtId="0" fontId="16" fillId="0" borderId="17" xfId="0" applyFont="1" applyBorder="1" applyAlignment="1">
      <alignment horizontal="left" vertical="center" wrapText="1"/>
    </xf>
    <xf numFmtId="0" fontId="9" fillId="0" borderId="16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left" vertical="center" wrapText="1"/>
    </xf>
  </cellXfs>
  <cellStyles count="3">
    <cellStyle name="Moeda" xfId="2" builtinId="4"/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fitToPage="1"/>
  </sheetPr>
  <dimension ref="A1:O100"/>
  <sheetViews>
    <sheetView showGridLines="0" tabSelected="1" topLeftCell="A3" zoomScale="98" zoomScaleNormal="98" workbookViewId="0">
      <selection activeCell="N7" sqref="N7"/>
    </sheetView>
  </sheetViews>
  <sheetFormatPr defaultRowHeight="14.4" x14ac:dyDescent="0.3"/>
  <cols>
    <col min="1" max="1" width="1" style="4" customWidth="1"/>
    <col min="2" max="2" width="6.6640625" style="4" customWidth="1"/>
    <col min="3" max="3" width="5.6640625" style="2" customWidth="1"/>
    <col min="4" max="8" width="14.6640625" style="2" customWidth="1"/>
    <col min="9" max="9" width="14.88671875" style="2" customWidth="1"/>
    <col min="10" max="13" width="16.6640625" style="2" customWidth="1"/>
    <col min="14" max="14" width="32.88671875" style="5" customWidth="1"/>
    <col min="15" max="15" width="6.6640625" customWidth="1"/>
  </cols>
  <sheetData>
    <row r="1" spans="1:15" ht="6" customHeight="1" thickBot="1" x14ac:dyDescent="0.35"/>
    <row r="2" spans="1:15" ht="24" customHeight="1" thickTop="1" thickBot="1" x14ac:dyDescent="0.35">
      <c r="B2" s="141" t="s">
        <v>2</v>
      </c>
      <c r="C2" s="142"/>
      <c r="D2" s="142"/>
      <c r="E2" s="142"/>
      <c r="F2" s="142"/>
      <c r="G2" s="142"/>
      <c r="H2" s="142"/>
      <c r="I2" s="142"/>
      <c r="J2" s="142"/>
      <c r="K2" s="142"/>
      <c r="L2" s="142"/>
      <c r="M2" s="142"/>
      <c r="N2" s="142"/>
      <c r="O2" s="143"/>
    </row>
    <row r="3" spans="1:15" ht="15.6" thickTop="1" thickBot="1" x14ac:dyDescent="0.35">
      <c r="A3"/>
      <c r="B3" s="144" t="s">
        <v>4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6"/>
    </row>
    <row r="4" spans="1:15" ht="15" thickTop="1" x14ac:dyDescent="0.3">
      <c r="A4"/>
      <c r="B4" s="147" t="s">
        <v>0</v>
      </c>
      <c r="C4" s="148"/>
      <c r="D4" s="24" t="s">
        <v>146</v>
      </c>
      <c r="E4" s="24"/>
      <c r="F4" s="5"/>
      <c r="G4" s="5"/>
      <c r="I4" s="5" t="s">
        <v>1</v>
      </c>
      <c r="J4" s="24" t="s">
        <v>148</v>
      </c>
      <c r="K4" s="24"/>
      <c r="L4" s="132" t="s">
        <v>123</v>
      </c>
      <c r="M4" s="96" t="s">
        <v>122</v>
      </c>
      <c r="N4" s="104">
        <v>56.29</v>
      </c>
      <c r="O4" s="92"/>
    </row>
    <row r="5" spans="1:15" x14ac:dyDescent="0.3">
      <c r="A5"/>
      <c r="B5" s="149" t="s">
        <v>3</v>
      </c>
      <c r="C5" s="150"/>
      <c r="D5" s="6">
        <v>4600686987</v>
      </c>
      <c r="E5" s="6"/>
      <c r="F5" s="5"/>
      <c r="G5" s="5"/>
      <c r="I5" s="27" t="s">
        <v>69</v>
      </c>
      <c r="J5" s="6" t="s">
        <v>68</v>
      </c>
      <c r="K5" s="8"/>
      <c r="L5" s="133"/>
      <c r="M5" s="97" t="s">
        <v>5</v>
      </c>
      <c r="N5" s="6">
        <v>0.95</v>
      </c>
      <c r="O5" s="95"/>
    </row>
    <row r="6" spans="1:15" x14ac:dyDescent="0.3">
      <c r="A6"/>
      <c r="B6" s="149" t="s">
        <v>120</v>
      </c>
      <c r="C6" s="150"/>
      <c r="D6" s="151" t="s">
        <v>121</v>
      </c>
      <c r="E6" s="151"/>
      <c r="F6" s="151"/>
      <c r="G6" s="151"/>
      <c r="H6" s="151"/>
      <c r="I6" s="25" t="s">
        <v>130</v>
      </c>
      <c r="J6" s="6" t="s">
        <v>147</v>
      </c>
      <c r="K6" s="6"/>
      <c r="L6" s="133" t="s">
        <v>124</v>
      </c>
      <c r="M6" s="97" t="s">
        <v>122</v>
      </c>
      <c r="N6" s="105">
        <v>77.36</v>
      </c>
      <c r="O6" s="94"/>
    </row>
    <row r="7" spans="1:15" ht="15" thickBot="1" x14ac:dyDescent="0.35">
      <c r="A7"/>
      <c r="B7" s="153"/>
      <c r="C7" s="154"/>
      <c r="D7" s="152"/>
      <c r="E7" s="152"/>
      <c r="F7" s="152"/>
      <c r="G7" s="152"/>
      <c r="H7" s="152"/>
      <c r="I7" s="100" t="s">
        <v>129</v>
      </c>
      <c r="J7" s="7" t="s">
        <v>155</v>
      </c>
      <c r="K7" s="7"/>
      <c r="L7" s="134"/>
      <c r="M7" s="98" t="s">
        <v>5</v>
      </c>
      <c r="N7" s="103">
        <v>0.97</v>
      </c>
      <c r="O7" s="93"/>
    </row>
    <row r="8" spans="1:15" ht="15" thickTop="1" x14ac:dyDescent="0.3">
      <c r="A8"/>
      <c r="B8"/>
      <c r="C8"/>
      <c r="D8" s="5"/>
      <c r="E8" s="5"/>
      <c r="F8" s="5"/>
      <c r="G8" s="5"/>
      <c r="J8" s="24"/>
      <c r="K8" s="24"/>
      <c r="L8" s="5"/>
      <c r="M8" s="25"/>
      <c r="N8" s="26"/>
    </row>
    <row r="9" spans="1:15" ht="8.25" customHeight="1" x14ac:dyDescent="0.3">
      <c r="A9"/>
      <c r="B9"/>
      <c r="C9"/>
      <c r="D9"/>
      <c r="E9"/>
      <c r="F9"/>
      <c r="G9"/>
      <c r="H9" s="88"/>
      <c r="I9" s="1"/>
      <c r="J9" s="24"/>
      <c r="K9" s="24"/>
      <c r="L9" s="24"/>
      <c r="M9" s="24"/>
      <c r="N9"/>
    </row>
    <row r="10" spans="1:15" s="2" customFormat="1" x14ac:dyDescent="0.3">
      <c r="A10" s="4"/>
      <c r="B10" s="4"/>
      <c r="C10" s="15" t="s">
        <v>79</v>
      </c>
      <c r="D10" s="130" t="s">
        <v>80</v>
      </c>
      <c r="E10" s="135"/>
      <c r="F10" s="135"/>
      <c r="G10" s="135"/>
      <c r="H10" s="131"/>
      <c r="I10" s="49" t="s">
        <v>81</v>
      </c>
      <c r="J10" s="50" t="s">
        <v>110</v>
      </c>
      <c r="K10" s="50" t="s">
        <v>109</v>
      </c>
      <c r="L10" s="50" t="s">
        <v>82</v>
      </c>
      <c r="M10" s="51" t="s">
        <v>83</v>
      </c>
      <c r="N10" s="20" t="s">
        <v>84</v>
      </c>
    </row>
    <row r="11" spans="1:15" s="2" customFormat="1" x14ac:dyDescent="0.3">
      <c r="A11" s="4"/>
      <c r="B11" s="4"/>
      <c r="C11" s="80">
        <v>1</v>
      </c>
      <c r="D11" s="91" t="s">
        <v>118</v>
      </c>
      <c r="E11" s="81"/>
      <c r="F11" s="81"/>
      <c r="G11" s="81"/>
      <c r="H11" s="82"/>
      <c r="I11" s="81"/>
      <c r="J11" s="81"/>
      <c r="K11" s="81"/>
      <c r="L11" s="81"/>
      <c r="M11" s="82"/>
      <c r="N11" s="83"/>
    </row>
    <row r="12" spans="1:15" ht="15" customHeight="1" x14ac:dyDescent="0.3">
      <c r="C12" s="11"/>
      <c r="D12" s="137" t="s">
        <v>16</v>
      </c>
      <c r="E12" s="138"/>
      <c r="F12" s="138"/>
      <c r="G12" s="138"/>
      <c r="H12" s="138"/>
      <c r="I12" s="64"/>
      <c r="J12" s="58"/>
      <c r="K12" s="64"/>
      <c r="L12" s="59"/>
      <c r="M12" s="70"/>
      <c r="N12" s="140"/>
    </row>
    <row r="13" spans="1:15" x14ac:dyDescent="0.3">
      <c r="C13" s="12" t="s">
        <v>17</v>
      </c>
      <c r="D13" s="40" t="s">
        <v>78</v>
      </c>
      <c r="E13" s="40" t="s">
        <v>75</v>
      </c>
      <c r="F13" s="40" t="s">
        <v>76</v>
      </c>
      <c r="G13" s="40" t="s">
        <v>77</v>
      </c>
      <c r="H13" s="89" t="s">
        <v>74</v>
      </c>
      <c r="I13" s="65" t="s">
        <v>18</v>
      </c>
      <c r="J13" s="56">
        <f>SUMIF(ARM!K:K,"ARM-CX-DOC",ARM!J:J)</f>
        <v>0</v>
      </c>
      <c r="K13" s="68">
        <f>J13*$N$5</f>
        <v>0</v>
      </c>
      <c r="L13" s="59">
        <v>0.6</v>
      </c>
      <c r="M13" s="71">
        <f>K13*L13</f>
        <v>0</v>
      </c>
      <c r="N13" s="140"/>
    </row>
    <row r="14" spans="1:15" x14ac:dyDescent="0.3">
      <c r="C14" s="10"/>
      <c r="D14" s="101">
        <f>SUMIF(ARM!K:K,"ARM-CX-DOC",ARM!D:D)</f>
        <v>0</v>
      </c>
      <c r="E14" s="101">
        <f>SUMIF(ARM!K:K,"ARM-CX-DOC",ARM!E:E)</f>
        <v>0</v>
      </c>
      <c r="F14" s="101">
        <f>SUMIF(ARM!K:K,"ARM-CX-DOC",ARM!F:F)</f>
        <v>0</v>
      </c>
      <c r="G14" s="101">
        <f>SUMIF(ARM!K:K,"ARM-CX-DOC",ARM!G:G)</f>
        <v>0</v>
      </c>
      <c r="H14" s="102">
        <f>D14-((E14+F14)-G14)</f>
        <v>0</v>
      </c>
      <c r="I14" s="52"/>
      <c r="J14" s="60"/>
      <c r="K14" s="53"/>
      <c r="L14" s="61" t="s">
        <v>149</v>
      </c>
      <c r="M14" s="55"/>
      <c r="N14" s="140"/>
    </row>
    <row r="15" spans="1:15" ht="15" customHeight="1" x14ac:dyDescent="0.3">
      <c r="C15" s="11"/>
      <c r="D15" s="155" t="s">
        <v>27</v>
      </c>
      <c r="E15" s="156"/>
      <c r="F15" s="156"/>
      <c r="G15" s="156"/>
      <c r="H15" s="156"/>
      <c r="I15" s="66"/>
      <c r="J15" s="62"/>
      <c r="K15" s="69"/>
      <c r="L15" s="63"/>
      <c r="M15" s="72"/>
      <c r="N15" s="140"/>
    </row>
    <row r="16" spans="1:15" x14ac:dyDescent="0.3">
      <c r="C16" s="12" t="s">
        <v>24</v>
      </c>
      <c r="D16" s="40" t="s">
        <v>78</v>
      </c>
      <c r="E16" s="40" t="s">
        <v>75</v>
      </c>
      <c r="F16" s="40" t="s">
        <v>76</v>
      </c>
      <c r="G16" s="40" t="s">
        <v>77</v>
      </c>
      <c r="H16" s="89" t="s">
        <v>74</v>
      </c>
      <c r="I16" s="65" t="s">
        <v>18</v>
      </c>
      <c r="J16" s="56">
        <f>SUMIF(ARM!K:K,"ARM-CX-MID",ARM!J:J)</f>
        <v>0</v>
      </c>
      <c r="K16" s="68">
        <f>J16*$N$5</f>
        <v>0</v>
      </c>
      <c r="L16" s="63">
        <v>3.55</v>
      </c>
      <c r="M16" s="71">
        <f>K16*L16</f>
        <v>0</v>
      </c>
      <c r="N16" s="140"/>
    </row>
    <row r="17" spans="3:14" x14ac:dyDescent="0.3">
      <c r="C17" s="10"/>
      <c r="D17" s="101">
        <f>SUMIF(ARM!K:K,"ARM-CX-MID",ARM!D:D)</f>
        <v>0</v>
      </c>
      <c r="E17" s="101">
        <f>SUMIF(ARM!K:K,"ARM-CX-MID",ARM!E:E)</f>
        <v>0</v>
      </c>
      <c r="F17" s="101">
        <f>SUMIF(ARM!K:K,"ARM-CX-MID",ARM!F:F)</f>
        <v>0</v>
      </c>
      <c r="G17" s="101">
        <f>SUMIF(ARM!K:K,"ARM-CX-MID",ARM!G:G)</f>
        <v>0</v>
      </c>
      <c r="H17" s="102">
        <f>D17-((E17+F17)-G17)</f>
        <v>0</v>
      </c>
      <c r="I17" s="52"/>
      <c r="J17" s="60"/>
      <c r="K17" s="53"/>
      <c r="L17" s="61" t="s">
        <v>149</v>
      </c>
      <c r="M17" s="55"/>
      <c r="N17" s="140"/>
    </row>
    <row r="18" spans="3:14" ht="15" customHeight="1" x14ac:dyDescent="0.3">
      <c r="C18" s="11"/>
      <c r="D18" s="155" t="s">
        <v>19</v>
      </c>
      <c r="E18" s="156"/>
      <c r="F18" s="156"/>
      <c r="G18" s="156"/>
      <c r="H18" s="156"/>
      <c r="I18" s="66"/>
      <c r="J18" s="62"/>
      <c r="K18" s="69"/>
      <c r="L18" s="63"/>
      <c r="M18" s="72"/>
      <c r="N18" s="140"/>
    </row>
    <row r="19" spans="3:14" x14ac:dyDescent="0.3">
      <c r="C19" s="12" t="s">
        <v>20</v>
      </c>
      <c r="D19" s="40" t="s">
        <v>78</v>
      </c>
      <c r="E19" s="40" t="s">
        <v>75</v>
      </c>
      <c r="F19" s="40" t="s">
        <v>76</v>
      </c>
      <c r="G19" s="40" t="s">
        <v>77</v>
      </c>
      <c r="H19" s="89" t="s">
        <v>74</v>
      </c>
      <c r="I19" s="65" t="s">
        <v>18</v>
      </c>
      <c r="J19" s="56">
        <f>SUMIF(ARM!K:K,"ARM-TB",ARM!J:J)</f>
        <v>0</v>
      </c>
      <c r="K19" s="68">
        <f>J19*$N$5</f>
        <v>0</v>
      </c>
      <c r="L19" s="63">
        <v>0.74</v>
      </c>
      <c r="M19" s="71">
        <f>K19*L19</f>
        <v>0</v>
      </c>
      <c r="N19" s="140"/>
    </row>
    <row r="20" spans="3:14" x14ac:dyDescent="0.3">
      <c r="C20" s="10"/>
      <c r="D20" s="101">
        <f>SUMIF(ARM!K:K,"ARM-TB",ARM!D:D)</f>
        <v>0</v>
      </c>
      <c r="E20" s="101">
        <f>SUMIF(ARM!K:K,"ARM-TB",ARM!E:E)</f>
        <v>0</v>
      </c>
      <c r="F20" s="101">
        <f>SUMIF(ARM!K:K,"ARM-TB",ARM!F:F)</f>
        <v>0</v>
      </c>
      <c r="G20" s="101">
        <f>SUMIF(ARM!K:K,"ARM-TB",ARM!G:G)</f>
        <v>0</v>
      </c>
      <c r="H20" s="102">
        <f>D20-((E20+F20)-G20)</f>
        <v>0</v>
      </c>
      <c r="I20" s="52"/>
      <c r="J20" s="60"/>
      <c r="K20" s="53"/>
      <c r="L20" s="61" t="s">
        <v>149</v>
      </c>
      <c r="M20" s="55"/>
      <c r="N20" s="140"/>
    </row>
    <row r="21" spans="3:14" ht="15" customHeight="1" x14ac:dyDescent="0.3">
      <c r="C21" s="11"/>
      <c r="D21" s="155" t="s">
        <v>104</v>
      </c>
      <c r="E21" s="156"/>
      <c r="F21" s="156"/>
      <c r="G21" s="156"/>
      <c r="H21" s="156"/>
      <c r="I21" s="66"/>
      <c r="J21" s="62"/>
      <c r="K21" s="69"/>
      <c r="L21" s="63"/>
      <c r="M21" s="72"/>
      <c r="N21" s="140"/>
    </row>
    <row r="22" spans="3:14" x14ac:dyDescent="0.3">
      <c r="C22" s="12" t="s">
        <v>21</v>
      </c>
      <c r="D22" s="40" t="s">
        <v>78</v>
      </c>
      <c r="E22" s="40" t="s">
        <v>75</v>
      </c>
      <c r="F22" s="40" t="s">
        <v>76</v>
      </c>
      <c r="G22" s="40" t="s">
        <v>77</v>
      </c>
      <c r="H22" s="89" t="s">
        <v>74</v>
      </c>
      <c r="I22" s="65" t="s">
        <v>18</v>
      </c>
      <c r="J22" s="56">
        <f>SUMIF(ARM!K:K,"ARM-MA",ARM!J:J)</f>
        <v>0</v>
      </c>
      <c r="K22" s="68">
        <f>J22*$N$5</f>
        <v>0</v>
      </c>
      <c r="L22" s="63">
        <v>56.11</v>
      </c>
      <c r="M22" s="71">
        <f>K22*L22</f>
        <v>0</v>
      </c>
      <c r="N22" s="140"/>
    </row>
    <row r="23" spans="3:14" x14ac:dyDescent="0.3">
      <c r="C23" s="10"/>
      <c r="D23" s="101">
        <f>SUMIF(ARM!K:K,"ARM-MA",ARM!D:D)</f>
        <v>0</v>
      </c>
      <c r="E23" s="101">
        <f>SUMIF(ARM!K:K,"ARM-MA",ARM!E:E)</f>
        <v>0</v>
      </c>
      <c r="F23" s="101">
        <f>SUMIF(ARM!K:K,"ARM-MA",ARM!F:F)</f>
        <v>0</v>
      </c>
      <c r="G23" s="101">
        <f>SUMIF(ARM!K:K,"ARM-MA",ARM!G:G)</f>
        <v>0</v>
      </c>
      <c r="H23" s="102">
        <f>D23-((E23+F23)-G23)</f>
        <v>0</v>
      </c>
      <c r="I23" s="52"/>
      <c r="J23" s="60"/>
      <c r="K23" s="53"/>
      <c r="L23" s="61" t="s">
        <v>149</v>
      </c>
      <c r="M23" s="55"/>
      <c r="N23" s="140"/>
    </row>
    <row r="24" spans="3:14" ht="15" customHeight="1" x14ac:dyDescent="0.3">
      <c r="C24" s="11"/>
      <c r="D24" s="155" t="s">
        <v>28</v>
      </c>
      <c r="E24" s="156"/>
      <c r="F24" s="156"/>
      <c r="G24" s="156"/>
      <c r="H24" s="156"/>
      <c r="I24" s="66"/>
      <c r="J24" s="62"/>
      <c r="K24" s="69"/>
      <c r="L24" s="63"/>
      <c r="M24" s="72"/>
      <c r="N24" s="140"/>
    </row>
    <row r="25" spans="3:14" x14ac:dyDescent="0.3">
      <c r="C25" s="12" t="s">
        <v>25</v>
      </c>
      <c r="D25" s="40" t="s">
        <v>78</v>
      </c>
      <c r="E25" s="40" t="s">
        <v>75</v>
      </c>
      <c r="F25" s="40" t="s">
        <v>76</v>
      </c>
      <c r="G25" s="40" t="s">
        <v>77</v>
      </c>
      <c r="H25" s="89" t="s">
        <v>74</v>
      </c>
      <c r="I25" s="65" t="s">
        <v>18</v>
      </c>
      <c r="J25" s="56">
        <f>SUMIF(ARM!K:K,"ARM-MIC",ARM!J:J)</f>
        <v>0</v>
      </c>
      <c r="K25" s="68">
        <f>J25*$N$5</f>
        <v>0</v>
      </c>
      <c r="L25" s="63">
        <v>0.08</v>
      </c>
      <c r="M25" s="71">
        <f>K25*L25</f>
        <v>0</v>
      </c>
      <c r="N25" s="140"/>
    </row>
    <row r="26" spans="3:14" x14ac:dyDescent="0.3">
      <c r="C26" s="10"/>
      <c r="D26" s="101">
        <f>SUMIF(ARM!K:K,"ARM-MIC",ARM!D:D)</f>
        <v>0</v>
      </c>
      <c r="E26" s="101">
        <f>SUMIF(ARM!K:K,"ARM-MIC",ARM!E:E)</f>
        <v>0</v>
      </c>
      <c r="F26" s="101">
        <f>SUMIF(ARM!K:K,"ARM-MIC",ARM!F:F)</f>
        <v>0</v>
      </c>
      <c r="G26" s="101">
        <f>SUMIF(ARM!K:K,"ARM-MIC",ARM!G:G)</f>
        <v>0</v>
      </c>
      <c r="H26" s="102">
        <f>D26-((E26+F26)-G26)</f>
        <v>0</v>
      </c>
      <c r="I26" s="52"/>
      <c r="J26" s="60"/>
      <c r="K26" s="53"/>
      <c r="L26" s="61" t="s">
        <v>149</v>
      </c>
      <c r="M26" s="55"/>
      <c r="N26" s="140"/>
    </row>
    <row r="27" spans="3:14" ht="15" customHeight="1" x14ac:dyDescent="0.3">
      <c r="C27" s="11"/>
      <c r="D27" s="155" t="s">
        <v>29</v>
      </c>
      <c r="E27" s="156"/>
      <c r="F27" s="156"/>
      <c r="G27" s="156"/>
      <c r="H27" s="156"/>
      <c r="I27" s="67"/>
      <c r="J27" s="56"/>
      <c r="K27" s="68"/>
      <c r="L27" s="57"/>
      <c r="M27" s="71"/>
      <c r="N27" s="140"/>
    </row>
    <row r="28" spans="3:14" x14ac:dyDescent="0.3">
      <c r="C28" s="12" t="s">
        <v>26</v>
      </c>
      <c r="D28" s="40" t="s">
        <v>78</v>
      </c>
      <c r="E28" s="40" t="s">
        <v>75</v>
      </c>
      <c r="F28" s="40" t="s">
        <v>76</v>
      </c>
      <c r="G28" s="40" t="s">
        <v>77</v>
      </c>
      <c r="H28" s="89" t="s">
        <v>74</v>
      </c>
      <c r="I28" s="65" t="s">
        <v>18</v>
      </c>
      <c r="J28" s="56">
        <f>SUMIF(ARM!K:K,"ARM-MID",ARM!J:J)</f>
        <v>0</v>
      </c>
      <c r="K28" s="68">
        <f>J28*$N$5</f>
        <v>0</v>
      </c>
      <c r="L28" s="57">
        <v>0.08</v>
      </c>
      <c r="M28" s="71">
        <f>K28*L28</f>
        <v>0</v>
      </c>
      <c r="N28" s="140"/>
    </row>
    <row r="29" spans="3:14" x14ac:dyDescent="0.3">
      <c r="C29" s="10"/>
      <c r="D29" s="101">
        <f>SUMIF(ARM!K:K,"ARM-MID",ARM!D:D)</f>
        <v>0</v>
      </c>
      <c r="E29" s="101">
        <f>SUMIF(ARM!K:K,"ARM-MID",ARM!E:E)</f>
        <v>0</v>
      </c>
      <c r="F29" s="101">
        <f>SUMIF(ARM!K:K,"ARM-MID",ARM!F:F)</f>
        <v>0</v>
      </c>
      <c r="G29" s="101">
        <f>SUMIF(ARM!K:K,"ARM-MID",ARM!G:G)</f>
        <v>0</v>
      </c>
      <c r="H29" s="102">
        <f>D29-((E29+F29)-G29)</f>
        <v>0</v>
      </c>
      <c r="I29" s="52"/>
      <c r="J29" s="60"/>
      <c r="K29" s="53"/>
      <c r="L29" s="61" t="s">
        <v>149</v>
      </c>
      <c r="M29" s="55"/>
      <c r="N29" s="140"/>
    </row>
    <row r="30" spans="3:14" ht="15" customHeight="1" x14ac:dyDescent="0.3">
      <c r="C30" s="13" t="s">
        <v>31</v>
      </c>
      <c r="D30" s="155" t="s">
        <v>32</v>
      </c>
      <c r="E30" s="156"/>
      <c r="F30" s="156"/>
      <c r="G30" s="156"/>
      <c r="H30" s="160"/>
      <c r="I30" s="52" t="s">
        <v>30</v>
      </c>
      <c r="J30" s="53">
        <f>SUMIF(DADOS!AE:AE,LEFT(D30,SEARCH(":",D30)-1),DADOS!AH:AH)</f>
        <v>0</v>
      </c>
      <c r="K30" s="53">
        <f>J30*$N$5</f>
        <v>0</v>
      </c>
      <c r="L30" s="54">
        <v>125.89</v>
      </c>
      <c r="M30" s="55">
        <f>K30*L30</f>
        <v>0</v>
      </c>
      <c r="N30" s="14"/>
    </row>
    <row r="31" spans="3:14" ht="15" customHeight="1" x14ac:dyDescent="0.3">
      <c r="C31" s="13" t="s">
        <v>33</v>
      </c>
      <c r="D31" s="137" t="s">
        <v>49</v>
      </c>
      <c r="E31" s="138"/>
      <c r="F31" s="138"/>
      <c r="G31" s="138"/>
      <c r="H31" s="139"/>
      <c r="I31" s="43" t="s">
        <v>30</v>
      </c>
      <c r="J31" s="53">
        <f>SUMIF(DADOS!AE:AE,LEFT(D31,SEARCH(":",D31)-1),DADOS!AH:AH)</f>
        <v>0</v>
      </c>
      <c r="K31" s="53">
        <f t="shared" ref="K31:K35" si="0">J31*$N$5</f>
        <v>0</v>
      </c>
      <c r="L31" s="42">
        <v>200</v>
      </c>
      <c r="M31" s="44">
        <f t="shared" ref="M31:M47" si="1">K31*L31</f>
        <v>0</v>
      </c>
      <c r="N31" s="14"/>
    </row>
    <row r="32" spans="3:14" ht="15" customHeight="1" x14ac:dyDescent="0.3">
      <c r="C32" s="13" t="s">
        <v>34</v>
      </c>
      <c r="D32" s="137" t="s">
        <v>50</v>
      </c>
      <c r="E32" s="138"/>
      <c r="F32" s="138"/>
      <c r="G32" s="138"/>
      <c r="H32" s="139"/>
      <c r="I32" s="43" t="s">
        <v>61</v>
      </c>
      <c r="J32" s="53">
        <f>SUM(DADOS!Y:Y)</f>
        <v>0</v>
      </c>
      <c r="K32" s="53">
        <f t="shared" si="0"/>
        <v>0</v>
      </c>
      <c r="L32" s="42">
        <v>0.5</v>
      </c>
      <c r="M32" s="44">
        <f t="shared" si="1"/>
        <v>0</v>
      </c>
      <c r="N32" s="14"/>
    </row>
    <row r="33" spans="3:14" ht="15" customHeight="1" x14ac:dyDescent="0.3">
      <c r="C33" s="13" t="s">
        <v>35</v>
      </c>
      <c r="D33" s="137" t="s">
        <v>52</v>
      </c>
      <c r="E33" s="138"/>
      <c r="F33" s="138"/>
      <c r="G33" s="138"/>
      <c r="H33" s="139"/>
      <c r="I33" s="43" t="s">
        <v>62</v>
      </c>
      <c r="J33" s="53">
        <f>SUMIF(DADOS!AE:AE,LEFT(D33,SEARCH(":",D33)-1),DADOS!AH:AH)</f>
        <v>0</v>
      </c>
      <c r="K33" s="53">
        <f t="shared" si="0"/>
        <v>0</v>
      </c>
      <c r="L33" s="42">
        <v>1.96</v>
      </c>
      <c r="M33" s="44">
        <f t="shared" si="1"/>
        <v>0</v>
      </c>
      <c r="N33" s="14"/>
    </row>
    <row r="34" spans="3:14" ht="15" customHeight="1" x14ac:dyDescent="0.3">
      <c r="C34" s="13" t="s">
        <v>36</v>
      </c>
      <c r="D34" s="137" t="s">
        <v>51</v>
      </c>
      <c r="E34" s="138"/>
      <c r="F34" s="138"/>
      <c r="G34" s="138"/>
      <c r="H34" s="139"/>
      <c r="I34" s="43" t="s">
        <v>63</v>
      </c>
      <c r="J34" s="53">
        <f>SUMIF(DADOS!AE:AE,LEFT(D34,SEARCH(":",D34)-1),DADOS!AH:AH)</f>
        <v>0</v>
      </c>
      <c r="K34" s="53">
        <f t="shared" si="0"/>
        <v>0</v>
      </c>
      <c r="L34" s="42">
        <v>1.35</v>
      </c>
      <c r="M34" s="44">
        <f t="shared" si="1"/>
        <v>0</v>
      </c>
      <c r="N34" s="14"/>
    </row>
    <row r="35" spans="3:14" ht="15" customHeight="1" x14ac:dyDescent="0.3">
      <c r="C35" s="40" t="s">
        <v>37</v>
      </c>
      <c r="D35" s="155" t="s">
        <v>150</v>
      </c>
      <c r="E35" s="156"/>
      <c r="F35" s="156"/>
      <c r="G35" s="156"/>
      <c r="H35" s="160"/>
      <c r="I35" s="43" t="s">
        <v>64</v>
      </c>
      <c r="J35" s="53">
        <f>SUMIF(DADOS!AE:AE,LEFT(D35,SEARCH(":",D35)-1),DADOS!AH:AH)</f>
        <v>0</v>
      </c>
      <c r="K35" s="53">
        <f t="shared" si="0"/>
        <v>0</v>
      </c>
      <c r="L35" s="42">
        <v>594488.34</v>
      </c>
      <c r="M35" s="44">
        <f t="shared" si="1"/>
        <v>0</v>
      </c>
      <c r="N35" s="21"/>
    </row>
    <row r="36" spans="3:14" ht="15" customHeight="1" x14ac:dyDescent="0.3">
      <c r="C36" s="13" t="s">
        <v>38</v>
      </c>
      <c r="D36" s="137" t="s">
        <v>151</v>
      </c>
      <c r="E36" s="138"/>
      <c r="F36" s="138"/>
      <c r="G36" s="138"/>
      <c r="H36" s="139"/>
      <c r="I36" s="43" t="s">
        <v>18</v>
      </c>
      <c r="J36" s="53">
        <f>SUMIF(DADOS!AE:AE,LEFT(D36,SEARCH(":",D36)-1),DADOS!AH:AH)</f>
        <v>0</v>
      </c>
      <c r="K36" s="53">
        <f>J36*1</f>
        <v>0</v>
      </c>
      <c r="L36" s="42">
        <v>1.01</v>
      </c>
      <c r="M36" s="44">
        <f t="shared" si="1"/>
        <v>0</v>
      </c>
      <c r="N36" s="14"/>
    </row>
    <row r="37" spans="3:14" ht="15" customHeight="1" x14ac:dyDescent="0.3">
      <c r="C37" s="80">
        <v>2</v>
      </c>
      <c r="D37" s="136" t="s">
        <v>119</v>
      </c>
      <c r="E37" s="136"/>
      <c r="F37" s="136"/>
      <c r="G37" s="136"/>
      <c r="H37" s="136"/>
      <c r="I37" s="84"/>
      <c r="J37" s="85"/>
      <c r="K37" s="85"/>
      <c r="L37" s="86" t="s">
        <v>149</v>
      </c>
      <c r="M37" s="87"/>
      <c r="N37" s="82"/>
    </row>
    <row r="38" spans="3:14" ht="15" customHeight="1" x14ac:dyDescent="0.3">
      <c r="C38" s="13" t="s">
        <v>39</v>
      </c>
      <c r="D38" s="137" t="s">
        <v>152</v>
      </c>
      <c r="E38" s="138"/>
      <c r="F38" s="138"/>
      <c r="G38" s="138"/>
      <c r="H38" s="139"/>
      <c r="I38" s="43" t="s">
        <v>153</v>
      </c>
      <c r="J38" s="53">
        <f>SUMIF(DADOS!AE:AE,LEFT(D38,SEARCH(":",D38)-1),DADOS!AH:AH)</f>
        <v>0</v>
      </c>
      <c r="K38" s="41">
        <f t="shared" ref="K38:K47" si="2">J38*$N$7</f>
        <v>0</v>
      </c>
      <c r="L38" s="42">
        <v>0.44</v>
      </c>
      <c r="M38" s="44">
        <f t="shared" si="1"/>
        <v>0</v>
      </c>
      <c r="N38" s="14"/>
    </row>
    <row r="39" spans="3:14" ht="15" customHeight="1" x14ac:dyDescent="0.3">
      <c r="C39" s="13" t="s">
        <v>40</v>
      </c>
      <c r="D39" s="137" t="s">
        <v>154</v>
      </c>
      <c r="E39" s="138"/>
      <c r="F39" s="138"/>
      <c r="G39" s="138"/>
      <c r="H39" s="139"/>
      <c r="I39" s="43" t="s">
        <v>18</v>
      </c>
      <c r="J39" s="53">
        <f>SUMIF(DADOS!AE:AE,LEFT(D39,SEARCH(":",D39)-1),DADOS!AH:AH)</f>
        <v>0</v>
      </c>
      <c r="K39" s="41">
        <f t="shared" si="2"/>
        <v>0</v>
      </c>
      <c r="L39" s="42">
        <v>1.44</v>
      </c>
      <c r="M39" s="44">
        <f t="shared" si="1"/>
        <v>0</v>
      </c>
      <c r="N39" s="14"/>
    </row>
    <row r="40" spans="3:14" ht="15" customHeight="1" x14ac:dyDescent="0.3">
      <c r="C40" s="13" t="s">
        <v>41</v>
      </c>
      <c r="D40" s="137" t="s">
        <v>53</v>
      </c>
      <c r="E40" s="138"/>
      <c r="F40" s="138"/>
      <c r="G40" s="138"/>
      <c r="H40" s="139"/>
      <c r="I40" s="43" t="s">
        <v>65</v>
      </c>
      <c r="J40" s="53">
        <f>SUMIF(DADOS!AE:AE,LEFT(D40,SEARCH(":",D40)-1),DADOS!AH:AH)</f>
        <v>0</v>
      </c>
      <c r="K40" s="41">
        <f t="shared" si="2"/>
        <v>0</v>
      </c>
      <c r="L40" s="42">
        <v>0.05</v>
      </c>
      <c r="M40" s="44">
        <f t="shared" si="1"/>
        <v>0</v>
      </c>
      <c r="N40" s="14"/>
    </row>
    <row r="41" spans="3:14" ht="15" customHeight="1" x14ac:dyDescent="0.3">
      <c r="C41" s="13" t="s">
        <v>42</v>
      </c>
      <c r="D41" s="137" t="s">
        <v>54</v>
      </c>
      <c r="E41" s="138"/>
      <c r="F41" s="138"/>
      <c r="G41" s="138"/>
      <c r="H41" s="139"/>
      <c r="I41" s="43" t="s">
        <v>65</v>
      </c>
      <c r="J41" s="53">
        <f>SUMIF(DADOS!AE:AE,LEFT(D41,SEARCH(":",D41)-1),DADOS!AH:AH)</f>
        <v>0</v>
      </c>
      <c r="K41" s="41">
        <f t="shared" si="2"/>
        <v>0</v>
      </c>
      <c r="L41" s="42">
        <v>0.06</v>
      </c>
      <c r="M41" s="44">
        <f t="shared" si="1"/>
        <v>0</v>
      </c>
      <c r="N41" s="14"/>
    </row>
    <row r="42" spans="3:14" ht="15" customHeight="1" x14ac:dyDescent="0.3">
      <c r="C42" s="13" t="s">
        <v>43</v>
      </c>
      <c r="D42" s="137" t="s">
        <v>55</v>
      </c>
      <c r="E42" s="138"/>
      <c r="F42" s="138"/>
      <c r="G42" s="138"/>
      <c r="H42" s="139"/>
      <c r="I42" s="43" t="s">
        <v>65</v>
      </c>
      <c r="J42" s="53">
        <f>SUMIF(DADOS!AE:AE,LEFT(D42,SEARCH(":",D42)-1),DADOS!AH:AH)</f>
        <v>0</v>
      </c>
      <c r="K42" s="41">
        <f t="shared" si="2"/>
        <v>0</v>
      </c>
      <c r="L42" s="42">
        <v>0.1</v>
      </c>
      <c r="M42" s="44">
        <f t="shared" si="1"/>
        <v>0</v>
      </c>
      <c r="N42" s="14"/>
    </row>
    <row r="43" spans="3:14" ht="15" customHeight="1" x14ac:dyDescent="0.3">
      <c r="C43" s="13" t="s">
        <v>44</v>
      </c>
      <c r="D43" s="137" t="s">
        <v>56</v>
      </c>
      <c r="E43" s="138"/>
      <c r="F43" s="138"/>
      <c r="G43" s="138"/>
      <c r="H43" s="139"/>
      <c r="I43" s="43" t="s">
        <v>65</v>
      </c>
      <c r="J43" s="53">
        <f>SUMIF(DADOS!AE:AE,LEFT(D43,SEARCH(":",D43)-1),DADOS!AH:AH)</f>
        <v>0</v>
      </c>
      <c r="K43" s="41">
        <f t="shared" si="2"/>
        <v>0</v>
      </c>
      <c r="L43" s="42">
        <v>0.23</v>
      </c>
      <c r="M43" s="44">
        <f t="shared" si="1"/>
        <v>0</v>
      </c>
      <c r="N43" s="14"/>
    </row>
    <row r="44" spans="3:14" ht="15" customHeight="1" x14ac:dyDescent="0.3">
      <c r="C44" s="13" t="s">
        <v>45</v>
      </c>
      <c r="D44" s="137" t="s">
        <v>57</v>
      </c>
      <c r="E44" s="138"/>
      <c r="F44" s="138"/>
      <c r="G44" s="138"/>
      <c r="H44" s="139"/>
      <c r="I44" s="43" t="s">
        <v>66</v>
      </c>
      <c r="J44" s="53">
        <f>SUMIF(DADOS!AE:AE,LEFT(D44,SEARCH(":",D44)-1),DADOS!AH:AH)</f>
        <v>0</v>
      </c>
      <c r="K44" s="41">
        <f t="shared" si="2"/>
        <v>0</v>
      </c>
      <c r="L44" s="42">
        <v>68.27</v>
      </c>
      <c r="M44" s="44">
        <f t="shared" si="1"/>
        <v>0</v>
      </c>
      <c r="N44" s="14"/>
    </row>
    <row r="45" spans="3:14" ht="15" customHeight="1" x14ac:dyDescent="0.3">
      <c r="C45" s="13" t="s">
        <v>46</v>
      </c>
      <c r="D45" s="137" t="s">
        <v>58</v>
      </c>
      <c r="E45" s="138"/>
      <c r="F45" s="138"/>
      <c r="G45" s="138"/>
      <c r="H45" s="139"/>
      <c r="I45" s="43" t="s">
        <v>66</v>
      </c>
      <c r="J45" s="53">
        <f>SUMIF(DADOS!AE:AE,LEFT(D45,SEARCH(":",D45)-1),DADOS!AH:AH)</f>
        <v>0</v>
      </c>
      <c r="K45" s="41">
        <f t="shared" si="2"/>
        <v>0</v>
      </c>
      <c r="L45" s="42">
        <v>39</v>
      </c>
      <c r="M45" s="44">
        <f t="shared" si="1"/>
        <v>0</v>
      </c>
      <c r="N45" s="14"/>
    </row>
    <row r="46" spans="3:14" ht="15" customHeight="1" x14ac:dyDescent="0.3">
      <c r="C46" s="13" t="s">
        <v>47</v>
      </c>
      <c r="D46" s="137" t="s">
        <v>59</v>
      </c>
      <c r="E46" s="138"/>
      <c r="F46" s="138"/>
      <c r="G46" s="138"/>
      <c r="H46" s="139"/>
      <c r="I46" s="43" t="s">
        <v>66</v>
      </c>
      <c r="J46" s="53">
        <f>SUMIF(DADOS!AE:AE,LEFT(D46,SEARCH(":",D46)-1),DADOS!AH:AH)</f>
        <v>0</v>
      </c>
      <c r="K46" s="41">
        <f t="shared" si="2"/>
        <v>0</v>
      </c>
      <c r="L46" s="42">
        <v>11.72</v>
      </c>
      <c r="M46" s="44">
        <f t="shared" si="1"/>
        <v>0</v>
      </c>
      <c r="N46" s="14"/>
    </row>
    <row r="47" spans="3:14" ht="15" customHeight="1" x14ac:dyDescent="0.3">
      <c r="C47" s="13" t="s">
        <v>48</v>
      </c>
      <c r="D47" s="137" t="s">
        <v>60</v>
      </c>
      <c r="E47" s="138"/>
      <c r="F47" s="138"/>
      <c r="G47" s="138"/>
      <c r="H47" s="139"/>
      <c r="I47" s="43" t="s">
        <v>66</v>
      </c>
      <c r="J47" s="53">
        <f>SUMIF(DADOS!AE:AE,LEFT(D47,SEARCH(":",D47)-1),DADOS!AH:AH)</f>
        <v>0</v>
      </c>
      <c r="K47" s="41">
        <f t="shared" si="2"/>
        <v>0</v>
      </c>
      <c r="L47" s="42">
        <v>2.44</v>
      </c>
      <c r="M47" s="44">
        <f t="shared" si="1"/>
        <v>0</v>
      </c>
      <c r="N47" s="14"/>
    </row>
    <row r="48" spans="3:14" ht="30" customHeight="1" x14ac:dyDescent="0.3">
      <c r="C48" s="157" t="s">
        <v>6</v>
      </c>
      <c r="D48" s="158"/>
      <c r="E48" s="158"/>
      <c r="F48" s="158"/>
      <c r="G48" s="158"/>
      <c r="H48" s="158"/>
      <c r="I48" s="159"/>
      <c r="J48" s="22"/>
      <c r="K48" s="22"/>
      <c r="L48" s="22"/>
      <c r="M48" s="23">
        <f>SUM(M12:M47)</f>
        <v>0</v>
      </c>
      <c r="N48" s="14"/>
    </row>
    <row r="49" spans="3:14" ht="14.4" customHeight="1" x14ac:dyDescent="0.3">
      <c r="C49" s="121" t="s">
        <v>7</v>
      </c>
      <c r="D49" s="122"/>
      <c r="E49" s="122"/>
      <c r="F49" s="122"/>
      <c r="G49" s="122"/>
      <c r="H49" s="122"/>
      <c r="I49" s="123"/>
      <c r="J49" s="124" t="s">
        <v>8</v>
      </c>
      <c r="K49" s="125"/>
      <c r="L49" s="125"/>
      <c r="M49" s="125"/>
      <c r="N49" s="126"/>
    </row>
    <row r="50" spans="3:14" ht="45" customHeight="1" x14ac:dyDescent="0.3">
      <c r="C50" s="16"/>
      <c r="D50" s="17"/>
      <c r="E50" s="17"/>
      <c r="F50" s="17"/>
      <c r="G50" s="17"/>
      <c r="H50" s="90"/>
      <c r="I50" s="18"/>
      <c r="J50" s="17"/>
      <c r="K50" s="17"/>
      <c r="L50" s="17"/>
      <c r="M50" s="17"/>
      <c r="N50" s="18"/>
    </row>
    <row r="51" spans="3:14" ht="17.100000000000001" customHeight="1" x14ac:dyDescent="0.3">
      <c r="C51" s="127" t="s">
        <v>9</v>
      </c>
      <c r="D51" s="128"/>
      <c r="E51" s="128"/>
      <c r="F51" s="128"/>
      <c r="G51" s="128"/>
      <c r="H51" s="128"/>
      <c r="I51" s="128"/>
      <c r="J51" s="128"/>
      <c r="K51" s="128"/>
      <c r="L51" s="128"/>
      <c r="M51" s="128"/>
      <c r="N51" s="129"/>
    </row>
    <row r="52" spans="3:14" ht="60" customHeight="1" x14ac:dyDescent="0.3">
      <c r="C52" s="137"/>
      <c r="D52" s="138"/>
      <c r="E52" s="138"/>
      <c r="F52" s="138"/>
      <c r="G52" s="138"/>
      <c r="H52" s="138"/>
      <c r="I52" s="138"/>
      <c r="J52" s="138"/>
      <c r="K52" s="138"/>
      <c r="L52" s="138"/>
      <c r="M52" s="138"/>
      <c r="N52" s="139"/>
    </row>
    <row r="53" spans="3:14" x14ac:dyDescent="0.3">
      <c r="M53" s="9"/>
    </row>
    <row r="54" spans="3:14" x14ac:dyDescent="0.3">
      <c r="D54" s="15" t="s">
        <v>10</v>
      </c>
      <c r="E54" s="15" t="s">
        <v>11</v>
      </c>
      <c r="F54" s="15" t="s">
        <v>12</v>
      </c>
      <c r="G54" s="15" t="s">
        <v>13</v>
      </c>
      <c r="H54" s="15"/>
      <c r="I54" s="15" t="s">
        <v>14</v>
      </c>
      <c r="J54" s="130" t="s">
        <v>15</v>
      </c>
      <c r="K54" s="131"/>
      <c r="L54" s="19"/>
      <c r="M54" s="19"/>
      <c r="N54" s="19"/>
    </row>
    <row r="55" spans="3:14" x14ac:dyDescent="0.3">
      <c r="M55" s="9"/>
    </row>
    <row r="56" spans="3:14" x14ac:dyDescent="0.3">
      <c r="M56" s="9"/>
    </row>
    <row r="57" spans="3:14" x14ac:dyDescent="0.3">
      <c r="M57" s="9"/>
    </row>
    <row r="58" spans="3:14" x14ac:dyDescent="0.3">
      <c r="M58" s="9"/>
    </row>
    <row r="59" spans="3:14" x14ac:dyDescent="0.3">
      <c r="M59" s="9"/>
    </row>
    <row r="60" spans="3:14" x14ac:dyDescent="0.3">
      <c r="M60" s="9"/>
    </row>
    <row r="61" spans="3:14" x14ac:dyDescent="0.3">
      <c r="M61" s="9"/>
    </row>
    <row r="62" spans="3:14" x14ac:dyDescent="0.3">
      <c r="M62" s="9"/>
    </row>
    <row r="63" spans="3:14" x14ac:dyDescent="0.3">
      <c r="M63" s="9"/>
    </row>
    <row r="64" spans="3:14" x14ac:dyDescent="0.3">
      <c r="M64" s="9"/>
    </row>
    <row r="65" spans="13:13" x14ac:dyDescent="0.3">
      <c r="M65" s="9"/>
    </row>
    <row r="66" spans="13:13" x14ac:dyDescent="0.3">
      <c r="M66" s="9"/>
    </row>
    <row r="67" spans="13:13" x14ac:dyDescent="0.3">
      <c r="M67" s="9"/>
    </row>
    <row r="68" spans="13:13" x14ac:dyDescent="0.3">
      <c r="M68" s="9"/>
    </row>
    <row r="69" spans="13:13" x14ac:dyDescent="0.3">
      <c r="M69" s="9"/>
    </row>
    <row r="70" spans="13:13" x14ac:dyDescent="0.3">
      <c r="M70" s="9"/>
    </row>
    <row r="71" spans="13:13" x14ac:dyDescent="0.3">
      <c r="M71" s="9"/>
    </row>
    <row r="72" spans="13:13" x14ac:dyDescent="0.3">
      <c r="M72" s="9"/>
    </row>
    <row r="73" spans="13:13" x14ac:dyDescent="0.3">
      <c r="M73" s="9"/>
    </row>
    <row r="74" spans="13:13" x14ac:dyDescent="0.3">
      <c r="M74" s="9"/>
    </row>
    <row r="75" spans="13:13" x14ac:dyDescent="0.3">
      <c r="M75" s="9"/>
    </row>
    <row r="76" spans="13:13" x14ac:dyDescent="0.3">
      <c r="M76" s="9"/>
    </row>
    <row r="77" spans="13:13" x14ac:dyDescent="0.3">
      <c r="M77" s="9"/>
    </row>
    <row r="78" spans="13:13" x14ac:dyDescent="0.3">
      <c r="M78" s="9"/>
    </row>
    <row r="79" spans="13:13" x14ac:dyDescent="0.3">
      <c r="M79" s="9"/>
    </row>
    <row r="80" spans="13:13" x14ac:dyDescent="0.3">
      <c r="M80" s="9"/>
    </row>
    <row r="81" spans="13:13" x14ac:dyDescent="0.3">
      <c r="M81" s="9"/>
    </row>
    <row r="82" spans="13:13" x14ac:dyDescent="0.3">
      <c r="M82" s="9"/>
    </row>
    <row r="83" spans="13:13" x14ac:dyDescent="0.3">
      <c r="M83" s="9"/>
    </row>
    <row r="84" spans="13:13" x14ac:dyDescent="0.3">
      <c r="M84" s="9"/>
    </row>
    <row r="85" spans="13:13" x14ac:dyDescent="0.3">
      <c r="M85" s="9"/>
    </row>
    <row r="86" spans="13:13" x14ac:dyDescent="0.3">
      <c r="M86" s="9"/>
    </row>
    <row r="87" spans="13:13" x14ac:dyDescent="0.3">
      <c r="M87" s="9"/>
    </row>
    <row r="88" spans="13:13" x14ac:dyDescent="0.3">
      <c r="M88" s="9"/>
    </row>
    <row r="89" spans="13:13" x14ac:dyDescent="0.3">
      <c r="M89" s="9"/>
    </row>
    <row r="90" spans="13:13" x14ac:dyDescent="0.3">
      <c r="M90" s="9"/>
    </row>
    <row r="91" spans="13:13" x14ac:dyDescent="0.3">
      <c r="M91" s="9"/>
    </row>
    <row r="92" spans="13:13" x14ac:dyDescent="0.3">
      <c r="M92" s="9"/>
    </row>
    <row r="93" spans="13:13" x14ac:dyDescent="0.3">
      <c r="M93" s="9"/>
    </row>
    <row r="94" spans="13:13" x14ac:dyDescent="0.3">
      <c r="M94" s="9"/>
    </row>
    <row r="95" spans="13:13" x14ac:dyDescent="0.3">
      <c r="M95" s="9"/>
    </row>
    <row r="96" spans="13:13" x14ac:dyDescent="0.3">
      <c r="M96" s="9"/>
    </row>
    <row r="97" spans="13:13" x14ac:dyDescent="0.3">
      <c r="M97" s="9"/>
    </row>
    <row r="98" spans="13:13" x14ac:dyDescent="0.3">
      <c r="M98" s="9"/>
    </row>
    <row r="99" spans="13:13" x14ac:dyDescent="0.3">
      <c r="M99" s="9"/>
    </row>
    <row r="100" spans="13:13" x14ac:dyDescent="0.3">
      <c r="M100" s="9"/>
    </row>
  </sheetData>
  <mergeCells count="46">
    <mergeCell ref="N27:N29"/>
    <mergeCell ref="C48:I48"/>
    <mergeCell ref="D34:H34"/>
    <mergeCell ref="D35:H35"/>
    <mergeCell ref="D36:H36"/>
    <mergeCell ref="D38:H38"/>
    <mergeCell ref="D39:H39"/>
    <mergeCell ref="D40:H40"/>
    <mergeCell ref="D41:H41"/>
    <mergeCell ref="D42:H42"/>
    <mergeCell ref="D43:H43"/>
    <mergeCell ref="D27:H27"/>
    <mergeCell ref="D30:H30"/>
    <mergeCell ref="D31:H31"/>
    <mergeCell ref="D32:H32"/>
    <mergeCell ref="D33:H33"/>
    <mergeCell ref="D15:H15"/>
    <mergeCell ref="N18:N20"/>
    <mergeCell ref="N21:N23"/>
    <mergeCell ref="N24:N26"/>
    <mergeCell ref="D18:H18"/>
    <mergeCell ref="D21:H21"/>
    <mergeCell ref="D24:H24"/>
    <mergeCell ref="B2:O2"/>
    <mergeCell ref="B3:O3"/>
    <mergeCell ref="B4:C4"/>
    <mergeCell ref="B5:C5"/>
    <mergeCell ref="B6:C6"/>
    <mergeCell ref="D6:H7"/>
    <mergeCell ref="B7:C7"/>
    <mergeCell ref="C49:I49"/>
    <mergeCell ref="J49:N49"/>
    <mergeCell ref="C51:N51"/>
    <mergeCell ref="J54:K54"/>
    <mergeCell ref="L4:L5"/>
    <mergeCell ref="L6:L7"/>
    <mergeCell ref="D10:H10"/>
    <mergeCell ref="D37:H37"/>
    <mergeCell ref="D44:H44"/>
    <mergeCell ref="D45:H45"/>
    <mergeCell ref="D46:H46"/>
    <mergeCell ref="D47:H47"/>
    <mergeCell ref="C52:N52"/>
    <mergeCell ref="N12:N14"/>
    <mergeCell ref="N15:N17"/>
    <mergeCell ref="D12:H12"/>
  </mergeCells>
  <pageMargins left="0.23622047244094491" right="0.23622047244094491" top="0.74803149606299213" bottom="0.74803149606299213" header="0.31496062992125984" footer="0.31496062992125984"/>
  <pageSetup paperSize="9" scale="57" orientation="portrait" horizontalDpi="1200" verticalDpi="1200" r:id="rId1"/>
  <headerFooter>
    <oddFooter>&amp;L_x000D_&amp;1#&amp;"Trebuchet MS"&amp;9&amp;K737373 PÚBLICA</oddFooter>
  </headerFooter>
  <ignoredErrors>
    <ignoredError sqref="J32 K36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/>
  <dimension ref="A1:Y69"/>
  <sheetViews>
    <sheetView zoomScale="90" zoomScaleNormal="90" workbookViewId="0">
      <pane ySplit="1" topLeftCell="A2" activePane="bottomLeft" state="frozen"/>
      <selection pane="bottomLeft" activeCell="A2" sqref="A2:XFD27"/>
    </sheetView>
  </sheetViews>
  <sheetFormatPr defaultRowHeight="14.4" x14ac:dyDescent="0.3"/>
  <cols>
    <col min="1" max="1" width="15.88671875" style="1" bestFit="1" customWidth="1"/>
    <col min="2" max="2" width="46.6640625" style="1" customWidth="1"/>
    <col min="3" max="3" width="30.6640625" style="1" customWidth="1"/>
    <col min="4" max="4" width="15.88671875" style="1" customWidth="1"/>
    <col min="5" max="5" width="21" style="1" customWidth="1"/>
    <col min="6" max="7" width="15.6640625" style="1" customWidth="1"/>
    <col min="8" max="8" width="15.88671875" style="1" customWidth="1"/>
    <col min="9" max="10" width="12.6640625" style="1" customWidth="1"/>
    <col min="11" max="11" width="25" style="1" bestFit="1" customWidth="1"/>
    <col min="12" max="25" width="8.88671875" style="1"/>
  </cols>
  <sheetData>
    <row r="1" spans="1:11" x14ac:dyDescent="0.3">
      <c r="A1" s="37" t="s">
        <v>99</v>
      </c>
      <c r="B1" s="38" t="s">
        <v>100</v>
      </c>
      <c r="C1" s="38" t="s">
        <v>79</v>
      </c>
      <c r="D1" s="38" t="s">
        <v>101</v>
      </c>
      <c r="E1" s="38" t="s">
        <v>75</v>
      </c>
      <c r="F1" s="38" t="s">
        <v>76</v>
      </c>
      <c r="G1" s="38" t="s">
        <v>77</v>
      </c>
      <c r="H1" s="38" t="s">
        <v>74</v>
      </c>
      <c r="I1" s="78" t="s">
        <v>22</v>
      </c>
      <c r="J1" s="78" t="s">
        <v>105</v>
      </c>
      <c r="K1" s="78" t="s">
        <v>97</v>
      </c>
    </row>
    <row r="2" spans="1:11" x14ac:dyDescent="0.3">
      <c r="H2" s="39"/>
      <c r="J2" s="45"/>
    </row>
    <row r="3" spans="1:11" x14ac:dyDescent="0.3">
      <c r="D3" s="39"/>
      <c r="E3" s="39"/>
      <c r="F3" s="39"/>
      <c r="G3" s="39"/>
      <c r="H3" s="39"/>
      <c r="I3" s="45"/>
      <c r="J3" s="45"/>
    </row>
    <row r="4" spans="1:11" x14ac:dyDescent="0.3">
      <c r="D4" s="39"/>
      <c r="E4" s="39"/>
      <c r="F4" s="39"/>
      <c r="G4" s="39"/>
      <c r="H4" s="39"/>
      <c r="I4" s="45"/>
      <c r="J4" s="45"/>
    </row>
    <row r="5" spans="1:11" x14ac:dyDescent="0.3">
      <c r="D5" s="39"/>
      <c r="E5" s="39"/>
      <c r="F5" s="39"/>
      <c r="G5" s="39"/>
      <c r="H5" s="39"/>
      <c r="I5" s="45"/>
      <c r="J5" s="45"/>
    </row>
    <row r="6" spans="1:11" x14ac:dyDescent="0.3">
      <c r="D6" s="39"/>
      <c r="E6" s="39"/>
      <c r="F6" s="39"/>
      <c r="G6" s="39"/>
      <c r="H6" s="39"/>
      <c r="I6" s="45"/>
      <c r="J6" s="45"/>
    </row>
    <row r="7" spans="1:11" x14ac:dyDescent="0.3">
      <c r="D7" s="39"/>
      <c r="E7" s="39"/>
      <c r="F7" s="39"/>
      <c r="G7" s="39"/>
      <c r="H7" s="39"/>
      <c r="I7" s="45"/>
      <c r="J7" s="45"/>
    </row>
    <row r="8" spans="1:11" x14ac:dyDescent="0.3">
      <c r="D8" s="39"/>
      <c r="E8" s="39"/>
      <c r="F8" s="39"/>
      <c r="G8" s="39"/>
      <c r="H8" s="39"/>
      <c r="I8" s="45"/>
      <c r="J8" s="45"/>
    </row>
    <row r="9" spans="1:11" x14ac:dyDescent="0.3">
      <c r="D9" s="39"/>
      <c r="E9" s="39"/>
      <c r="F9" s="39"/>
      <c r="G9" s="39"/>
      <c r="H9" s="39"/>
      <c r="I9" s="45"/>
      <c r="J9" s="45"/>
    </row>
    <row r="10" spans="1:11" x14ac:dyDescent="0.3">
      <c r="D10" s="39"/>
      <c r="E10" s="39"/>
      <c r="F10" s="39"/>
      <c r="G10" s="39"/>
      <c r="H10" s="39"/>
      <c r="I10" s="45"/>
      <c r="J10" s="45"/>
    </row>
    <row r="11" spans="1:11" x14ac:dyDescent="0.3">
      <c r="D11" s="39"/>
      <c r="E11" s="39"/>
      <c r="F11" s="39"/>
      <c r="G11" s="39"/>
      <c r="H11" s="39"/>
      <c r="I11" s="45"/>
      <c r="J11" s="45"/>
    </row>
    <row r="12" spans="1:11" x14ac:dyDescent="0.3">
      <c r="D12" s="39"/>
      <c r="E12" s="39"/>
      <c r="F12" s="39"/>
      <c r="G12" s="39"/>
      <c r="H12" s="39"/>
      <c r="I12" s="45"/>
      <c r="J12" s="45"/>
    </row>
    <row r="13" spans="1:11" x14ac:dyDescent="0.3">
      <c r="D13" s="39"/>
      <c r="E13" s="39"/>
      <c r="F13" s="39"/>
      <c r="G13" s="39"/>
      <c r="H13" s="39"/>
      <c r="I13" s="45"/>
      <c r="J13" s="45"/>
    </row>
    <row r="14" spans="1:11" x14ac:dyDescent="0.3">
      <c r="D14" s="39"/>
      <c r="E14" s="39"/>
      <c r="F14" s="39"/>
      <c r="G14" s="39"/>
      <c r="H14" s="39"/>
      <c r="I14" s="45"/>
      <c r="J14" s="45"/>
    </row>
    <row r="15" spans="1:11" x14ac:dyDescent="0.3">
      <c r="D15" s="39"/>
      <c r="E15" s="39"/>
      <c r="F15" s="39"/>
      <c r="G15" s="39"/>
      <c r="H15" s="39"/>
      <c r="I15" s="45"/>
      <c r="J15" s="45"/>
    </row>
    <row r="16" spans="1:11" x14ac:dyDescent="0.3">
      <c r="D16" s="39"/>
      <c r="E16" s="39"/>
      <c r="F16" s="39"/>
      <c r="G16" s="39"/>
      <c r="H16" s="39"/>
      <c r="I16" s="45"/>
      <c r="J16" s="45"/>
    </row>
    <row r="17" spans="2:17" x14ac:dyDescent="0.3">
      <c r="D17" s="39"/>
      <c r="E17" s="39"/>
      <c r="F17" s="39"/>
      <c r="G17" s="39"/>
      <c r="H17" s="39"/>
      <c r="I17" s="45"/>
      <c r="J17" s="45"/>
    </row>
    <row r="18" spans="2:17" x14ac:dyDescent="0.3">
      <c r="D18" s="39"/>
      <c r="E18" s="39"/>
      <c r="F18" s="39"/>
      <c r="G18" s="39"/>
      <c r="H18" s="39"/>
      <c r="I18" s="45"/>
      <c r="J18" s="45"/>
    </row>
    <row r="19" spans="2:17" x14ac:dyDescent="0.3">
      <c r="D19" s="39"/>
      <c r="E19" s="39"/>
      <c r="F19" s="39"/>
      <c r="G19" s="39"/>
      <c r="H19" s="39"/>
      <c r="I19" s="45"/>
      <c r="J19" s="45"/>
    </row>
    <row r="20" spans="2:17" x14ac:dyDescent="0.3">
      <c r="D20" s="39"/>
      <c r="E20" s="39"/>
      <c r="F20" s="39"/>
      <c r="G20" s="39"/>
      <c r="H20" s="39"/>
      <c r="I20" s="45"/>
      <c r="J20" s="45"/>
    </row>
    <row r="21" spans="2:17" x14ac:dyDescent="0.3">
      <c r="D21" s="39"/>
      <c r="E21" s="39"/>
      <c r="F21" s="39"/>
      <c r="G21" s="39"/>
      <c r="H21" s="39"/>
      <c r="I21" s="45"/>
      <c r="J21" s="45"/>
    </row>
    <row r="22" spans="2:17" x14ac:dyDescent="0.3">
      <c r="D22" s="39"/>
      <c r="E22" s="39"/>
      <c r="F22" s="39"/>
      <c r="G22" s="39"/>
      <c r="H22" s="39"/>
      <c r="I22" s="45"/>
      <c r="J22" s="45"/>
      <c r="M22" s="46"/>
      <c r="N22" s="46"/>
      <c r="O22" s="46"/>
      <c r="Q22" s="47"/>
    </row>
    <row r="23" spans="2:17" x14ac:dyDescent="0.3">
      <c r="D23" s="39"/>
      <c r="E23" s="39"/>
      <c r="F23" s="39"/>
      <c r="G23" s="39"/>
      <c r="H23" s="39"/>
      <c r="I23" s="45"/>
      <c r="J23" s="45"/>
      <c r="Q23" s="47"/>
    </row>
    <row r="24" spans="2:17" x14ac:dyDescent="0.3">
      <c r="D24" s="39"/>
      <c r="E24" s="39"/>
      <c r="F24" s="39"/>
      <c r="G24" s="39"/>
      <c r="H24" s="39"/>
      <c r="I24" s="45"/>
      <c r="J24" s="45"/>
      <c r="Q24" s="47"/>
    </row>
    <row r="25" spans="2:17" x14ac:dyDescent="0.3">
      <c r="D25" s="39"/>
      <c r="E25" s="39"/>
      <c r="F25" s="39"/>
      <c r="G25" s="39"/>
      <c r="H25" s="39"/>
      <c r="I25" s="45"/>
      <c r="J25" s="45"/>
      <c r="Q25" s="47"/>
    </row>
    <row r="26" spans="2:17" x14ac:dyDescent="0.3">
      <c r="D26" s="39"/>
      <c r="E26" s="39"/>
      <c r="F26" s="39"/>
      <c r="G26" s="39"/>
      <c r="H26" s="39"/>
      <c r="I26" s="45"/>
      <c r="J26" s="45"/>
      <c r="Q26" s="47"/>
    </row>
    <row r="27" spans="2:17" x14ac:dyDescent="0.3">
      <c r="D27" s="39"/>
      <c r="E27" s="39"/>
      <c r="F27" s="39"/>
      <c r="G27" s="39"/>
      <c r="H27" s="39"/>
      <c r="I27" s="45"/>
      <c r="J27" s="45"/>
      <c r="Q27" s="47"/>
    </row>
    <row r="28" spans="2:17" x14ac:dyDescent="0.3">
      <c r="D28" s="39"/>
      <c r="E28" s="39"/>
      <c r="F28" s="39"/>
      <c r="G28" s="39"/>
      <c r="H28" s="39"/>
      <c r="I28" s="45"/>
      <c r="J28" s="45"/>
      <c r="Q28" s="47"/>
    </row>
    <row r="29" spans="2:17" x14ac:dyDescent="0.3">
      <c r="D29" s="39"/>
      <c r="E29" s="39"/>
      <c r="F29" s="39"/>
      <c r="G29" s="39"/>
      <c r="H29" s="39"/>
      <c r="I29" s="45"/>
      <c r="J29" s="45"/>
      <c r="Q29" s="47"/>
    </row>
    <row r="30" spans="2:17" x14ac:dyDescent="0.3">
      <c r="D30" s="39"/>
      <c r="E30" s="39"/>
      <c r="F30" s="39"/>
      <c r="G30" s="39"/>
      <c r="H30" s="39"/>
      <c r="I30" s="45"/>
      <c r="J30" s="45"/>
      <c r="Q30" s="47"/>
    </row>
    <row r="31" spans="2:17" x14ac:dyDescent="0.3">
      <c r="D31" s="39"/>
      <c r="E31" s="39"/>
      <c r="F31" s="39"/>
      <c r="G31" s="39"/>
      <c r="H31" s="39"/>
      <c r="I31" s="45"/>
      <c r="J31" s="45"/>
      <c r="O31" s="48"/>
      <c r="Q31" s="47"/>
    </row>
    <row r="32" spans="2:17" x14ac:dyDescent="0.3">
      <c r="B32" s="39"/>
      <c r="D32" s="39"/>
      <c r="E32" s="39"/>
      <c r="F32" s="39"/>
      <c r="G32" s="39"/>
      <c r="H32" s="39"/>
      <c r="I32" s="45"/>
      <c r="J32" s="45"/>
      <c r="L32" s="46"/>
      <c r="M32" s="46"/>
      <c r="N32" s="46"/>
      <c r="O32" s="48"/>
      <c r="Q32" s="47"/>
    </row>
    <row r="33" spans="2:17" x14ac:dyDescent="0.3">
      <c r="D33" s="39"/>
      <c r="E33" s="39"/>
      <c r="F33" s="39"/>
      <c r="G33" s="39"/>
      <c r="H33" s="39"/>
      <c r="I33" s="45"/>
      <c r="J33" s="45"/>
      <c r="O33" s="48"/>
      <c r="Q33" s="47"/>
    </row>
    <row r="34" spans="2:17" x14ac:dyDescent="0.3">
      <c r="B34" s="39"/>
      <c r="D34" s="39"/>
      <c r="E34" s="39"/>
      <c r="F34" s="39"/>
      <c r="G34" s="39"/>
      <c r="H34" s="39"/>
      <c r="I34" s="45"/>
      <c r="J34" s="45"/>
      <c r="L34" s="46"/>
      <c r="M34" s="46"/>
      <c r="N34" s="46"/>
      <c r="O34" s="48"/>
      <c r="Q34" s="47"/>
    </row>
    <row r="35" spans="2:17" x14ac:dyDescent="0.3">
      <c r="D35" s="39"/>
      <c r="E35" s="39"/>
      <c r="F35" s="39"/>
      <c r="G35" s="39"/>
      <c r="H35" s="39"/>
      <c r="I35" s="45"/>
      <c r="J35" s="45"/>
      <c r="O35" s="48"/>
      <c r="Q35" s="47"/>
    </row>
    <row r="36" spans="2:17" x14ac:dyDescent="0.3">
      <c r="D36" s="39"/>
      <c r="E36" s="39"/>
      <c r="F36" s="39"/>
      <c r="G36" s="39"/>
      <c r="H36" s="39"/>
      <c r="I36" s="45"/>
      <c r="J36" s="45"/>
      <c r="O36" s="48"/>
      <c r="Q36" s="47"/>
    </row>
    <row r="37" spans="2:17" x14ac:dyDescent="0.3">
      <c r="D37" s="39"/>
      <c r="E37" s="39"/>
      <c r="F37" s="39"/>
      <c r="G37" s="39"/>
      <c r="H37" s="39"/>
      <c r="I37" s="45"/>
      <c r="J37" s="45"/>
      <c r="O37" s="48"/>
      <c r="Q37" s="47"/>
    </row>
    <row r="38" spans="2:17" x14ac:dyDescent="0.3">
      <c r="D38" s="39"/>
      <c r="E38" s="39"/>
      <c r="F38" s="39"/>
      <c r="G38" s="39"/>
      <c r="H38" s="39"/>
      <c r="I38" s="45"/>
      <c r="J38" s="45"/>
      <c r="O38" s="48"/>
      <c r="Q38" s="47"/>
    </row>
    <row r="39" spans="2:17" x14ac:dyDescent="0.3">
      <c r="D39" s="39"/>
      <c r="E39" s="39"/>
      <c r="F39" s="39"/>
      <c r="G39" s="39"/>
      <c r="H39" s="39"/>
      <c r="I39" s="45"/>
      <c r="J39" s="45"/>
      <c r="O39" s="48"/>
      <c r="Q39" s="47"/>
    </row>
    <row r="40" spans="2:17" x14ac:dyDescent="0.3">
      <c r="D40" s="39"/>
      <c r="E40" s="39"/>
      <c r="F40" s="39"/>
      <c r="G40" s="39"/>
      <c r="H40" s="39"/>
      <c r="I40" s="45"/>
      <c r="J40" s="45"/>
      <c r="O40" s="48"/>
      <c r="Q40" s="47"/>
    </row>
    <row r="41" spans="2:17" x14ac:dyDescent="0.3">
      <c r="D41" s="39"/>
      <c r="E41" s="39"/>
      <c r="F41" s="39"/>
      <c r="G41" s="39"/>
      <c r="H41" s="39"/>
      <c r="I41" s="45"/>
      <c r="J41" s="45"/>
      <c r="O41" s="48"/>
      <c r="Q41" s="47"/>
    </row>
    <row r="42" spans="2:17" x14ac:dyDescent="0.3">
      <c r="D42" s="39"/>
      <c r="G42" s="39"/>
      <c r="H42" s="39"/>
      <c r="I42" s="45"/>
      <c r="J42" s="45"/>
      <c r="O42" s="48"/>
      <c r="Q42" s="47"/>
    </row>
    <row r="43" spans="2:17" x14ac:dyDescent="0.3">
      <c r="D43" s="39"/>
      <c r="G43" s="39"/>
      <c r="H43" s="39"/>
      <c r="I43" s="45"/>
      <c r="J43" s="45"/>
      <c r="O43" s="48"/>
      <c r="Q43" s="47"/>
    </row>
    <row r="44" spans="2:17" x14ac:dyDescent="0.3">
      <c r="D44" s="39"/>
      <c r="G44" s="39"/>
      <c r="H44" s="39"/>
      <c r="I44" s="45"/>
      <c r="J44" s="45"/>
      <c r="O44" s="48"/>
      <c r="Q44" s="47"/>
    </row>
    <row r="45" spans="2:17" x14ac:dyDescent="0.3">
      <c r="D45" s="39"/>
      <c r="G45" s="39"/>
      <c r="H45" s="39"/>
      <c r="I45" s="45"/>
      <c r="J45" s="45"/>
      <c r="L45" s="46"/>
      <c r="M45" s="46"/>
      <c r="N45" s="46"/>
      <c r="O45" s="48"/>
      <c r="Q45" s="47"/>
    </row>
    <row r="46" spans="2:17" x14ac:dyDescent="0.3">
      <c r="D46" s="39"/>
      <c r="G46" s="39"/>
      <c r="H46" s="39"/>
      <c r="I46" s="45"/>
      <c r="J46" s="45"/>
      <c r="L46" s="46"/>
      <c r="M46" s="46"/>
      <c r="N46" s="46"/>
      <c r="O46" s="48"/>
      <c r="Q46" s="47"/>
    </row>
    <row r="47" spans="2:17" x14ac:dyDescent="0.3">
      <c r="G47" s="39"/>
      <c r="H47" s="39"/>
      <c r="I47" s="45"/>
      <c r="J47" s="45"/>
      <c r="L47" s="46"/>
      <c r="M47" s="46"/>
      <c r="N47" s="46"/>
      <c r="O47" s="48"/>
      <c r="Q47" s="47"/>
    </row>
    <row r="48" spans="2:17" x14ac:dyDescent="0.3">
      <c r="G48" s="39"/>
      <c r="H48" s="39"/>
      <c r="I48" s="45"/>
      <c r="J48" s="45"/>
      <c r="L48" s="46"/>
      <c r="M48" s="46"/>
      <c r="N48" s="46"/>
      <c r="O48" s="48"/>
      <c r="Q48" s="47"/>
    </row>
    <row r="49" spans="7:17" x14ac:dyDescent="0.3">
      <c r="G49" s="39"/>
      <c r="H49" s="39"/>
      <c r="I49" s="45"/>
      <c r="J49" s="45"/>
      <c r="O49" s="48"/>
      <c r="Q49" s="47"/>
    </row>
    <row r="50" spans="7:17" x14ac:dyDescent="0.3">
      <c r="G50" s="39"/>
      <c r="H50" s="39"/>
      <c r="I50" s="45"/>
      <c r="J50" s="45"/>
      <c r="L50" s="46"/>
      <c r="M50" s="46"/>
      <c r="N50" s="46"/>
      <c r="O50" s="48"/>
      <c r="Q50" s="47"/>
    </row>
    <row r="51" spans="7:17" x14ac:dyDescent="0.3">
      <c r="G51" s="39"/>
      <c r="H51" s="39"/>
      <c r="I51" s="45"/>
      <c r="J51" s="45"/>
      <c r="L51" s="46"/>
      <c r="M51" s="46"/>
      <c r="N51" s="46"/>
      <c r="O51" s="48"/>
      <c r="Q51" s="47"/>
    </row>
    <row r="52" spans="7:17" x14ac:dyDescent="0.3">
      <c r="G52" s="39"/>
      <c r="H52" s="39"/>
      <c r="I52" s="45"/>
      <c r="J52" s="45"/>
      <c r="L52" s="46"/>
      <c r="M52" s="46"/>
      <c r="N52" s="46"/>
      <c r="O52" s="48"/>
      <c r="Q52" s="47"/>
    </row>
    <row r="53" spans="7:17" x14ac:dyDescent="0.3">
      <c r="G53" s="39"/>
      <c r="H53" s="39"/>
      <c r="I53" s="45"/>
      <c r="J53" s="45"/>
      <c r="L53" s="46"/>
      <c r="M53" s="46"/>
      <c r="N53" s="46"/>
      <c r="O53" s="48"/>
      <c r="Q53" s="47"/>
    </row>
    <row r="54" spans="7:17" x14ac:dyDescent="0.3">
      <c r="G54" s="39"/>
      <c r="H54" s="39"/>
      <c r="I54" s="45"/>
      <c r="J54" s="45"/>
      <c r="L54" s="46"/>
      <c r="M54" s="46"/>
      <c r="N54" s="46"/>
      <c r="O54" s="48"/>
      <c r="Q54" s="47"/>
    </row>
    <row r="55" spans="7:17" x14ac:dyDescent="0.3">
      <c r="G55" s="39"/>
      <c r="H55" s="39"/>
      <c r="I55" s="45"/>
      <c r="J55" s="45"/>
      <c r="L55" s="46"/>
      <c r="M55" s="46"/>
      <c r="N55" s="46"/>
      <c r="O55" s="48"/>
      <c r="Q55" s="47"/>
    </row>
    <row r="56" spans="7:17" x14ac:dyDescent="0.3">
      <c r="H56" s="39"/>
      <c r="I56" s="45"/>
      <c r="J56" s="45"/>
    </row>
    <row r="57" spans="7:17" x14ac:dyDescent="0.3">
      <c r="H57" s="39"/>
      <c r="I57" s="45"/>
      <c r="J57" s="45"/>
    </row>
    <row r="58" spans="7:17" x14ac:dyDescent="0.3">
      <c r="I58" s="45"/>
      <c r="J58" s="45"/>
    </row>
    <row r="59" spans="7:17" x14ac:dyDescent="0.3">
      <c r="I59" s="45"/>
    </row>
    <row r="60" spans="7:17" x14ac:dyDescent="0.3">
      <c r="I60" s="45"/>
    </row>
    <row r="61" spans="7:17" x14ac:dyDescent="0.3">
      <c r="I61" s="45"/>
    </row>
    <row r="62" spans="7:17" x14ac:dyDescent="0.3">
      <c r="I62" s="45"/>
    </row>
    <row r="63" spans="7:17" x14ac:dyDescent="0.3">
      <c r="I63" s="45"/>
    </row>
    <row r="64" spans="7:17" x14ac:dyDescent="0.3">
      <c r="I64" s="45"/>
    </row>
    <row r="65" spans="9:9" x14ac:dyDescent="0.3">
      <c r="I65" s="45"/>
    </row>
    <row r="66" spans="9:9" x14ac:dyDescent="0.3">
      <c r="I66" s="45"/>
    </row>
    <row r="67" spans="9:9" x14ac:dyDescent="0.3">
      <c r="I67" s="45"/>
    </row>
    <row r="68" spans="9:9" x14ac:dyDescent="0.3">
      <c r="I68" s="45"/>
    </row>
    <row r="69" spans="9:9" x14ac:dyDescent="0.3">
      <c r="I69" s="45"/>
    </row>
  </sheetData>
  <autoFilter ref="A1:K57" xr:uid="{00000000-0009-0000-0000-000001000000}"/>
  <dataValidations count="8">
    <dataValidation allowBlank="1" showInputMessage="1" showErrorMessage="1" promptTitle="Item" prompt="Item referente a unidade de armazenamento (UA)_x000a__x000a_Obs.: embalagem" sqref="C1" xr:uid="{00000000-0002-0000-0100-000000000000}"/>
    <dataValidation allowBlank="1" showInputMessage="1" showErrorMessage="1" promptTitle="Lotação" prompt="Referente a descrição da gerência gestora" sqref="B1" xr:uid="{00000000-0002-0000-0100-000001000000}"/>
    <dataValidation allowBlank="1" showInputMessage="1" showErrorMessage="1" promptTitle="Contrato-Região" prompt="Referente a empresa CONTRATADA + contrato de guarda externa + Estado_x000a__x000a_Obs.: separado por estado conforme orientação da fiscalização" sqref="A1" xr:uid="{00000000-0002-0000-0100-000002000000}"/>
    <dataValidation allowBlank="1" showInputMessage="1" showErrorMessage="1" promptTitle="Quantidade Nova" prompt="Contrato item nº 11.1.6_x000a_QNm = Quantidade novas UA incluídas na guarda no mês corrente_x000a__x000a_Obs.: NOVOS ITENS" sqref="G1" xr:uid="{00000000-0002-0000-0100-000003000000}"/>
    <dataValidation allowBlank="1" showInputMessage="1" showErrorMessage="1" promptTitle="Quantidade Destruída" prompt="Contrato item nº 11.1.6_x000a_QDm = Quantidade de UA destruídas na guarda no mês corrente_x000a__x000a_Obs.:  DESCARTE" sqref="F1" xr:uid="{00000000-0002-0000-0100-000004000000}"/>
    <dataValidation allowBlank="1" showInputMessage="1" showErrorMessage="1" promptTitle="Quantidade Baixada" prompt="Contrato item nº 11.1.6_x000a_QBm = Quantidade de UA baixadas permanentemente da guarda no mês corrente_x000a__x000a_Obs.: BAIXA PERMANENTE" sqref="E1" xr:uid="{00000000-0002-0000-0100-000005000000}"/>
    <dataValidation allowBlank="1" showInputMessage="1" showErrorMessage="1" promptTitle="Qtd. Unid. armaz. anterior" prompt="Contrato item nº 11.1.6_x000a_QUAm-1 = Quantidade de UA armazenadas em guarda no mês anterior_x000a__x000a_Obs.: Saldo anterior" sqref="D1" xr:uid="{00000000-0002-0000-0100-000006000000}"/>
    <dataValidation allowBlank="1" showInputMessage="1" showErrorMessage="1" promptTitle="Qtd. Unid. Armazenamento" prompt="Contrato item nº 11.1.6_x000a_QUAm = Quantidade de UA armazenadas em guarda no mês corrente_x000a__x000a_Obs.: TOTAL NO PERÍODO" sqref="H1" xr:uid="{00000000-0002-0000-0100-000007000000}"/>
  </dataValidations>
  <pageMargins left="0.511811024" right="0.511811024" top="0.78740157499999996" bottom="0.78740157499999996" header="0.31496062000000002" footer="0.31496062000000002"/>
  <pageSetup paperSize="9" orientation="portrait" horizontalDpi="300" verticalDpi="300" r:id="rId1"/>
  <headerFooter>
    <oddFooter>&amp;L_x000D_&amp;1#&amp;"Trebuchet MS"&amp;9&amp;K737373 PÚBLICA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A1:AH2158"/>
  <sheetViews>
    <sheetView topLeftCell="S1" zoomScale="95" zoomScaleNormal="95" workbookViewId="0">
      <pane ySplit="2" topLeftCell="A3" activePane="bottomLeft" state="frozen"/>
      <selection pane="bottomLeft" activeCell="AH3" sqref="AH3"/>
    </sheetView>
  </sheetViews>
  <sheetFormatPr defaultRowHeight="14.4" x14ac:dyDescent="0.3"/>
  <cols>
    <col min="1" max="1" width="3.6640625" customWidth="1"/>
    <col min="2" max="2" width="51.88671875" style="2" customWidth="1"/>
    <col min="3" max="3" width="31.6640625" style="2" customWidth="1"/>
    <col min="4" max="4" width="13.6640625" style="2" customWidth="1"/>
    <col min="5" max="5" width="20.6640625" style="2" bestFit="1" customWidth="1"/>
    <col min="6" max="6" width="18.6640625" style="2" customWidth="1"/>
    <col min="7" max="7" width="40.5546875" style="2" customWidth="1"/>
    <col min="8" max="8" width="9" style="2" customWidth="1"/>
    <col min="9" max="9" width="17.6640625" style="2" customWidth="1"/>
    <col min="10" max="11" width="18.88671875" style="2" customWidth="1"/>
    <col min="12" max="12" width="18.6640625" style="2" customWidth="1"/>
    <col min="13" max="13" width="9.33203125" style="2" bestFit="1" customWidth="1"/>
    <col min="14" max="14" width="16.44140625" style="2" bestFit="1" customWidth="1"/>
    <col min="15" max="15" width="13.6640625" style="2" bestFit="1" customWidth="1"/>
    <col min="16" max="16" width="7.33203125" style="2" bestFit="1" customWidth="1"/>
    <col min="17" max="17" width="13.6640625" style="2" bestFit="1" customWidth="1"/>
    <col min="18" max="18" width="7.6640625" style="2" bestFit="1" customWidth="1"/>
    <col min="19" max="19" width="21.6640625" style="2" customWidth="1"/>
    <col min="20" max="20" width="24.6640625" style="2" customWidth="1"/>
    <col min="21" max="21" width="5.5546875" style="2" bestFit="1" customWidth="1"/>
    <col min="22" max="22" width="21.6640625" style="2" customWidth="1"/>
    <col min="23" max="23" width="24.6640625" style="2" customWidth="1"/>
    <col min="24" max="24" width="5.5546875" style="2" bestFit="1" customWidth="1"/>
    <col min="25" max="25" width="8.109375" style="1" bestFit="1" customWidth="1"/>
    <col min="26" max="26" width="7.44140625" style="1" bestFit="1" customWidth="1"/>
    <col min="27" max="27" width="10.5546875" style="1" bestFit="1" customWidth="1"/>
    <col min="28" max="28" width="14.6640625" style="1" customWidth="1"/>
    <col min="29" max="29" width="29.33203125" style="1" customWidth="1"/>
    <col min="30" max="30" width="14.88671875" style="1" bestFit="1" customWidth="1"/>
    <col min="31" max="31" width="21.6640625" style="1" bestFit="1" customWidth="1"/>
    <col min="32" max="32" width="28" style="1" customWidth="1"/>
    <col min="33" max="33" width="25" style="3" customWidth="1"/>
    <col min="34" max="34" width="36.5546875" customWidth="1"/>
  </cols>
  <sheetData>
    <row r="1" spans="1:34" ht="27" customHeight="1" thickTop="1" x14ac:dyDescent="0.3">
      <c r="A1" s="28"/>
      <c r="B1" s="118" t="s">
        <v>96</v>
      </c>
      <c r="C1" s="119"/>
      <c r="D1" s="120" t="s">
        <v>94</v>
      </c>
      <c r="E1" s="118"/>
      <c r="F1" s="118"/>
      <c r="G1" s="118"/>
      <c r="H1" s="119"/>
      <c r="I1" s="120" t="s">
        <v>95</v>
      </c>
      <c r="J1" s="118"/>
      <c r="K1" s="118"/>
      <c r="L1" s="118"/>
      <c r="M1" s="119"/>
      <c r="N1" s="120" t="s">
        <v>137</v>
      </c>
      <c r="O1" s="118"/>
      <c r="P1" s="118"/>
      <c r="Q1" s="118"/>
      <c r="R1" s="119"/>
      <c r="S1" s="120" t="s">
        <v>138</v>
      </c>
      <c r="T1" s="118"/>
      <c r="U1" s="118"/>
      <c r="V1" s="118" t="s">
        <v>139</v>
      </c>
      <c r="W1" s="118"/>
      <c r="X1" s="119"/>
      <c r="Y1" s="116" t="s">
        <v>98</v>
      </c>
      <c r="Z1" s="117"/>
      <c r="AA1" s="117"/>
      <c r="AB1" s="117"/>
      <c r="AC1" s="117"/>
      <c r="AD1" s="117"/>
      <c r="AE1" s="117"/>
      <c r="AF1" s="115" t="s">
        <v>142</v>
      </c>
      <c r="AG1" s="115"/>
      <c r="AH1" s="115"/>
    </row>
    <row r="2" spans="1:34" x14ac:dyDescent="0.3">
      <c r="A2" s="29"/>
      <c r="B2" s="31" t="s">
        <v>80</v>
      </c>
      <c r="C2" s="32" t="s">
        <v>79</v>
      </c>
      <c r="D2" s="33" t="s">
        <v>85</v>
      </c>
      <c r="E2" s="34" t="s">
        <v>125</v>
      </c>
      <c r="F2" s="31" t="s">
        <v>126</v>
      </c>
      <c r="G2" s="31" t="s">
        <v>127</v>
      </c>
      <c r="H2" s="32" t="s">
        <v>23</v>
      </c>
      <c r="I2" s="33" t="s">
        <v>141</v>
      </c>
      <c r="J2" s="31" t="s">
        <v>86</v>
      </c>
      <c r="K2" s="34" t="s">
        <v>128</v>
      </c>
      <c r="L2" s="34" t="s">
        <v>131</v>
      </c>
      <c r="M2" s="32" t="s">
        <v>23</v>
      </c>
      <c r="N2" s="33" t="s">
        <v>87</v>
      </c>
      <c r="O2" s="34" t="s">
        <v>136</v>
      </c>
      <c r="P2" s="34" t="s">
        <v>88</v>
      </c>
      <c r="Q2" s="34" t="s">
        <v>89</v>
      </c>
      <c r="R2" s="32" t="s">
        <v>90</v>
      </c>
      <c r="S2" s="33" t="s">
        <v>91</v>
      </c>
      <c r="T2" s="31" t="s">
        <v>92</v>
      </c>
      <c r="U2" s="30" t="s">
        <v>140</v>
      </c>
      <c r="V2" s="33" t="s">
        <v>91</v>
      </c>
      <c r="W2" s="31" t="s">
        <v>92</v>
      </c>
      <c r="X2" s="30" t="s">
        <v>140</v>
      </c>
      <c r="Y2" s="36" t="s">
        <v>61</v>
      </c>
      <c r="Z2" s="36" t="s">
        <v>22</v>
      </c>
      <c r="AA2" s="36" t="s">
        <v>110</v>
      </c>
      <c r="AB2" s="36" t="s">
        <v>81</v>
      </c>
      <c r="AC2" s="36" t="s">
        <v>102</v>
      </c>
      <c r="AD2" s="99" t="s">
        <v>103</v>
      </c>
      <c r="AE2" s="99" t="s">
        <v>112</v>
      </c>
      <c r="AF2" s="110" t="s">
        <v>143</v>
      </c>
      <c r="AG2" s="111" t="s">
        <v>144</v>
      </c>
      <c r="AH2" s="111" t="s">
        <v>145</v>
      </c>
    </row>
    <row r="3" spans="1:34" x14ac:dyDescent="0.3">
      <c r="F3" s="35"/>
      <c r="J3" s="35"/>
      <c r="K3" s="35"/>
      <c r="L3" s="35"/>
      <c r="AD3" s="73"/>
      <c r="AF3" s="112" t="str">
        <f>IF(B3="","",TEXT(J3,"DD/MM/AA")&amp;"_"&amp;S3&amp;"_"&amp;V3)</f>
        <v/>
      </c>
      <c r="AG3" s="113" t="str">
        <f>IF(AF3="","",COUNTIF(AF3:AF$3000,AF3))</f>
        <v/>
      </c>
      <c r="AH3" s="114" t="str">
        <f>IF(AA3="","",
IF(AG3&gt;1,"",
IF(SUMIF(AF$3:AF$31,AF3,H$3:H$31)/10&lt;1,1,SUMIF(AF$3:AF$31,AF3,H$3:H$31)/10)))</f>
        <v/>
      </c>
    </row>
    <row r="4" spans="1:34" x14ac:dyDescent="0.3">
      <c r="F4" s="35"/>
      <c r="J4" s="35"/>
      <c r="K4" s="35"/>
      <c r="L4" s="35"/>
      <c r="AD4" s="73"/>
      <c r="AF4" s="112" t="str">
        <f t="shared" ref="AF4:AF67" si="0">IF(B4="","",TEXT(J4,"DD/MM/AA")&amp;"_"&amp;S4&amp;"_"&amp;V4)</f>
        <v/>
      </c>
      <c r="AG4" s="113" t="str">
        <f>IF(AF4="","",COUNTIF(AF4:AF$3000,AF4))</f>
        <v/>
      </c>
      <c r="AH4" s="114" t="str">
        <f t="shared" ref="AH4:AH67" si="1">IF(AA4="","",
IF(AG4&gt;1,"",
IF(SUMIF(AF$3:AF$31,AF4,H$3:H$31)/10&lt;1,1,SUMIF(AF$3:AF$31,AF4,H$3:H$31)/10)))</f>
        <v/>
      </c>
    </row>
    <row r="5" spans="1:34" x14ac:dyDescent="0.3">
      <c r="F5" s="35"/>
      <c r="J5" s="35"/>
      <c r="K5" s="35"/>
      <c r="L5" s="35"/>
      <c r="AD5" s="73"/>
      <c r="AF5" s="112" t="str">
        <f t="shared" si="0"/>
        <v/>
      </c>
      <c r="AG5" s="113" t="str">
        <f>IF(AF5="","",COUNTIF(AF5:AF$3000,AF5))</f>
        <v/>
      </c>
      <c r="AH5" s="114" t="str">
        <f t="shared" si="1"/>
        <v/>
      </c>
    </row>
    <row r="6" spans="1:34" x14ac:dyDescent="0.3">
      <c r="F6" s="35"/>
      <c r="J6" s="35"/>
      <c r="K6" s="35"/>
      <c r="L6" s="35"/>
      <c r="AD6" s="73"/>
      <c r="AF6" s="112" t="str">
        <f t="shared" si="0"/>
        <v/>
      </c>
      <c r="AG6" s="113" t="str">
        <f>IF(AF6="","",COUNTIF(AF6:AF$3000,AF6))</f>
        <v/>
      </c>
      <c r="AH6" s="114" t="str">
        <f t="shared" si="1"/>
        <v/>
      </c>
    </row>
    <row r="7" spans="1:34" x14ac:dyDescent="0.3">
      <c r="F7" s="35"/>
      <c r="J7" s="35"/>
      <c r="K7" s="35"/>
      <c r="L7" s="35"/>
      <c r="AD7" s="73"/>
      <c r="AF7" s="112" t="str">
        <f t="shared" si="0"/>
        <v/>
      </c>
      <c r="AG7" s="113" t="str">
        <f>IF(AF7="","",COUNTIF(AF7:AF$3000,AF7))</f>
        <v/>
      </c>
      <c r="AH7" s="114" t="str">
        <f t="shared" si="1"/>
        <v/>
      </c>
    </row>
    <row r="8" spans="1:34" x14ac:dyDescent="0.3">
      <c r="F8" s="35"/>
      <c r="J8" s="35"/>
      <c r="K8" s="35"/>
      <c r="L8" s="35"/>
      <c r="AD8" s="73"/>
      <c r="AF8" s="112" t="str">
        <f t="shared" si="0"/>
        <v/>
      </c>
      <c r="AG8" s="113" t="str">
        <f>IF(AF8="","",COUNTIF(AF8:AF$3000,AF8))</f>
        <v/>
      </c>
      <c r="AH8" s="114" t="str">
        <f t="shared" si="1"/>
        <v/>
      </c>
    </row>
    <row r="9" spans="1:34" x14ac:dyDescent="0.3">
      <c r="F9" s="35"/>
      <c r="J9" s="35"/>
      <c r="K9" s="35"/>
      <c r="L9" s="35"/>
      <c r="AD9" s="73"/>
      <c r="AF9" s="112" t="str">
        <f t="shared" si="0"/>
        <v/>
      </c>
      <c r="AG9" s="113" t="str">
        <f>IF(AF9="","",COUNTIF(AF9:AF$3000,AF9))</f>
        <v/>
      </c>
      <c r="AH9" s="114" t="str">
        <f t="shared" si="1"/>
        <v/>
      </c>
    </row>
    <row r="10" spans="1:34" x14ac:dyDescent="0.3">
      <c r="F10" s="35"/>
      <c r="J10" s="35"/>
      <c r="K10" s="35"/>
      <c r="L10" s="35"/>
      <c r="AD10" s="73"/>
      <c r="AF10" s="112" t="str">
        <f t="shared" si="0"/>
        <v/>
      </c>
      <c r="AG10" s="113" t="str">
        <f>IF(AF10="","",COUNTIF(AF10:AF$3000,AF10))</f>
        <v/>
      </c>
      <c r="AH10" s="114" t="str">
        <f t="shared" si="1"/>
        <v/>
      </c>
    </row>
    <row r="11" spans="1:34" x14ac:dyDescent="0.3">
      <c r="F11" s="35"/>
      <c r="J11" s="35"/>
      <c r="K11" s="35"/>
      <c r="L11" s="35"/>
      <c r="AD11" s="73"/>
      <c r="AF11" s="112" t="str">
        <f t="shared" si="0"/>
        <v/>
      </c>
      <c r="AG11" s="113" t="str">
        <f>IF(AF11="","",COUNTIF(AF11:AF$3000,AF11))</f>
        <v/>
      </c>
      <c r="AH11" s="114" t="str">
        <f t="shared" si="1"/>
        <v/>
      </c>
    </row>
    <row r="12" spans="1:34" x14ac:dyDescent="0.3">
      <c r="F12" s="35"/>
      <c r="J12" s="35"/>
      <c r="K12" s="35"/>
      <c r="L12" s="35"/>
      <c r="AD12" s="73"/>
      <c r="AF12" s="112" t="str">
        <f t="shared" si="0"/>
        <v/>
      </c>
      <c r="AG12" s="113" t="str">
        <f>IF(AF12="","",COUNTIF(AF12:AF$3000,AF12))</f>
        <v/>
      </c>
      <c r="AH12" s="114" t="str">
        <f t="shared" si="1"/>
        <v/>
      </c>
    </row>
    <row r="13" spans="1:34" x14ac:dyDescent="0.3">
      <c r="F13" s="35"/>
      <c r="J13" s="35"/>
      <c r="K13" s="35"/>
      <c r="L13" s="35"/>
      <c r="AD13" s="73"/>
      <c r="AF13" s="112" t="str">
        <f t="shared" si="0"/>
        <v/>
      </c>
      <c r="AG13" s="113" t="str">
        <f>IF(AF13="","",COUNTIF(AF13:AF$3000,AF13))</f>
        <v/>
      </c>
      <c r="AH13" s="114" t="str">
        <f t="shared" si="1"/>
        <v/>
      </c>
    </row>
    <row r="14" spans="1:34" x14ac:dyDescent="0.3">
      <c r="F14" s="35"/>
      <c r="J14" s="35"/>
      <c r="K14" s="35"/>
      <c r="L14" s="35"/>
      <c r="AD14" s="73"/>
      <c r="AF14" s="112" t="str">
        <f t="shared" si="0"/>
        <v/>
      </c>
      <c r="AG14" s="113" t="str">
        <f>IF(AF14="","",COUNTIF(AF14:AF$3000,AF14))</f>
        <v/>
      </c>
      <c r="AH14" s="114" t="str">
        <f t="shared" si="1"/>
        <v/>
      </c>
    </row>
    <row r="15" spans="1:34" x14ac:dyDescent="0.3">
      <c r="F15" s="35"/>
      <c r="J15" s="35"/>
      <c r="K15" s="35"/>
      <c r="L15" s="35"/>
      <c r="AD15" s="73"/>
      <c r="AF15" s="112" t="str">
        <f t="shared" si="0"/>
        <v/>
      </c>
      <c r="AG15" s="113" t="str">
        <f>IF(AF15="","",COUNTIF(AF15:AF$3000,AF15))</f>
        <v/>
      </c>
      <c r="AH15" s="114" t="str">
        <f t="shared" si="1"/>
        <v/>
      </c>
    </row>
    <row r="16" spans="1:34" x14ac:dyDescent="0.3">
      <c r="F16" s="35"/>
      <c r="J16" s="35"/>
      <c r="K16" s="35"/>
      <c r="L16" s="35"/>
      <c r="AD16" s="73"/>
      <c r="AF16" s="112" t="str">
        <f t="shared" si="0"/>
        <v/>
      </c>
      <c r="AG16" s="113" t="str">
        <f>IF(AF16="","",COUNTIF(AF16:AF$3000,AF16))</f>
        <v/>
      </c>
      <c r="AH16" s="114" t="str">
        <f t="shared" si="1"/>
        <v/>
      </c>
    </row>
    <row r="17" spans="6:34" x14ac:dyDescent="0.3">
      <c r="F17" s="35"/>
      <c r="J17" s="35"/>
      <c r="K17" s="35"/>
      <c r="L17" s="35"/>
      <c r="AD17" s="73"/>
      <c r="AF17" s="112" t="str">
        <f t="shared" si="0"/>
        <v/>
      </c>
      <c r="AG17" s="113" t="str">
        <f>IF(AF17="","",COUNTIF(AF17:AF$3000,AF17))</f>
        <v/>
      </c>
      <c r="AH17" s="114" t="str">
        <f t="shared" si="1"/>
        <v/>
      </c>
    </row>
    <row r="18" spans="6:34" x14ac:dyDescent="0.3">
      <c r="F18" s="35"/>
      <c r="J18" s="35"/>
      <c r="K18" s="35"/>
      <c r="L18" s="35"/>
      <c r="AD18" s="73"/>
      <c r="AF18" s="112" t="str">
        <f t="shared" si="0"/>
        <v/>
      </c>
      <c r="AG18" s="113" t="str">
        <f>IF(AF18="","",COUNTIF(AF18:AF$3000,AF18))</f>
        <v/>
      </c>
      <c r="AH18" s="114" t="str">
        <f t="shared" si="1"/>
        <v/>
      </c>
    </row>
    <row r="19" spans="6:34" x14ac:dyDescent="0.3">
      <c r="F19" s="35"/>
      <c r="J19" s="35"/>
      <c r="K19" s="35"/>
      <c r="L19" s="35"/>
      <c r="AD19" s="73"/>
      <c r="AF19" s="112" t="str">
        <f t="shared" si="0"/>
        <v/>
      </c>
      <c r="AG19" s="113" t="str">
        <f>IF(AF19="","",COUNTIF(AF19:AF$3000,AF19))</f>
        <v/>
      </c>
      <c r="AH19" s="114" t="str">
        <f t="shared" si="1"/>
        <v/>
      </c>
    </row>
    <row r="20" spans="6:34" x14ac:dyDescent="0.3">
      <c r="F20" s="35"/>
      <c r="J20" s="35"/>
      <c r="K20" s="35"/>
      <c r="L20" s="35"/>
      <c r="AD20" s="73"/>
      <c r="AF20" s="112" t="str">
        <f t="shared" si="0"/>
        <v/>
      </c>
      <c r="AG20" s="113" t="str">
        <f>IF(AF20="","",COUNTIF(AF20:AF$3000,AF20))</f>
        <v/>
      </c>
      <c r="AH20" s="114" t="str">
        <f t="shared" si="1"/>
        <v/>
      </c>
    </row>
    <row r="21" spans="6:34" x14ac:dyDescent="0.3">
      <c r="F21" s="35"/>
      <c r="J21" s="35"/>
      <c r="K21" s="35"/>
      <c r="L21" s="35"/>
      <c r="AD21" s="73"/>
      <c r="AF21" s="112" t="str">
        <f t="shared" si="0"/>
        <v/>
      </c>
      <c r="AG21" s="113" t="str">
        <f>IF(AF21="","",COUNTIF(AF21:AF$3000,AF21))</f>
        <v/>
      </c>
      <c r="AH21" s="114" t="str">
        <f t="shared" si="1"/>
        <v/>
      </c>
    </row>
    <row r="22" spans="6:34" x14ac:dyDescent="0.3">
      <c r="F22" s="35"/>
      <c r="J22" s="35"/>
      <c r="K22" s="35"/>
      <c r="L22" s="35"/>
      <c r="AD22" s="73"/>
      <c r="AF22" s="112" t="str">
        <f t="shared" si="0"/>
        <v/>
      </c>
      <c r="AG22" s="113" t="str">
        <f>IF(AF22="","",COUNTIF(AF22:AF$3000,AF22))</f>
        <v/>
      </c>
      <c r="AH22" s="114" t="str">
        <f t="shared" si="1"/>
        <v/>
      </c>
    </row>
    <row r="23" spans="6:34" x14ac:dyDescent="0.3">
      <c r="F23" s="35"/>
      <c r="J23" s="35"/>
      <c r="K23" s="35"/>
      <c r="L23" s="35"/>
      <c r="AD23" s="73"/>
      <c r="AF23" s="112" t="str">
        <f t="shared" si="0"/>
        <v/>
      </c>
      <c r="AG23" s="113" t="str">
        <f>IF(AF23="","",COUNTIF(AF23:AF$3000,AF23))</f>
        <v/>
      </c>
      <c r="AH23" s="114" t="str">
        <f t="shared" si="1"/>
        <v/>
      </c>
    </row>
    <row r="24" spans="6:34" x14ac:dyDescent="0.3">
      <c r="F24" s="35"/>
      <c r="J24" s="35"/>
      <c r="K24" s="35"/>
      <c r="L24" s="35"/>
      <c r="AD24" s="73"/>
      <c r="AF24" s="112" t="str">
        <f t="shared" si="0"/>
        <v/>
      </c>
      <c r="AG24" s="113" t="str">
        <f>IF(AF24="","",COUNTIF(AF24:AF$3000,AF24))</f>
        <v/>
      </c>
      <c r="AH24" s="114" t="str">
        <f t="shared" si="1"/>
        <v/>
      </c>
    </row>
    <row r="25" spans="6:34" x14ac:dyDescent="0.3">
      <c r="F25" s="35"/>
      <c r="J25" s="35"/>
      <c r="K25" s="35"/>
      <c r="L25" s="35"/>
      <c r="AD25" s="73"/>
      <c r="AF25" s="112" t="str">
        <f t="shared" si="0"/>
        <v/>
      </c>
      <c r="AG25" s="113" t="str">
        <f>IF(AF25="","",COUNTIF(AF25:AF$3000,AF25))</f>
        <v/>
      </c>
      <c r="AH25" s="114" t="str">
        <f t="shared" si="1"/>
        <v/>
      </c>
    </row>
    <row r="26" spans="6:34" x14ac:dyDescent="0.3">
      <c r="F26" s="35"/>
      <c r="J26" s="35"/>
      <c r="K26" s="35"/>
      <c r="L26" s="35"/>
      <c r="AD26" s="73"/>
      <c r="AF26" s="112" t="str">
        <f t="shared" si="0"/>
        <v/>
      </c>
      <c r="AG26" s="113" t="str">
        <f>IF(AF26="","",COUNTIF(AF26:AF$3000,AF26))</f>
        <v/>
      </c>
      <c r="AH26" s="114" t="str">
        <f t="shared" si="1"/>
        <v/>
      </c>
    </row>
    <row r="27" spans="6:34" x14ac:dyDescent="0.3">
      <c r="F27" s="35"/>
      <c r="J27" s="35"/>
      <c r="K27" s="35"/>
      <c r="L27" s="35"/>
      <c r="AD27" s="73"/>
      <c r="AF27" s="112" t="str">
        <f t="shared" si="0"/>
        <v/>
      </c>
      <c r="AG27" s="113" t="str">
        <f>IF(AF27="","",COUNTIF(AF27:AF$3000,AF27))</f>
        <v/>
      </c>
      <c r="AH27" s="114" t="str">
        <f t="shared" si="1"/>
        <v/>
      </c>
    </row>
    <row r="28" spans="6:34" x14ac:dyDescent="0.3">
      <c r="F28" s="35"/>
      <c r="J28" s="35"/>
      <c r="K28" s="35"/>
      <c r="L28" s="35"/>
      <c r="AD28" s="73"/>
      <c r="AF28" s="112" t="str">
        <f t="shared" si="0"/>
        <v/>
      </c>
      <c r="AG28" s="113" t="str">
        <f>IF(AF28="","",COUNTIF(AF28:AF$3000,AF28))</f>
        <v/>
      </c>
      <c r="AH28" s="114" t="str">
        <f t="shared" si="1"/>
        <v/>
      </c>
    </row>
    <row r="29" spans="6:34" x14ac:dyDescent="0.3">
      <c r="F29" s="35"/>
      <c r="J29" s="35"/>
      <c r="K29" s="35"/>
      <c r="L29" s="35"/>
      <c r="AD29" s="73"/>
      <c r="AF29" s="112" t="str">
        <f t="shared" si="0"/>
        <v/>
      </c>
      <c r="AG29" s="113" t="str">
        <f>IF(AF29="","",COUNTIF(AF29:AF$3000,AF29))</f>
        <v/>
      </c>
      <c r="AH29" s="114" t="str">
        <f t="shared" si="1"/>
        <v/>
      </c>
    </row>
    <row r="30" spans="6:34" x14ac:dyDescent="0.3">
      <c r="F30" s="35"/>
      <c r="J30" s="35"/>
      <c r="K30" s="35"/>
      <c r="L30" s="35"/>
      <c r="AD30" s="73"/>
      <c r="AF30" s="112" t="str">
        <f t="shared" si="0"/>
        <v/>
      </c>
      <c r="AG30" s="113" t="str">
        <f>IF(AF30="","",COUNTIF(AF30:AF$3000,AF30))</f>
        <v/>
      </c>
      <c r="AH30" s="114" t="str">
        <f t="shared" si="1"/>
        <v/>
      </c>
    </row>
    <row r="31" spans="6:34" x14ac:dyDescent="0.3">
      <c r="F31" s="35"/>
      <c r="J31" s="35"/>
      <c r="K31" s="35"/>
      <c r="L31" s="35"/>
      <c r="AD31" s="73"/>
      <c r="AF31" s="112" t="str">
        <f t="shared" si="0"/>
        <v/>
      </c>
      <c r="AG31" s="113" t="str">
        <f>IF(AF31="","",COUNTIF(AF31:AF$3000,AF31))</f>
        <v/>
      </c>
      <c r="AH31" s="114" t="str">
        <f t="shared" si="1"/>
        <v/>
      </c>
    </row>
    <row r="32" spans="6:34" x14ac:dyDescent="0.3">
      <c r="F32" s="35"/>
      <c r="J32" s="35"/>
      <c r="K32" s="35"/>
      <c r="L32" s="35"/>
      <c r="AD32" s="73"/>
      <c r="AF32" s="112" t="str">
        <f t="shared" si="0"/>
        <v/>
      </c>
      <c r="AG32" s="113" t="str">
        <f>IF(AF32="","",COUNTIF(AF32:AF$3000,AF32))</f>
        <v/>
      </c>
      <c r="AH32" s="114" t="str">
        <f t="shared" si="1"/>
        <v/>
      </c>
    </row>
    <row r="33" spans="6:34" x14ac:dyDescent="0.3">
      <c r="F33" s="35"/>
      <c r="J33" s="35"/>
      <c r="K33" s="35"/>
      <c r="L33" s="35"/>
      <c r="AD33" s="73"/>
      <c r="AF33" s="112" t="str">
        <f t="shared" si="0"/>
        <v/>
      </c>
      <c r="AG33" s="113" t="str">
        <f>IF(AF33="","",COUNTIF(AF33:AF$3000,AF33))</f>
        <v/>
      </c>
      <c r="AH33" s="114" t="str">
        <f t="shared" si="1"/>
        <v/>
      </c>
    </row>
    <row r="34" spans="6:34" x14ac:dyDescent="0.3">
      <c r="F34" s="35"/>
      <c r="J34" s="35"/>
      <c r="K34" s="35"/>
      <c r="L34" s="35"/>
      <c r="AD34" s="73"/>
      <c r="AF34" s="112" t="str">
        <f t="shared" si="0"/>
        <v/>
      </c>
      <c r="AG34" s="113" t="str">
        <f>IF(AF34="","",COUNTIF(AF34:AF$3000,AF34))</f>
        <v/>
      </c>
      <c r="AH34" s="114" t="str">
        <f t="shared" si="1"/>
        <v/>
      </c>
    </row>
    <row r="35" spans="6:34" x14ac:dyDescent="0.3">
      <c r="F35" s="35"/>
      <c r="J35" s="35"/>
      <c r="K35" s="35"/>
      <c r="L35" s="35"/>
      <c r="AD35" s="73"/>
      <c r="AF35" s="112" t="str">
        <f t="shared" si="0"/>
        <v/>
      </c>
      <c r="AG35" s="113" t="str">
        <f>IF(AF35="","",COUNTIF(AF35:AF$3000,AF35))</f>
        <v/>
      </c>
      <c r="AH35" s="114" t="str">
        <f t="shared" si="1"/>
        <v/>
      </c>
    </row>
    <row r="36" spans="6:34" x14ac:dyDescent="0.3">
      <c r="F36" s="35"/>
      <c r="J36" s="35"/>
      <c r="K36" s="35"/>
      <c r="L36" s="35"/>
      <c r="AD36" s="73"/>
      <c r="AF36" s="112" t="str">
        <f t="shared" si="0"/>
        <v/>
      </c>
      <c r="AG36" s="113" t="str">
        <f>IF(AF36="","",COUNTIF(AF36:AF$3000,AF36))</f>
        <v/>
      </c>
      <c r="AH36" s="114" t="str">
        <f t="shared" si="1"/>
        <v/>
      </c>
    </row>
    <row r="37" spans="6:34" x14ac:dyDescent="0.3">
      <c r="F37" s="35"/>
      <c r="J37" s="35"/>
      <c r="K37" s="35"/>
      <c r="L37" s="35"/>
      <c r="AD37" s="73"/>
      <c r="AF37" s="112" t="str">
        <f t="shared" si="0"/>
        <v/>
      </c>
      <c r="AG37" s="113" t="str">
        <f>IF(AF37="","",COUNTIF(AF37:AF$3000,AF37))</f>
        <v/>
      </c>
      <c r="AH37" s="114" t="str">
        <f t="shared" si="1"/>
        <v/>
      </c>
    </row>
    <row r="38" spans="6:34" x14ac:dyDescent="0.3">
      <c r="F38" s="35"/>
      <c r="J38" s="35"/>
      <c r="K38" s="35"/>
      <c r="L38" s="35"/>
      <c r="AD38" s="73"/>
      <c r="AF38" s="112" t="str">
        <f t="shared" si="0"/>
        <v/>
      </c>
      <c r="AG38" s="113" t="str">
        <f>IF(AF38="","",COUNTIF(AF38:AF$3000,AF38))</f>
        <v/>
      </c>
      <c r="AH38" s="114" t="str">
        <f t="shared" si="1"/>
        <v/>
      </c>
    </row>
    <row r="39" spans="6:34" x14ac:dyDescent="0.3">
      <c r="F39" s="35"/>
      <c r="J39" s="35"/>
      <c r="K39" s="35"/>
      <c r="L39" s="35"/>
      <c r="AD39" s="73"/>
      <c r="AF39" s="112" t="str">
        <f t="shared" si="0"/>
        <v/>
      </c>
      <c r="AG39" s="113" t="str">
        <f>IF(AF39="","",COUNTIF(AF39:AF$3000,AF39))</f>
        <v/>
      </c>
      <c r="AH39" s="114" t="str">
        <f t="shared" si="1"/>
        <v/>
      </c>
    </row>
    <row r="40" spans="6:34" x14ac:dyDescent="0.3">
      <c r="F40" s="35"/>
      <c r="J40" s="35"/>
      <c r="K40" s="35"/>
      <c r="L40" s="35"/>
      <c r="AD40" s="73"/>
      <c r="AF40" s="112" t="str">
        <f t="shared" si="0"/>
        <v/>
      </c>
      <c r="AG40" s="113" t="str">
        <f>IF(AF40="","",COUNTIF(AF40:AF$3000,AF40))</f>
        <v/>
      </c>
      <c r="AH40" s="114" t="str">
        <f t="shared" si="1"/>
        <v/>
      </c>
    </row>
    <row r="41" spans="6:34" x14ac:dyDescent="0.3">
      <c r="F41" s="35"/>
      <c r="J41" s="35"/>
      <c r="K41" s="35"/>
      <c r="L41" s="35"/>
      <c r="AD41" s="73"/>
      <c r="AF41" s="112" t="str">
        <f t="shared" si="0"/>
        <v/>
      </c>
      <c r="AG41" s="113" t="str">
        <f>IF(AF41="","",COUNTIF(AF41:AF$3000,AF41))</f>
        <v/>
      </c>
      <c r="AH41" s="114" t="str">
        <f t="shared" si="1"/>
        <v/>
      </c>
    </row>
    <row r="42" spans="6:34" x14ac:dyDescent="0.3">
      <c r="F42" s="35"/>
      <c r="J42" s="35"/>
      <c r="K42" s="35"/>
      <c r="L42" s="35"/>
      <c r="AD42" s="73"/>
      <c r="AF42" s="112" t="str">
        <f t="shared" si="0"/>
        <v/>
      </c>
      <c r="AG42" s="113" t="str">
        <f>IF(AF42="","",COUNTIF(AF42:AF$3000,AF42))</f>
        <v/>
      </c>
      <c r="AH42" s="114" t="str">
        <f t="shared" si="1"/>
        <v/>
      </c>
    </row>
    <row r="43" spans="6:34" x14ac:dyDescent="0.3">
      <c r="F43" s="35"/>
      <c r="J43" s="35"/>
      <c r="K43" s="35"/>
      <c r="L43" s="35"/>
      <c r="AD43" s="73"/>
      <c r="AF43" s="112" t="str">
        <f t="shared" si="0"/>
        <v/>
      </c>
      <c r="AG43" s="113" t="str">
        <f>IF(AF43="","",COUNTIF(AF43:AF$3000,AF43))</f>
        <v/>
      </c>
      <c r="AH43" s="114" t="str">
        <f t="shared" si="1"/>
        <v/>
      </c>
    </row>
    <row r="44" spans="6:34" x14ac:dyDescent="0.3">
      <c r="F44" s="35"/>
      <c r="J44" s="35"/>
      <c r="K44" s="35"/>
      <c r="L44" s="35"/>
      <c r="AD44" s="73"/>
      <c r="AF44" s="112" t="str">
        <f t="shared" si="0"/>
        <v/>
      </c>
      <c r="AG44" s="113" t="str">
        <f>IF(AF44="","",COUNTIF(AF44:AF$3000,AF44))</f>
        <v/>
      </c>
      <c r="AH44" s="114" t="str">
        <f t="shared" si="1"/>
        <v/>
      </c>
    </row>
    <row r="45" spans="6:34" x14ac:dyDescent="0.3">
      <c r="F45" s="35"/>
      <c r="J45" s="35"/>
      <c r="K45" s="35"/>
      <c r="L45" s="35"/>
      <c r="AD45" s="73"/>
      <c r="AF45" s="112" t="str">
        <f t="shared" si="0"/>
        <v/>
      </c>
      <c r="AG45" s="113" t="str">
        <f>IF(AF45="","",COUNTIF(AF45:AF$3000,AF45))</f>
        <v/>
      </c>
      <c r="AH45" s="114" t="str">
        <f t="shared" si="1"/>
        <v/>
      </c>
    </row>
    <row r="46" spans="6:34" x14ac:dyDescent="0.3">
      <c r="F46" s="35"/>
      <c r="J46" s="35"/>
      <c r="K46" s="35"/>
      <c r="L46" s="35"/>
      <c r="AD46" s="73"/>
      <c r="AF46" s="112" t="str">
        <f t="shared" si="0"/>
        <v/>
      </c>
      <c r="AG46" s="113" t="str">
        <f>IF(AF46="","",COUNTIF(AF46:AF$3000,AF46))</f>
        <v/>
      </c>
      <c r="AH46" s="114" t="str">
        <f t="shared" si="1"/>
        <v/>
      </c>
    </row>
    <row r="47" spans="6:34" x14ac:dyDescent="0.3">
      <c r="F47" s="35"/>
      <c r="J47" s="35"/>
      <c r="K47" s="35"/>
      <c r="L47" s="35"/>
      <c r="AD47" s="73"/>
      <c r="AF47" s="112" t="str">
        <f t="shared" si="0"/>
        <v/>
      </c>
      <c r="AG47" s="113" t="str">
        <f>IF(AF47="","",COUNTIF(AF47:AF$3000,AF47))</f>
        <v/>
      </c>
      <c r="AH47" s="114" t="str">
        <f t="shared" si="1"/>
        <v/>
      </c>
    </row>
    <row r="48" spans="6:34" x14ac:dyDescent="0.3">
      <c r="F48" s="35"/>
      <c r="J48" s="35"/>
      <c r="K48" s="35"/>
      <c r="L48" s="35"/>
      <c r="AD48" s="73"/>
      <c r="AF48" s="112" t="str">
        <f t="shared" si="0"/>
        <v/>
      </c>
      <c r="AG48" s="113" t="str">
        <f>IF(AF48="","",COUNTIF(AF48:AF$3000,AF48))</f>
        <v/>
      </c>
      <c r="AH48" s="114" t="str">
        <f t="shared" si="1"/>
        <v/>
      </c>
    </row>
    <row r="49" spans="6:34" x14ac:dyDescent="0.3">
      <c r="F49" s="35"/>
      <c r="J49" s="35"/>
      <c r="K49" s="35"/>
      <c r="L49" s="35"/>
      <c r="AD49" s="73"/>
      <c r="AF49" s="112" t="str">
        <f t="shared" si="0"/>
        <v/>
      </c>
      <c r="AG49" s="113" t="str">
        <f>IF(AF49="","",COUNTIF(AF49:AF$3000,AF49))</f>
        <v/>
      </c>
      <c r="AH49" s="114" t="str">
        <f t="shared" si="1"/>
        <v/>
      </c>
    </row>
    <row r="50" spans="6:34" x14ac:dyDescent="0.3">
      <c r="F50" s="35"/>
      <c r="J50" s="35"/>
      <c r="K50" s="35"/>
      <c r="L50" s="35"/>
      <c r="AD50" s="73"/>
      <c r="AF50" s="112" t="str">
        <f t="shared" si="0"/>
        <v/>
      </c>
      <c r="AG50" s="113" t="str">
        <f>IF(AF50="","",COUNTIF(AF50:AF$3000,AF50))</f>
        <v/>
      </c>
      <c r="AH50" s="114" t="str">
        <f t="shared" si="1"/>
        <v/>
      </c>
    </row>
    <row r="51" spans="6:34" x14ac:dyDescent="0.3">
      <c r="F51" s="35"/>
      <c r="J51" s="35"/>
      <c r="K51" s="35"/>
      <c r="L51" s="35"/>
      <c r="AD51" s="73"/>
      <c r="AF51" s="112" t="str">
        <f t="shared" si="0"/>
        <v/>
      </c>
      <c r="AG51" s="113" t="str">
        <f>IF(AF51="","",COUNTIF(AF51:AF$3000,AF51))</f>
        <v/>
      </c>
      <c r="AH51" s="114" t="str">
        <f t="shared" si="1"/>
        <v/>
      </c>
    </row>
    <row r="52" spans="6:34" x14ac:dyDescent="0.3">
      <c r="F52" s="35"/>
      <c r="J52" s="35"/>
      <c r="K52" s="35"/>
      <c r="L52" s="35"/>
      <c r="AD52" s="73"/>
      <c r="AF52" s="112" t="str">
        <f t="shared" si="0"/>
        <v/>
      </c>
      <c r="AG52" s="113" t="str">
        <f>IF(AF52="","",COUNTIF(AF52:AF$3000,AF52))</f>
        <v/>
      </c>
      <c r="AH52" s="114" t="str">
        <f t="shared" si="1"/>
        <v/>
      </c>
    </row>
    <row r="53" spans="6:34" x14ac:dyDescent="0.3">
      <c r="F53" s="35"/>
      <c r="J53" s="35"/>
      <c r="K53" s="35"/>
      <c r="L53" s="35"/>
      <c r="AD53" s="73"/>
      <c r="AF53" s="112" t="str">
        <f t="shared" si="0"/>
        <v/>
      </c>
      <c r="AG53" s="113" t="str">
        <f>IF(AF53="","",COUNTIF(AF53:AF$3000,AF53))</f>
        <v/>
      </c>
      <c r="AH53" s="114" t="str">
        <f t="shared" si="1"/>
        <v/>
      </c>
    </row>
    <row r="54" spans="6:34" x14ac:dyDescent="0.3">
      <c r="F54" s="35"/>
      <c r="J54" s="35"/>
      <c r="K54" s="35"/>
      <c r="L54" s="35"/>
      <c r="AD54" s="73"/>
      <c r="AF54" s="112" t="str">
        <f t="shared" si="0"/>
        <v/>
      </c>
      <c r="AG54" s="113" t="str">
        <f>IF(AF54="","",COUNTIF(AF54:AF$3000,AF54))</f>
        <v/>
      </c>
      <c r="AH54" s="114" t="str">
        <f t="shared" si="1"/>
        <v/>
      </c>
    </row>
    <row r="55" spans="6:34" x14ac:dyDescent="0.3">
      <c r="F55" s="35"/>
      <c r="J55" s="35"/>
      <c r="K55" s="35"/>
      <c r="L55" s="35"/>
      <c r="AD55" s="73"/>
      <c r="AF55" s="112" t="str">
        <f t="shared" si="0"/>
        <v/>
      </c>
      <c r="AG55" s="113" t="str">
        <f>IF(AF55="","",COUNTIF(AF55:AF$3000,AF55))</f>
        <v/>
      </c>
      <c r="AH55" s="114" t="str">
        <f t="shared" si="1"/>
        <v/>
      </c>
    </row>
    <row r="56" spans="6:34" x14ac:dyDescent="0.3">
      <c r="F56" s="35"/>
      <c r="J56" s="35"/>
      <c r="K56" s="35"/>
      <c r="L56" s="35"/>
      <c r="AD56" s="73"/>
      <c r="AF56" s="112" t="str">
        <f t="shared" si="0"/>
        <v/>
      </c>
      <c r="AG56" s="113" t="str">
        <f>IF(AF56="","",COUNTIF(AF56:AF$3000,AF56))</f>
        <v/>
      </c>
      <c r="AH56" s="114" t="str">
        <f t="shared" si="1"/>
        <v/>
      </c>
    </row>
    <row r="57" spans="6:34" x14ac:dyDescent="0.3">
      <c r="F57" s="35"/>
      <c r="J57" s="35"/>
      <c r="K57" s="35"/>
      <c r="L57" s="35"/>
      <c r="AD57" s="73"/>
      <c r="AF57" s="112" t="str">
        <f t="shared" si="0"/>
        <v/>
      </c>
      <c r="AG57" s="113" t="str">
        <f>IF(AF57="","",COUNTIF(AF57:AF$3000,AF57))</f>
        <v/>
      </c>
      <c r="AH57" s="114" t="str">
        <f t="shared" si="1"/>
        <v/>
      </c>
    </row>
    <row r="58" spans="6:34" x14ac:dyDescent="0.3">
      <c r="F58" s="35"/>
      <c r="J58" s="35"/>
      <c r="K58" s="35"/>
      <c r="L58" s="35"/>
      <c r="AD58" s="73"/>
      <c r="AF58" s="112" t="str">
        <f t="shared" si="0"/>
        <v/>
      </c>
      <c r="AG58" s="113" t="str">
        <f>IF(AF58="","",COUNTIF(AF58:AF$3000,AF58))</f>
        <v/>
      </c>
      <c r="AH58" s="114" t="str">
        <f t="shared" si="1"/>
        <v/>
      </c>
    </row>
    <row r="59" spans="6:34" x14ac:dyDescent="0.3">
      <c r="F59" s="35"/>
      <c r="J59" s="35"/>
      <c r="K59" s="35"/>
      <c r="L59" s="35"/>
      <c r="AD59" s="73"/>
      <c r="AF59" s="112" t="str">
        <f t="shared" si="0"/>
        <v/>
      </c>
      <c r="AG59" s="113" t="str">
        <f>IF(AF59="","",COUNTIF(AF59:AF$3000,AF59))</f>
        <v/>
      </c>
      <c r="AH59" s="114" t="str">
        <f t="shared" si="1"/>
        <v/>
      </c>
    </row>
    <row r="60" spans="6:34" x14ac:dyDescent="0.3">
      <c r="F60" s="35"/>
      <c r="J60" s="35"/>
      <c r="K60" s="35"/>
      <c r="L60" s="35"/>
      <c r="AD60" s="73"/>
      <c r="AF60" s="112" t="str">
        <f t="shared" si="0"/>
        <v/>
      </c>
      <c r="AG60" s="113" t="str">
        <f>IF(AF60="","",COUNTIF(AF60:AF$3000,AF60))</f>
        <v/>
      </c>
      <c r="AH60" s="114" t="str">
        <f t="shared" si="1"/>
        <v/>
      </c>
    </row>
    <row r="61" spans="6:34" x14ac:dyDescent="0.3">
      <c r="F61" s="35"/>
      <c r="J61" s="35"/>
      <c r="K61" s="35"/>
      <c r="L61" s="35"/>
      <c r="AD61" s="73"/>
      <c r="AF61" s="112" t="str">
        <f t="shared" si="0"/>
        <v/>
      </c>
      <c r="AG61" s="113" t="str">
        <f>IF(AF61="","",COUNTIF(AF61:AF$3000,AF61))</f>
        <v/>
      </c>
      <c r="AH61" s="114" t="str">
        <f t="shared" si="1"/>
        <v/>
      </c>
    </row>
    <row r="62" spans="6:34" x14ac:dyDescent="0.3">
      <c r="F62" s="35"/>
      <c r="J62" s="35"/>
      <c r="K62" s="35"/>
      <c r="L62" s="35"/>
      <c r="AD62" s="73"/>
      <c r="AF62" s="112" t="str">
        <f t="shared" si="0"/>
        <v/>
      </c>
      <c r="AG62" s="113" t="str">
        <f>IF(AF62="","",COUNTIF(AF62:AF$3000,AF62))</f>
        <v/>
      </c>
      <c r="AH62" s="114" t="str">
        <f t="shared" si="1"/>
        <v/>
      </c>
    </row>
    <row r="63" spans="6:34" x14ac:dyDescent="0.3">
      <c r="F63" s="35"/>
      <c r="J63" s="35"/>
      <c r="K63" s="35"/>
      <c r="L63" s="35"/>
      <c r="AD63" s="73"/>
      <c r="AF63" s="112" t="str">
        <f t="shared" si="0"/>
        <v/>
      </c>
      <c r="AG63" s="113" t="str">
        <f>IF(AF63="","",COUNTIF(AF63:AF$3000,AF63))</f>
        <v/>
      </c>
      <c r="AH63" s="114" t="str">
        <f t="shared" si="1"/>
        <v/>
      </c>
    </row>
    <row r="64" spans="6:34" x14ac:dyDescent="0.3">
      <c r="F64" s="35"/>
      <c r="J64" s="35"/>
      <c r="K64" s="35"/>
      <c r="L64" s="35"/>
      <c r="AD64" s="73"/>
      <c r="AF64" s="112" t="str">
        <f t="shared" si="0"/>
        <v/>
      </c>
      <c r="AG64" s="113" t="str">
        <f>IF(AF64="","",COUNTIF(AF64:AF$3000,AF64))</f>
        <v/>
      </c>
      <c r="AH64" s="114" t="str">
        <f t="shared" si="1"/>
        <v/>
      </c>
    </row>
    <row r="65" spans="6:34" x14ac:dyDescent="0.3">
      <c r="F65" s="35"/>
      <c r="J65" s="35"/>
      <c r="K65" s="35"/>
      <c r="L65" s="35"/>
      <c r="AD65" s="73"/>
      <c r="AF65" s="112" t="str">
        <f t="shared" si="0"/>
        <v/>
      </c>
      <c r="AG65" s="113" t="str">
        <f>IF(AF65="","",COUNTIF(AF65:AF$3000,AF65))</f>
        <v/>
      </c>
      <c r="AH65" s="114" t="str">
        <f t="shared" si="1"/>
        <v/>
      </c>
    </row>
    <row r="66" spans="6:34" x14ac:dyDescent="0.3">
      <c r="F66" s="35"/>
      <c r="J66" s="35"/>
      <c r="K66" s="35"/>
      <c r="L66" s="35"/>
      <c r="AD66" s="73"/>
      <c r="AF66" s="112" t="str">
        <f t="shared" si="0"/>
        <v/>
      </c>
      <c r="AG66" s="113" t="str">
        <f>IF(AF66="","",COUNTIF(AF66:AF$3000,AF66))</f>
        <v/>
      </c>
      <c r="AH66" s="114" t="str">
        <f t="shared" si="1"/>
        <v/>
      </c>
    </row>
    <row r="67" spans="6:34" x14ac:dyDescent="0.3">
      <c r="F67" s="35"/>
      <c r="J67" s="35"/>
      <c r="K67" s="35"/>
      <c r="L67" s="35"/>
      <c r="AD67" s="73"/>
      <c r="AF67" s="112" t="str">
        <f t="shared" si="0"/>
        <v/>
      </c>
      <c r="AG67" s="113" t="str">
        <f>IF(AF67="","",COUNTIF(AF67:AF$3000,AF67))</f>
        <v/>
      </c>
      <c r="AH67" s="114" t="str">
        <f t="shared" si="1"/>
        <v/>
      </c>
    </row>
    <row r="68" spans="6:34" x14ac:dyDescent="0.3">
      <c r="F68" s="35"/>
      <c r="J68" s="35"/>
      <c r="K68" s="35"/>
      <c r="L68" s="35"/>
      <c r="AD68" s="73"/>
      <c r="AF68" s="112" t="str">
        <f t="shared" ref="AF68:AF131" si="2">IF(B68="","",TEXT(J68,"DD/MM/AA")&amp;"_"&amp;S68&amp;"_"&amp;V68)</f>
        <v/>
      </c>
      <c r="AG68" s="113" t="str">
        <f>IF(AF68="","",COUNTIF(AF68:AF$3000,AF68))</f>
        <v/>
      </c>
      <c r="AH68" s="114" t="str">
        <f t="shared" ref="AH68:AH131" si="3">IF(AA68="","",
IF(AG68&gt;1,"",
IF(SUMIF(AF$3:AF$31,AF68,H$3:H$31)/10&lt;1,1,SUMIF(AF$3:AF$31,AF68,H$3:H$31)/10)))</f>
        <v/>
      </c>
    </row>
    <row r="69" spans="6:34" x14ac:dyDescent="0.3">
      <c r="F69" s="35"/>
      <c r="J69" s="35"/>
      <c r="K69" s="35"/>
      <c r="L69" s="35"/>
      <c r="AD69" s="73"/>
      <c r="AF69" s="112" t="str">
        <f t="shared" si="2"/>
        <v/>
      </c>
      <c r="AG69" s="113" t="str">
        <f>IF(AF69="","",COUNTIF(AF69:AF$3000,AF69))</f>
        <v/>
      </c>
      <c r="AH69" s="114" t="str">
        <f t="shared" si="3"/>
        <v/>
      </c>
    </row>
    <row r="70" spans="6:34" x14ac:dyDescent="0.3">
      <c r="F70" s="35"/>
      <c r="J70" s="35"/>
      <c r="K70" s="35"/>
      <c r="L70" s="35"/>
      <c r="AD70" s="73"/>
      <c r="AF70" s="112" t="str">
        <f t="shared" si="2"/>
        <v/>
      </c>
      <c r="AG70" s="113" t="str">
        <f>IF(AF70="","",COUNTIF(AF70:AF$3000,AF70))</f>
        <v/>
      </c>
      <c r="AH70" s="114" t="str">
        <f t="shared" si="3"/>
        <v/>
      </c>
    </row>
    <row r="71" spans="6:34" x14ac:dyDescent="0.3">
      <c r="F71" s="35"/>
      <c r="J71" s="35"/>
      <c r="K71" s="35"/>
      <c r="L71" s="35"/>
      <c r="AD71" s="73"/>
      <c r="AF71" s="112" t="str">
        <f t="shared" si="2"/>
        <v/>
      </c>
      <c r="AG71" s="113" t="str">
        <f>IF(AF71="","",COUNTIF(AF71:AF$3000,AF71))</f>
        <v/>
      </c>
      <c r="AH71" s="114" t="str">
        <f t="shared" si="3"/>
        <v/>
      </c>
    </row>
    <row r="72" spans="6:34" x14ac:dyDescent="0.3">
      <c r="F72" s="35"/>
      <c r="J72" s="35"/>
      <c r="K72" s="35"/>
      <c r="L72" s="35"/>
      <c r="AD72" s="73"/>
      <c r="AF72" s="112" t="str">
        <f t="shared" si="2"/>
        <v/>
      </c>
      <c r="AG72" s="113" t="str">
        <f>IF(AF72="","",COUNTIF(AF72:AF$3000,AF72))</f>
        <v/>
      </c>
      <c r="AH72" s="114" t="str">
        <f t="shared" si="3"/>
        <v/>
      </c>
    </row>
    <row r="73" spans="6:34" x14ac:dyDescent="0.3">
      <c r="F73" s="35"/>
      <c r="J73" s="35"/>
      <c r="K73" s="35"/>
      <c r="L73" s="35"/>
      <c r="AD73" s="73"/>
      <c r="AF73" s="112" t="str">
        <f t="shared" si="2"/>
        <v/>
      </c>
      <c r="AG73" s="113" t="str">
        <f>IF(AF73="","",COUNTIF(AF73:AF$3000,AF73))</f>
        <v/>
      </c>
      <c r="AH73" s="114" t="str">
        <f t="shared" si="3"/>
        <v/>
      </c>
    </row>
    <row r="74" spans="6:34" x14ac:dyDescent="0.3">
      <c r="F74" s="35"/>
      <c r="J74" s="35"/>
      <c r="K74" s="35"/>
      <c r="L74" s="35"/>
      <c r="AD74" s="73"/>
      <c r="AF74" s="112" t="str">
        <f t="shared" si="2"/>
        <v/>
      </c>
      <c r="AG74" s="113" t="str">
        <f>IF(AF74="","",COUNTIF(AF74:AF$3000,AF74))</f>
        <v/>
      </c>
      <c r="AH74" s="114" t="str">
        <f t="shared" si="3"/>
        <v/>
      </c>
    </row>
    <row r="75" spans="6:34" x14ac:dyDescent="0.3">
      <c r="F75" s="35"/>
      <c r="J75" s="35"/>
      <c r="K75" s="35"/>
      <c r="L75" s="35"/>
      <c r="AD75" s="73"/>
      <c r="AF75" s="112" t="str">
        <f t="shared" si="2"/>
        <v/>
      </c>
      <c r="AG75" s="113" t="str">
        <f>IF(AF75="","",COUNTIF(AF75:AF$3000,AF75))</f>
        <v/>
      </c>
      <c r="AH75" s="114" t="str">
        <f t="shared" si="3"/>
        <v/>
      </c>
    </row>
    <row r="76" spans="6:34" x14ac:dyDescent="0.3">
      <c r="F76" s="35"/>
      <c r="J76" s="35"/>
      <c r="K76" s="35"/>
      <c r="L76" s="35"/>
      <c r="AD76" s="73"/>
      <c r="AF76" s="112" t="str">
        <f t="shared" si="2"/>
        <v/>
      </c>
      <c r="AG76" s="113" t="str">
        <f>IF(AF76="","",COUNTIF(AF76:AF$3000,AF76))</f>
        <v/>
      </c>
      <c r="AH76" s="114" t="str">
        <f t="shared" si="3"/>
        <v/>
      </c>
    </row>
    <row r="77" spans="6:34" x14ac:dyDescent="0.3">
      <c r="F77" s="35"/>
      <c r="J77" s="35"/>
      <c r="K77" s="35"/>
      <c r="L77" s="35"/>
      <c r="AD77" s="73"/>
      <c r="AF77" s="112" t="str">
        <f t="shared" si="2"/>
        <v/>
      </c>
      <c r="AG77" s="113" t="str">
        <f>IF(AF77="","",COUNTIF(AF77:AF$3000,AF77))</f>
        <v/>
      </c>
      <c r="AH77" s="114" t="str">
        <f t="shared" si="3"/>
        <v/>
      </c>
    </row>
    <row r="78" spans="6:34" x14ac:dyDescent="0.3">
      <c r="F78" s="35"/>
      <c r="J78" s="35"/>
      <c r="K78" s="35"/>
      <c r="L78" s="35"/>
      <c r="AD78" s="73"/>
      <c r="AF78" s="112" t="str">
        <f t="shared" si="2"/>
        <v/>
      </c>
      <c r="AG78" s="113" t="str">
        <f>IF(AF78="","",COUNTIF(AF78:AF$3000,AF78))</f>
        <v/>
      </c>
      <c r="AH78" s="114" t="str">
        <f t="shared" si="3"/>
        <v/>
      </c>
    </row>
    <row r="79" spans="6:34" x14ac:dyDescent="0.3">
      <c r="F79" s="35"/>
      <c r="J79" s="35"/>
      <c r="K79" s="35"/>
      <c r="L79" s="35"/>
      <c r="AD79" s="73"/>
      <c r="AF79" s="112" t="str">
        <f t="shared" si="2"/>
        <v/>
      </c>
      <c r="AG79" s="113" t="str">
        <f>IF(AF79="","",COUNTIF(AF79:AF$3000,AF79))</f>
        <v/>
      </c>
      <c r="AH79" s="114" t="str">
        <f t="shared" si="3"/>
        <v/>
      </c>
    </row>
    <row r="80" spans="6:34" x14ac:dyDescent="0.3">
      <c r="F80" s="35"/>
      <c r="J80" s="35"/>
      <c r="K80" s="35"/>
      <c r="L80" s="35"/>
      <c r="AD80" s="73"/>
      <c r="AF80" s="112" t="str">
        <f t="shared" si="2"/>
        <v/>
      </c>
      <c r="AG80" s="113" t="str">
        <f>IF(AF80="","",COUNTIF(AF80:AF$3000,AF80))</f>
        <v/>
      </c>
      <c r="AH80" s="114" t="str">
        <f t="shared" si="3"/>
        <v/>
      </c>
    </row>
    <row r="81" spans="6:34" x14ac:dyDescent="0.3">
      <c r="F81" s="35"/>
      <c r="J81" s="35"/>
      <c r="K81" s="35"/>
      <c r="L81" s="35"/>
      <c r="AD81" s="73"/>
      <c r="AF81" s="112" t="str">
        <f t="shared" si="2"/>
        <v/>
      </c>
      <c r="AG81" s="113" t="str">
        <f>IF(AF81="","",COUNTIF(AF81:AF$3000,AF81))</f>
        <v/>
      </c>
      <c r="AH81" s="114" t="str">
        <f t="shared" si="3"/>
        <v/>
      </c>
    </row>
    <row r="82" spans="6:34" x14ac:dyDescent="0.3">
      <c r="F82" s="35"/>
      <c r="J82" s="35"/>
      <c r="K82" s="35"/>
      <c r="L82" s="35"/>
      <c r="AD82" s="73"/>
      <c r="AF82" s="112" t="str">
        <f t="shared" si="2"/>
        <v/>
      </c>
      <c r="AG82" s="113" t="str">
        <f>IF(AF82="","",COUNTIF(AF82:AF$3000,AF82))</f>
        <v/>
      </c>
      <c r="AH82" s="114" t="str">
        <f t="shared" si="3"/>
        <v/>
      </c>
    </row>
    <row r="83" spans="6:34" x14ac:dyDescent="0.3">
      <c r="F83" s="35"/>
      <c r="J83" s="35"/>
      <c r="K83" s="35"/>
      <c r="L83" s="35"/>
      <c r="AD83" s="73"/>
      <c r="AF83" s="112" t="str">
        <f t="shared" si="2"/>
        <v/>
      </c>
      <c r="AG83" s="113" t="str">
        <f>IF(AF83="","",COUNTIF(AF83:AF$3000,AF83))</f>
        <v/>
      </c>
      <c r="AH83" s="114" t="str">
        <f t="shared" si="3"/>
        <v/>
      </c>
    </row>
    <row r="84" spans="6:34" x14ac:dyDescent="0.3">
      <c r="F84" s="35"/>
      <c r="J84" s="35"/>
      <c r="K84" s="35"/>
      <c r="L84" s="35"/>
      <c r="AD84" s="73"/>
      <c r="AF84" s="112" t="str">
        <f t="shared" si="2"/>
        <v/>
      </c>
      <c r="AG84" s="113" t="str">
        <f>IF(AF84="","",COUNTIF(AF84:AF$3000,AF84))</f>
        <v/>
      </c>
      <c r="AH84" s="114" t="str">
        <f t="shared" si="3"/>
        <v/>
      </c>
    </row>
    <row r="85" spans="6:34" x14ac:dyDescent="0.3">
      <c r="F85" s="35"/>
      <c r="J85" s="35"/>
      <c r="K85" s="35"/>
      <c r="L85" s="35"/>
      <c r="AD85" s="73"/>
      <c r="AF85" s="112" t="str">
        <f t="shared" si="2"/>
        <v/>
      </c>
      <c r="AG85" s="113" t="str">
        <f>IF(AF85="","",COUNTIF(AF85:AF$3000,AF85))</f>
        <v/>
      </c>
      <c r="AH85" s="114" t="str">
        <f t="shared" si="3"/>
        <v/>
      </c>
    </row>
    <row r="86" spans="6:34" x14ac:dyDescent="0.3">
      <c r="F86" s="35"/>
      <c r="J86" s="35"/>
      <c r="K86" s="35"/>
      <c r="L86" s="35"/>
      <c r="AD86" s="73"/>
      <c r="AF86" s="112" t="str">
        <f t="shared" si="2"/>
        <v/>
      </c>
      <c r="AG86" s="113" t="str">
        <f>IF(AF86="","",COUNTIF(AF86:AF$3000,AF86))</f>
        <v/>
      </c>
      <c r="AH86" s="114" t="str">
        <f t="shared" si="3"/>
        <v/>
      </c>
    </row>
    <row r="87" spans="6:34" x14ac:dyDescent="0.3">
      <c r="F87" s="35"/>
      <c r="J87" s="35"/>
      <c r="K87" s="35"/>
      <c r="L87" s="35"/>
      <c r="AD87" s="73"/>
      <c r="AF87" s="112" t="str">
        <f t="shared" si="2"/>
        <v/>
      </c>
      <c r="AG87" s="113" t="str">
        <f>IF(AF87="","",COUNTIF(AF87:AF$3000,AF87))</f>
        <v/>
      </c>
      <c r="AH87" s="114" t="str">
        <f t="shared" si="3"/>
        <v/>
      </c>
    </row>
    <row r="88" spans="6:34" x14ac:dyDescent="0.3">
      <c r="F88" s="35"/>
      <c r="J88" s="35"/>
      <c r="K88" s="35"/>
      <c r="L88" s="35"/>
      <c r="AD88" s="73"/>
      <c r="AF88" s="112" t="str">
        <f t="shared" si="2"/>
        <v/>
      </c>
      <c r="AG88" s="113" t="str">
        <f>IF(AF88="","",COUNTIF(AF88:AF$3000,AF88))</f>
        <v/>
      </c>
      <c r="AH88" s="114" t="str">
        <f t="shared" si="3"/>
        <v/>
      </c>
    </row>
    <row r="89" spans="6:34" x14ac:dyDescent="0.3">
      <c r="F89" s="35"/>
      <c r="J89" s="35"/>
      <c r="K89" s="35"/>
      <c r="L89" s="35"/>
      <c r="AD89" s="73"/>
      <c r="AF89" s="112" t="str">
        <f t="shared" si="2"/>
        <v/>
      </c>
      <c r="AG89" s="113" t="str">
        <f>IF(AF89="","",COUNTIF(AF89:AF$3000,AF89))</f>
        <v/>
      </c>
      <c r="AH89" s="114" t="str">
        <f t="shared" si="3"/>
        <v/>
      </c>
    </row>
    <row r="90" spans="6:34" x14ac:dyDescent="0.3">
      <c r="F90" s="35"/>
      <c r="J90" s="35"/>
      <c r="K90" s="35"/>
      <c r="L90" s="35"/>
      <c r="AD90" s="73"/>
      <c r="AF90" s="112" t="str">
        <f t="shared" si="2"/>
        <v/>
      </c>
      <c r="AG90" s="113" t="str">
        <f>IF(AF90="","",COUNTIF(AF90:AF$3000,AF90))</f>
        <v/>
      </c>
      <c r="AH90" s="114" t="str">
        <f t="shared" si="3"/>
        <v/>
      </c>
    </row>
    <row r="91" spans="6:34" x14ac:dyDescent="0.3">
      <c r="F91" s="35"/>
      <c r="J91" s="35"/>
      <c r="K91" s="35"/>
      <c r="L91" s="35"/>
      <c r="AD91" s="73"/>
      <c r="AF91" s="112" t="str">
        <f t="shared" si="2"/>
        <v/>
      </c>
      <c r="AG91" s="113" t="str">
        <f>IF(AF91="","",COUNTIF(AF91:AF$3000,AF91))</f>
        <v/>
      </c>
      <c r="AH91" s="114" t="str">
        <f t="shared" si="3"/>
        <v/>
      </c>
    </row>
    <row r="92" spans="6:34" x14ac:dyDescent="0.3">
      <c r="F92" s="35"/>
      <c r="J92" s="35"/>
      <c r="K92" s="35"/>
      <c r="L92" s="35"/>
      <c r="AD92" s="73"/>
      <c r="AF92" s="112" t="str">
        <f t="shared" si="2"/>
        <v/>
      </c>
      <c r="AG92" s="113" t="str">
        <f>IF(AF92="","",COUNTIF(AF92:AF$3000,AF92))</f>
        <v/>
      </c>
      <c r="AH92" s="114" t="str">
        <f t="shared" si="3"/>
        <v/>
      </c>
    </row>
    <row r="93" spans="6:34" x14ac:dyDescent="0.3">
      <c r="F93" s="35"/>
      <c r="J93" s="35"/>
      <c r="K93" s="35"/>
      <c r="L93" s="35"/>
      <c r="AD93" s="73"/>
      <c r="AF93" s="112" t="str">
        <f t="shared" si="2"/>
        <v/>
      </c>
      <c r="AG93" s="113" t="str">
        <f>IF(AF93="","",COUNTIF(AF93:AF$3000,AF93))</f>
        <v/>
      </c>
      <c r="AH93" s="114" t="str">
        <f t="shared" si="3"/>
        <v/>
      </c>
    </row>
    <row r="94" spans="6:34" x14ac:dyDescent="0.3">
      <c r="F94" s="35"/>
      <c r="J94" s="35"/>
      <c r="K94" s="35"/>
      <c r="L94" s="35"/>
      <c r="AD94" s="73"/>
      <c r="AF94" s="112" t="str">
        <f t="shared" si="2"/>
        <v/>
      </c>
      <c r="AG94" s="113" t="str">
        <f>IF(AF94="","",COUNTIF(AF94:AF$3000,AF94))</f>
        <v/>
      </c>
      <c r="AH94" s="114" t="str">
        <f t="shared" si="3"/>
        <v/>
      </c>
    </row>
    <row r="95" spans="6:34" x14ac:dyDescent="0.3">
      <c r="F95" s="35"/>
      <c r="J95" s="35"/>
      <c r="K95" s="35"/>
      <c r="L95" s="35"/>
      <c r="AD95" s="73"/>
      <c r="AF95" s="112" t="str">
        <f t="shared" si="2"/>
        <v/>
      </c>
      <c r="AG95" s="113" t="str">
        <f>IF(AF95="","",COUNTIF(AF95:AF$3000,AF95))</f>
        <v/>
      </c>
      <c r="AH95" s="114" t="str">
        <f t="shared" si="3"/>
        <v/>
      </c>
    </row>
    <row r="96" spans="6:34" x14ac:dyDescent="0.3">
      <c r="F96" s="35"/>
      <c r="J96" s="35"/>
      <c r="K96" s="35"/>
      <c r="L96" s="35"/>
      <c r="AD96" s="73"/>
      <c r="AF96" s="112" t="str">
        <f t="shared" si="2"/>
        <v/>
      </c>
      <c r="AG96" s="113" t="str">
        <f>IF(AF96="","",COUNTIF(AF96:AF$3000,AF96))</f>
        <v/>
      </c>
      <c r="AH96" s="114" t="str">
        <f t="shared" si="3"/>
        <v/>
      </c>
    </row>
    <row r="97" spans="6:34" x14ac:dyDescent="0.3">
      <c r="F97" s="35"/>
      <c r="J97" s="35"/>
      <c r="K97" s="35"/>
      <c r="L97" s="35"/>
      <c r="AD97" s="73"/>
      <c r="AF97" s="112" t="str">
        <f t="shared" si="2"/>
        <v/>
      </c>
      <c r="AG97" s="113" t="str">
        <f>IF(AF97="","",COUNTIF(AF97:AF$3000,AF97))</f>
        <v/>
      </c>
      <c r="AH97" s="114" t="str">
        <f t="shared" si="3"/>
        <v/>
      </c>
    </row>
    <row r="98" spans="6:34" x14ac:dyDescent="0.3">
      <c r="F98" s="35"/>
      <c r="J98" s="35"/>
      <c r="K98" s="35"/>
      <c r="L98" s="35"/>
      <c r="AD98" s="73"/>
      <c r="AF98" s="112" t="str">
        <f t="shared" si="2"/>
        <v/>
      </c>
      <c r="AG98" s="113" t="str">
        <f>IF(AF98="","",COUNTIF(AF98:AF$3000,AF98))</f>
        <v/>
      </c>
      <c r="AH98" s="114" t="str">
        <f t="shared" si="3"/>
        <v/>
      </c>
    </row>
    <row r="99" spans="6:34" x14ac:dyDescent="0.3">
      <c r="F99" s="35"/>
      <c r="J99" s="35"/>
      <c r="K99" s="35"/>
      <c r="L99" s="35"/>
      <c r="AD99" s="73"/>
      <c r="AF99" s="112" t="str">
        <f t="shared" si="2"/>
        <v/>
      </c>
      <c r="AG99" s="113" t="str">
        <f>IF(AF99="","",COUNTIF(AF99:AF$3000,AF99))</f>
        <v/>
      </c>
      <c r="AH99" s="114" t="str">
        <f t="shared" si="3"/>
        <v/>
      </c>
    </row>
    <row r="100" spans="6:34" x14ac:dyDescent="0.3">
      <c r="F100" s="35"/>
      <c r="J100" s="35"/>
      <c r="K100" s="35"/>
      <c r="L100" s="35"/>
      <c r="AD100" s="73"/>
      <c r="AF100" s="112" t="str">
        <f t="shared" si="2"/>
        <v/>
      </c>
      <c r="AG100" s="113" t="str">
        <f>IF(AF100="","",COUNTIF(AF100:AF$3000,AF100))</f>
        <v/>
      </c>
      <c r="AH100" s="114" t="str">
        <f t="shared" si="3"/>
        <v/>
      </c>
    </row>
    <row r="101" spans="6:34" x14ac:dyDescent="0.3">
      <c r="F101" s="35"/>
      <c r="J101" s="35"/>
      <c r="K101" s="35"/>
      <c r="L101" s="35"/>
      <c r="AD101" s="73"/>
      <c r="AF101" s="112" t="str">
        <f t="shared" si="2"/>
        <v/>
      </c>
      <c r="AG101" s="113" t="str">
        <f>IF(AF101="","",COUNTIF(AF101:AF$3000,AF101))</f>
        <v/>
      </c>
      <c r="AH101" s="114" t="str">
        <f t="shared" si="3"/>
        <v/>
      </c>
    </row>
    <row r="102" spans="6:34" x14ac:dyDescent="0.3">
      <c r="F102" s="35"/>
      <c r="J102" s="35"/>
      <c r="K102" s="35"/>
      <c r="L102" s="35"/>
      <c r="AD102" s="73"/>
      <c r="AF102" s="112" t="str">
        <f t="shared" si="2"/>
        <v/>
      </c>
      <c r="AG102" s="113" t="str">
        <f>IF(AF102="","",COUNTIF(AF102:AF$3000,AF102))</f>
        <v/>
      </c>
      <c r="AH102" s="114" t="str">
        <f t="shared" si="3"/>
        <v/>
      </c>
    </row>
    <row r="103" spans="6:34" x14ac:dyDescent="0.3">
      <c r="F103" s="35"/>
      <c r="J103" s="35"/>
      <c r="K103" s="35"/>
      <c r="L103" s="35"/>
      <c r="AD103" s="73"/>
      <c r="AF103" s="112" t="str">
        <f t="shared" si="2"/>
        <v/>
      </c>
      <c r="AG103" s="113" t="str">
        <f>IF(AF103="","",COUNTIF(AF103:AF$3000,AF103))</f>
        <v/>
      </c>
      <c r="AH103" s="114" t="str">
        <f t="shared" si="3"/>
        <v/>
      </c>
    </row>
    <row r="104" spans="6:34" x14ac:dyDescent="0.3">
      <c r="F104" s="35"/>
      <c r="J104" s="35"/>
      <c r="K104" s="35"/>
      <c r="L104" s="35"/>
      <c r="AD104" s="73"/>
      <c r="AF104" s="112" t="str">
        <f t="shared" si="2"/>
        <v/>
      </c>
      <c r="AG104" s="113" t="str">
        <f>IF(AF104="","",COUNTIF(AF104:AF$3000,AF104))</f>
        <v/>
      </c>
      <c r="AH104" s="114" t="str">
        <f t="shared" si="3"/>
        <v/>
      </c>
    </row>
    <row r="105" spans="6:34" x14ac:dyDescent="0.3">
      <c r="F105" s="35"/>
      <c r="J105" s="35"/>
      <c r="K105" s="35"/>
      <c r="L105" s="35"/>
      <c r="AD105" s="73"/>
      <c r="AF105" s="112" t="str">
        <f t="shared" si="2"/>
        <v/>
      </c>
      <c r="AG105" s="113" t="str">
        <f>IF(AF105="","",COUNTIF(AF105:AF$3000,AF105))</f>
        <v/>
      </c>
      <c r="AH105" s="114" t="str">
        <f t="shared" si="3"/>
        <v/>
      </c>
    </row>
    <row r="106" spans="6:34" x14ac:dyDescent="0.3">
      <c r="F106" s="35"/>
      <c r="J106" s="35"/>
      <c r="K106" s="35"/>
      <c r="L106" s="35"/>
      <c r="AD106" s="73"/>
      <c r="AF106" s="112" t="str">
        <f t="shared" si="2"/>
        <v/>
      </c>
      <c r="AG106" s="113" t="str">
        <f>IF(AF106="","",COUNTIF(AF106:AF$3000,AF106))</f>
        <v/>
      </c>
      <c r="AH106" s="114" t="str">
        <f t="shared" si="3"/>
        <v/>
      </c>
    </row>
    <row r="107" spans="6:34" x14ac:dyDescent="0.3">
      <c r="F107" s="35"/>
      <c r="J107" s="35"/>
      <c r="K107" s="35"/>
      <c r="L107" s="35"/>
      <c r="AD107" s="73"/>
      <c r="AF107" s="112" t="str">
        <f t="shared" si="2"/>
        <v/>
      </c>
      <c r="AG107" s="113" t="str">
        <f>IF(AF107="","",COUNTIF(AF107:AF$3000,AF107))</f>
        <v/>
      </c>
      <c r="AH107" s="114" t="str">
        <f t="shared" si="3"/>
        <v/>
      </c>
    </row>
    <row r="108" spans="6:34" x14ac:dyDescent="0.3">
      <c r="F108" s="35"/>
      <c r="J108" s="35"/>
      <c r="K108" s="35"/>
      <c r="L108" s="35"/>
      <c r="AD108" s="73"/>
      <c r="AF108" s="112" t="str">
        <f t="shared" si="2"/>
        <v/>
      </c>
      <c r="AG108" s="113" t="str">
        <f>IF(AF108="","",COUNTIF(AF108:AF$3000,AF108))</f>
        <v/>
      </c>
      <c r="AH108" s="114" t="str">
        <f t="shared" si="3"/>
        <v/>
      </c>
    </row>
    <row r="109" spans="6:34" x14ac:dyDescent="0.3">
      <c r="F109" s="35"/>
      <c r="J109" s="35"/>
      <c r="K109" s="35"/>
      <c r="L109" s="35"/>
      <c r="AD109" s="73"/>
      <c r="AF109" s="112" t="str">
        <f t="shared" si="2"/>
        <v/>
      </c>
      <c r="AG109" s="113" t="str">
        <f>IF(AF109="","",COUNTIF(AF109:AF$3000,AF109))</f>
        <v/>
      </c>
      <c r="AH109" s="114" t="str">
        <f t="shared" si="3"/>
        <v/>
      </c>
    </row>
    <row r="110" spans="6:34" x14ac:dyDescent="0.3">
      <c r="F110" s="35"/>
      <c r="J110" s="35"/>
      <c r="K110" s="35"/>
      <c r="L110" s="35"/>
      <c r="AD110" s="73"/>
      <c r="AF110" s="112" t="str">
        <f t="shared" si="2"/>
        <v/>
      </c>
      <c r="AG110" s="113" t="str">
        <f>IF(AF110="","",COUNTIF(AF110:AF$3000,AF110))</f>
        <v/>
      </c>
      <c r="AH110" s="114" t="str">
        <f t="shared" si="3"/>
        <v/>
      </c>
    </row>
    <row r="111" spans="6:34" x14ac:dyDescent="0.3">
      <c r="F111" s="35"/>
      <c r="J111" s="35"/>
      <c r="K111" s="35"/>
      <c r="L111" s="35"/>
      <c r="AD111" s="73"/>
      <c r="AF111" s="112" t="str">
        <f t="shared" si="2"/>
        <v/>
      </c>
      <c r="AG111" s="113" t="str">
        <f>IF(AF111="","",COUNTIF(AF111:AF$3000,AF111))</f>
        <v/>
      </c>
      <c r="AH111" s="114" t="str">
        <f t="shared" si="3"/>
        <v/>
      </c>
    </row>
    <row r="112" spans="6:34" x14ac:dyDescent="0.3">
      <c r="F112" s="35"/>
      <c r="J112" s="35"/>
      <c r="K112" s="35"/>
      <c r="L112" s="35"/>
      <c r="AD112" s="73"/>
      <c r="AF112" s="112" t="str">
        <f t="shared" si="2"/>
        <v/>
      </c>
      <c r="AG112" s="113" t="str">
        <f>IF(AF112="","",COUNTIF(AF112:AF$3000,AF112))</f>
        <v/>
      </c>
      <c r="AH112" s="114" t="str">
        <f t="shared" si="3"/>
        <v/>
      </c>
    </row>
    <row r="113" spans="6:34" x14ac:dyDescent="0.3">
      <c r="F113" s="35"/>
      <c r="J113" s="35"/>
      <c r="K113" s="35"/>
      <c r="L113" s="35"/>
      <c r="AD113" s="73"/>
      <c r="AF113" s="112" t="str">
        <f t="shared" si="2"/>
        <v/>
      </c>
      <c r="AG113" s="113" t="str">
        <f>IF(AF113="","",COUNTIF(AF113:AF$3000,AF113))</f>
        <v/>
      </c>
      <c r="AH113" s="114" t="str">
        <f t="shared" si="3"/>
        <v/>
      </c>
    </row>
    <row r="114" spans="6:34" x14ac:dyDescent="0.3">
      <c r="F114" s="35"/>
      <c r="J114" s="35"/>
      <c r="K114" s="35"/>
      <c r="L114" s="35"/>
      <c r="AD114" s="73"/>
      <c r="AF114" s="112" t="str">
        <f t="shared" si="2"/>
        <v/>
      </c>
      <c r="AG114" s="113" t="str">
        <f>IF(AF114="","",COUNTIF(AF114:AF$3000,AF114))</f>
        <v/>
      </c>
      <c r="AH114" s="114" t="str">
        <f t="shared" si="3"/>
        <v/>
      </c>
    </row>
    <row r="115" spans="6:34" x14ac:dyDescent="0.3">
      <c r="F115" s="35"/>
      <c r="J115" s="35"/>
      <c r="K115" s="35"/>
      <c r="L115" s="35"/>
      <c r="AD115" s="73"/>
      <c r="AF115" s="112" t="str">
        <f t="shared" si="2"/>
        <v/>
      </c>
      <c r="AG115" s="113" t="str">
        <f>IF(AF115="","",COUNTIF(AF115:AF$3000,AF115))</f>
        <v/>
      </c>
      <c r="AH115" s="114" t="str">
        <f t="shared" si="3"/>
        <v/>
      </c>
    </row>
    <row r="116" spans="6:34" x14ac:dyDescent="0.3">
      <c r="F116" s="35"/>
      <c r="J116" s="35"/>
      <c r="K116" s="35"/>
      <c r="L116" s="35"/>
      <c r="AD116" s="73"/>
      <c r="AF116" s="112" t="str">
        <f t="shared" si="2"/>
        <v/>
      </c>
      <c r="AG116" s="113" t="str">
        <f>IF(AF116="","",COUNTIF(AF116:AF$3000,AF116))</f>
        <v/>
      </c>
      <c r="AH116" s="114" t="str">
        <f t="shared" si="3"/>
        <v/>
      </c>
    </row>
    <row r="117" spans="6:34" x14ac:dyDescent="0.3">
      <c r="F117" s="35"/>
      <c r="J117" s="35"/>
      <c r="K117" s="35"/>
      <c r="L117" s="35"/>
      <c r="AD117" s="73"/>
      <c r="AF117" s="112" t="str">
        <f t="shared" si="2"/>
        <v/>
      </c>
      <c r="AG117" s="113" t="str">
        <f>IF(AF117="","",COUNTIF(AF117:AF$3000,AF117))</f>
        <v/>
      </c>
      <c r="AH117" s="114" t="str">
        <f t="shared" si="3"/>
        <v/>
      </c>
    </row>
    <row r="118" spans="6:34" x14ac:dyDescent="0.3">
      <c r="F118" s="35"/>
      <c r="J118" s="35"/>
      <c r="K118" s="35"/>
      <c r="L118" s="35"/>
      <c r="AD118" s="73"/>
      <c r="AF118" s="112" t="str">
        <f t="shared" si="2"/>
        <v/>
      </c>
      <c r="AG118" s="113" t="str">
        <f>IF(AF118="","",COUNTIF(AF118:AF$3000,AF118))</f>
        <v/>
      </c>
      <c r="AH118" s="114" t="str">
        <f t="shared" si="3"/>
        <v/>
      </c>
    </row>
    <row r="119" spans="6:34" x14ac:dyDescent="0.3">
      <c r="F119" s="35"/>
      <c r="J119" s="35"/>
      <c r="K119" s="35"/>
      <c r="L119" s="35"/>
      <c r="AD119" s="73"/>
      <c r="AF119" s="112" t="str">
        <f t="shared" si="2"/>
        <v/>
      </c>
      <c r="AG119" s="113" t="str">
        <f>IF(AF119="","",COUNTIF(AF119:AF$3000,AF119))</f>
        <v/>
      </c>
      <c r="AH119" s="114" t="str">
        <f t="shared" si="3"/>
        <v/>
      </c>
    </row>
    <row r="120" spans="6:34" x14ac:dyDescent="0.3">
      <c r="F120" s="35"/>
      <c r="J120" s="35"/>
      <c r="K120" s="35"/>
      <c r="L120" s="35"/>
      <c r="AD120" s="73"/>
      <c r="AF120" s="112" t="str">
        <f t="shared" si="2"/>
        <v/>
      </c>
      <c r="AG120" s="113" t="str">
        <f>IF(AF120="","",COUNTIF(AF120:AF$3000,AF120))</f>
        <v/>
      </c>
      <c r="AH120" s="114" t="str">
        <f t="shared" si="3"/>
        <v/>
      </c>
    </row>
    <row r="121" spans="6:34" x14ac:dyDescent="0.3">
      <c r="F121" s="35"/>
      <c r="J121" s="35"/>
      <c r="K121" s="35"/>
      <c r="L121" s="35"/>
      <c r="AD121" s="73"/>
      <c r="AF121" s="112" t="str">
        <f t="shared" si="2"/>
        <v/>
      </c>
      <c r="AG121" s="113" t="str">
        <f>IF(AF121="","",COUNTIF(AF121:AF$3000,AF121))</f>
        <v/>
      </c>
      <c r="AH121" s="114" t="str">
        <f t="shared" si="3"/>
        <v/>
      </c>
    </row>
    <row r="122" spans="6:34" x14ac:dyDescent="0.3">
      <c r="F122" s="35"/>
      <c r="J122" s="35"/>
      <c r="K122" s="35"/>
      <c r="L122" s="35"/>
      <c r="AD122" s="73"/>
      <c r="AF122" s="112" t="str">
        <f t="shared" si="2"/>
        <v/>
      </c>
      <c r="AG122" s="113" t="str">
        <f>IF(AF122="","",COUNTIF(AF122:AF$3000,AF122))</f>
        <v/>
      </c>
      <c r="AH122" s="114" t="str">
        <f t="shared" si="3"/>
        <v/>
      </c>
    </row>
    <row r="123" spans="6:34" x14ac:dyDescent="0.3">
      <c r="F123" s="35"/>
      <c r="J123" s="35"/>
      <c r="K123" s="35"/>
      <c r="L123" s="35"/>
      <c r="AD123" s="73"/>
      <c r="AF123" s="112" t="str">
        <f t="shared" si="2"/>
        <v/>
      </c>
      <c r="AG123" s="113" t="str">
        <f>IF(AF123="","",COUNTIF(AF123:AF$3000,AF123))</f>
        <v/>
      </c>
      <c r="AH123" s="114" t="str">
        <f t="shared" si="3"/>
        <v/>
      </c>
    </row>
    <row r="124" spans="6:34" x14ac:dyDescent="0.3">
      <c r="F124" s="35"/>
      <c r="J124" s="35"/>
      <c r="K124" s="35"/>
      <c r="L124" s="35"/>
      <c r="AD124" s="73"/>
      <c r="AF124" s="112" t="str">
        <f t="shared" si="2"/>
        <v/>
      </c>
      <c r="AG124" s="113" t="str">
        <f>IF(AF124="","",COUNTIF(AF124:AF$3000,AF124))</f>
        <v/>
      </c>
      <c r="AH124" s="114" t="str">
        <f t="shared" si="3"/>
        <v/>
      </c>
    </row>
    <row r="125" spans="6:34" x14ac:dyDescent="0.3">
      <c r="F125" s="35"/>
      <c r="J125" s="35"/>
      <c r="K125" s="35"/>
      <c r="L125" s="35"/>
      <c r="AD125" s="73"/>
      <c r="AF125" s="112" t="str">
        <f t="shared" si="2"/>
        <v/>
      </c>
      <c r="AG125" s="113" t="str">
        <f>IF(AF125="","",COUNTIF(AF125:AF$3000,AF125))</f>
        <v/>
      </c>
      <c r="AH125" s="114" t="str">
        <f t="shared" si="3"/>
        <v/>
      </c>
    </row>
    <row r="126" spans="6:34" x14ac:dyDescent="0.3">
      <c r="F126" s="35"/>
      <c r="J126" s="35"/>
      <c r="K126" s="35"/>
      <c r="L126" s="35"/>
      <c r="AD126" s="73"/>
      <c r="AF126" s="112" t="str">
        <f t="shared" si="2"/>
        <v/>
      </c>
      <c r="AG126" s="113" t="str">
        <f>IF(AF126="","",COUNTIF(AF126:AF$3000,AF126))</f>
        <v/>
      </c>
      <c r="AH126" s="114" t="str">
        <f t="shared" si="3"/>
        <v/>
      </c>
    </row>
    <row r="127" spans="6:34" x14ac:dyDescent="0.3">
      <c r="F127" s="35"/>
      <c r="J127" s="35"/>
      <c r="K127" s="35"/>
      <c r="L127" s="35"/>
      <c r="AD127" s="73"/>
      <c r="AF127" s="112" t="str">
        <f t="shared" si="2"/>
        <v/>
      </c>
      <c r="AG127" s="113" t="str">
        <f>IF(AF127="","",COUNTIF(AF127:AF$3000,AF127))</f>
        <v/>
      </c>
      <c r="AH127" s="114" t="str">
        <f t="shared" si="3"/>
        <v/>
      </c>
    </row>
    <row r="128" spans="6:34" x14ac:dyDescent="0.3">
      <c r="F128" s="35"/>
      <c r="J128" s="35"/>
      <c r="K128" s="35"/>
      <c r="L128" s="35"/>
      <c r="AD128" s="73"/>
      <c r="AF128" s="112" t="str">
        <f t="shared" si="2"/>
        <v/>
      </c>
      <c r="AG128" s="113" t="str">
        <f>IF(AF128="","",COUNTIF(AF128:AF$3000,AF128))</f>
        <v/>
      </c>
      <c r="AH128" s="114" t="str">
        <f t="shared" si="3"/>
        <v/>
      </c>
    </row>
    <row r="129" spans="6:34" x14ac:dyDescent="0.3">
      <c r="F129" s="35"/>
      <c r="J129" s="35"/>
      <c r="K129" s="35"/>
      <c r="L129" s="35"/>
      <c r="AD129" s="73"/>
      <c r="AF129" s="112" t="str">
        <f t="shared" si="2"/>
        <v/>
      </c>
      <c r="AG129" s="113" t="str">
        <f>IF(AF129="","",COUNTIF(AF129:AF$3000,AF129))</f>
        <v/>
      </c>
      <c r="AH129" s="114" t="str">
        <f t="shared" si="3"/>
        <v/>
      </c>
    </row>
    <row r="130" spans="6:34" x14ac:dyDescent="0.3">
      <c r="F130" s="35"/>
      <c r="J130" s="35"/>
      <c r="K130" s="35"/>
      <c r="L130" s="35"/>
      <c r="AD130" s="73"/>
      <c r="AF130" s="112" t="str">
        <f t="shared" si="2"/>
        <v/>
      </c>
      <c r="AG130" s="113" t="str">
        <f>IF(AF130="","",COUNTIF(AF130:AF$3000,AF130))</f>
        <v/>
      </c>
      <c r="AH130" s="114" t="str">
        <f t="shared" si="3"/>
        <v/>
      </c>
    </row>
    <row r="131" spans="6:34" x14ac:dyDescent="0.3">
      <c r="F131" s="35"/>
      <c r="J131" s="35"/>
      <c r="K131" s="35"/>
      <c r="L131" s="35"/>
      <c r="AD131" s="73"/>
      <c r="AF131" s="112" t="str">
        <f t="shared" si="2"/>
        <v/>
      </c>
      <c r="AG131" s="113" t="str">
        <f>IF(AF131="","",COUNTIF(AF131:AF$3000,AF131))</f>
        <v/>
      </c>
      <c r="AH131" s="114" t="str">
        <f t="shared" si="3"/>
        <v/>
      </c>
    </row>
    <row r="132" spans="6:34" x14ac:dyDescent="0.3">
      <c r="F132" s="35"/>
      <c r="J132" s="35"/>
      <c r="K132" s="35"/>
      <c r="L132" s="35"/>
      <c r="AD132" s="73"/>
      <c r="AF132" s="112" t="str">
        <f t="shared" ref="AF132:AF195" si="4">IF(B132="","",TEXT(J132,"DD/MM/AA")&amp;"_"&amp;S132&amp;"_"&amp;V132)</f>
        <v/>
      </c>
      <c r="AG132" s="113" t="str">
        <f>IF(AF132="","",COUNTIF(AF132:AF$3000,AF132))</f>
        <v/>
      </c>
      <c r="AH132" s="114" t="str">
        <f t="shared" ref="AH132:AH195" si="5">IF(AA132="","",
IF(AG132&gt;1,"",
IF(SUMIF(AF$3:AF$31,AF132,H$3:H$31)/10&lt;1,1,SUMIF(AF$3:AF$31,AF132,H$3:H$31)/10)))</f>
        <v/>
      </c>
    </row>
    <row r="133" spans="6:34" x14ac:dyDescent="0.3">
      <c r="F133" s="35"/>
      <c r="J133" s="35"/>
      <c r="K133" s="35"/>
      <c r="L133" s="35"/>
      <c r="AD133" s="73"/>
      <c r="AF133" s="112" t="str">
        <f t="shared" si="4"/>
        <v/>
      </c>
      <c r="AG133" s="113" t="str">
        <f>IF(AF133="","",COUNTIF(AF133:AF$3000,AF133))</f>
        <v/>
      </c>
      <c r="AH133" s="114" t="str">
        <f t="shared" si="5"/>
        <v/>
      </c>
    </row>
    <row r="134" spans="6:34" x14ac:dyDescent="0.3">
      <c r="F134" s="35"/>
      <c r="J134" s="35"/>
      <c r="K134" s="35"/>
      <c r="L134" s="35"/>
      <c r="AD134" s="73"/>
      <c r="AF134" s="112" t="str">
        <f t="shared" si="4"/>
        <v/>
      </c>
      <c r="AG134" s="113" t="str">
        <f>IF(AF134="","",COUNTIF(AF134:AF$3000,AF134))</f>
        <v/>
      </c>
      <c r="AH134" s="114" t="str">
        <f t="shared" si="5"/>
        <v/>
      </c>
    </row>
    <row r="135" spans="6:34" x14ac:dyDescent="0.3">
      <c r="F135" s="35"/>
      <c r="J135" s="35"/>
      <c r="K135" s="35"/>
      <c r="L135" s="35"/>
      <c r="AD135" s="73"/>
      <c r="AF135" s="112" t="str">
        <f t="shared" si="4"/>
        <v/>
      </c>
      <c r="AG135" s="113" t="str">
        <f>IF(AF135="","",COUNTIF(AF135:AF$3000,AF135))</f>
        <v/>
      </c>
      <c r="AH135" s="114" t="str">
        <f t="shared" si="5"/>
        <v/>
      </c>
    </row>
    <row r="136" spans="6:34" x14ac:dyDescent="0.3">
      <c r="F136" s="35"/>
      <c r="J136" s="35"/>
      <c r="K136" s="35"/>
      <c r="L136" s="35"/>
      <c r="AD136" s="73"/>
      <c r="AF136" s="112" t="str">
        <f t="shared" si="4"/>
        <v/>
      </c>
      <c r="AG136" s="113" t="str">
        <f>IF(AF136="","",COUNTIF(AF136:AF$3000,AF136))</f>
        <v/>
      </c>
      <c r="AH136" s="114" t="str">
        <f t="shared" si="5"/>
        <v/>
      </c>
    </row>
    <row r="137" spans="6:34" x14ac:dyDescent="0.3">
      <c r="F137" s="35"/>
      <c r="J137" s="35"/>
      <c r="K137" s="35"/>
      <c r="L137" s="35"/>
      <c r="AD137" s="73"/>
      <c r="AF137" s="112" t="str">
        <f t="shared" si="4"/>
        <v/>
      </c>
      <c r="AG137" s="113" t="str">
        <f>IF(AF137="","",COUNTIF(AF137:AF$3000,AF137))</f>
        <v/>
      </c>
      <c r="AH137" s="114" t="str">
        <f t="shared" si="5"/>
        <v/>
      </c>
    </row>
    <row r="138" spans="6:34" x14ac:dyDescent="0.3">
      <c r="F138" s="35"/>
      <c r="J138" s="35"/>
      <c r="K138" s="35"/>
      <c r="L138" s="35"/>
      <c r="AD138" s="73"/>
      <c r="AF138" s="112" t="str">
        <f t="shared" si="4"/>
        <v/>
      </c>
      <c r="AG138" s="113" t="str">
        <f>IF(AF138="","",COUNTIF(AF138:AF$3000,AF138))</f>
        <v/>
      </c>
      <c r="AH138" s="114" t="str">
        <f t="shared" si="5"/>
        <v/>
      </c>
    </row>
    <row r="139" spans="6:34" x14ac:dyDescent="0.3">
      <c r="F139" s="35"/>
      <c r="J139" s="35"/>
      <c r="K139" s="35"/>
      <c r="L139" s="35"/>
      <c r="AD139" s="73"/>
      <c r="AF139" s="112" t="str">
        <f t="shared" si="4"/>
        <v/>
      </c>
      <c r="AG139" s="113" t="str">
        <f>IF(AF139="","",COUNTIF(AF139:AF$3000,AF139))</f>
        <v/>
      </c>
      <c r="AH139" s="114" t="str">
        <f t="shared" si="5"/>
        <v/>
      </c>
    </row>
    <row r="140" spans="6:34" x14ac:dyDescent="0.3">
      <c r="F140" s="35"/>
      <c r="J140" s="35"/>
      <c r="K140" s="35"/>
      <c r="L140" s="35"/>
      <c r="AD140" s="73"/>
      <c r="AF140" s="112" t="str">
        <f t="shared" si="4"/>
        <v/>
      </c>
      <c r="AG140" s="113" t="str">
        <f>IF(AF140="","",COUNTIF(AF140:AF$3000,AF140))</f>
        <v/>
      </c>
      <c r="AH140" s="114" t="str">
        <f t="shared" si="5"/>
        <v/>
      </c>
    </row>
    <row r="141" spans="6:34" x14ac:dyDescent="0.3">
      <c r="F141" s="35"/>
      <c r="J141" s="35"/>
      <c r="K141" s="35"/>
      <c r="L141" s="35"/>
      <c r="AD141" s="73"/>
      <c r="AF141" s="112" t="str">
        <f t="shared" si="4"/>
        <v/>
      </c>
      <c r="AG141" s="113" t="str">
        <f>IF(AF141="","",COUNTIF(AF141:AF$3000,AF141))</f>
        <v/>
      </c>
      <c r="AH141" s="114" t="str">
        <f t="shared" si="5"/>
        <v/>
      </c>
    </row>
    <row r="142" spans="6:34" x14ac:dyDescent="0.3">
      <c r="F142" s="35"/>
      <c r="J142" s="35"/>
      <c r="K142" s="35"/>
      <c r="L142" s="35"/>
      <c r="AD142" s="73"/>
      <c r="AF142" s="112" t="str">
        <f t="shared" si="4"/>
        <v/>
      </c>
      <c r="AG142" s="113" t="str">
        <f>IF(AF142="","",COUNTIF(AF142:AF$3000,AF142))</f>
        <v/>
      </c>
      <c r="AH142" s="114" t="str">
        <f t="shared" si="5"/>
        <v/>
      </c>
    </row>
    <row r="143" spans="6:34" x14ac:dyDescent="0.3">
      <c r="F143" s="35"/>
      <c r="J143" s="35"/>
      <c r="K143" s="35"/>
      <c r="L143" s="35"/>
      <c r="AD143" s="73"/>
      <c r="AF143" s="112" t="str">
        <f t="shared" si="4"/>
        <v/>
      </c>
      <c r="AG143" s="113" t="str">
        <f>IF(AF143="","",COUNTIF(AF143:AF$3000,AF143))</f>
        <v/>
      </c>
      <c r="AH143" s="114" t="str">
        <f t="shared" si="5"/>
        <v/>
      </c>
    </row>
    <row r="144" spans="6:34" x14ac:dyDescent="0.3">
      <c r="F144" s="35"/>
      <c r="J144" s="35"/>
      <c r="K144" s="35"/>
      <c r="L144" s="35"/>
      <c r="AD144" s="73"/>
      <c r="AF144" s="112" t="str">
        <f t="shared" si="4"/>
        <v/>
      </c>
      <c r="AG144" s="113" t="str">
        <f>IF(AF144="","",COUNTIF(AF144:AF$3000,AF144))</f>
        <v/>
      </c>
      <c r="AH144" s="114" t="str">
        <f t="shared" si="5"/>
        <v/>
      </c>
    </row>
    <row r="145" spans="6:34" x14ac:dyDescent="0.3">
      <c r="F145" s="35"/>
      <c r="J145" s="35"/>
      <c r="K145" s="35"/>
      <c r="L145" s="35"/>
      <c r="AD145" s="73"/>
      <c r="AF145" s="112" t="str">
        <f t="shared" si="4"/>
        <v/>
      </c>
      <c r="AG145" s="113" t="str">
        <f>IF(AF145="","",COUNTIF(AF145:AF$3000,AF145))</f>
        <v/>
      </c>
      <c r="AH145" s="114" t="str">
        <f t="shared" si="5"/>
        <v/>
      </c>
    </row>
    <row r="146" spans="6:34" x14ac:dyDescent="0.3">
      <c r="F146" s="35"/>
      <c r="J146" s="35"/>
      <c r="K146" s="35"/>
      <c r="L146" s="35"/>
      <c r="AD146" s="73"/>
      <c r="AF146" s="112" t="str">
        <f t="shared" si="4"/>
        <v/>
      </c>
      <c r="AG146" s="113" t="str">
        <f>IF(AF146="","",COUNTIF(AF146:AF$3000,AF146))</f>
        <v/>
      </c>
      <c r="AH146" s="114" t="str">
        <f t="shared" si="5"/>
        <v/>
      </c>
    </row>
    <row r="147" spans="6:34" x14ac:dyDescent="0.3">
      <c r="F147" s="35"/>
      <c r="J147" s="35"/>
      <c r="K147" s="35"/>
      <c r="L147" s="35"/>
      <c r="AD147" s="73"/>
      <c r="AF147" s="112" t="str">
        <f t="shared" si="4"/>
        <v/>
      </c>
      <c r="AG147" s="113" t="str">
        <f>IF(AF147="","",COUNTIF(AF147:AF$3000,AF147))</f>
        <v/>
      </c>
      <c r="AH147" s="114" t="str">
        <f t="shared" si="5"/>
        <v/>
      </c>
    </row>
    <row r="148" spans="6:34" x14ac:dyDescent="0.3">
      <c r="F148" s="35"/>
      <c r="J148" s="35"/>
      <c r="K148" s="35"/>
      <c r="L148" s="35"/>
      <c r="AD148" s="73"/>
      <c r="AF148" s="112" t="str">
        <f t="shared" si="4"/>
        <v/>
      </c>
      <c r="AG148" s="113" t="str">
        <f>IF(AF148="","",COUNTIF(AF148:AF$3000,AF148))</f>
        <v/>
      </c>
      <c r="AH148" s="114" t="str">
        <f t="shared" si="5"/>
        <v/>
      </c>
    </row>
    <row r="149" spans="6:34" x14ac:dyDescent="0.3">
      <c r="F149" s="35"/>
      <c r="J149" s="35"/>
      <c r="K149" s="35"/>
      <c r="L149" s="35"/>
      <c r="AD149" s="73"/>
      <c r="AF149" s="112" t="str">
        <f t="shared" si="4"/>
        <v/>
      </c>
      <c r="AG149" s="113" t="str">
        <f>IF(AF149="","",COUNTIF(AF149:AF$3000,AF149))</f>
        <v/>
      </c>
      <c r="AH149" s="114" t="str">
        <f t="shared" si="5"/>
        <v/>
      </c>
    </row>
    <row r="150" spans="6:34" x14ac:dyDescent="0.3">
      <c r="F150" s="35"/>
      <c r="J150" s="35"/>
      <c r="K150" s="35"/>
      <c r="L150" s="35"/>
      <c r="AD150" s="73"/>
      <c r="AF150" s="112" t="str">
        <f t="shared" si="4"/>
        <v/>
      </c>
      <c r="AG150" s="113" t="str">
        <f>IF(AF150="","",COUNTIF(AF150:AF$3000,AF150))</f>
        <v/>
      </c>
      <c r="AH150" s="114" t="str">
        <f t="shared" si="5"/>
        <v/>
      </c>
    </row>
    <row r="151" spans="6:34" x14ac:dyDescent="0.3">
      <c r="F151" s="35"/>
      <c r="J151" s="35"/>
      <c r="K151" s="35"/>
      <c r="L151" s="35"/>
      <c r="AD151" s="73"/>
      <c r="AF151" s="112" t="str">
        <f t="shared" si="4"/>
        <v/>
      </c>
      <c r="AG151" s="113" t="str">
        <f>IF(AF151="","",COUNTIF(AF151:AF$3000,AF151))</f>
        <v/>
      </c>
      <c r="AH151" s="114" t="str">
        <f t="shared" si="5"/>
        <v/>
      </c>
    </row>
    <row r="152" spans="6:34" x14ac:dyDescent="0.3">
      <c r="F152" s="35"/>
      <c r="J152" s="35"/>
      <c r="K152" s="35"/>
      <c r="L152" s="35"/>
      <c r="AD152" s="73"/>
      <c r="AF152" s="112" t="str">
        <f t="shared" si="4"/>
        <v/>
      </c>
      <c r="AG152" s="113" t="str">
        <f>IF(AF152="","",COUNTIF(AF152:AF$3000,AF152))</f>
        <v/>
      </c>
      <c r="AH152" s="114" t="str">
        <f t="shared" si="5"/>
        <v/>
      </c>
    </row>
    <row r="153" spans="6:34" x14ac:dyDescent="0.3">
      <c r="F153" s="35"/>
      <c r="J153" s="35"/>
      <c r="K153" s="35"/>
      <c r="L153" s="35"/>
      <c r="AD153" s="73"/>
      <c r="AF153" s="112" t="str">
        <f t="shared" si="4"/>
        <v/>
      </c>
      <c r="AG153" s="113" t="str">
        <f>IF(AF153="","",COUNTIF(AF153:AF$3000,AF153))</f>
        <v/>
      </c>
      <c r="AH153" s="114" t="str">
        <f t="shared" si="5"/>
        <v/>
      </c>
    </row>
    <row r="154" spans="6:34" x14ac:dyDescent="0.3">
      <c r="F154" s="35"/>
      <c r="J154" s="35"/>
      <c r="K154" s="35"/>
      <c r="L154" s="35"/>
      <c r="AD154" s="73"/>
      <c r="AF154" s="112" t="str">
        <f t="shared" si="4"/>
        <v/>
      </c>
      <c r="AG154" s="113" t="str">
        <f>IF(AF154="","",COUNTIF(AF154:AF$3000,AF154))</f>
        <v/>
      </c>
      <c r="AH154" s="114" t="str">
        <f t="shared" si="5"/>
        <v/>
      </c>
    </row>
    <row r="155" spans="6:34" x14ac:dyDescent="0.3">
      <c r="F155" s="35"/>
      <c r="J155" s="35"/>
      <c r="K155" s="35"/>
      <c r="L155" s="35"/>
      <c r="AD155" s="73"/>
      <c r="AF155" s="112" t="str">
        <f t="shared" si="4"/>
        <v/>
      </c>
      <c r="AG155" s="113" t="str">
        <f>IF(AF155="","",COUNTIF(AF155:AF$3000,AF155))</f>
        <v/>
      </c>
      <c r="AH155" s="114" t="str">
        <f t="shared" si="5"/>
        <v/>
      </c>
    </row>
    <row r="156" spans="6:34" x14ac:dyDescent="0.3">
      <c r="F156" s="35"/>
      <c r="J156" s="35"/>
      <c r="K156" s="35"/>
      <c r="L156" s="35"/>
      <c r="AD156" s="73"/>
      <c r="AF156" s="112" t="str">
        <f t="shared" si="4"/>
        <v/>
      </c>
      <c r="AG156" s="113" t="str">
        <f>IF(AF156="","",COUNTIF(AF156:AF$3000,AF156))</f>
        <v/>
      </c>
      <c r="AH156" s="114" t="str">
        <f t="shared" si="5"/>
        <v/>
      </c>
    </row>
    <row r="157" spans="6:34" x14ac:dyDescent="0.3">
      <c r="F157" s="35"/>
      <c r="J157" s="35"/>
      <c r="K157" s="35"/>
      <c r="L157" s="35"/>
      <c r="AD157" s="73"/>
      <c r="AF157" s="112" t="str">
        <f t="shared" si="4"/>
        <v/>
      </c>
      <c r="AG157" s="113" t="str">
        <f>IF(AF157="","",COUNTIF(AF157:AF$3000,AF157))</f>
        <v/>
      </c>
      <c r="AH157" s="114" t="str">
        <f t="shared" si="5"/>
        <v/>
      </c>
    </row>
    <row r="158" spans="6:34" x14ac:dyDescent="0.3">
      <c r="F158" s="35"/>
      <c r="J158" s="35"/>
      <c r="K158" s="35"/>
      <c r="L158" s="35"/>
      <c r="AD158" s="73"/>
      <c r="AF158" s="112" t="str">
        <f t="shared" si="4"/>
        <v/>
      </c>
      <c r="AG158" s="113" t="str">
        <f>IF(AF158="","",COUNTIF(AF158:AF$3000,AF158))</f>
        <v/>
      </c>
      <c r="AH158" s="114" t="str">
        <f t="shared" si="5"/>
        <v/>
      </c>
    </row>
    <row r="159" spans="6:34" x14ac:dyDescent="0.3">
      <c r="F159" s="35"/>
      <c r="J159" s="35"/>
      <c r="K159" s="35"/>
      <c r="L159" s="35"/>
      <c r="AD159" s="73"/>
      <c r="AF159" s="112" t="str">
        <f t="shared" si="4"/>
        <v/>
      </c>
      <c r="AG159" s="113" t="str">
        <f>IF(AF159="","",COUNTIF(AF159:AF$3000,AF159))</f>
        <v/>
      </c>
      <c r="AH159" s="114" t="str">
        <f t="shared" si="5"/>
        <v/>
      </c>
    </row>
    <row r="160" spans="6:34" x14ac:dyDescent="0.3">
      <c r="F160" s="35"/>
      <c r="J160" s="35"/>
      <c r="K160" s="35"/>
      <c r="L160" s="35"/>
      <c r="AD160" s="73"/>
      <c r="AF160" s="112" t="str">
        <f t="shared" si="4"/>
        <v/>
      </c>
      <c r="AG160" s="113" t="str">
        <f>IF(AF160="","",COUNTIF(AF160:AF$3000,AF160))</f>
        <v/>
      </c>
      <c r="AH160" s="114" t="str">
        <f t="shared" si="5"/>
        <v/>
      </c>
    </row>
    <row r="161" spans="6:34" x14ac:dyDescent="0.3">
      <c r="F161" s="35"/>
      <c r="J161" s="35"/>
      <c r="K161" s="35"/>
      <c r="L161" s="35"/>
      <c r="AD161" s="73"/>
      <c r="AF161" s="112" t="str">
        <f t="shared" si="4"/>
        <v/>
      </c>
      <c r="AG161" s="113" t="str">
        <f>IF(AF161="","",COUNTIF(AF161:AF$3000,AF161))</f>
        <v/>
      </c>
      <c r="AH161" s="114" t="str">
        <f t="shared" si="5"/>
        <v/>
      </c>
    </row>
    <row r="162" spans="6:34" x14ac:dyDescent="0.3">
      <c r="F162" s="35"/>
      <c r="J162" s="35"/>
      <c r="K162" s="35"/>
      <c r="L162" s="35"/>
      <c r="AD162" s="73"/>
      <c r="AF162" s="112" t="str">
        <f t="shared" si="4"/>
        <v/>
      </c>
      <c r="AG162" s="113" t="str">
        <f>IF(AF162="","",COUNTIF(AF162:AF$3000,AF162))</f>
        <v/>
      </c>
      <c r="AH162" s="114" t="str">
        <f t="shared" si="5"/>
        <v/>
      </c>
    </row>
    <row r="163" spans="6:34" x14ac:dyDescent="0.3">
      <c r="F163" s="35"/>
      <c r="J163" s="35"/>
      <c r="K163" s="35"/>
      <c r="L163" s="35"/>
      <c r="AD163" s="73"/>
      <c r="AF163" s="112" t="str">
        <f t="shared" si="4"/>
        <v/>
      </c>
      <c r="AG163" s="113" t="str">
        <f>IF(AF163="","",COUNTIF(AF163:AF$3000,AF163))</f>
        <v/>
      </c>
      <c r="AH163" s="114" t="str">
        <f t="shared" si="5"/>
        <v/>
      </c>
    </row>
    <row r="164" spans="6:34" x14ac:dyDescent="0.3">
      <c r="F164" s="35"/>
      <c r="J164" s="35"/>
      <c r="K164" s="35"/>
      <c r="L164" s="35"/>
      <c r="AD164" s="73"/>
      <c r="AF164" s="112" t="str">
        <f t="shared" si="4"/>
        <v/>
      </c>
      <c r="AG164" s="113" t="str">
        <f>IF(AF164="","",COUNTIF(AF164:AF$3000,AF164))</f>
        <v/>
      </c>
      <c r="AH164" s="114" t="str">
        <f t="shared" si="5"/>
        <v/>
      </c>
    </row>
    <row r="165" spans="6:34" x14ac:dyDescent="0.3">
      <c r="F165" s="35"/>
      <c r="J165" s="35"/>
      <c r="K165" s="35"/>
      <c r="L165" s="35"/>
      <c r="AD165" s="73"/>
      <c r="AF165" s="112" t="str">
        <f t="shared" si="4"/>
        <v/>
      </c>
      <c r="AG165" s="113" t="str">
        <f>IF(AF165="","",COUNTIF(AF165:AF$3000,AF165))</f>
        <v/>
      </c>
      <c r="AH165" s="114" t="str">
        <f t="shared" si="5"/>
        <v/>
      </c>
    </row>
    <row r="166" spans="6:34" x14ac:dyDescent="0.3">
      <c r="F166" s="35"/>
      <c r="J166" s="35"/>
      <c r="K166" s="35"/>
      <c r="L166" s="35"/>
      <c r="AD166" s="73"/>
      <c r="AF166" s="112" t="str">
        <f t="shared" si="4"/>
        <v/>
      </c>
      <c r="AG166" s="113" t="str">
        <f>IF(AF166="","",COUNTIF(AF166:AF$3000,AF166))</f>
        <v/>
      </c>
      <c r="AH166" s="114" t="str">
        <f t="shared" si="5"/>
        <v/>
      </c>
    </row>
    <row r="167" spans="6:34" x14ac:dyDescent="0.3">
      <c r="F167" s="35"/>
      <c r="J167" s="35"/>
      <c r="K167" s="35"/>
      <c r="L167" s="35"/>
      <c r="AD167" s="73"/>
      <c r="AF167" s="112" t="str">
        <f t="shared" si="4"/>
        <v/>
      </c>
      <c r="AG167" s="113" t="str">
        <f>IF(AF167="","",COUNTIF(AF167:AF$3000,AF167))</f>
        <v/>
      </c>
      <c r="AH167" s="114" t="str">
        <f t="shared" si="5"/>
        <v/>
      </c>
    </row>
    <row r="168" spans="6:34" x14ac:dyDescent="0.3">
      <c r="F168" s="35"/>
      <c r="J168" s="35"/>
      <c r="K168" s="35"/>
      <c r="L168" s="35"/>
      <c r="AD168" s="73"/>
      <c r="AF168" s="112" t="str">
        <f t="shared" si="4"/>
        <v/>
      </c>
      <c r="AG168" s="113" t="str">
        <f>IF(AF168="","",COUNTIF(AF168:AF$3000,AF168))</f>
        <v/>
      </c>
      <c r="AH168" s="114" t="str">
        <f t="shared" si="5"/>
        <v/>
      </c>
    </row>
    <row r="169" spans="6:34" x14ac:dyDescent="0.3">
      <c r="F169" s="35"/>
      <c r="J169" s="35"/>
      <c r="K169" s="35"/>
      <c r="L169" s="35"/>
      <c r="AD169" s="73"/>
      <c r="AF169" s="112" t="str">
        <f t="shared" si="4"/>
        <v/>
      </c>
      <c r="AG169" s="113" t="str">
        <f>IF(AF169="","",COUNTIF(AF169:AF$3000,AF169))</f>
        <v/>
      </c>
      <c r="AH169" s="114" t="str">
        <f t="shared" si="5"/>
        <v/>
      </c>
    </row>
    <row r="170" spans="6:34" x14ac:dyDescent="0.3">
      <c r="F170" s="35"/>
      <c r="J170" s="35"/>
      <c r="K170" s="35"/>
      <c r="L170" s="35"/>
      <c r="AD170" s="73"/>
      <c r="AF170" s="112" t="str">
        <f t="shared" si="4"/>
        <v/>
      </c>
      <c r="AG170" s="113" t="str">
        <f>IF(AF170="","",COUNTIF(AF170:AF$3000,AF170))</f>
        <v/>
      </c>
      <c r="AH170" s="114" t="str">
        <f t="shared" si="5"/>
        <v/>
      </c>
    </row>
    <row r="171" spans="6:34" x14ac:dyDescent="0.3">
      <c r="F171" s="35"/>
      <c r="J171" s="35"/>
      <c r="K171" s="35"/>
      <c r="L171" s="35"/>
      <c r="AD171" s="73"/>
      <c r="AF171" s="112" t="str">
        <f t="shared" si="4"/>
        <v/>
      </c>
      <c r="AG171" s="113" t="str">
        <f>IF(AF171="","",COUNTIF(AF171:AF$3000,AF171))</f>
        <v/>
      </c>
      <c r="AH171" s="114" t="str">
        <f t="shared" si="5"/>
        <v/>
      </c>
    </row>
    <row r="172" spans="6:34" x14ac:dyDescent="0.3">
      <c r="F172" s="35"/>
      <c r="J172" s="35"/>
      <c r="K172" s="35"/>
      <c r="L172" s="35"/>
      <c r="AD172" s="73"/>
      <c r="AF172" s="112" t="str">
        <f t="shared" si="4"/>
        <v/>
      </c>
      <c r="AG172" s="113" t="str">
        <f>IF(AF172="","",COUNTIF(AF172:AF$3000,AF172))</f>
        <v/>
      </c>
      <c r="AH172" s="114" t="str">
        <f t="shared" si="5"/>
        <v/>
      </c>
    </row>
    <row r="173" spans="6:34" x14ac:dyDescent="0.3">
      <c r="F173" s="35"/>
      <c r="J173" s="35"/>
      <c r="K173" s="35"/>
      <c r="L173" s="35"/>
      <c r="AD173" s="73"/>
      <c r="AF173" s="112" t="str">
        <f t="shared" si="4"/>
        <v/>
      </c>
      <c r="AG173" s="113" t="str">
        <f>IF(AF173="","",COUNTIF(AF173:AF$3000,AF173))</f>
        <v/>
      </c>
      <c r="AH173" s="114" t="str">
        <f t="shared" si="5"/>
        <v/>
      </c>
    </row>
    <row r="174" spans="6:34" x14ac:dyDescent="0.3">
      <c r="F174" s="35"/>
      <c r="J174" s="35"/>
      <c r="K174" s="35"/>
      <c r="L174" s="35"/>
      <c r="AD174" s="73"/>
      <c r="AF174" s="112" t="str">
        <f t="shared" si="4"/>
        <v/>
      </c>
      <c r="AG174" s="113" t="str">
        <f>IF(AF174="","",COUNTIF(AF174:AF$3000,AF174))</f>
        <v/>
      </c>
      <c r="AH174" s="114" t="str">
        <f t="shared" si="5"/>
        <v/>
      </c>
    </row>
    <row r="175" spans="6:34" x14ac:dyDescent="0.3">
      <c r="F175" s="35"/>
      <c r="J175" s="35"/>
      <c r="K175" s="35"/>
      <c r="L175" s="35"/>
      <c r="AD175" s="73"/>
      <c r="AF175" s="112" t="str">
        <f t="shared" si="4"/>
        <v/>
      </c>
      <c r="AG175" s="113" t="str">
        <f>IF(AF175="","",COUNTIF(AF175:AF$3000,AF175))</f>
        <v/>
      </c>
      <c r="AH175" s="114" t="str">
        <f t="shared" si="5"/>
        <v/>
      </c>
    </row>
    <row r="176" spans="6:34" x14ac:dyDescent="0.3">
      <c r="F176" s="35"/>
      <c r="J176" s="35"/>
      <c r="K176" s="35"/>
      <c r="L176" s="35"/>
      <c r="AD176" s="73"/>
      <c r="AF176" s="112" t="str">
        <f t="shared" si="4"/>
        <v/>
      </c>
      <c r="AG176" s="113" t="str">
        <f>IF(AF176="","",COUNTIF(AF176:AF$3000,AF176))</f>
        <v/>
      </c>
      <c r="AH176" s="114" t="str">
        <f t="shared" si="5"/>
        <v/>
      </c>
    </row>
    <row r="177" spans="6:34" x14ac:dyDescent="0.3">
      <c r="F177" s="35"/>
      <c r="J177" s="35"/>
      <c r="K177" s="35"/>
      <c r="L177" s="35"/>
      <c r="AD177" s="73"/>
      <c r="AF177" s="112" t="str">
        <f t="shared" si="4"/>
        <v/>
      </c>
      <c r="AG177" s="113" t="str">
        <f>IF(AF177="","",COUNTIF(AF177:AF$3000,AF177))</f>
        <v/>
      </c>
      <c r="AH177" s="114" t="str">
        <f t="shared" si="5"/>
        <v/>
      </c>
    </row>
    <row r="178" spans="6:34" x14ac:dyDescent="0.3">
      <c r="F178" s="35"/>
      <c r="J178" s="35"/>
      <c r="K178" s="35"/>
      <c r="L178" s="35"/>
      <c r="AD178" s="73"/>
      <c r="AF178" s="112" t="str">
        <f t="shared" si="4"/>
        <v/>
      </c>
      <c r="AG178" s="113" t="str">
        <f>IF(AF178="","",COUNTIF(AF178:AF$3000,AF178))</f>
        <v/>
      </c>
      <c r="AH178" s="114" t="str">
        <f t="shared" si="5"/>
        <v/>
      </c>
    </row>
    <row r="179" spans="6:34" x14ac:dyDescent="0.3">
      <c r="F179" s="35"/>
      <c r="J179" s="35"/>
      <c r="K179" s="35"/>
      <c r="L179" s="35"/>
      <c r="AD179" s="73"/>
      <c r="AF179" s="112" t="str">
        <f t="shared" si="4"/>
        <v/>
      </c>
      <c r="AG179" s="113" t="str">
        <f>IF(AF179="","",COUNTIF(AF179:AF$3000,AF179))</f>
        <v/>
      </c>
      <c r="AH179" s="114" t="str">
        <f t="shared" si="5"/>
        <v/>
      </c>
    </row>
    <row r="180" spans="6:34" x14ac:dyDescent="0.3">
      <c r="F180" s="35"/>
      <c r="J180" s="35"/>
      <c r="K180" s="35"/>
      <c r="L180" s="35"/>
      <c r="AD180" s="73"/>
      <c r="AF180" s="112" t="str">
        <f t="shared" si="4"/>
        <v/>
      </c>
      <c r="AG180" s="113" t="str">
        <f>IF(AF180="","",COUNTIF(AF180:AF$3000,AF180))</f>
        <v/>
      </c>
      <c r="AH180" s="114" t="str">
        <f t="shared" si="5"/>
        <v/>
      </c>
    </row>
    <row r="181" spans="6:34" x14ac:dyDescent="0.3">
      <c r="F181" s="35"/>
      <c r="J181" s="35"/>
      <c r="K181" s="35"/>
      <c r="L181" s="35"/>
      <c r="AD181" s="73"/>
      <c r="AF181" s="112" t="str">
        <f t="shared" si="4"/>
        <v/>
      </c>
      <c r="AG181" s="113" t="str">
        <f>IF(AF181="","",COUNTIF(AF181:AF$3000,AF181))</f>
        <v/>
      </c>
      <c r="AH181" s="114" t="str">
        <f t="shared" si="5"/>
        <v/>
      </c>
    </row>
    <row r="182" spans="6:34" x14ac:dyDescent="0.3">
      <c r="F182" s="35"/>
      <c r="J182" s="35"/>
      <c r="K182" s="35"/>
      <c r="L182" s="35"/>
      <c r="AD182" s="73"/>
      <c r="AF182" s="112" t="str">
        <f t="shared" si="4"/>
        <v/>
      </c>
      <c r="AG182" s="113" t="str">
        <f>IF(AF182="","",COUNTIF(AF182:AF$3000,AF182))</f>
        <v/>
      </c>
      <c r="AH182" s="114" t="str">
        <f t="shared" si="5"/>
        <v/>
      </c>
    </row>
    <row r="183" spans="6:34" x14ac:dyDescent="0.3">
      <c r="F183" s="35"/>
      <c r="J183" s="35"/>
      <c r="K183" s="35"/>
      <c r="L183" s="35"/>
      <c r="AD183" s="73"/>
      <c r="AF183" s="112" t="str">
        <f t="shared" si="4"/>
        <v/>
      </c>
      <c r="AG183" s="113" t="str">
        <f>IF(AF183="","",COUNTIF(AF183:AF$3000,AF183))</f>
        <v/>
      </c>
      <c r="AH183" s="114" t="str">
        <f t="shared" si="5"/>
        <v/>
      </c>
    </row>
    <row r="184" spans="6:34" x14ac:dyDescent="0.3">
      <c r="F184" s="35"/>
      <c r="J184" s="35"/>
      <c r="K184" s="35"/>
      <c r="L184" s="35"/>
      <c r="AD184" s="73"/>
      <c r="AF184" s="112" t="str">
        <f t="shared" si="4"/>
        <v/>
      </c>
      <c r="AG184" s="113" t="str">
        <f>IF(AF184="","",COUNTIF(AF184:AF$3000,AF184))</f>
        <v/>
      </c>
      <c r="AH184" s="114" t="str">
        <f t="shared" si="5"/>
        <v/>
      </c>
    </row>
    <row r="185" spans="6:34" x14ac:dyDescent="0.3">
      <c r="F185" s="35"/>
      <c r="J185" s="35"/>
      <c r="K185" s="35"/>
      <c r="L185" s="35"/>
      <c r="AD185" s="73"/>
      <c r="AF185" s="112" t="str">
        <f t="shared" si="4"/>
        <v/>
      </c>
      <c r="AG185" s="113" t="str">
        <f>IF(AF185="","",COUNTIF(AF185:AF$3000,AF185))</f>
        <v/>
      </c>
      <c r="AH185" s="114" t="str">
        <f t="shared" si="5"/>
        <v/>
      </c>
    </row>
    <row r="186" spans="6:34" x14ac:dyDescent="0.3">
      <c r="F186" s="35"/>
      <c r="J186" s="35"/>
      <c r="K186" s="35"/>
      <c r="L186" s="35"/>
      <c r="AD186" s="73"/>
      <c r="AF186" s="112" t="str">
        <f t="shared" si="4"/>
        <v/>
      </c>
      <c r="AG186" s="113" t="str">
        <f>IF(AF186="","",COUNTIF(AF186:AF$3000,AF186))</f>
        <v/>
      </c>
      <c r="AH186" s="114" t="str">
        <f t="shared" si="5"/>
        <v/>
      </c>
    </row>
    <row r="187" spans="6:34" x14ac:dyDescent="0.3">
      <c r="F187" s="35"/>
      <c r="J187" s="35"/>
      <c r="K187" s="35"/>
      <c r="L187" s="35"/>
      <c r="AD187" s="73"/>
      <c r="AF187" s="112" t="str">
        <f t="shared" si="4"/>
        <v/>
      </c>
      <c r="AG187" s="113" t="str">
        <f>IF(AF187="","",COUNTIF(AF187:AF$3000,AF187))</f>
        <v/>
      </c>
      <c r="AH187" s="114" t="str">
        <f t="shared" si="5"/>
        <v/>
      </c>
    </row>
    <row r="188" spans="6:34" x14ac:dyDescent="0.3">
      <c r="F188" s="35"/>
      <c r="J188" s="35"/>
      <c r="K188" s="35"/>
      <c r="L188" s="35"/>
      <c r="AD188" s="73"/>
      <c r="AF188" s="112" t="str">
        <f t="shared" si="4"/>
        <v/>
      </c>
      <c r="AG188" s="113" t="str">
        <f>IF(AF188="","",COUNTIF(AF188:AF$3000,AF188))</f>
        <v/>
      </c>
      <c r="AH188" s="114" t="str">
        <f t="shared" si="5"/>
        <v/>
      </c>
    </row>
    <row r="189" spans="6:34" x14ac:dyDescent="0.3">
      <c r="F189" s="35"/>
      <c r="J189" s="35"/>
      <c r="K189" s="35"/>
      <c r="L189" s="35"/>
      <c r="AD189" s="73"/>
      <c r="AF189" s="112" t="str">
        <f t="shared" si="4"/>
        <v/>
      </c>
      <c r="AG189" s="113" t="str">
        <f>IF(AF189="","",COUNTIF(AF189:AF$3000,AF189))</f>
        <v/>
      </c>
      <c r="AH189" s="114" t="str">
        <f t="shared" si="5"/>
        <v/>
      </c>
    </row>
    <row r="190" spans="6:34" x14ac:dyDescent="0.3">
      <c r="F190" s="35"/>
      <c r="J190" s="35"/>
      <c r="K190" s="35"/>
      <c r="L190" s="35"/>
      <c r="AD190" s="73"/>
      <c r="AF190" s="112" t="str">
        <f t="shared" si="4"/>
        <v/>
      </c>
      <c r="AG190" s="113" t="str">
        <f>IF(AF190="","",COUNTIF(AF190:AF$3000,AF190))</f>
        <v/>
      </c>
      <c r="AH190" s="114" t="str">
        <f t="shared" si="5"/>
        <v/>
      </c>
    </row>
    <row r="191" spans="6:34" x14ac:dyDescent="0.3">
      <c r="F191" s="35"/>
      <c r="J191" s="35"/>
      <c r="K191" s="35"/>
      <c r="L191" s="35"/>
      <c r="AD191" s="73"/>
      <c r="AF191" s="112" t="str">
        <f t="shared" si="4"/>
        <v/>
      </c>
      <c r="AG191" s="113" t="str">
        <f>IF(AF191="","",COUNTIF(AF191:AF$3000,AF191))</f>
        <v/>
      </c>
      <c r="AH191" s="114" t="str">
        <f t="shared" si="5"/>
        <v/>
      </c>
    </row>
    <row r="192" spans="6:34" x14ac:dyDescent="0.3">
      <c r="F192" s="35"/>
      <c r="J192" s="35"/>
      <c r="K192" s="35"/>
      <c r="L192" s="35"/>
      <c r="AD192" s="73"/>
      <c r="AF192" s="112" t="str">
        <f t="shared" si="4"/>
        <v/>
      </c>
      <c r="AG192" s="113" t="str">
        <f>IF(AF192="","",COUNTIF(AF192:AF$3000,AF192))</f>
        <v/>
      </c>
      <c r="AH192" s="114" t="str">
        <f t="shared" si="5"/>
        <v/>
      </c>
    </row>
    <row r="193" spans="6:34" x14ac:dyDescent="0.3">
      <c r="F193" s="35"/>
      <c r="J193" s="35"/>
      <c r="K193" s="35"/>
      <c r="L193" s="35"/>
      <c r="AD193" s="73"/>
      <c r="AF193" s="112" t="str">
        <f t="shared" si="4"/>
        <v/>
      </c>
      <c r="AG193" s="113" t="str">
        <f>IF(AF193="","",COUNTIF(AF193:AF$3000,AF193))</f>
        <v/>
      </c>
      <c r="AH193" s="114" t="str">
        <f t="shared" si="5"/>
        <v/>
      </c>
    </row>
    <row r="194" spans="6:34" x14ac:dyDescent="0.3">
      <c r="F194" s="35"/>
      <c r="J194" s="35"/>
      <c r="K194" s="35"/>
      <c r="L194" s="35"/>
      <c r="AD194" s="73"/>
      <c r="AF194" s="112" t="str">
        <f t="shared" si="4"/>
        <v/>
      </c>
      <c r="AG194" s="113" t="str">
        <f>IF(AF194="","",COUNTIF(AF194:AF$3000,AF194))</f>
        <v/>
      </c>
      <c r="AH194" s="114" t="str">
        <f t="shared" si="5"/>
        <v/>
      </c>
    </row>
    <row r="195" spans="6:34" x14ac:dyDescent="0.3">
      <c r="F195" s="35"/>
      <c r="J195" s="35"/>
      <c r="K195" s="35"/>
      <c r="L195" s="35"/>
      <c r="AD195" s="73"/>
      <c r="AF195" s="112" t="str">
        <f t="shared" si="4"/>
        <v/>
      </c>
      <c r="AG195" s="113" t="str">
        <f>IF(AF195="","",COUNTIF(AF195:AF$3000,AF195))</f>
        <v/>
      </c>
      <c r="AH195" s="114" t="str">
        <f t="shared" si="5"/>
        <v/>
      </c>
    </row>
    <row r="196" spans="6:34" x14ac:dyDescent="0.3">
      <c r="F196" s="35"/>
      <c r="J196" s="35"/>
      <c r="K196" s="35"/>
      <c r="L196" s="35"/>
      <c r="AD196" s="73"/>
      <c r="AF196" s="112" t="str">
        <f t="shared" ref="AF196:AF259" si="6">IF(B196="","",TEXT(J196,"DD/MM/AA")&amp;"_"&amp;S196&amp;"_"&amp;V196)</f>
        <v/>
      </c>
      <c r="AG196" s="113" t="str">
        <f>IF(AF196="","",COUNTIF(AF196:AF$3000,AF196))</f>
        <v/>
      </c>
      <c r="AH196" s="114" t="str">
        <f t="shared" ref="AH196:AH259" si="7">IF(AA196="","",
IF(AG196&gt;1,"",
IF(SUMIF(AF$3:AF$31,AF196,H$3:H$31)/10&lt;1,1,SUMIF(AF$3:AF$31,AF196,H$3:H$31)/10)))</f>
        <v/>
      </c>
    </row>
    <row r="197" spans="6:34" x14ac:dyDescent="0.3">
      <c r="F197" s="35"/>
      <c r="J197" s="35"/>
      <c r="K197" s="35"/>
      <c r="L197" s="35"/>
      <c r="AD197" s="73"/>
      <c r="AF197" s="112" t="str">
        <f t="shared" si="6"/>
        <v/>
      </c>
      <c r="AG197" s="113" t="str">
        <f>IF(AF197="","",COUNTIF(AF197:AF$3000,AF197))</f>
        <v/>
      </c>
      <c r="AH197" s="114" t="str">
        <f t="shared" si="7"/>
        <v/>
      </c>
    </row>
    <row r="198" spans="6:34" x14ac:dyDescent="0.3">
      <c r="F198" s="35"/>
      <c r="J198" s="35"/>
      <c r="K198" s="35"/>
      <c r="L198" s="35"/>
      <c r="AD198" s="73"/>
      <c r="AF198" s="112" t="str">
        <f t="shared" si="6"/>
        <v/>
      </c>
      <c r="AG198" s="113" t="str">
        <f>IF(AF198="","",COUNTIF(AF198:AF$3000,AF198))</f>
        <v/>
      </c>
      <c r="AH198" s="114" t="str">
        <f t="shared" si="7"/>
        <v/>
      </c>
    </row>
    <row r="199" spans="6:34" x14ac:dyDescent="0.3">
      <c r="F199" s="35"/>
      <c r="J199" s="35"/>
      <c r="K199" s="35"/>
      <c r="L199" s="35"/>
      <c r="AD199" s="73"/>
      <c r="AF199" s="112" t="str">
        <f t="shared" si="6"/>
        <v/>
      </c>
      <c r="AG199" s="113" t="str">
        <f>IF(AF199="","",COUNTIF(AF199:AF$3000,AF199))</f>
        <v/>
      </c>
      <c r="AH199" s="114" t="str">
        <f t="shared" si="7"/>
        <v/>
      </c>
    </row>
    <row r="200" spans="6:34" x14ac:dyDescent="0.3">
      <c r="F200" s="35"/>
      <c r="J200" s="35"/>
      <c r="K200" s="35"/>
      <c r="L200" s="35"/>
      <c r="AD200" s="73"/>
      <c r="AF200" s="112" t="str">
        <f t="shared" si="6"/>
        <v/>
      </c>
      <c r="AG200" s="113" t="str">
        <f>IF(AF200="","",COUNTIF(AF200:AF$3000,AF200))</f>
        <v/>
      </c>
      <c r="AH200" s="114" t="str">
        <f t="shared" si="7"/>
        <v/>
      </c>
    </row>
    <row r="201" spans="6:34" x14ac:dyDescent="0.3">
      <c r="F201" s="35"/>
      <c r="J201" s="35"/>
      <c r="K201" s="35"/>
      <c r="L201" s="35"/>
      <c r="AD201" s="73"/>
      <c r="AF201" s="112" t="str">
        <f t="shared" si="6"/>
        <v/>
      </c>
      <c r="AG201" s="113" t="str">
        <f>IF(AF201="","",COUNTIF(AF201:AF$3000,AF201))</f>
        <v/>
      </c>
      <c r="AH201" s="114" t="str">
        <f t="shared" si="7"/>
        <v/>
      </c>
    </row>
    <row r="202" spans="6:34" x14ac:dyDescent="0.3">
      <c r="F202" s="35"/>
      <c r="J202" s="35"/>
      <c r="K202" s="35"/>
      <c r="L202" s="35"/>
      <c r="AD202" s="73"/>
      <c r="AF202" s="112" t="str">
        <f t="shared" si="6"/>
        <v/>
      </c>
      <c r="AG202" s="113" t="str">
        <f>IF(AF202="","",COUNTIF(AF202:AF$3000,AF202))</f>
        <v/>
      </c>
      <c r="AH202" s="114" t="str">
        <f t="shared" si="7"/>
        <v/>
      </c>
    </row>
    <row r="203" spans="6:34" x14ac:dyDescent="0.3">
      <c r="F203" s="35"/>
      <c r="J203" s="35"/>
      <c r="K203" s="35"/>
      <c r="L203" s="35"/>
      <c r="AD203" s="73"/>
      <c r="AF203" s="112" t="str">
        <f t="shared" si="6"/>
        <v/>
      </c>
      <c r="AG203" s="113" t="str">
        <f>IF(AF203="","",COUNTIF(AF203:AF$3000,AF203))</f>
        <v/>
      </c>
      <c r="AH203" s="114" t="str">
        <f t="shared" si="7"/>
        <v/>
      </c>
    </row>
    <row r="204" spans="6:34" x14ac:dyDescent="0.3">
      <c r="F204" s="35"/>
      <c r="J204" s="35"/>
      <c r="K204" s="35"/>
      <c r="L204" s="35"/>
      <c r="AD204" s="73"/>
      <c r="AF204" s="112" t="str">
        <f t="shared" si="6"/>
        <v/>
      </c>
      <c r="AG204" s="113" t="str">
        <f>IF(AF204="","",COUNTIF(AF204:AF$3000,AF204))</f>
        <v/>
      </c>
      <c r="AH204" s="114" t="str">
        <f t="shared" si="7"/>
        <v/>
      </c>
    </row>
    <row r="205" spans="6:34" x14ac:dyDescent="0.3">
      <c r="F205" s="35"/>
      <c r="J205" s="35"/>
      <c r="K205" s="35"/>
      <c r="L205" s="35"/>
      <c r="AD205" s="73"/>
      <c r="AF205" s="112" t="str">
        <f t="shared" si="6"/>
        <v/>
      </c>
      <c r="AG205" s="113" t="str">
        <f>IF(AF205="","",COUNTIF(AF205:AF$3000,AF205))</f>
        <v/>
      </c>
      <c r="AH205" s="114" t="str">
        <f t="shared" si="7"/>
        <v/>
      </c>
    </row>
    <row r="206" spans="6:34" x14ac:dyDescent="0.3">
      <c r="F206" s="35"/>
      <c r="J206" s="35"/>
      <c r="K206" s="35"/>
      <c r="L206" s="35"/>
      <c r="AD206" s="73"/>
      <c r="AF206" s="112" t="str">
        <f t="shared" si="6"/>
        <v/>
      </c>
      <c r="AG206" s="113" t="str">
        <f>IF(AF206="","",COUNTIF(AF206:AF$3000,AF206))</f>
        <v/>
      </c>
      <c r="AH206" s="114" t="str">
        <f t="shared" si="7"/>
        <v/>
      </c>
    </row>
    <row r="207" spans="6:34" x14ac:dyDescent="0.3">
      <c r="F207" s="35"/>
      <c r="J207" s="35"/>
      <c r="K207" s="35"/>
      <c r="L207" s="35"/>
      <c r="AD207" s="73"/>
      <c r="AF207" s="112" t="str">
        <f t="shared" si="6"/>
        <v/>
      </c>
      <c r="AG207" s="113" t="str">
        <f>IF(AF207="","",COUNTIF(AF207:AF$3000,AF207))</f>
        <v/>
      </c>
      <c r="AH207" s="114" t="str">
        <f t="shared" si="7"/>
        <v/>
      </c>
    </row>
    <row r="208" spans="6:34" x14ac:dyDescent="0.3">
      <c r="F208" s="35"/>
      <c r="J208" s="35"/>
      <c r="K208" s="35"/>
      <c r="L208" s="35"/>
      <c r="AD208" s="73"/>
      <c r="AF208" s="112" t="str">
        <f t="shared" si="6"/>
        <v/>
      </c>
      <c r="AG208" s="113" t="str">
        <f>IF(AF208="","",COUNTIF(AF208:AF$3000,AF208))</f>
        <v/>
      </c>
      <c r="AH208" s="114" t="str">
        <f t="shared" si="7"/>
        <v/>
      </c>
    </row>
    <row r="209" spans="6:34" x14ac:dyDescent="0.3">
      <c r="F209" s="35"/>
      <c r="J209" s="35"/>
      <c r="K209" s="35"/>
      <c r="L209" s="35"/>
      <c r="AD209" s="73"/>
      <c r="AF209" s="112" t="str">
        <f t="shared" si="6"/>
        <v/>
      </c>
      <c r="AG209" s="113" t="str">
        <f>IF(AF209="","",COUNTIF(AF209:AF$3000,AF209))</f>
        <v/>
      </c>
      <c r="AH209" s="114" t="str">
        <f t="shared" si="7"/>
        <v/>
      </c>
    </row>
    <row r="210" spans="6:34" x14ac:dyDescent="0.3">
      <c r="F210" s="35"/>
      <c r="J210" s="35"/>
      <c r="K210" s="35"/>
      <c r="L210" s="35"/>
      <c r="AD210" s="73"/>
      <c r="AF210" s="112" t="str">
        <f t="shared" si="6"/>
        <v/>
      </c>
      <c r="AG210" s="113" t="str">
        <f>IF(AF210="","",COUNTIF(AF210:AF$3000,AF210))</f>
        <v/>
      </c>
      <c r="AH210" s="114" t="str">
        <f t="shared" si="7"/>
        <v/>
      </c>
    </row>
    <row r="211" spans="6:34" x14ac:dyDescent="0.3">
      <c r="F211" s="35"/>
      <c r="J211" s="35"/>
      <c r="K211" s="35"/>
      <c r="L211" s="35"/>
      <c r="AD211" s="73"/>
      <c r="AF211" s="112" t="str">
        <f t="shared" si="6"/>
        <v/>
      </c>
      <c r="AG211" s="113" t="str">
        <f>IF(AF211="","",COUNTIF(AF211:AF$3000,AF211))</f>
        <v/>
      </c>
      <c r="AH211" s="114" t="str">
        <f t="shared" si="7"/>
        <v/>
      </c>
    </row>
    <row r="212" spans="6:34" x14ac:dyDescent="0.3">
      <c r="F212" s="35"/>
      <c r="J212" s="35"/>
      <c r="K212" s="35"/>
      <c r="L212" s="35"/>
      <c r="AD212" s="73"/>
      <c r="AF212" s="112" t="str">
        <f t="shared" si="6"/>
        <v/>
      </c>
      <c r="AG212" s="113" t="str">
        <f>IF(AF212="","",COUNTIF(AF212:AF$3000,AF212))</f>
        <v/>
      </c>
      <c r="AH212" s="114" t="str">
        <f t="shared" si="7"/>
        <v/>
      </c>
    </row>
    <row r="213" spans="6:34" x14ac:dyDescent="0.3">
      <c r="F213" s="35"/>
      <c r="J213" s="35"/>
      <c r="K213" s="35"/>
      <c r="L213" s="35"/>
      <c r="AD213" s="73"/>
      <c r="AF213" s="112" t="str">
        <f t="shared" si="6"/>
        <v/>
      </c>
      <c r="AG213" s="113" t="str">
        <f>IF(AF213="","",COUNTIF(AF213:AF$3000,AF213))</f>
        <v/>
      </c>
      <c r="AH213" s="114" t="str">
        <f t="shared" si="7"/>
        <v/>
      </c>
    </row>
    <row r="214" spans="6:34" x14ac:dyDescent="0.3">
      <c r="F214" s="35"/>
      <c r="J214" s="35"/>
      <c r="K214" s="35"/>
      <c r="L214" s="35"/>
      <c r="AD214" s="73"/>
      <c r="AF214" s="112" t="str">
        <f t="shared" si="6"/>
        <v/>
      </c>
      <c r="AG214" s="113" t="str">
        <f>IF(AF214="","",COUNTIF(AF214:AF$3000,AF214))</f>
        <v/>
      </c>
      <c r="AH214" s="114" t="str">
        <f t="shared" si="7"/>
        <v/>
      </c>
    </row>
    <row r="215" spans="6:34" x14ac:dyDescent="0.3">
      <c r="F215" s="35"/>
      <c r="J215" s="35"/>
      <c r="K215" s="35"/>
      <c r="L215" s="35"/>
      <c r="AD215" s="73"/>
      <c r="AF215" s="112" t="str">
        <f t="shared" si="6"/>
        <v/>
      </c>
      <c r="AG215" s="113" t="str">
        <f>IF(AF215="","",COUNTIF(AF215:AF$3000,AF215))</f>
        <v/>
      </c>
      <c r="AH215" s="114" t="str">
        <f t="shared" si="7"/>
        <v/>
      </c>
    </row>
    <row r="216" spans="6:34" x14ac:dyDescent="0.3">
      <c r="F216" s="35"/>
      <c r="J216" s="35"/>
      <c r="K216" s="35"/>
      <c r="L216" s="35"/>
      <c r="AD216" s="73"/>
      <c r="AF216" s="112" t="str">
        <f t="shared" si="6"/>
        <v/>
      </c>
      <c r="AG216" s="113" t="str">
        <f>IF(AF216="","",COUNTIF(AF216:AF$3000,AF216))</f>
        <v/>
      </c>
      <c r="AH216" s="114" t="str">
        <f t="shared" si="7"/>
        <v/>
      </c>
    </row>
    <row r="217" spans="6:34" x14ac:dyDescent="0.3">
      <c r="F217" s="35"/>
      <c r="J217" s="35"/>
      <c r="K217" s="35"/>
      <c r="L217" s="35"/>
      <c r="AD217" s="73"/>
      <c r="AF217" s="112" t="str">
        <f t="shared" si="6"/>
        <v/>
      </c>
      <c r="AG217" s="113" t="str">
        <f>IF(AF217="","",COUNTIF(AF217:AF$3000,AF217))</f>
        <v/>
      </c>
      <c r="AH217" s="114" t="str">
        <f t="shared" si="7"/>
        <v/>
      </c>
    </row>
    <row r="218" spans="6:34" x14ac:dyDescent="0.3">
      <c r="F218" s="35"/>
      <c r="J218" s="35"/>
      <c r="K218" s="35"/>
      <c r="L218" s="35"/>
      <c r="AD218" s="73"/>
      <c r="AF218" s="112" t="str">
        <f t="shared" si="6"/>
        <v/>
      </c>
      <c r="AG218" s="113" t="str">
        <f>IF(AF218="","",COUNTIF(AF218:AF$3000,AF218))</f>
        <v/>
      </c>
      <c r="AH218" s="114" t="str">
        <f t="shared" si="7"/>
        <v/>
      </c>
    </row>
    <row r="219" spans="6:34" x14ac:dyDescent="0.3">
      <c r="F219" s="35"/>
      <c r="J219" s="35"/>
      <c r="K219" s="35"/>
      <c r="L219" s="35"/>
      <c r="AD219" s="73"/>
      <c r="AF219" s="112" t="str">
        <f t="shared" si="6"/>
        <v/>
      </c>
      <c r="AG219" s="113" t="str">
        <f>IF(AF219="","",COUNTIF(AF219:AF$3000,AF219))</f>
        <v/>
      </c>
      <c r="AH219" s="114" t="str">
        <f t="shared" si="7"/>
        <v/>
      </c>
    </row>
    <row r="220" spans="6:34" x14ac:dyDescent="0.3">
      <c r="F220" s="35"/>
      <c r="J220" s="35"/>
      <c r="K220" s="35"/>
      <c r="L220" s="35"/>
      <c r="AD220" s="73"/>
      <c r="AF220" s="112" t="str">
        <f t="shared" si="6"/>
        <v/>
      </c>
      <c r="AG220" s="113" t="str">
        <f>IF(AF220="","",COUNTIF(AF220:AF$3000,AF220))</f>
        <v/>
      </c>
      <c r="AH220" s="114" t="str">
        <f t="shared" si="7"/>
        <v/>
      </c>
    </row>
    <row r="221" spans="6:34" x14ac:dyDescent="0.3">
      <c r="F221" s="35"/>
      <c r="J221" s="35"/>
      <c r="K221" s="35"/>
      <c r="L221" s="35"/>
      <c r="AD221" s="73"/>
      <c r="AF221" s="112" t="str">
        <f t="shared" si="6"/>
        <v/>
      </c>
      <c r="AG221" s="113" t="str">
        <f>IF(AF221="","",COUNTIF(AF221:AF$3000,AF221))</f>
        <v/>
      </c>
      <c r="AH221" s="114" t="str">
        <f t="shared" si="7"/>
        <v/>
      </c>
    </row>
    <row r="222" spans="6:34" x14ac:dyDescent="0.3">
      <c r="F222" s="35"/>
      <c r="J222" s="35"/>
      <c r="K222" s="35"/>
      <c r="L222" s="35"/>
      <c r="AD222" s="73"/>
      <c r="AF222" s="112" t="str">
        <f t="shared" si="6"/>
        <v/>
      </c>
      <c r="AG222" s="113" t="str">
        <f>IF(AF222="","",COUNTIF(AF222:AF$3000,AF222))</f>
        <v/>
      </c>
      <c r="AH222" s="114" t="str">
        <f t="shared" si="7"/>
        <v/>
      </c>
    </row>
    <row r="223" spans="6:34" x14ac:dyDescent="0.3">
      <c r="F223" s="35"/>
      <c r="J223" s="35"/>
      <c r="K223" s="35"/>
      <c r="L223" s="35"/>
      <c r="AD223" s="73"/>
      <c r="AF223" s="112" t="str">
        <f t="shared" si="6"/>
        <v/>
      </c>
      <c r="AG223" s="113" t="str">
        <f>IF(AF223="","",COUNTIF(AF223:AF$3000,AF223))</f>
        <v/>
      </c>
      <c r="AH223" s="114" t="str">
        <f t="shared" si="7"/>
        <v/>
      </c>
    </row>
    <row r="224" spans="6:34" x14ac:dyDescent="0.3">
      <c r="F224" s="35"/>
      <c r="J224" s="35"/>
      <c r="K224" s="35"/>
      <c r="L224" s="35"/>
      <c r="AD224" s="73"/>
      <c r="AF224" s="112" t="str">
        <f t="shared" si="6"/>
        <v/>
      </c>
      <c r="AG224" s="113" t="str">
        <f>IF(AF224="","",COUNTIF(AF224:AF$3000,AF224))</f>
        <v/>
      </c>
      <c r="AH224" s="114" t="str">
        <f t="shared" si="7"/>
        <v/>
      </c>
    </row>
    <row r="225" spans="6:34" x14ac:dyDescent="0.3">
      <c r="F225" s="35"/>
      <c r="J225" s="35"/>
      <c r="K225" s="35"/>
      <c r="L225" s="35"/>
      <c r="AD225" s="73"/>
      <c r="AF225" s="112" t="str">
        <f t="shared" si="6"/>
        <v/>
      </c>
      <c r="AG225" s="113" t="str">
        <f>IF(AF225="","",COUNTIF(AF225:AF$3000,AF225))</f>
        <v/>
      </c>
      <c r="AH225" s="114" t="str">
        <f t="shared" si="7"/>
        <v/>
      </c>
    </row>
    <row r="226" spans="6:34" x14ac:dyDescent="0.3">
      <c r="F226" s="35"/>
      <c r="J226" s="35"/>
      <c r="K226" s="35"/>
      <c r="L226" s="35"/>
      <c r="AD226" s="73"/>
      <c r="AF226" s="112" t="str">
        <f t="shared" si="6"/>
        <v/>
      </c>
      <c r="AG226" s="113" t="str">
        <f>IF(AF226="","",COUNTIF(AF226:AF$3000,AF226))</f>
        <v/>
      </c>
      <c r="AH226" s="114" t="str">
        <f t="shared" si="7"/>
        <v/>
      </c>
    </row>
    <row r="227" spans="6:34" x14ac:dyDescent="0.3">
      <c r="F227" s="35"/>
      <c r="J227" s="35"/>
      <c r="K227" s="35"/>
      <c r="L227" s="35"/>
      <c r="AD227" s="73"/>
      <c r="AF227" s="112" t="str">
        <f t="shared" si="6"/>
        <v/>
      </c>
      <c r="AG227" s="113" t="str">
        <f>IF(AF227="","",COUNTIF(AF227:AF$3000,AF227))</f>
        <v/>
      </c>
      <c r="AH227" s="114" t="str">
        <f t="shared" si="7"/>
        <v/>
      </c>
    </row>
    <row r="228" spans="6:34" x14ac:dyDescent="0.3">
      <c r="F228" s="35"/>
      <c r="J228" s="35"/>
      <c r="K228" s="35"/>
      <c r="L228" s="35"/>
      <c r="AD228" s="73"/>
      <c r="AF228" s="112" t="str">
        <f t="shared" si="6"/>
        <v/>
      </c>
      <c r="AG228" s="113" t="str">
        <f>IF(AF228="","",COUNTIF(AF228:AF$3000,AF228))</f>
        <v/>
      </c>
      <c r="AH228" s="114" t="str">
        <f t="shared" si="7"/>
        <v/>
      </c>
    </row>
    <row r="229" spans="6:34" x14ac:dyDescent="0.3">
      <c r="F229" s="35"/>
      <c r="J229" s="35"/>
      <c r="K229" s="35"/>
      <c r="L229" s="35"/>
      <c r="AD229" s="73"/>
      <c r="AF229" s="112" t="str">
        <f t="shared" si="6"/>
        <v/>
      </c>
      <c r="AG229" s="113" t="str">
        <f>IF(AF229="","",COUNTIF(AF229:AF$3000,AF229))</f>
        <v/>
      </c>
      <c r="AH229" s="114" t="str">
        <f t="shared" si="7"/>
        <v/>
      </c>
    </row>
    <row r="230" spans="6:34" x14ac:dyDescent="0.3">
      <c r="F230" s="35"/>
      <c r="J230" s="35"/>
      <c r="K230" s="35"/>
      <c r="L230" s="35"/>
      <c r="AD230" s="73"/>
      <c r="AF230" s="112" t="str">
        <f t="shared" si="6"/>
        <v/>
      </c>
      <c r="AG230" s="113" t="str">
        <f>IF(AF230="","",COUNTIF(AF230:AF$3000,AF230))</f>
        <v/>
      </c>
      <c r="AH230" s="114" t="str">
        <f t="shared" si="7"/>
        <v/>
      </c>
    </row>
    <row r="231" spans="6:34" x14ac:dyDescent="0.3">
      <c r="F231" s="35"/>
      <c r="J231" s="35"/>
      <c r="K231" s="35"/>
      <c r="L231" s="35"/>
      <c r="AD231" s="73"/>
      <c r="AF231" s="112" t="str">
        <f t="shared" si="6"/>
        <v/>
      </c>
      <c r="AG231" s="113" t="str">
        <f>IF(AF231="","",COUNTIF(AF231:AF$3000,AF231))</f>
        <v/>
      </c>
      <c r="AH231" s="114" t="str">
        <f t="shared" si="7"/>
        <v/>
      </c>
    </row>
    <row r="232" spans="6:34" x14ac:dyDescent="0.3">
      <c r="F232" s="35"/>
      <c r="J232" s="35"/>
      <c r="K232" s="35"/>
      <c r="L232" s="35"/>
      <c r="AD232" s="73"/>
      <c r="AF232" s="112" t="str">
        <f t="shared" si="6"/>
        <v/>
      </c>
      <c r="AG232" s="113" t="str">
        <f>IF(AF232="","",COUNTIF(AF232:AF$3000,AF232))</f>
        <v/>
      </c>
      <c r="AH232" s="114" t="str">
        <f t="shared" si="7"/>
        <v/>
      </c>
    </row>
    <row r="233" spans="6:34" x14ac:dyDescent="0.3">
      <c r="F233" s="35"/>
      <c r="J233" s="35"/>
      <c r="K233" s="35"/>
      <c r="L233" s="35"/>
      <c r="AD233" s="73"/>
      <c r="AF233" s="112" t="str">
        <f t="shared" si="6"/>
        <v/>
      </c>
      <c r="AG233" s="113" t="str">
        <f>IF(AF233="","",COUNTIF(AF233:AF$3000,AF233))</f>
        <v/>
      </c>
      <c r="AH233" s="114" t="str">
        <f t="shared" si="7"/>
        <v/>
      </c>
    </row>
    <row r="234" spans="6:34" x14ac:dyDescent="0.3">
      <c r="F234" s="35"/>
      <c r="J234" s="35"/>
      <c r="K234" s="35"/>
      <c r="L234" s="35"/>
      <c r="AD234" s="73"/>
      <c r="AF234" s="112" t="str">
        <f t="shared" si="6"/>
        <v/>
      </c>
      <c r="AG234" s="113" t="str">
        <f>IF(AF234="","",COUNTIF(AF234:AF$3000,AF234))</f>
        <v/>
      </c>
      <c r="AH234" s="114" t="str">
        <f t="shared" si="7"/>
        <v/>
      </c>
    </row>
    <row r="235" spans="6:34" x14ac:dyDescent="0.3">
      <c r="F235" s="35"/>
      <c r="J235" s="35"/>
      <c r="K235" s="35"/>
      <c r="L235" s="35"/>
      <c r="AD235" s="73"/>
      <c r="AF235" s="112" t="str">
        <f t="shared" si="6"/>
        <v/>
      </c>
      <c r="AG235" s="113" t="str">
        <f>IF(AF235="","",COUNTIF(AF235:AF$3000,AF235))</f>
        <v/>
      </c>
      <c r="AH235" s="114" t="str">
        <f t="shared" si="7"/>
        <v/>
      </c>
    </row>
    <row r="236" spans="6:34" x14ac:dyDescent="0.3">
      <c r="F236" s="35"/>
      <c r="J236" s="35"/>
      <c r="K236" s="35"/>
      <c r="L236" s="35"/>
      <c r="AD236" s="73"/>
      <c r="AF236" s="112" t="str">
        <f t="shared" si="6"/>
        <v/>
      </c>
      <c r="AG236" s="113" t="str">
        <f>IF(AF236="","",COUNTIF(AF236:AF$3000,AF236))</f>
        <v/>
      </c>
      <c r="AH236" s="114" t="str">
        <f t="shared" si="7"/>
        <v/>
      </c>
    </row>
    <row r="237" spans="6:34" x14ac:dyDescent="0.3">
      <c r="F237" s="35"/>
      <c r="J237" s="35"/>
      <c r="K237" s="35"/>
      <c r="L237" s="35"/>
      <c r="AD237" s="73"/>
      <c r="AF237" s="112" t="str">
        <f t="shared" si="6"/>
        <v/>
      </c>
      <c r="AG237" s="113" t="str">
        <f>IF(AF237="","",COUNTIF(AF237:AF$3000,AF237))</f>
        <v/>
      </c>
      <c r="AH237" s="114" t="str">
        <f t="shared" si="7"/>
        <v/>
      </c>
    </row>
    <row r="238" spans="6:34" x14ac:dyDescent="0.3">
      <c r="F238" s="35"/>
      <c r="J238" s="35"/>
      <c r="K238" s="35"/>
      <c r="L238" s="35"/>
      <c r="AD238" s="73"/>
      <c r="AF238" s="112" t="str">
        <f t="shared" si="6"/>
        <v/>
      </c>
      <c r="AG238" s="113" t="str">
        <f>IF(AF238="","",COUNTIF(AF238:AF$3000,AF238))</f>
        <v/>
      </c>
      <c r="AH238" s="114" t="str">
        <f t="shared" si="7"/>
        <v/>
      </c>
    </row>
    <row r="239" spans="6:34" x14ac:dyDescent="0.3">
      <c r="F239" s="35"/>
      <c r="J239" s="35"/>
      <c r="K239" s="35"/>
      <c r="L239" s="35"/>
      <c r="AD239" s="73"/>
      <c r="AF239" s="112" t="str">
        <f t="shared" si="6"/>
        <v/>
      </c>
      <c r="AG239" s="113" t="str">
        <f>IF(AF239="","",COUNTIF(AF239:AF$3000,AF239))</f>
        <v/>
      </c>
      <c r="AH239" s="114" t="str">
        <f t="shared" si="7"/>
        <v/>
      </c>
    </row>
    <row r="240" spans="6:34" x14ac:dyDescent="0.3">
      <c r="F240" s="35"/>
      <c r="J240" s="35"/>
      <c r="K240" s="35"/>
      <c r="L240" s="35"/>
      <c r="AD240" s="73"/>
      <c r="AF240" s="112" t="str">
        <f t="shared" si="6"/>
        <v/>
      </c>
      <c r="AG240" s="113" t="str">
        <f>IF(AF240="","",COUNTIF(AF240:AF$3000,AF240))</f>
        <v/>
      </c>
      <c r="AH240" s="114" t="str">
        <f t="shared" si="7"/>
        <v/>
      </c>
    </row>
    <row r="241" spans="6:34" x14ac:dyDescent="0.3">
      <c r="F241" s="35"/>
      <c r="J241" s="35"/>
      <c r="K241" s="35"/>
      <c r="L241" s="35"/>
      <c r="AD241" s="73"/>
      <c r="AF241" s="112" t="str">
        <f t="shared" si="6"/>
        <v/>
      </c>
      <c r="AG241" s="113" t="str">
        <f>IF(AF241="","",COUNTIF(AF241:AF$3000,AF241))</f>
        <v/>
      </c>
      <c r="AH241" s="114" t="str">
        <f t="shared" si="7"/>
        <v/>
      </c>
    </row>
    <row r="242" spans="6:34" x14ac:dyDescent="0.3">
      <c r="F242" s="35"/>
      <c r="J242" s="35"/>
      <c r="K242" s="35"/>
      <c r="L242" s="35"/>
      <c r="AD242" s="73"/>
      <c r="AF242" s="112" t="str">
        <f t="shared" si="6"/>
        <v/>
      </c>
      <c r="AG242" s="113" t="str">
        <f>IF(AF242="","",COUNTIF(AF242:AF$3000,AF242))</f>
        <v/>
      </c>
      <c r="AH242" s="114" t="str">
        <f t="shared" si="7"/>
        <v/>
      </c>
    </row>
    <row r="243" spans="6:34" x14ac:dyDescent="0.3">
      <c r="F243" s="35"/>
      <c r="J243" s="35"/>
      <c r="K243" s="35"/>
      <c r="L243" s="35"/>
      <c r="AD243" s="73"/>
      <c r="AF243" s="112" t="str">
        <f t="shared" si="6"/>
        <v/>
      </c>
      <c r="AG243" s="113" t="str">
        <f>IF(AF243="","",COUNTIF(AF243:AF$3000,AF243))</f>
        <v/>
      </c>
      <c r="AH243" s="114" t="str">
        <f t="shared" si="7"/>
        <v/>
      </c>
    </row>
    <row r="244" spans="6:34" x14ac:dyDescent="0.3">
      <c r="F244" s="35"/>
      <c r="J244" s="35"/>
      <c r="K244" s="35"/>
      <c r="L244" s="35"/>
      <c r="AD244" s="73"/>
      <c r="AF244" s="112" t="str">
        <f t="shared" si="6"/>
        <v/>
      </c>
      <c r="AG244" s="113" t="str">
        <f>IF(AF244="","",COUNTIF(AF244:AF$3000,AF244))</f>
        <v/>
      </c>
      <c r="AH244" s="114" t="str">
        <f t="shared" si="7"/>
        <v/>
      </c>
    </row>
    <row r="245" spans="6:34" x14ac:dyDescent="0.3">
      <c r="F245" s="35"/>
      <c r="J245" s="35"/>
      <c r="K245" s="35"/>
      <c r="L245" s="35"/>
      <c r="AD245" s="73"/>
      <c r="AF245" s="112" t="str">
        <f t="shared" si="6"/>
        <v/>
      </c>
      <c r="AG245" s="113" t="str">
        <f>IF(AF245="","",COUNTIF(AF245:AF$3000,AF245))</f>
        <v/>
      </c>
      <c r="AH245" s="114" t="str">
        <f t="shared" si="7"/>
        <v/>
      </c>
    </row>
    <row r="246" spans="6:34" x14ac:dyDescent="0.3">
      <c r="F246" s="35"/>
      <c r="J246" s="35"/>
      <c r="K246" s="35"/>
      <c r="L246" s="35"/>
      <c r="AD246" s="73"/>
      <c r="AF246" s="112" t="str">
        <f t="shared" si="6"/>
        <v/>
      </c>
      <c r="AG246" s="113" t="str">
        <f>IF(AF246="","",COUNTIF(AF246:AF$3000,AF246))</f>
        <v/>
      </c>
      <c r="AH246" s="114" t="str">
        <f t="shared" si="7"/>
        <v/>
      </c>
    </row>
    <row r="247" spans="6:34" x14ac:dyDescent="0.3">
      <c r="F247" s="35"/>
      <c r="J247" s="35"/>
      <c r="K247" s="35"/>
      <c r="L247" s="35"/>
      <c r="AD247" s="73"/>
      <c r="AF247" s="112" t="str">
        <f t="shared" si="6"/>
        <v/>
      </c>
      <c r="AG247" s="113" t="str">
        <f>IF(AF247="","",COUNTIF(AF247:AF$3000,AF247))</f>
        <v/>
      </c>
      <c r="AH247" s="114" t="str">
        <f t="shared" si="7"/>
        <v/>
      </c>
    </row>
    <row r="248" spans="6:34" x14ac:dyDescent="0.3">
      <c r="F248" s="35"/>
      <c r="J248" s="35"/>
      <c r="K248" s="35"/>
      <c r="L248" s="35"/>
      <c r="AD248" s="73"/>
      <c r="AF248" s="112" t="str">
        <f t="shared" si="6"/>
        <v/>
      </c>
      <c r="AG248" s="113" t="str">
        <f>IF(AF248="","",COUNTIF(AF248:AF$3000,AF248))</f>
        <v/>
      </c>
      <c r="AH248" s="114" t="str">
        <f t="shared" si="7"/>
        <v/>
      </c>
    </row>
    <row r="249" spans="6:34" x14ac:dyDescent="0.3">
      <c r="F249" s="35"/>
      <c r="J249" s="35"/>
      <c r="K249" s="35"/>
      <c r="L249" s="35"/>
      <c r="AD249" s="73"/>
      <c r="AF249" s="112" t="str">
        <f t="shared" si="6"/>
        <v/>
      </c>
      <c r="AG249" s="113" t="str">
        <f>IF(AF249="","",COUNTIF(AF249:AF$3000,AF249))</f>
        <v/>
      </c>
      <c r="AH249" s="114" t="str">
        <f t="shared" si="7"/>
        <v/>
      </c>
    </row>
    <row r="250" spans="6:34" x14ac:dyDescent="0.3">
      <c r="F250" s="35"/>
      <c r="J250" s="35"/>
      <c r="K250" s="35"/>
      <c r="L250" s="35"/>
      <c r="AD250" s="73"/>
      <c r="AF250" s="112" t="str">
        <f t="shared" si="6"/>
        <v/>
      </c>
      <c r="AG250" s="113" t="str">
        <f>IF(AF250="","",COUNTIF(AF250:AF$3000,AF250))</f>
        <v/>
      </c>
      <c r="AH250" s="114" t="str">
        <f t="shared" si="7"/>
        <v/>
      </c>
    </row>
    <row r="251" spans="6:34" x14ac:dyDescent="0.3">
      <c r="F251" s="35"/>
      <c r="J251" s="35"/>
      <c r="K251" s="35"/>
      <c r="L251" s="35"/>
      <c r="AD251" s="73"/>
      <c r="AF251" s="112" t="str">
        <f t="shared" si="6"/>
        <v/>
      </c>
      <c r="AG251" s="113" t="str">
        <f>IF(AF251="","",COUNTIF(AF251:AF$3000,AF251))</f>
        <v/>
      </c>
      <c r="AH251" s="114" t="str">
        <f t="shared" si="7"/>
        <v/>
      </c>
    </row>
    <row r="252" spans="6:34" x14ac:dyDescent="0.3">
      <c r="F252" s="35"/>
      <c r="J252" s="35"/>
      <c r="K252" s="35"/>
      <c r="L252" s="35"/>
      <c r="AD252" s="73"/>
      <c r="AF252" s="112" t="str">
        <f t="shared" si="6"/>
        <v/>
      </c>
      <c r="AG252" s="113" t="str">
        <f>IF(AF252="","",COUNTIF(AF252:AF$3000,AF252))</f>
        <v/>
      </c>
      <c r="AH252" s="114" t="str">
        <f t="shared" si="7"/>
        <v/>
      </c>
    </row>
    <row r="253" spans="6:34" x14ac:dyDescent="0.3">
      <c r="F253" s="35"/>
      <c r="J253" s="35"/>
      <c r="K253" s="35"/>
      <c r="L253" s="35"/>
      <c r="AD253" s="73"/>
      <c r="AF253" s="112" t="str">
        <f t="shared" si="6"/>
        <v/>
      </c>
      <c r="AG253" s="113" t="str">
        <f>IF(AF253="","",COUNTIF(AF253:AF$3000,AF253))</f>
        <v/>
      </c>
      <c r="AH253" s="114" t="str">
        <f t="shared" si="7"/>
        <v/>
      </c>
    </row>
    <row r="254" spans="6:34" x14ac:dyDescent="0.3">
      <c r="F254" s="35"/>
      <c r="J254" s="35"/>
      <c r="K254" s="35"/>
      <c r="L254" s="35"/>
      <c r="AD254" s="73"/>
      <c r="AF254" s="112" t="str">
        <f t="shared" si="6"/>
        <v/>
      </c>
      <c r="AG254" s="113" t="str">
        <f>IF(AF254="","",COUNTIF(AF254:AF$3000,AF254))</f>
        <v/>
      </c>
      <c r="AH254" s="114" t="str">
        <f t="shared" si="7"/>
        <v/>
      </c>
    </row>
    <row r="255" spans="6:34" x14ac:dyDescent="0.3">
      <c r="F255" s="35"/>
      <c r="J255" s="35"/>
      <c r="K255" s="35"/>
      <c r="L255" s="35"/>
      <c r="AD255" s="73"/>
      <c r="AF255" s="112" t="str">
        <f t="shared" si="6"/>
        <v/>
      </c>
      <c r="AG255" s="113" t="str">
        <f>IF(AF255="","",COUNTIF(AF255:AF$3000,AF255))</f>
        <v/>
      </c>
      <c r="AH255" s="114" t="str">
        <f t="shared" si="7"/>
        <v/>
      </c>
    </row>
    <row r="256" spans="6:34" x14ac:dyDescent="0.3">
      <c r="F256" s="35"/>
      <c r="J256" s="35"/>
      <c r="K256" s="35"/>
      <c r="L256" s="35"/>
      <c r="AD256" s="73"/>
      <c r="AF256" s="112" t="str">
        <f t="shared" si="6"/>
        <v/>
      </c>
      <c r="AG256" s="113" t="str">
        <f>IF(AF256="","",COUNTIF(AF256:AF$3000,AF256))</f>
        <v/>
      </c>
      <c r="AH256" s="114" t="str">
        <f t="shared" si="7"/>
        <v/>
      </c>
    </row>
    <row r="257" spans="6:34" x14ac:dyDescent="0.3">
      <c r="F257" s="35"/>
      <c r="J257" s="35"/>
      <c r="K257" s="35"/>
      <c r="L257" s="35"/>
      <c r="AD257" s="73"/>
      <c r="AF257" s="112" t="str">
        <f t="shared" si="6"/>
        <v/>
      </c>
      <c r="AG257" s="113" t="str">
        <f>IF(AF257="","",COUNTIF(AF257:AF$3000,AF257))</f>
        <v/>
      </c>
      <c r="AH257" s="114" t="str">
        <f t="shared" si="7"/>
        <v/>
      </c>
    </row>
    <row r="258" spans="6:34" x14ac:dyDescent="0.3">
      <c r="F258" s="35"/>
      <c r="J258" s="35"/>
      <c r="K258" s="35"/>
      <c r="L258" s="35"/>
      <c r="AD258" s="73"/>
      <c r="AF258" s="112" t="str">
        <f t="shared" si="6"/>
        <v/>
      </c>
      <c r="AG258" s="113" t="str">
        <f>IF(AF258="","",COUNTIF(AF258:AF$3000,AF258))</f>
        <v/>
      </c>
      <c r="AH258" s="114" t="str">
        <f t="shared" si="7"/>
        <v/>
      </c>
    </row>
    <row r="259" spans="6:34" x14ac:dyDescent="0.3">
      <c r="F259" s="35"/>
      <c r="J259" s="35"/>
      <c r="K259" s="35"/>
      <c r="L259" s="35"/>
      <c r="AD259" s="73"/>
      <c r="AF259" s="112" t="str">
        <f t="shared" si="6"/>
        <v/>
      </c>
      <c r="AG259" s="113" t="str">
        <f>IF(AF259="","",COUNTIF(AF259:AF$3000,AF259))</f>
        <v/>
      </c>
      <c r="AH259" s="114" t="str">
        <f t="shared" si="7"/>
        <v/>
      </c>
    </row>
    <row r="260" spans="6:34" x14ac:dyDescent="0.3">
      <c r="F260" s="35"/>
      <c r="J260" s="35"/>
      <c r="K260" s="35"/>
      <c r="L260" s="35"/>
      <c r="AD260" s="73"/>
      <c r="AF260" s="112" t="str">
        <f t="shared" ref="AF260:AF323" si="8">IF(B260="","",TEXT(J260,"DD/MM/AA")&amp;"_"&amp;S260&amp;"_"&amp;V260)</f>
        <v/>
      </c>
      <c r="AG260" s="113" t="str">
        <f>IF(AF260="","",COUNTIF(AF260:AF$3000,AF260))</f>
        <v/>
      </c>
      <c r="AH260" s="114" t="str">
        <f t="shared" ref="AH260:AH323" si="9">IF(AA260="","",
IF(AG260&gt;1,"",
IF(SUMIF(AF$3:AF$31,AF260,H$3:H$31)/10&lt;1,1,SUMIF(AF$3:AF$31,AF260,H$3:H$31)/10)))</f>
        <v/>
      </c>
    </row>
    <row r="261" spans="6:34" x14ac:dyDescent="0.3">
      <c r="F261" s="35"/>
      <c r="J261" s="35"/>
      <c r="K261" s="35"/>
      <c r="L261" s="35"/>
      <c r="AD261" s="73"/>
      <c r="AF261" s="112" t="str">
        <f t="shared" si="8"/>
        <v/>
      </c>
      <c r="AG261" s="113" t="str">
        <f>IF(AF261="","",COUNTIF(AF261:AF$3000,AF261))</f>
        <v/>
      </c>
      <c r="AH261" s="114" t="str">
        <f t="shared" si="9"/>
        <v/>
      </c>
    </row>
    <row r="262" spans="6:34" x14ac:dyDescent="0.3">
      <c r="F262" s="35"/>
      <c r="J262" s="35"/>
      <c r="K262" s="35"/>
      <c r="L262" s="35"/>
      <c r="AD262" s="73"/>
      <c r="AF262" s="112" t="str">
        <f t="shared" si="8"/>
        <v/>
      </c>
      <c r="AG262" s="113" t="str">
        <f>IF(AF262="","",COUNTIF(AF262:AF$3000,AF262))</f>
        <v/>
      </c>
      <c r="AH262" s="114" t="str">
        <f t="shared" si="9"/>
        <v/>
      </c>
    </row>
    <row r="263" spans="6:34" x14ac:dyDescent="0.3">
      <c r="F263" s="35"/>
      <c r="J263" s="35"/>
      <c r="K263" s="35"/>
      <c r="L263" s="35"/>
      <c r="AD263" s="73"/>
      <c r="AF263" s="112" t="str">
        <f t="shared" si="8"/>
        <v/>
      </c>
      <c r="AG263" s="113" t="str">
        <f>IF(AF263="","",COUNTIF(AF263:AF$3000,AF263))</f>
        <v/>
      </c>
      <c r="AH263" s="114" t="str">
        <f t="shared" si="9"/>
        <v/>
      </c>
    </row>
    <row r="264" spans="6:34" x14ac:dyDescent="0.3">
      <c r="F264" s="35"/>
      <c r="J264" s="35"/>
      <c r="K264" s="35"/>
      <c r="L264" s="35"/>
      <c r="AD264" s="73"/>
      <c r="AF264" s="112" t="str">
        <f t="shared" si="8"/>
        <v/>
      </c>
      <c r="AG264" s="113" t="str">
        <f>IF(AF264="","",COUNTIF(AF264:AF$3000,AF264))</f>
        <v/>
      </c>
      <c r="AH264" s="114" t="str">
        <f t="shared" si="9"/>
        <v/>
      </c>
    </row>
    <row r="265" spans="6:34" x14ac:dyDescent="0.3">
      <c r="F265" s="35"/>
      <c r="J265" s="35"/>
      <c r="K265" s="35"/>
      <c r="L265" s="35"/>
      <c r="AD265" s="73"/>
      <c r="AF265" s="112" t="str">
        <f t="shared" si="8"/>
        <v/>
      </c>
      <c r="AG265" s="113" t="str">
        <f>IF(AF265="","",COUNTIF(AF265:AF$3000,AF265))</f>
        <v/>
      </c>
      <c r="AH265" s="114" t="str">
        <f t="shared" si="9"/>
        <v/>
      </c>
    </row>
    <row r="266" spans="6:34" x14ac:dyDescent="0.3">
      <c r="F266" s="35"/>
      <c r="J266" s="35"/>
      <c r="K266" s="35"/>
      <c r="L266" s="35"/>
      <c r="AD266" s="73"/>
      <c r="AF266" s="112" t="str">
        <f t="shared" si="8"/>
        <v/>
      </c>
      <c r="AG266" s="113" t="str">
        <f>IF(AF266="","",COUNTIF(AF266:AF$3000,AF266))</f>
        <v/>
      </c>
      <c r="AH266" s="114" t="str">
        <f t="shared" si="9"/>
        <v/>
      </c>
    </row>
    <row r="267" spans="6:34" x14ac:dyDescent="0.3">
      <c r="F267" s="35"/>
      <c r="J267" s="35"/>
      <c r="K267" s="35"/>
      <c r="L267" s="35"/>
      <c r="AD267" s="73"/>
      <c r="AF267" s="112" t="str">
        <f t="shared" si="8"/>
        <v/>
      </c>
      <c r="AG267" s="113" t="str">
        <f>IF(AF267="","",COUNTIF(AF267:AF$3000,AF267))</f>
        <v/>
      </c>
      <c r="AH267" s="114" t="str">
        <f t="shared" si="9"/>
        <v/>
      </c>
    </row>
    <row r="268" spans="6:34" x14ac:dyDescent="0.3">
      <c r="F268" s="35"/>
      <c r="J268" s="35"/>
      <c r="K268" s="35"/>
      <c r="L268" s="35"/>
      <c r="AD268" s="73"/>
      <c r="AF268" s="112" t="str">
        <f t="shared" si="8"/>
        <v/>
      </c>
      <c r="AG268" s="113" t="str">
        <f>IF(AF268="","",COUNTIF(AF268:AF$3000,AF268))</f>
        <v/>
      </c>
      <c r="AH268" s="114" t="str">
        <f t="shared" si="9"/>
        <v/>
      </c>
    </row>
    <row r="269" spans="6:34" x14ac:dyDescent="0.3">
      <c r="F269" s="35"/>
      <c r="J269" s="35"/>
      <c r="K269" s="35"/>
      <c r="L269" s="35"/>
      <c r="AD269" s="73"/>
      <c r="AF269" s="112" t="str">
        <f t="shared" si="8"/>
        <v/>
      </c>
      <c r="AG269" s="113" t="str">
        <f>IF(AF269="","",COUNTIF(AF269:AF$3000,AF269))</f>
        <v/>
      </c>
      <c r="AH269" s="114" t="str">
        <f t="shared" si="9"/>
        <v/>
      </c>
    </row>
    <row r="270" spans="6:34" x14ac:dyDescent="0.3">
      <c r="F270" s="35"/>
      <c r="J270" s="35"/>
      <c r="K270" s="35"/>
      <c r="L270" s="35"/>
      <c r="AD270" s="73"/>
      <c r="AF270" s="112" t="str">
        <f t="shared" si="8"/>
        <v/>
      </c>
      <c r="AG270" s="113" t="str">
        <f>IF(AF270="","",COUNTIF(AF270:AF$3000,AF270))</f>
        <v/>
      </c>
      <c r="AH270" s="114" t="str">
        <f t="shared" si="9"/>
        <v/>
      </c>
    </row>
    <row r="271" spans="6:34" x14ac:dyDescent="0.3">
      <c r="F271" s="35"/>
      <c r="J271" s="35"/>
      <c r="K271" s="35"/>
      <c r="L271" s="35"/>
      <c r="AD271" s="73"/>
      <c r="AF271" s="112" t="str">
        <f t="shared" si="8"/>
        <v/>
      </c>
      <c r="AG271" s="113" t="str">
        <f>IF(AF271="","",COUNTIF(AF271:AF$3000,AF271))</f>
        <v/>
      </c>
      <c r="AH271" s="114" t="str">
        <f t="shared" si="9"/>
        <v/>
      </c>
    </row>
    <row r="272" spans="6:34" x14ac:dyDescent="0.3">
      <c r="F272" s="35"/>
      <c r="J272" s="35"/>
      <c r="K272" s="35"/>
      <c r="L272" s="35"/>
      <c r="AD272" s="73"/>
      <c r="AF272" s="112" t="str">
        <f t="shared" si="8"/>
        <v/>
      </c>
      <c r="AG272" s="113" t="str">
        <f>IF(AF272="","",COUNTIF(AF272:AF$3000,AF272))</f>
        <v/>
      </c>
      <c r="AH272" s="114" t="str">
        <f t="shared" si="9"/>
        <v/>
      </c>
    </row>
    <row r="273" spans="6:34" x14ac:dyDescent="0.3">
      <c r="F273" s="35"/>
      <c r="J273" s="35"/>
      <c r="K273" s="35"/>
      <c r="L273" s="35"/>
      <c r="AD273" s="73"/>
      <c r="AF273" s="112" t="str">
        <f t="shared" si="8"/>
        <v/>
      </c>
      <c r="AG273" s="113" t="str">
        <f>IF(AF273="","",COUNTIF(AF273:AF$3000,AF273))</f>
        <v/>
      </c>
      <c r="AH273" s="114" t="str">
        <f t="shared" si="9"/>
        <v/>
      </c>
    </row>
    <row r="274" spans="6:34" x14ac:dyDescent="0.3">
      <c r="F274" s="35"/>
      <c r="J274" s="35"/>
      <c r="K274" s="35"/>
      <c r="L274" s="35"/>
      <c r="AD274" s="73"/>
      <c r="AF274" s="112" t="str">
        <f t="shared" si="8"/>
        <v/>
      </c>
      <c r="AG274" s="113" t="str">
        <f>IF(AF274="","",COUNTIF(AF274:AF$3000,AF274))</f>
        <v/>
      </c>
      <c r="AH274" s="114" t="str">
        <f t="shared" si="9"/>
        <v/>
      </c>
    </row>
    <row r="275" spans="6:34" x14ac:dyDescent="0.3">
      <c r="F275" s="35"/>
      <c r="J275" s="35"/>
      <c r="K275" s="35"/>
      <c r="L275" s="35"/>
      <c r="AD275" s="73"/>
      <c r="AF275" s="112" t="str">
        <f t="shared" si="8"/>
        <v/>
      </c>
      <c r="AG275" s="113" t="str">
        <f>IF(AF275="","",COUNTIF(AF275:AF$3000,AF275))</f>
        <v/>
      </c>
      <c r="AH275" s="114" t="str">
        <f t="shared" si="9"/>
        <v/>
      </c>
    </row>
    <row r="276" spans="6:34" x14ac:dyDescent="0.3">
      <c r="F276" s="35"/>
      <c r="J276" s="35"/>
      <c r="K276" s="35"/>
      <c r="L276" s="35"/>
      <c r="AD276" s="73"/>
      <c r="AF276" s="112" t="str">
        <f t="shared" si="8"/>
        <v/>
      </c>
      <c r="AG276" s="113" t="str">
        <f>IF(AF276="","",COUNTIF(AF276:AF$3000,AF276))</f>
        <v/>
      </c>
      <c r="AH276" s="114" t="str">
        <f t="shared" si="9"/>
        <v/>
      </c>
    </row>
    <row r="277" spans="6:34" x14ac:dyDescent="0.3">
      <c r="F277" s="35"/>
      <c r="J277" s="35"/>
      <c r="K277" s="35"/>
      <c r="L277" s="35"/>
      <c r="AD277" s="73"/>
      <c r="AF277" s="112" t="str">
        <f t="shared" si="8"/>
        <v/>
      </c>
      <c r="AG277" s="113" t="str">
        <f>IF(AF277="","",COUNTIF(AF277:AF$3000,AF277))</f>
        <v/>
      </c>
      <c r="AH277" s="114" t="str">
        <f t="shared" si="9"/>
        <v/>
      </c>
    </row>
    <row r="278" spans="6:34" x14ac:dyDescent="0.3">
      <c r="F278" s="35"/>
      <c r="J278" s="35"/>
      <c r="K278" s="35"/>
      <c r="L278" s="35"/>
      <c r="AD278" s="73"/>
      <c r="AF278" s="112" t="str">
        <f t="shared" si="8"/>
        <v/>
      </c>
      <c r="AG278" s="113" t="str">
        <f>IF(AF278="","",COUNTIF(AF278:AF$3000,AF278))</f>
        <v/>
      </c>
      <c r="AH278" s="114" t="str">
        <f t="shared" si="9"/>
        <v/>
      </c>
    </row>
    <row r="279" spans="6:34" x14ac:dyDescent="0.3">
      <c r="F279" s="35"/>
      <c r="J279" s="35"/>
      <c r="K279" s="35"/>
      <c r="L279" s="35"/>
      <c r="AD279" s="73"/>
      <c r="AF279" s="112" t="str">
        <f t="shared" si="8"/>
        <v/>
      </c>
      <c r="AG279" s="113" t="str">
        <f>IF(AF279="","",COUNTIF(AF279:AF$3000,AF279))</f>
        <v/>
      </c>
      <c r="AH279" s="114" t="str">
        <f t="shared" si="9"/>
        <v/>
      </c>
    </row>
    <row r="280" spans="6:34" x14ac:dyDescent="0.3">
      <c r="F280" s="35"/>
      <c r="J280" s="35"/>
      <c r="K280" s="35"/>
      <c r="L280" s="35"/>
      <c r="AD280" s="73"/>
      <c r="AF280" s="112" t="str">
        <f t="shared" si="8"/>
        <v/>
      </c>
      <c r="AG280" s="113" t="str">
        <f>IF(AF280="","",COUNTIF(AF280:AF$3000,AF280))</f>
        <v/>
      </c>
      <c r="AH280" s="114" t="str">
        <f t="shared" si="9"/>
        <v/>
      </c>
    </row>
    <row r="281" spans="6:34" x14ac:dyDescent="0.3">
      <c r="F281" s="35"/>
      <c r="J281" s="35"/>
      <c r="K281" s="35"/>
      <c r="L281" s="35"/>
      <c r="AD281" s="73"/>
      <c r="AF281" s="112" t="str">
        <f t="shared" si="8"/>
        <v/>
      </c>
      <c r="AG281" s="113" t="str">
        <f>IF(AF281="","",COUNTIF(AF281:AF$3000,AF281))</f>
        <v/>
      </c>
      <c r="AH281" s="114" t="str">
        <f t="shared" si="9"/>
        <v/>
      </c>
    </row>
    <row r="282" spans="6:34" x14ac:dyDescent="0.3">
      <c r="F282" s="35"/>
      <c r="J282" s="35"/>
      <c r="K282" s="35"/>
      <c r="L282" s="35"/>
      <c r="AD282" s="73"/>
      <c r="AF282" s="112" t="str">
        <f t="shared" si="8"/>
        <v/>
      </c>
      <c r="AG282" s="113" t="str">
        <f>IF(AF282="","",COUNTIF(AF282:AF$3000,AF282))</f>
        <v/>
      </c>
      <c r="AH282" s="114" t="str">
        <f t="shared" si="9"/>
        <v/>
      </c>
    </row>
    <row r="283" spans="6:34" x14ac:dyDescent="0.3">
      <c r="F283" s="35"/>
      <c r="J283" s="35"/>
      <c r="K283" s="35"/>
      <c r="L283" s="35"/>
      <c r="AD283" s="73"/>
      <c r="AF283" s="112" t="str">
        <f t="shared" si="8"/>
        <v/>
      </c>
      <c r="AG283" s="113" t="str">
        <f>IF(AF283="","",COUNTIF(AF283:AF$3000,AF283))</f>
        <v/>
      </c>
      <c r="AH283" s="114" t="str">
        <f t="shared" si="9"/>
        <v/>
      </c>
    </row>
    <row r="284" spans="6:34" x14ac:dyDescent="0.3">
      <c r="F284" s="35"/>
      <c r="J284" s="35"/>
      <c r="K284" s="35"/>
      <c r="L284" s="35"/>
      <c r="AD284" s="73"/>
      <c r="AF284" s="112" t="str">
        <f t="shared" si="8"/>
        <v/>
      </c>
      <c r="AG284" s="113" t="str">
        <f>IF(AF284="","",COUNTIF(AF284:AF$3000,AF284))</f>
        <v/>
      </c>
      <c r="AH284" s="114" t="str">
        <f t="shared" si="9"/>
        <v/>
      </c>
    </row>
    <row r="285" spans="6:34" x14ac:dyDescent="0.3">
      <c r="F285" s="35"/>
      <c r="J285" s="35"/>
      <c r="K285" s="35"/>
      <c r="L285" s="35"/>
      <c r="AD285" s="73"/>
      <c r="AF285" s="112" t="str">
        <f t="shared" si="8"/>
        <v/>
      </c>
      <c r="AG285" s="113" t="str">
        <f>IF(AF285="","",COUNTIF(AF285:AF$3000,AF285))</f>
        <v/>
      </c>
      <c r="AH285" s="114" t="str">
        <f t="shared" si="9"/>
        <v/>
      </c>
    </row>
    <row r="286" spans="6:34" x14ac:dyDescent="0.3">
      <c r="F286" s="35"/>
      <c r="J286" s="35"/>
      <c r="K286" s="35"/>
      <c r="L286" s="35"/>
      <c r="AD286" s="73"/>
      <c r="AF286" s="112" t="str">
        <f t="shared" si="8"/>
        <v/>
      </c>
      <c r="AG286" s="113" t="str">
        <f>IF(AF286="","",COUNTIF(AF286:AF$3000,AF286))</f>
        <v/>
      </c>
      <c r="AH286" s="114" t="str">
        <f t="shared" si="9"/>
        <v/>
      </c>
    </row>
    <row r="287" spans="6:34" x14ac:dyDescent="0.3">
      <c r="F287" s="35"/>
      <c r="J287" s="35"/>
      <c r="K287" s="35"/>
      <c r="L287" s="35"/>
      <c r="AD287" s="73"/>
      <c r="AF287" s="112" t="str">
        <f t="shared" si="8"/>
        <v/>
      </c>
      <c r="AG287" s="113" t="str">
        <f>IF(AF287="","",COUNTIF(AF287:AF$3000,AF287))</f>
        <v/>
      </c>
      <c r="AH287" s="114" t="str">
        <f t="shared" si="9"/>
        <v/>
      </c>
    </row>
    <row r="288" spans="6:34" x14ac:dyDescent="0.3">
      <c r="F288" s="35"/>
      <c r="J288" s="35"/>
      <c r="K288" s="35"/>
      <c r="L288" s="35"/>
      <c r="AD288" s="73"/>
      <c r="AF288" s="112" t="str">
        <f t="shared" si="8"/>
        <v/>
      </c>
      <c r="AG288" s="113" t="str">
        <f>IF(AF288="","",COUNTIF(AF288:AF$3000,AF288))</f>
        <v/>
      </c>
      <c r="AH288" s="114" t="str">
        <f t="shared" si="9"/>
        <v/>
      </c>
    </row>
    <row r="289" spans="6:34" x14ac:dyDescent="0.3">
      <c r="F289" s="35"/>
      <c r="J289" s="35"/>
      <c r="K289" s="35"/>
      <c r="L289" s="35"/>
      <c r="AD289" s="73"/>
      <c r="AF289" s="112" t="str">
        <f t="shared" si="8"/>
        <v/>
      </c>
      <c r="AG289" s="113" t="str">
        <f>IF(AF289="","",COUNTIF(AF289:AF$3000,AF289))</f>
        <v/>
      </c>
      <c r="AH289" s="114" t="str">
        <f t="shared" si="9"/>
        <v/>
      </c>
    </row>
    <row r="290" spans="6:34" x14ac:dyDescent="0.3">
      <c r="F290" s="35"/>
      <c r="J290" s="35"/>
      <c r="K290" s="35"/>
      <c r="L290" s="35"/>
      <c r="AD290" s="73"/>
      <c r="AF290" s="112" t="str">
        <f t="shared" si="8"/>
        <v/>
      </c>
      <c r="AG290" s="113" t="str">
        <f>IF(AF290="","",COUNTIF(AF290:AF$3000,AF290))</f>
        <v/>
      </c>
      <c r="AH290" s="114" t="str">
        <f t="shared" si="9"/>
        <v/>
      </c>
    </row>
    <row r="291" spans="6:34" x14ac:dyDescent="0.3">
      <c r="F291" s="35"/>
      <c r="J291" s="35"/>
      <c r="K291" s="35"/>
      <c r="L291" s="35"/>
      <c r="AD291" s="73"/>
      <c r="AF291" s="112" t="str">
        <f t="shared" si="8"/>
        <v/>
      </c>
      <c r="AG291" s="113" t="str">
        <f>IF(AF291="","",COUNTIF(AF291:AF$3000,AF291))</f>
        <v/>
      </c>
      <c r="AH291" s="114" t="str">
        <f t="shared" si="9"/>
        <v/>
      </c>
    </row>
    <row r="292" spans="6:34" x14ac:dyDescent="0.3">
      <c r="F292" s="35"/>
      <c r="J292" s="35"/>
      <c r="K292" s="35"/>
      <c r="L292" s="35"/>
      <c r="AD292" s="73"/>
      <c r="AF292" s="112" t="str">
        <f t="shared" si="8"/>
        <v/>
      </c>
      <c r="AG292" s="113" t="str">
        <f>IF(AF292="","",COUNTIF(AF292:AF$3000,AF292))</f>
        <v/>
      </c>
      <c r="AH292" s="114" t="str">
        <f t="shared" si="9"/>
        <v/>
      </c>
    </row>
    <row r="293" spans="6:34" x14ac:dyDescent="0.3">
      <c r="F293" s="35"/>
      <c r="J293" s="35"/>
      <c r="K293" s="35"/>
      <c r="L293" s="35"/>
      <c r="AD293" s="73"/>
      <c r="AF293" s="112" t="str">
        <f t="shared" si="8"/>
        <v/>
      </c>
      <c r="AG293" s="113" t="str">
        <f>IF(AF293="","",COUNTIF(AF293:AF$3000,AF293))</f>
        <v/>
      </c>
      <c r="AH293" s="114" t="str">
        <f t="shared" si="9"/>
        <v/>
      </c>
    </row>
    <row r="294" spans="6:34" x14ac:dyDescent="0.3">
      <c r="F294" s="35"/>
      <c r="J294" s="35"/>
      <c r="K294" s="35"/>
      <c r="L294" s="35"/>
      <c r="AD294" s="73"/>
      <c r="AF294" s="112" t="str">
        <f t="shared" si="8"/>
        <v/>
      </c>
      <c r="AG294" s="113" t="str">
        <f>IF(AF294="","",COUNTIF(AF294:AF$3000,AF294))</f>
        <v/>
      </c>
      <c r="AH294" s="114" t="str">
        <f t="shared" si="9"/>
        <v/>
      </c>
    </row>
    <row r="295" spans="6:34" x14ac:dyDescent="0.3">
      <c r="F295" s="35"/>
      <c r="J295" s="35"/>
      <c r="K295" s="35"/>
      <c r="L295" s="35"/>
      <c r="AD295" s="73"/>
      <c r="AF295" s="112" t="str">
        <f t="shared" si="8"/>
        <v/>
      </c>
      <c r="AG295" s="113" t="str">
        <f>IF(AF295="","",COUNTIF(AF295:AF$3000,AF295))</f>
        <v/>
      </c>
      <c r="AH295" s="114" t="str">
        <f t="shared" si="9"/>
        <v/>
      </c>
    </row>
    <row r="296" spans="6:34" x14ac:dyDescent="0.3">
      <c r="F296" s="35"/>
      <c r="J296" s="35"/>
      <c r="K296" s="35"/>
      <c r="L296" s="35"/>
      <c r="AD296" s="73"/>
      <c r="AF296" s="112" t="str">
        <f t="shared" si="8"/>
        <v/>
      </c>
      <c r="AG296" s="113" t="str">
        <f>IF(AF296="","",COUNTIF(AF296:AF$3000,AF296))</f>
        <v/>
      </c>
      <c r="AH296" s="114" t="str">
        <f t="shared" si="9"/>
        <v/>
      </c>
    </row>
    <row r="297" spans="6:34" x14ac:dyDescent="0.3">
      <c r="F297" s="35"/>
      <c r="J297" s="35"/>
      <c r="K297" s="35"/>
      <c r="L297" s="35"/>
      <c r="AD297" s="73"/>
      <c r="AF297" s="112" t="str">
        <f t="shared" si="8"/>
        <v/>
      </c>
      <c r="AG297" s="113" t="str">
        <f>IF(AF297="","",COUNTIF(AF297:AF$3000,AF297))</f>
        <v/>
      </c>
      <c r="AH297" s="114" t="str">
        <f t="shared" si="9"/>
        <v/>
      </c>
    </row>
    <row r="298" spans="6:34" x14ac:dyDescent="0.3">
      <c r="F298" s="35"/>
      <c r="J298" s="35"/>
      <c r="K298" s="35"/>
      <c r="L298" s="35"/>
      <c r="AD298" s="73"/>
      <c r="AF298" s="112" t="str">
        <f t="shared" si="8"/>
        <v/>
      </c>
      <c r="AG298" s="113" t="str">
        <f>IF(AF298="","",COUNTIF(AF298:AF$3000,AF298))</f>
        <v/>
      </c>
      <c r="AH298" s="114" t="str">
        <f t="shared" si="9"/>
        <v/>
      </c>
    </row>
    <row r="299" spans="6:34" x14ac:dyDescent="0.3">
      <c r="F299" s="35"/>
      <c r="J299" s="35"/>
      <c r="K299" s="35"/>
      <c r="L299" s="35"/>
      <c r="AD299" s="73"/>
      <c r="AF299" s="112" t="str">
        <f t="shared" si="8"/>
        <v/>
      </c>
      <c r="AG299" s="113" t="str">
        <f>IF(AF299="","",COUNTIF(AF299:AF$3000,AF299))</f>
        <v/>
      </c>
      <c r="AH299" s="114" t="str">
        <f t="shared" si="9"/>
        <v/>
      </c>
    </row>
    <row r="300" spans="6:34" x14ac:dyDescent="0.3">
      <c r="F300" s="35"/>
      <c r="J300" s="35"/>
      <c r="K300" s="35"/>
      <c r="L300" s="35"/>
      <c r="AD300" s="73"/>
      <c r="AF300" s="112" t="str">
        <f t="shared" si="8"/>
        <v/>
      </c>
      <c r="AG300" s="113" t="str">
        <f>IF(AF300="","",COUNTIF(AF300:AF$3000,AF300))</f>
        <v/>
      </c>
      <c r="AH300" s="114" t="str">
        <f t="shared" si="9"/>
        <v/>
      </c>
    </row>
    <row r="301" spans="6:34" x14ac:dyDescent="0.3">
      <c r="F301" s="35"/>
      <c r="J301" s="35"/>
      <c r="K301" s="35"/>
      <c r="L301" s="35"/>
      <c r="AD301" s="73"/>
      <c r="AF301" s="112" t="str">
        <f t="shared" si="8"/>
        <v/>
      </c>
      <c r="AG301" s="113" t="str">
        <f>IF(AF301="","",COUNTIF(AF301:AF$3000,AF301))</f>
        <v/>
      </c>
      <c r="AH301" s="114" t="str">
        <f t="shared" si="9"/>
        <v/>
      </c>
    </row>
    <row r="302" spans="6:34" x14ac:dyDescent="0.3">
      <c r="F302" s="35"/>
      <c r="J302" s="35"/>
      <c r="K302" s="35"/>
      <c r="L302" s="35"/>
      <c r="AD302" s="73"/>
      <c r="AF302" s="112" t="str">
        <f t="shared" si="8"/>
        <v/>
      </c>
      <c r="AG302" s="113" t="str">
        <f>IF(AF302="","",COUNTIF(AF302:AF$3000,AF302))</f>
        <v/>
      </c>
      <c r="AH302" s="114" t="str">
        <f t="shared" si="9"/>
        <v/>
      </c>
    </row>
    <row r="303" spans="6:34" x14ac:dyDescent="0.3">
      <c r="F303" s="35"/>
      <c r="J303" s="35"/>
      <c r="K303" s="35"/>
      <c r="L303" s="35"/>
      <c r="AD303" s="73"/>
      <c r="AF303" s="112" t="str">
        <f t="shared" si="8"/>
        <v/>
      </c>
      <c r="AG303" s="113" t="str">
        <f>IF(AF303="","",COUNTIF(AF303:AF$3000,AF303))</f>
        <v/>
      </c>
      <c r="AH303" s="114" t="str">
        <f t="shared" si="9"/>
        <v/>
      </c>
    </row>
    <row r="304" spans="6:34" x14ac:dyDescent="0.3">
      <c r="F304" s="35"/>
      <c r="J304" s="35"/>
      <c r="K304" s="35"/>
      <c r="L304" s="35"/>
      <c r="AD304" s="73"/>
      <c r="AF304" s="112" t="str">
        <f t="shared" si="8"/>
        <v/>
      </c>
      <c r="AG304" s="113" t="str">
        <f>IF(AF304="","",COUNTIF(AF304:AF$3000,AF304))</f>
        <v/>
      </c>
      <c r="AH304" s="114" t="str">
        <f t="shared" si="9"/>
        <v/>
      </c>
    </row>
    <row r="305" spans="6:34" x14ac:dyDescent="0.3">
      <c r="F305" s="35"/>
      <c r="J305" s="35"/>
      <c r="K305" s="35"/>
      <c r="L305" s="35"/>
      <c r="AD305" s="73"/>
      <c r="AF305" s="112" t="str">
        <f t="shared" si="8"/>
        <v/>
      </c>
      <c r="AG305" s="113" t="str">
        <f>IF(AF305="","",COUNTIF(AF305:AF$3000,AF305))</f>
        <v/>
      </c>
      <c r="AH305" s="114" t="str">
        <f t="shared" si="9"/>
        <v/>
      </c>
    </row>
    <row r="306" spans="6:34" x14ac:dyDescent="0.3">
      <c r="F306" s="35"/>
      <c r="J306" s="35"/>
      <c r="K306" s="35"/>
      <c r="L306" s="35"/>
      <c r="AD306" s="73"/>
      <c r="AF306" s="112" t="str">
        <f t="shared" si="8"/>
        <v/>
      </c>
      <c r="AG306" s="113" t="str">
        <f>IF(AF306="","",COUNTIF(AF306:AF$3000,AF306))</f>
        <v/>
      </c>
      <c r="AH306" s="114" t="str">
        <f t="shared" si="9"/>
        <v/>
      </c>
    </row>
    <row r="307" spans="6:34" x14ac:dyDescent="0.3">
      <c r="F307" s="35"/>
      <c r="J307" s="35"/>
      <c r="K307" s="35"/>
      <c r="L307" s="35"/>
      <c r="AD307" s="73"/>
      <c r="AF307" s="112" t="str">
        <f t="shared" si="8"/>
        <v/>
      </c>
      <c r="AG307" s="113" t="str">
        <f>IF(AF307="","",COUNTIF(AF307:AF$3000,AF307))</f>
        <v/>
      </c>
      <c r="AH307" s="114" t="str">
        <f t="shared" si="9"/>
        <v/>
      </c>
    </row>
    <row r="308" spans="6:34" x14ac:dyDescent="0.3">
      <c r="F308" s="35"/>
      <c r="J308" s="35"/>
      <c r="K308" s="35"/>
      <c r="L308" s="35"/>
      <c r="AD308" s="73"/>
      <c r="AF308" s="112" t="str">
        <f t="shared" si="8"/>
        <v/>
      </c>
      <c r="AG308" s="113" t="str">
        <f>IF(AF308="","",COUNTIF(AF308:AF$3000,AF308))</f>
        <v/>
      </c>
      <c r="AH308" s="114" t="str">
        <f t="shared" si="9"/>
        <v/>
      </c>
    </row>
    <row r="309" spans="6:34" x14ac:dyDescent="0.3">
      <c r="F309" s="35"/>
      <c r="J309" s="35"/>
      <c r="K309" s="35"/>
      <c r="L309" s="35"/>
      <c r="AD309" s="73"/>
      <c r="AF309" s="112" t="str">
        <f t="shared" si="8"/>
        <v/>
      </c>
      <c r="AG309" s="113" t="str">
        <f>IF(AF309="","",COUNTIF(AF309:AF$3000,AF309))</f>
        <v/>
      </c>
      <c r="AH309" s="114" t="str">
        <f t="shared" si="9"/>
        <v/>
      </c>
    </row>
    <row r="310" spans="6:34" x14ac:dyDescent="0.3">
      <c r="F310" s="35"/>
      <c r="J310" s="35"/>
      <c r="K310" s="35"/>
      <c r="L310" s="35"/>
      <c r="AD310" s="73"/>
      <c r="AF310" s="112" t="str">
        <f t="shared" si="8"/>
        <v/>
      </c>
      <c r="AG310" s="113" t="str">
        <f>IF(AF310="","",COUNTIF(AF310:AF$3000,AF310))</f>
        <v/>
      </c>
      <c r="AH310" s="114" t="str">
        <f t="shared" si="9"/>
        <v/>
      </c>
    </row>
    <row r="311" spans="6:34" x14ac:dyDescent="0.3">
      <c r="F311" s="35"/>
      <c r="J311" s="35"/>
      <c r="K311" s="35"/>
      <c r="L311" s="35"/>
      <c r="AD311" s="73"/>
      <c r="AF311" s="112" t="str">
        <f t="shared" si="8"/>
        <v/>
      </c>
      <c r="AG311" s="113" t="str">
        <f>IF(AF311="","",COUNTIF(AF311:AF$3000,AF311))</f>
        <v/>
      </c>
      <c r="AH311" s="114" t="str">
        <f t="shared" si="9"/>
        <v/>
      </c>
    </row>
    <row r="312" spans="6:34" x14ac:dyDescent="0.3">
      <c r="F312" s="35"/>
      <c r="J312" s="35"/>
      <c r="K312" s="35"/>
      <c r="L312" s="35"/>
      <c r="AD312" s="73"/>
      <c r="AF312" s="112" t="str">
        <f t="shared" si="8"/>
        <v/>
      </c>
      <c r="AG312" s="113" t="str">
        <f>IF(AF312="","",COUNTIF(AF312:AF$3000,AF312))</f>
        <v/>
      </c>
      <c r="AH312" s="114" t="str">
        <f t="shared" si="9"/>
        <v/>
      </c>
    </row>
    <row r="313" spans="6:34" x14ac:dyDescent="0.3">
      <c r="F313" s="35"/>
      <c r="J313" s="35"/>
      <c r="K313" s="35"/>
      <c r="L313" s="35"/>
      <c r="AD313" s="73"/>
      <c r="AF313" s="112" t="str">
        <f t="shared" si="8"/>
        <v/>
      </c>
      <c r="AG313" s="113" t="str">
        <f>IF(AF313="","",COUNTIF(AF313:AF$3000,AF313))</f>
        <v/>
      </c>
      <c r="AH313" s="114" t="str">
        <f t="shared" si="9"/>
        <v/>
      </c>
    </row>
    <row r="314" spans="6:34" x14ac:dyDescent="0.3">
      <c r="F314" s="35"/>
      <c r="J314" s="35"/>
      <c r="K314" s="35"/>
      <c r="L314" s="35"/>
      <c r="AD314" s="73"/>
      <c r="AF314" s="112" t="str">
        <f t="shared" si="8"/>
        <v/>
      </c>
      <c r="AG314" s="113" t="str">
        <f>IF(AF314="","",COUNTIF(AF314:AF$3000,AF314))</f>
        <v/>
      </c>
      <c r="AH314" s="114" t="str">
        <f t="shared" si="9"/>
        <v/>
      </c>
    </row>
    <row r="315" spans="6:34" x14ac:dyDescent="0.3">
      <c r="F315" s="35"/>
      <c r="J315" s="35"/>
      <c r="K315" s="35"/>
      <c r="L315" s="35"/>
      <c r="AD315" s="73"/>
      <c r="AF315" s="112" t="str">
        <f t="shared" si="8"/>
        <v/>
      </c>
      <c r="AG315" s="113" t="str">
        <f>IF(AF315="","",COUNTIF(AF315:AF$3000,AF315))</f>
        <v/>
      </c>
      <c r="AH315" s="114" t="str">
        <f t="shared" si="9"/>
        <v/>
      </c>
    </row>
    <row r="316" spans="6:34" x14ac:dyDescent="0.3">
      <c r="F316" s="35"/>
      <c r="J316" s="35"/>
      <c r="K316" s="35"/>
      <c r="L316" s="35"/>
      <c r="AD316" s="73"/>
      <c r="AF316" s="112" t="str">
        <f t="shared" si="8"/>
        <v/>
      </c>
      <c r="AG316" s="113" t="str">
        <f>IF(AF316="","",COUNTIF(AF316:AF$3000,AF316))</f>
        <v/>
      </c>
      <c r="AH316" s="114" t="str">
        <f t="shared" si="9"/>
        <v/>
      </c>
    </row>
    <row r="317" spans="6:34" x14ac:dyDescent="0.3">
      <c r="F317" s="35"/>
      <c r="J317" s="35"/>
      <c r="K317" s="35"/>
      <c r="L317" s="35"/>
      <c r="AD317" s="73"/>
      <c r="AF317" s="112" t="str">
        <f t="shared" si="8"/>
        <v/>
      </c>
      <c r="AG317" s="113" t="str">
        <f>IF(AF317="","",COUNTIF(AF317:AF$3000,AF317))</f>
        <v/>
      </c>
      <c r="AH317" s="114" t="str">
        <f t="shared" si="9"/>
        <v/>
      </c>
    </row>
    <row r="318" spans="6:34" x14ac:dyDescent="0.3">
      <c r="F318" s="35"/>
      <c r="J318" s="35"/>
      <c r="K318" s="35"/>
      <c r="L318" s="35"/>
      <c r="AD318" s="73"/>
      <c r="AF318" s="112" t="str">
        <f t="shared" si="8"/>
        <v/>
      </c>
      <c r="AG318" s="113" t="str">
        <f>IF(AF318="","",COUNTIF(AF318:AF$3000,AF318))</f>
        <v/>
      </c>
      <c r="AH318" s="114" t="str">
        <f t="shared" si="9"/>
        <v/>
      </c>
    </row>
    <row r="319" spans="6:34" x14ac:dyDescent="0.3">
      <c r="F319" s="35"/>
      <c r="J319" s="35"/>
      <c r="K319" s="35"/>
      <c r="L319" s="35"/>
      <c r="AD319" s="73"/>
      <c r="AF319" s="112" t="str">
        <f t="shared" si="8"/>
        <v/>
      </c>
      <c r="AG319" s="113" t="str">
        <f>IF(AF319="","",COUNTIF(AF319:AF$3000,AF319))</f>
        <v/>
      </c>
      <c r="AH319" s="114" t="str">
        <f t="shared" si="9"/>
        <v/>
      </c>
    </row>
    <row r="320" spans="6:34" x14ac:dyDescent="0.3">
      <c r="F320" s="35"/>
      <c r="J320" s="35"/>
      <c r="K320" s="35"/>
      <c r="L320" s="35"/>
      <c r="AD320" s="73"/>
      <c r="AF320" s="112" t="str">
        <f t="shared" si="8"/>
        <v/>
      </c>
      <c r="AG320" s="113" t="str">
        <f>IF(AF320="","",COUNTIF(AF320:AF$3000,AF320))</f>
        <v/>
      </c>
      <c r="AH320" s="114" t="str">
        <f t="shared" si="9"/>
        <v/>
      </c>
    </row>
    <row r="321" spans="6:34" x14ac:dyDescent="0.3">
      <c r="F321" s="35"/>
      <c r="J321" s="35"/>
      <c r="K321" s="35"/>
      <c r="L321" s="35"/>
      <c r="AD321" s="73"/>
      <c r="AF321" s="112" t="str">
        <f t="shared" si="8"/>
        <v/>
      </c>
      <c r="AG321" s="113" t="str">
        <f>IF(AF321="","",COUNTIF(AF321:AF$3000,AF321))</f>
        <v/>
      </c>
      <c r="AH321" s="114" t="str">
        <f t="shared" si="9"/>
        <v/>
      </c>
    </row>
    <row r="322" spans="6:34" x14ac:dyDescent="0.3">
      <c r="F322" s="35"/>
      <c r="J322" s="35"/>
      <c r="K322" s="35"/>
      <c r="L322" s="35"/>
      <c r="AD322" s="73"/>
      <c r="AF322" s="112" t="str">
        <f t="shared" si="8"/>
        <v/>
      </c>
      <c r="AG322" s="113" t="str">
        <f>IF(AF322="","",COUNTIF(AF322:AF$3000,AF322))</f>
        <v/>
      </c>
      <c r="AH322" s="114" t="str">
        <f t="shared" si="9"/>
        <v/>
      </c>
    </row>
    <row r="323" spans="6:34" x14ac:dyDescent="0.3">
      <c r="F323" s="35"/>
      <c r="J323" s="35"/>
      <c r="K323" s="35"/>
      <c r="L323" s="35"/>
      <c r="AD323" s="73"/>
      <c r="AF323" s="112" t="str">
        <f t="shared" si="8"/>
        <v/>
      </c>
      <c r="AG323" s="113" t="str">
        <f>IF(AF323="","",COUNTIF(AF323:AF$3000,AF323))</f>
        <v/>
      </c>
      <c r="AH323" s="114" t="str">
        <f t="shared" si="9"/>
        <v/>
      </c>
    </row>
    <row r="324" spans="6:34" x14ac:dyDescent="0.3">
      <c r="F324" s="35"/>
      <c r="J324" s="35"/>
      <c r="K324" s="35"/>
      <c r="L324" s="35"/>
      <c r="AD324" s="73"/>
      <c r="AF324" s="112" t="str">
        <f t="shared" ref="AF324:AF387" si="10">IF(B324="","",TEXT(J324,"DD/MM/AA")&amp;"_"&amp;S324&amp;"_"&amp;V324)</f>
        <v/>
      </c>
      <c r="AG324" s="113" t="str">
        <f>IF(AF324="","",COUNTIF(AF324:AF$3000,AF324))</f>
        <v/>
      </c>
      <c r="AH324" s="114" t="str">
        <f t="shared" ref="AH324:AH387" si="11">IF(AA324="","",
IF(AG324&gt;1,"",
IF(SUMIF(AF$3:AF$31,AF324,H$3:H$31)/10&lt;1,1,SUMIF(AF$3:AF$31,AF324,H$3:H$31)/10)))</f>
        <v/>
      </c>
    </row>
    <row r="325" spans="6:34" x14ac:dyDescent="0.3">
      <c r="F325" s="35"/>
      <c r="J325" s="35"/>
      <c r="K325" s="35"/>
      <c r="L325" s="35"/>
      <c r="AD325" s="73"/>
      <c r="AF325" s="112" t="str">
        <f t="shared" si="10"/>
        <v/>
      </c>
      <c r="AG325" s="113" t="str">
        <f>IF(AF325="","",COUNTIF(AF325:AF$3000,AF325))</f>
        <v/>
      </c>
      <c r="AH325" s="114" t="str">
        <f t="shared" si="11"/>
        <v/>
      </c>
    </row>
    <row r="326" spans="6:34" x14ac:dyDescent="0.3">
      <c r="F326" s="35"/>
      <c r="J326" s="35"/>
      <c r="K326" s="35"/>
      <c r="L326" s="35"/>
      <c r="AD326" s="73"/>
      <c r="AF326" s="112" t="str">
        <f t="shared" si="10"/>
        <v/>
      </c>
      <c r="AG326" s="113" t="str">
        <f>IF(AF326="","",COUNTIF(AF326:AF$3000,AF326))</f>
        <v/>
      </c>
      <c r="AH326" s="114" t="str">
        <f t="shared" si="11"/>
        <v/>
      </c>
    </row>
    <row r="327" spans="6:34" x14ac:dyDescent="0.3">
      <c r="F327" s="35"/>
      <c r="J327" s="35"/>
      <c r="K327" s="35"/>
      <c r="L327" s="35"/>
      <c r="AD327" s="73"/>
      <c r="AF327" s="112" t="str">
        <f t="shared" si="10"/>
        <v/>
      </c>
      <c r="AG327" s="113" t="str">
        <f>IF(AF327="","",COUNTIF(AF327:AF$3000,AF327))</f>
        <v/>
      </c>
      <c r="AH327" s="114" t="str">
        <f t="shared" si="11"/>
        <v/>
      </c>
    </row>
    <row r="328" spans="6:34" x14ac:dyDescent="0.3">
      <c r="F328" s="35"/>
      <c r="J328" s="35"/>
      <c r="K328" s="35"/>
      <c r="L328" s="35"/>
      <c r="AD328" s="73"/>
      <c r="AF328" s="112" t="str">
        <f t="shared" si="10"/>
        <v/>
      </c>
      <c r="AG328" s="113" t="str">
        <f>IF(AF328="","",COUNTIF(AF328:AF$3000,AF328))</f>
        <v/>
      </c>
      <c r="AH328" s="114" t="str">
        <f t="shared" si="11"/>
        <v/>
      </c>
    </row>
    <row r="329" spans="6:34" x14ac:dyDescent="0.3">
      <c r="F329" s="35"/>
      <c r="J329" s="35"/>
      <c r="K329" s="35"/>
      <c r="L329" s="35"/>
      <c r="AD329" s="73"/>
      <c r="AF329" s="112" t="str">
        <f t="shared" si="10"/>
        <v/>
      </c>
      <c r="AG329" s="113" t="str">
        <f>IF(AF329="","",COUNTIF(AF329:AF$3000,AF329))</f>
        <v/>
      </c>
      <c r="AH329" s="114" t="str">
        <f t="shared" si="11"/>
        <v/>
      </c>
    </row>
    <row r="330" spans="6:34" x14ac:dyDescent="0.3">
      <c r="F330" s="35"/>
      <c r="J330" s="35"/>
      <c r="K330" s="35"/>
      <c r="L330" s="35"/>
      <c r="AD330" s="73"/>
      <c r="AF330" s="112" t="str">
        <f t="shared" si="10"/>
        <v/>
      </c>
      <c r="AG330" s="113" t="str">
        <f>IF(AF330="","",COUNTIF(AF330:AF$3000,AF330))</f>
        <v/>
      </c>
      <c r="AH330" s="114" t="str">
        <f t="shared" si="11"/>
        <v/>
      </c>
    </row>
    <row r="331" spans="6:34" x14ac:dyDescent="0.3">
      <c r="F331" s="35"/>
      <c r="J331" s="35"/>
      <c r="K331" s="35"/>
      <c r="L331" s="35"/>
      <c r="AD331" s="73"/>
      <c r="AF331" s="112" t="str">
        <f t="shared" si="10"/>
        <v/>
      </c>
      <c r="AG331" s="113" t="str">
        <f>IF(AF331="","",COUNTIF(AF331:AF$3000,AF331))</f>
        <v/>
      </c>
      <c r="AH331" s="114" t="str">
        <f t="shared" si="11"/>
        <v/>
      </c>
    </row>
    <row r="332" spans="6:34" x14ac:dyDescent="0.3">
      <c r="F332" s="35"/>
      <c r="J332" s="35"/>
      <c r="K332" s="35"/>
      <c r="L332" s="35"/>
      <c r="AD332" s="73"/>
      <c r="AF332" s="112" t="str">
        <f t="shared" si="10"/>
        <v/>
      </c>
      <c r="AG332" s="113" t="str">
        <f>IF(AF332="","",COUNTIF(AF332:AF$3000,AF332))</f>
        <v/>
      </c>
      <c r="AH332" s="114" t="str">
        <f t="shared" si="11"/>
        <v/>
      </c>
    </row>
    <row r="333" spans="6:34" x14ac:dyDescent="0.3">
      <c r="F333" s="35"/>
      <c r="J333" s="35"/>
      <c r="K333" s="35"/>
      <c r="L333" s="35"/>
      <c r="AD333" s="73"/>
      <c r="AF333" s="112" t="str">
        <f t="shared" si="10"/>
        <v/>
      </c>
      <c r="AG333" s="113" t="str">
        <f>IF(AF333="","",COUNTIF(AF333:AF$3000,AF333))</f>
        <v/>
      </c>
      <c r="AH333" s="114" t="str">
        <f t="shared" si="11"/>
        <v/>
      </c>
    </row>
    <row r="334" spans="6:34" x14ac:dyDescent="0.3">
      <c r="F334" s="35"/>
      <c r="J334" s="35"/>
      <c r="K334" s="35"/>
      <c r="L334" s="35"/>
      <c r="AD334" s="73"/>
      <c r="AF334" s="112" t="str">
        <f t="shared" si="10"/>
        <v/>
      </c>
      <c r="AG334" s="113" t="str">
        <f>IF(AF334="","",COUNTIF(AF334:AF$3000,AF334))</f>
        <v/>
      </c>
      <c r="AH334" s="114" t="str">
        <f t="shared" si="11"/>
        <v/>
      </c>
    </row>
    <row r="335" spans="6:34" x14ac:dyDescent="0.3">
      <c r="F335" s="35"/>
      <c r="J335" s="35"/>
      <c r="K335" s="35"/>
      <c r="L335" s="35"/>
      <c r="AD335" s="73"/>
      <c r="AF335" s="112" t="str">
        <f t="shared" si="10"/>
        <v/>
      </c>
      <c r="AG335" s="113" t="str">
        <f>IF(AF335="","",COUNTIF(AF335:AF$3000,AF335))</f>
        <v/>
      </c>
      <c r="AH335" s="114" t="str">
        <f t="shared" si="11"/>
        <v/>
      </c>
    </row>
    <row r="336" spans="6:34" x14ac:dyDescent="0.3">
      <c r="F336" s="35"/>
      <c r="J336" s="35"/>
      <c r="K336" s="35"/>
      <c r="L336" s="35"/>
      <c r="AD336" s="73"/>
      <c r="AF336" s="112" t="str">
        <f t="shared" si="10"/>
        <v/>
      </c>
      <c r="AG336" s="113" t="str">
        <f>IF(AF336="","",COUNTIF(AF336:AF$3000,AF336))</f>
        <v/>
      </c>
      <c r="AH336" s="114" t="str">
        <f t="shared" si="11"/>
        <v/>
      </c>
    </row>
    <row r="337" spans="6:34" x14ac:dyDescent="0.3">
      <c r="F337" s="35"/>
      <c r="J337" s="35"/>
      <c r="K337" s="35"/>
      <c r="L337" s="35"/>
      <c r="AD337" s="73"/>
      <c r="AF337" s="112" t="str">
        <f t="shared" si="10"/>
        <v/>
      </c>
      <c r="AG337" s="113" t="str">
        <f>IF(AF337="","",COUNTIF(AF337:AF$3000,AF337))</f>
        <v/>
      </c>
      <c r="AH337" s="114" t="str">
        <f t="shared" si="11"/>
        <v/>
      </c>
    </row>
    <row r="338" spans="6:34" x14ac:dyDescent="0.3">
      <c r="F338" s="35"/>
      <c r="J338" s="35"/>
      <c r="K338" s="35"/>
      <c r="L338" s="35"/>
      <c r="AD338" s="73"/>
      <c r="AF338" s="112" t="str">
        <f t="shared" si="10"/>
        <v/>
      </c>
      <c r="AG338" s="113" t="str">
        <f>IF(AF338="","",COUNTIF(AF338:AF$3000,AF338))</f>
        <v/>
      </c>
      <c r="AH338" s="114" t="str">
        <f t="shared" si="11"/>
        <v/>
      </c>
    </row>
    <row r="339" spans="6:34" x14ac:dyDescent="0.3">
      <c r="F339" s="35"/>
      <c r="J339" s="35"/>
      <c r="K339" s="35"/>
      <c r="L339" s="35"/>
      <c r="AD339" s="73"/>
      <c r="AF339" s="112" t="str">
        <f t="shared" si="10"/>
        <v/>
      </c>
      <c r="AG339" s="113" t="str">
        <f>IF(AF339="","",COUNTIF(AF339:AF$3000,AF339))</f>
        <v/>
      </c>
      <c r="AH339" s="114" t="str">
        <f t="shared" si="11"/>
        <v/>
      </c>
    </row>
    <row r="340" spans="6:34" x14ac:dyDescent="0.3">
      <c r="F340" s="35"/>
      <c r="J340" s="35"/>
      <c r="K340" s="35"/>
      <c r="L340" s="35"/>
      <c r="AD340" s="73"/>
      <c r="AF340" s="112" t="str">
        <f t="shared" si="10"/>
        <v/>
      </c>
      <c r="AG340" s="113" t="str">
        <f>IF(AF340="","",COUNTIF(AF340:AF$3000,AF340))</f>
        <v/>
      </c>
      <c r="AH340" s="114" t="str">
        <f t="shared" si="11"/>
        <v/>
      </c>
    </row>
    <row r="341" spans="6:34" x14ac:dyDescent="0.3">
      <c r="F341" s="35"/>
      <c r="J341" s="35"/>
      <c r="K341" s="35"/>
      <c r="L341" s="35"/>
      <c r="AD341" s="73"/>
      <c r="AF341" s="112" t="str">
        <f t="shared" si="10"/>
        <v/>
      </c>
      <c r="AG341" s="113" t="str">
        <f>IF(AF341="","",COUNTIF(AF341:AF$3000,AF341))</f>
        <v/>
      </c>
      <c r="AH341" s="114" t="str">
        <f t="shared" si="11"/>
        <v/>
      </c>
    </row>
    <row r="342" spans="6:34" x14ac:dyDescent="0.3">
      <c r="F342" s="35"/>
      <c r="J342" s="35"/>
      <c r="K342" s="35"/>
      <c r="L342" s="35"/>
      <c r="AD342" s="73"/>
      <c r="AF342" s="112" t="str">
        <f t="shared" si="10"/>
        <v/>
      </c>
      <c r="AG342" s="113" t="str">
        <f>IF(AF342="","",COUNTIF(AF342:AF$3000,AF342))</f>
        <v/>
      </c>
      <c r="AH342" s="114" t="str">
        <f t="shared" si="11"/>
        <v/>
      </c>
    </row>
    <row r="343" spans="6:34" x14ac:dyDescent="0.3">
      <c r="F343" s="35"/>
      <c r="J343" s="35"/>
      <c r="K343" s="35"/>
      <c r="L343" s="35"/>
      <c r="AD343" s="73"/>
      <c r="AF343" s="112" t="str">
        <f t="shared" si="10"/>
        <v/>
      </c>
      <c r="AG343" s="113" t="str">
        <f>IF(AF343="","",COUNTIF(AF343:AF$3000,AF343))</f>
        <v/>
      </c>
      <c r="AH343" s="114" t="str">
        <f t="shared" si="11"/>
        <v/>
      </c>
    </row>
    <row r="344" spans="6:34" x14ac:dyDescent="0.3">
      <c r="F344" s="35"/>
      <c r="J344" s="35"/>
      <c r="K344" s="35"/>
      <c r="L344" s="35"/>
      <c r="AD344" s="73"/>
      <c r="AF344" s="112" t="str">
        <f t="shared" si="10"/>
        <v/>
      </c>
      <c r="AG344" s="113" t="str">
        <f>IF(AF344="","",COUNTIF(AF344:AF$3000,AF344))</f>
        <v/>
      </c>
      <c r="AH344" s="114" t="str">
        <f t="shared" si="11"/>
        <v/>
      </c>
    </row>
    <row r="345" spans="6:34" x14ac:dyDescent="0.3">
      <c r="F345" s="35"/>
      <c r="J345" s="35"/>
      <c r="K345" s="35"/>
      <c r="L345" s="35"/>
      <c r="AD345" s="73"/>
      <c r="AF345" s="112" t="str">
        <f t="shared" si="10"/>
        <v/>
      </c>
      <c r="AG345" s="113" t="str">
        <f>IF(AF345="","",COUNTIF(AF345:AF$3000,AF345))</f>
        <v/>
      </c>
      <c r="AH345" s="114" t="str">
        <f t="shared" si="11"/>
        <v/>
      </c>
    </row>
    <row r="346" spans="6:34" x14ac:dyDescent="0.3">
      <c r="F346" s="35"/>
      <c r="J346" s="35"/>
      <c r="K346" s="35"/>
      <c r="L346" s="35"/>
      <c r="AD346" s="73"/>
      <c r="AF346" s="112" t="str">
        <f t="shared" si="10"/>
        <v/>
      </c>
      <c r="AG346" s="113" t="str">
        <f>IF(AF346="","",COUNTIF(AF346:AF$3000,AF346))</f>
        <v/>
      </c>
      <c r="AH346" s="114" t="str">
        <f t="shared" si="11"/>
        <v/>
      </c>
    </row>
    <row r="347" spans="6:34" x14ac:dyDescent="0.3">
      <c r="F347" s="35"/>
      <c r="J347" s="35"/>
      <c r="K347" s="35"/>
      <c r="L347" s="35"/>
      <c r="AD347" s="73"/>
      <c r="AF347" s="112" t="str">
        <f t="shared" si="10"/>
        <v/>
      </c>
      <c r="AG347" s="113" t="str">
        <f>IF(AF347="","",COUNTIF(AF347:AF$3000,AF347))</f>
        <v/>
      </c>
      <c r="AH347" s="114" t="str">
        <f t="shared" si="11"/>
        <v/>
      </c>
    </row>
    <row r="348" spans="6:34" x14ac:dyDescent="0.3">
      <c r="F348" s="35"/>
      <c r="J348" s="35"/>
      <c r="K348" s="35"/>
      <c r="L348" s="35"/>
      <c r="AD348" s="73"/>
      <c r="AF348" s="112" t="str">
        <f t="shared" si="10"/>
        <v/>
      </c>
      <c r="AG348" s="113" t="str">
        <f>IF(AF348="","",COUNTIF(AF348:AF$3000,AF348))</f>
        <v/>
      </c>
      <c r="AH348" s="114" t="str">
        <f t="shared" si="11"/>
        <v/>
      </c>
    </row>
    <row r="349" spans="6:34" x14ac:dyDescent="0.3">
      <c r="F349" s="35"/>
      <c r="J349" s="35"/>
      <c r="K349" s="35"/>
      <c r="L349" s="35"/>
      <c r="AD349" s="73"/>
      <c r="AF349" s="112" t="str">
        <f t="shared" si="10"/>
        <v/>
      </c>
      <c r="AG349" s="113" t="str">
        <f>IF(AF349="","",COUNTIF(AF349:AF$3000,AF349))</f>
        <v/>
      </c>
      <c r="AH349" s="114" t="str">
        <f t="shared" si="11"/>
        <v/>
      </c>
    </row>
    <row r="350" spans="6:34" x14ac:dyDescent="0.3">
      <c r="F350" s="35"/>
      <c r="J350" s="35"/>
      <c r="K350" s="35"/>
      <c r="L350" s="35"/>
      <c r="AD350" s="73"/>
      <c r="AF350" s="112" t="str">
        <f t="shared" si="10"/>
        <v/>
      </c>
      <c r="AG350" s="113" t="str">
        <f>IF(AF350="","",COUNTIF(AF350:AF$3000,AF350))</f>
        <v/>
      </c>
      <c r="AH350" s="114" t="str">
        <f t="shared" si="11"/>
        <v/>
      </c>
    </row>
    <row r="351" spans="6:34" x14ac:dyDescent="0.3">
      <c r="F351" s="35"/>
      <c r="J351" s="35"/>
      <c r="K351" s="35"/>
      <c r="L351" s="35"/>
      <c r="AD351" s="73"/>
      <c r="AF351" s="112" t="str">
        <f t="shared" si="10"/>
        <v/>
      </c>
      <c r="AG351" s="113" t="str">
        <f>IF(AF351="","",COUNTIF(AF351:AF$3000,AF351))</f>
        <v/>
      </c>
      <c r="AH351" s="114" t="str">
        <f t="shared" si="11"/>
        <v/>
      </c>
    </row>
    <row r="352" spans="6:34" x14ac:dyDescent="0.3">
      <c r="F352" s="35"/>
      <c r="J352" s="35"/>
      <c r="K352" s="35"/>
      <c r="L352" s="35"/>
      <c r="AD352" s="73"/>
      <c r="AF352" s="112" t="str">
        <f t="shared" si="10"/>
        <v/>
      </c>
      <c r="AG352" s="113" t="str">
        <f>IF(AF352="","",COUNTIF(AF352:AF$3000,AF352))</f>
        <v/>
      </c>
      <c r="AH352" s="114" t="str">
        <f t="shared" si="11"/>
        <v/>
      </c>
    </row>
    <row r="353" spans="6:34" x14ac:dyDescent="0.3">
      <c r="F353" s="35"/>
      <c r="J353" s="35"/>
      <c r="K353" s="35"/>
      <c r="L353" s="35"/>
      <c r="AD353" s="73"/>
      <c r="AF353" s="112" t="str">
        <f t="shared" si="10"/>
        <v/>
      </c>
      <c r="AG353" s="113" t="str">
        <f>IF(AF353="","",COUNTIF(AF353:AF$3000,AF353))</f>
        <v/>
      </c>
      <c r="AH353" s="114" t="str">
        <f t="shared" si="11"/>
        <v/>
      </c>
    </row>
    <row r="354" spans="6:34" x14ac:dyDescent="0.3">
      <c r="F354" s="35"/>
      <c r="J354" s="35"/>
      <c r="K354" s="35"/>
      <c r="L354" s="35"/>
      <c r="AD354" s="73"/>
      <c r="AF354" s="112" t="str">
        <f t="shared" si="10"/>
        <v/>
      </c>
      <c r="AG354" s="113" t="str">
        <f>IF(AF354="","",COUNTIF(AF354:AF$3000,AF354))</f>
        <v/>
      </c>
      <c r="AH354" s="114" t="str">
        <f t="shared" si="11"/>
        <v/>
      </c>
    </row>
    <row r="355" spans="6:34" x14ac:dyDescent="0.3">
      <c r="F355" s="35"/>
      <c r="J355" s="35"/>
      <c r="K355" s="35"/>
      <c r="L355" s="35"/>
      <c r="AD355" s="73"/>
      <c r="AF355" s="112" t="str">
        <f t="shared" si="10"/>
        <v/>
      </c>
      <c r="AG355" s="113" t="str">
        <f>IF(AF355="","",COUNTIF(AF355:AF$3000,AF355))</f>
        <v/>
      </c>
      <c r="AH355" s="114" t="str">
        <f t="shared" si="11"/>
        <v/>
      </c>
    </row>
    <row r="356" spans="6:34" x14ac:dyDescent="0.3">
      <c r="F356" s="35"/>
      <c r="J356" s="35"/>
      <c r="K356" s="35"/>
      <c r="L356" s="35"/>
      <c r="AD356" s="73"/>
      <c r="AF356" s="112" t="str">
        <f t="shared" si="10"/>
        <v/>
      </c>
      <c r="AG356" s="113" t="str">
        <f>IF(AF356="","",COUNTIF(AF356:AF$3000,AF356))</f>
        <v/>
      </c>
      <c r="AH356" s="114" t="str">
        <f t="shared" si="11"/>
        <v/>
      </c>
    </row>
    <row r="357" spans="6:34" x14ac:dyDescent="0.3">
      <c r="F357" s="35"/>
      <c r="J357" s="35"/>
      <c r="K357" s="35"/>
      <c r="L357" s="35"/>
      <c r="AD357" s="73"/>
      <c r="AF357" s="112" t="str">
        <f t="shared" si="10"/>
        <v/>
      </c>
      <c r="AG357" s="113" t="str">
        <f>IF(AF357="","",COUNTIF(AF357:AF$3000,AF357))</f>
        <v/>
      </c>
      <c r="AH357" s="114" t="str">
        <f t="shared" si="11"/>
        <v/>
      </c>
    </row>
    <row r="358" spans="6:34" x14ac:dyDescent="0.3">
      <c r="F358" s="35"/>
      <c r="J358" s="35"/>
      <c r="K358" s="35"/>
      <c r="L358" s="35"/>
      <c r="AD358" s="73"/>
      <c r="AF358" s="112" t="str">
        <f t="shared" si="10"/>
        <v/>
      </c>
      <c r="AG358" s="113" t="str">
        <f>IF(AF358="","",COUNTIF(AF358:AF$3000,AF358))</f>
        <v/>
      </c>
      <c r="AH358" s="114" t="str">
        <f t="shared" si="11"/>
        <v/>
      </c>
    </row>
    <row r="359" spans="6:34" x14ac:dyDescent="0.3">
      <c r="F359" s="35"/>
      <c r="J359" s="35"/>
      <c r="K359" s="35"/>
      <c r="L359" s="35"/>
      <c r="AD359" s="73"/>
      <c r="AF359" s="112" t="str">
        <f t="shared" si="10"/>
        <v/>
      </c>
      <c r="AG359" s="113" t="str">
        <f>IF(AF359="","",COUNTIF(AF359:AF$3000,AF359))</f>
        <v/>
      </c>
      <c r="AH359" s="114" t="str">
        <f t="shared" si="11"/>
        <v/>
      </c>
    </row>
    <row r="360" spans="6:34" x14ac:dyDescent="0.3">
      <c r="F360" s="35"/>
      <c r="J360" s="35"/>
      <c r="K360" s="35"/>
      <c r="L360" s="35"/>
      <c r="AD360" s="73"/>
      <c r="AF360" s="112" t="str">
        <f t="shared" si="10"/>
        <v/>
      </c>
      <c r="AG360" s="113" t="str">
        <f>IF(AF360="","",COUNTIF(AF360:AF$3000,AF360))</f>
        <v/>
      </c>
      <c r="AH360" s="114" t="str">
        <f t="shared" si="11"/>
        <v/>
      </c>
    </row>
    <row r="361" spans="6:34" x14ac:dyDescent="0.3">
      <c r="F361" s="35"/>
      <c r="J361" s="35"/>
      <c r="K361" s="35"/>
      <c r="L361" s="35"/>
      <c r="AD361" s="73"/>
      <c r="AF361" s="112" t="str">
        <f t="shared" si="10"/>
        <v/>
      </c>
      <c r="AG361" s="113" t="str">
        <f>IF(AF361="","",COUNTIF(AF361:AF$3000,AF361))</f>
        <v/>
      </c>
      <c r="AH361" s="114" t="str">
        <f t="shared" si="11"/>
        <v/>
      </c>
    </row>
    <row r="362" spans="6:34" x14ac:dyDescent="0.3">
      <c r="F362" s="35"/>
      <c r="J362" s="35"/>
      <c r="K362" s="35"/>
      <c r="L362" s="35"/>
      <c r="AD362" s="73"/>
      <c r="AF362" s="112" t="str">
        <f t="shared" si="10"/>
        <v/>
      </c>
      <c r="AG362" s="113" t="str">
        <f>IF(AF362="","",COUNTIF(AF362:AF$3000,AF362))</f>
        <v/>
      </c>
      <c r="AH362" s="114" t="str">
        <f t="shared" si="11"/>
        <v/>
      </c>
    </row>
    <row r="363" spans="6:34" x14ac:dyDescent="0.3">
      <c r="F363" s="35"/>
      <c r="J363" s="35"/>
      <c r="K363" s="35"/>
      <c r="L363" s="35"/>
      <c r="AD363" s="73"/>
      <c r="AF363" s="112" t="str">
        <f t="shared" si="10"/>
        <v/>
      </c>
      <c r="AG363" s="113" t="str">
        <f>IF(AF363="","",COUNTIF(AF363:AF$3000,AF363))</f>
        <v/>
      </c>
      <c r="AH363" s="114" t="str">
        <f t="shared" si="11"/>
        <v/>
      </c>
    </row>
    <row r="364" spans="6:34" x14ac:dyDescent="0.3">
      <c r="F364" s="35"/>
      <c r="J364" s="35"/>
      <c r="K364" s="35"/>
      <c r="L364" s="35"/>
      <c r="AD364" s="73"/>
      <c r="AF364" s="112" t="str">
        <f t="shared" si="10"/>
        <v/>
      </c>
      <c r="AG364" s="113" t="str">
        <f>IF(AF364="","",COUNTIF(AF364:AF$3000,AF364))</f>
        <v/>
      </c>
      <c r="AH364" s="114" t="str">
        <f t="shared" si="11"/>
        <v/>
      </c>
    </row>
    <row r="365" spans="6:34" x14ac:dyDescent="0.3">
      <c r="F365" s="35"/>
      <c r="J365" s="35"/>
      <c r="K365" s="35"/>
      <c r="L365" s="35"/>
      <c r="AD365" s="73"/>
      <c r="AF365" s="112" t="str">
        <f t="shared" si="10"/>
        <v/>
      </c>
      <c r="AG365" s="113" t="str">
        <f>IF(AF365="","",COUNTIF(AF365:AF$3000,AF365))</f>
        <v/>
      </c>
      <c r="AH365" s="114" t="str">
        <f t="shared" si="11"/>
        <v/>
      </c>
    </row>
    <row r="366" spans="6:34" x14ac:dyDescent="0.3">
      <c r="F366" s="35"/>
      <c r="J366" s="35"/>
      <c r="K366" s="35"/>
      <c r="L366" s="35"/>
      <c r="AD366" s="73"/>
      <c r="AF366" s="112" t="str">
        <f t="shared" si="10"/>
        <v/>
      </c>
      <c r="AG366" s="113" t="str">
        <f>IF(AF366="","",COUNTIF(AF366:AF$3000,AF366))</f>
        <v/>
      </c>
      <c r="AH366" s="114" t="str">
        <f t="shared" si="11"/>
        <v/>
      </c>
    </row>
    <row r="367" spans="6:34" x14ac:dyDescent="0.3">
      <c r="F367" s="35"/>
      <c r="J367" s="35"/>
      <c r="K367" s="35"/>
      <c r="L367" s="35"/>
      <c r="AD367" s="73"/>
      <c r="AF367" s="112" t="str">
        <f t="shared" si="10"/>
        <v/>
      </c>
      <c r="AG367" s="113" t="str">
        <f>IF(AF367="","",COUNTIF(AF367:AF$3000,AF367))</f>
        <v/>
      </c>
      <c r="AH367" s="114" t="str">
        <f t="shared" si="11"/>
        <v/>
      </c>
    </row>
    <row r="368" spans="6:34" x14ac:dyDescent="0.3">
      <c r="F368" s="35"/>
      <c r="J368" s="35"/>
      <c r="K368" s="35"/>
      <c r="L368" s="35"/>
      <c r="AD368" s="73"/>
      <c r="AF368" s="112" t="str">
        <f t="shared" si="10"/>
        <v/>
      </c>
      <c r="AG368" s="113" t="str">
        <f>IF(AF368="","",COUNTIF(AF368:AF$3000,AF368))</f>
        <v/>
      </c>
      <c r="AH368" s="114" t="str">
        <f t="shared" si="11"/>
        <v/>
      </c>
    </row>
    <row r="369" spans="6:34" x14ac:dyDescent="0.3">
      <c r="F369" s="35"/>
      <c r="J369" s="35"/>
      <c r="K369" s="35"/>
      <c r="L369" s="35"/>
      <c r="AD369" s="73"/>
      <c r="AF369" s="112" t="str">
        <f t="shared" si="10"/>
        <v/>
      </c>
      <c r="AG369" s="113" t="str">
        <f>IF(AF369="","",COUNTIF(AF369:AF$3000,AF369))</f>
        <v/>
      </c>
      <c r="AH369" s="114" t="str">
        <f t="shared" si="11"/>
        <v/>
      </c>
    </row>
    <row r="370" spans="6:34" x14ac:dyDescent="0.3">
      <c r="F370" s="35"/>
      <c r="J370" s="35"/>
      <c r="K370" s="35"/>
      <c r="L370" s="35"/>
      <c r="AD370" s="73"/>
      <c r="AF370" s="112" t="str">
        <f t="shared" si="10"/>
        <v/>
      </c>
      <c r="AG370" s="113" t="str">
        <f>IF(AF370="","",COUNTIF(AF370:AF$3000,AF370))</f>
        <v/>
      </c>
      <c r="AH370" s="114" t="str">
        <f t="shared" si="11"/>
        <v/>
      </c>
    </row>
    <row r="371" spans="6:34" x14ac:dyDescent="0.3">
      <c r="F371" s="35"/>
      <c r="J371" s="35"/>
      <c r="K371" s="35"/>
      <c r="L371" s="35"/>
      <c r="AD371" s="73"/>
      <c r="AF371" s="112" t="str">
        <f t="shared" si="10"/>
        <v/>
      </c>
      <c r="AG371" s="113" t="str">
        <f>IF(AF371="","",COUNTIF(AF371:AF$3000,AF371))</f>
        <v/>
      </c>
      <c r="AH371" s="114" t="str">
        <f t="shared" si="11"/>
        <v/>
      </c>
    </row>
    <row r="372" spans="6:34" x14ac:dyDescent="0.3">
      <c r="F372" s="35"/>
      <c r="J372" s="35"/>
      <c r="K372" s="35"/>
      <c r="L372" s="35"/>
      <c r="AD372" s="73"/>
      <c r="AF372" s="112" t="str">
        <f t="shared" si="10"/>
        <v/>
      </c>
      <c r="AG372" s="113" t="str">
        <f>IF(AF372="","",COUNTIF(AF372:AF$3000,AF372))</f>
        <v/>
      </c>
      <c r="AH372" s="114" t="str">
        <f t="shared" si="11"/>
        <v/>
      </c>
    </row>
    <row r="373" spans="6:34" x14ac:dyDescent="0.3">
      <c r="F373" s="35"/>
      <c r="J373" s="35"/>
      <c r="K373" s="35"/>
      <c r="L373" s="35"/>
      <c r="AD373" s="73"/>
      <c r="AF373" s="112" t="str">
        <f t="shared" si="10"/>
        <v/>
      </c>
      <c r="AG373" s="113" t="str">
        <f>IF(AF373="","",COUNTIF(AF373:AF$3000,AF373))</f>
        <v/>
      </c>
      <c r="AH373" s="114" t="str">
        <f t="shared" si="11"/>
        <v/>
      </c>
    </row>
    <row r="374" spans="6:34" x14ac:dyDescent="0.3">
      <c r="F374" s="35"/>
      <c r="J374" s="35"/>
      <c r="K374" s="35"/>
      <c r="L374" s="35"/>
      <c r="AD374" s="73"/>
      <c r="AF374" s="112" t="str">
        <f t="shared" si="10"/>
        <v/>
      </c>
      <c r="AG374" s="113" t="str">
        <f>IF(AF374="","",COUNTIF(AF374:AF$3000,AF374))</f>
        <v/>
      </c>
      <c r="AH374" s="114" t="str">
        <f t="shared" si="11"/>
        <v/>
      </c>
    </row>
    <row r="375" spans="6:34" x14ac:dyDescent="0.3">
      <c r="F375" s="35"/>
      <c r="J375" s="35"/>
      <c r="K375" s="35"/>
      <c r="L375" s="35"/>
      <c r="AD375" s="73"/>
      <c r="AF375" s="112" t="str">
        <f t="shared" si="10"/>
        <v/>
      </c>
      <c r="AG375" s="113" t="str">
        <f>IF(AF375="","",COUNTIF(AF375:AF$3000,AF375))</f>
        <v/>
      </c>
      <c r="AH375" s="114" t="str">
        <f t="shared" si="11"/>
        <v/>
      </c>
    </row>
    <row r="376" spans="6:34" x14ac:dyDescent="0.3">
      <c r="F376" s="35"/>
      <c r="J376" s="35"/>
      <c r="K376" s="35"/>
      <c r="L376" s="35"/>
      <c r="AD376" s="73"/>
      <c r="AF376" s="112" t="str">
        <f t="shared" si="10"/>
        <v/>
      </c>
      <c r="AG376" s="113" t="str">
        <f>IF(AF376="","",COUNTIF(AF376:AF$3000,AF376))</f>
        <v/>
      </c>
      <c r="AH376" s="114" t="str">
        <f t="shared" si="11"/>
        <v/>
      </c>
    </row>
    <row r="377" spans="6:34" x14ac:dyDescent="0.3">
      <c r="F377" s="35"/>
      <c r="J377" s="35"/>
      <c r="K377" s="35"/>
      <c r="L377" s="35"/>
      <c r="AD377" s="73"/>
      <c r="AF377" s="112" t="str">
        <f t="shared" si="10"/>
        <v/>
      </c>
      <c r="AG377" s="113" t="str">
        <f>IF(AF377="","",COUNTIF(AF377:AF$3000,AF377))</f>
        <v/>
      </c>
      <c r="AH377" s="114" t="str">
        <f t="shared" si="11"/>
        <v/>
      </c>
    </row>
    <row r="378" spans="6:34" x14ac:dyDescent="0.3">
      <c r="F378" s="35"/>
      <c r="J378" s="35"/>
      <c r="K378" s="35"/>
      <c r="L378" s="35"/>
      <c r="AD378" s="73"/>
      <c r="AF378" s="112" t="str">
        <f t="shared" si="10"/>
        <v/>
      </c>
      <c r="AG378" s="113" t="str">
        <f>IF(AF378="","",COUNTIF(AF378:AF$3000,AF378))</f>
        <v/>
      </c>
      <c r="AH378" s="114" t="str">
        <f t="shared" si="11"/>
        <v/>
      </c>
    </row>
    <row r="379" spans="6:34" x14ac:dyDescent="0.3">
      <c r="F379" s="35"/>
      <c r="J379" s="35"/>
      <c r="K379" s="35"/>
      <c r="L379" s="35"/>
      <c r="AD379" s="73"/>
      <c r="AF379" s="112" t="str">
        <f t="shared" si="10"/>
        <v/>
      </c>
      <c r="AG379" s="113" t="str">
        <f>IF(AF379="","",COUNTIF(AF379:AF$3000,AF379))</f>
        <v/>
      </c>
      <c r="AH379" s="114" t="str">
        <f t="shared" si="11"/>
        <v/>
      </c>
    </row>
    <row r="380" spans="6:34" x14ac:dyDescent="0.3">
      <c r="F380" s="35"/>
      <c r="J380" s="35"/>
      <c r="K380" s="35"/>
      <c r="L380" s="35"/>
      <c r="AD380" s="73"/>
      <c r="AF380" s="112" t="str">
        <f t="shared" si="10"/>
        <v/>
      </c>
      <c r="AG380" s="113" t="str">
        <f>IF(AF380="","",COUNTIF(AF380:AF$3000,AF380))</f>
        <v/>
      </c>
      <c r="AH380" s="114" t="str">
        <f t="shared" si="11"/>
        <v/>
      </c>
    </row>
    <row r="381" spans="6:34" x14ac:dyDescent="0.3">
      <c r="F381" s="35"/>
      <c r="J381" s="35"/>
      <c r="K381" s="35"/>
      <c r="L381" s="35"/>
      <c r="AD381" s="73"/>
      <c r="AF381" s="112" t="str">
        <f t="shared" si="10"/>
        <v/>
      </c>
      <c r="AG381" s="113" t="str">
        <f>IF(AF381="","",COUNTIF(AF381:AF$3000,AF381))</f>
        <v/>
      </c>
      <c r="AH381" s="114" t="str">
        <f t="shared" si="11"/>
        <v/>
      </c>
    </row>
    <row r="382" spans="6:34" x14ac:dyDescent="0.3">
      <c r="F382" s="35"/>
      <c r="J382" s="35"/>
      <c r="K382" s="35"/>
      <c r="L382" s="35"/>
      <c r="AD382" s="73"/>
      <c r="AF382" s="112" t="str">
        <f t="shared" si="10"/>
        <v/>
      </c>
      <c r="AG382" s="113" t="str">
        <f>IF(AF382="","",COUNTIF(AF382:AF$3000,AF382))</f>
        <v/>
      </c>
      <c r="AH382" s="114" t="str">
        <f t="shared" si="11"/>
        <v/>
      </c>
    </row>
    <row r="383" spans="6:34" x14ac:dyDescent="0.3">
      <c r="F383" s="35"/>
      <c r="J383" s="35"/>
      <c r="K383" s="35"/>
      <c r="L383" s="35"/>
      <c r="AD383" s="73"/>
      <c r="AF383" s="112" t="str">
        <f t="shared" si="10"/>
        <v/>
      </c>
      <c r="AG383" s="113" t="str">
        <f>IF(AF383="","",COUNTIF(AF383:AF$3000,AF383))</f>
        <v/>
      </c>
      <c r="AH383" s="114" t="str">
        <f t="shared" si="11"/>
        <v/>
      </c>
    </row>
    <row r="384" spans="6:34" x14ac:dyDescent="0.3">
      <c r="F384" s="35"/>
      <c r="J384" s="35"/>
      <c r="K384" s="35"/>
      <c r="L384" s="35"/>
      <c r="AD384" s="73"/>
      <c r="AF384" s="112" t="str">
        <f t="shared" si="10"/>
        <v/>
      </c>
      <c r="AG384" s="113" t="str">
        <f>IF(AF384="","",COUNTIF(AF384:AF$3000,AF384))</f>
        <v/>
      </c>
      <c r="AH384" s="114" t="str">
        <f t="shared" si="11"/>
        <v/>
      </c>
    </row>
    <row r="385" spans="6:34" x14ac:dyDescent="0.3">
      <c r="F385" s="35"/>
      <c r="J385" s="35"/>
      <c r="K385" s="35"/>
      <c r="L385" s="35"/>
      <c r="AD385" s="73"/>
      <c r="AF385" s="112" t="str">
        <f t="shared" si="10"/>
        <v/>
      </c>
      <c r="AG385" s="113" t="str">
        <f>IF(AF385="","",COUNTIF(AF385:AF$3000,AF385))</f>
        <v/>
      </c>
      <c r="AH385" s="114" t="str">
        <f t="shared" si="11"/>
        <v/>
      </c>
    </row>
    <row r="386" spans="6:34" x14ac:dyDescent="0.3">
      <c r="F386" s="35"/>
      <c r="J386" s="35"/>
      <c r="K386" s="35"/>
      <c r="L386" s="35"/>
      <c r="AD386" s="73"/>
      <c r="AF386" s="112" t="str">
        <f t="shared" si="10"/>
        <v/>
      </c>
      <c r="AG386" s="113" t="str">
        <f>IF(AF386="","",COUNTIF(AF386:AF$3000,AF386))</f>
        <v/>
      </c>
      <c r="AH386" s="114" t="str">
        <f t="shared" si="11"/>
        <v/>
      </c>
    </row>
    <row r="387" spans="6:34" x14ac:dyDescent="0.3">
      <c r="F387" s="35"/>
      <c r="J387" s="35"/>
      <c r="K387" s="35"/>
      <c r="L387" s="35"/>
      <c r="AD387" s="73"/>
      <c r="AF387" s="112" t="str">
        <f t="shared" si="10"/>
        <v/>
      </c>
      <c r="AG387" s="113" t="str">
        <f>IF(AF387="","",COUNTIF(AF387:AF$3000,AF387))</f>
        <v/>
      </c>
      <c r="AH387" s="114" t="str">
        <f t="shared" si="11"/>
        <v/>
      </c>
    </row>
    <row r="388" spans="6:34" x14ac:dyDescent="0.3">
      <c r="F388" s="35"/>
      <c r="J388" s="35"/>
      <c r="K388" s="35"/>
      <c r="L388" s="35"/>
      <c r="AD388" s="73"/>
      <c r="AF388" s="112" t="str">
        <f t="shared" ref="AF388:AF451" si="12">IF(B388="","",TEXT(J388,"DD/MM/AA")&amp;"_"&amp;S388&amp;"_"&amp;V388)</f>
        <v/>
      </c>
      <c r="AG388" s="113" t="str">
        <f>IF(AF388="","",COUNTIF(AF388:AF$3000,AF388))</f>
        <v/>
      </c>
      <c r="AH388" s="114" t="str">
        <f t="shared" ref="AH388:AH451" si="13">IF(AA388="","",
IF(AG388&gt;1,"",
IF(SUMIF(AF$3:AF$31,AF388,H$3:H$31)/10&lt;1,1,SUMIF(AF$3:AF$31,AF388,H$3:H$31)/10)))</f>
        <v/>
      </c>
    </row>
    <row r="389" spans="6:34" x14ac:dyDescent="0.3">
      <c r="F389" s="35"/>
      <c r="J389" s="35"/>
      <c r="K389" s="35"/>
      <c r="L389" s="35"/>
      <c r="AD389" s="73"/>
      <c r="AF389" s="112" t="str">
        <f t="shared" si="12"/>
        <v/>
      </c>
      <c r="AG389" s="113" t="str">
        <f>IF(AF389="","",COUNTIF(AF389:AF$3000,AF389))</f>
        <v/>
      </c>
      <c r="AH389" s="114" t="str">
        <f t="shared" si="13"/>
        <v/>
      </c>
    </row>
    <row r="390" spans="6:34" x14ac:dyDescent="0.3">
      <c r="F390" s="35"/>
      <c r="J390" s="35"/>
      <c r="K390" s="35"/>
      <c r="L390" s="35"/>
      <c r="AD390" s="73"/>
      <c r="AF390" s="112" t="str">
        <f t="shared" si="12"/>
        <v/>
      </c>
      <c r="AG390" s="113" t="str">
        <f>IF(AF390="","",COUNTIF(AF390:AF$3000,AF390))</f>
        <v/>
      </c>
      <c r="AH390" s="114" t="str">
        <f t="shared" si="13"/>
        <v/>
      </c>
    </row>
    <row r="391" spans="6:34" x14ac:dyDescent="0.3">
      <c r="F391" s="35"/>
      <c r="J391" s="35"/>
      <c r="K391" s="35"/>
      <c r="L391" s="35"/>
      <c r="AD391" s="73"/>
      <c r="AF391" s="112" t="str">
        <f t="shared" si="12"/>
        <v/>
      </c>
      <c r="AG391" s="113" t="str">
        <f>IF(AF391="","",COUNTIF(AF391:AF$3000,AF391))</f>
        <v/>
      </c>
      <c r="AH391" s="114" t="str">
        <f t="shared" si="13"/>
        <v/>
      </c>
    </row>
    <row r="392" spans="6:34" x14ac:dyDescent="0.3">
      <c r="F392" s="35"/>
      <c r="J392" s="35"/>
      <c r="K392" s="35"/>
      <c r="L392" s="35"/>
      <c r="AD392" s="73"/>
      <c r="AF392" s="112" t="str">
        <f t="shared" si="12"/>
        <v/>
      </c>
      <c r="AG392" s="113" t="str">
        <f>IF(AF392="","",COUNTIF(AF392:AF$3000,AF392))</f>
        <v/>
      </c>
      <c r="AH392" s="114" t="str">
        <f t="shared" si="13"/>
        <v/>
      </c>
    </row>
    <row r="393" spans="6:34" x14ac:dyDescent="0.3">
      <c r="F393" s="35"/>
      <c r="J393" s="35"/>
      <c r="K393" s="35"/>
      <c r="L393" s="35"/>
      <c r="AD393" s="73"/>
      <c r="AF393" s="112" t="str">
        <f t="shared" si="12"/>
        <v/>
      </c>
      <c r="AG393" s="113" t="str">
        <f>IF(AF393="","",COUNTIF(AF393:AF$3000,AF393))</f>
        <v/>
      </c>
      <c r="AH393" s="114" t="str">
        <f t="shared" si="13"/>
        <v/>
      </c>
    </row>
    <row r="394" spans="6:34" x14ac:dyDescent="0.3">
      <c r="F394" s="35"/>
      <c r="J394" s="35"/>
      <c r="K394" s="35"/>
      <c r="L394" s="35"/>
      <c r="AD394" s="73"/>
      <c r="AF394" s="112" t="str">
        <f t="shared" si="12"/>
        <v/>
      </c>
      <c r="AG394" s="113" t="str">
        <f>IF(AF394="","",COUNTIF(AF394:AF$3000,AF394))</f>
        <v/>
      </c>
      <c r="AH394" s="114" t="str">
        <f t="shared" si="13"/>
        <v/>
      </c>
    </row>
    <row r="395" spans="6:34" x14ac:dyDescent="0.3">
      <c r="F395" s="35"/>
      <c r="J395" s="35"/>
      <c r="K395" s="35"/>
      <c r="L395" s="35"/>
      <c r="AD395" s="73"/>
      <c r="AF395" s="112" t="str">
        <f t="shared" si="12"/>
        <v/>
      </c>
      <c r="AG395" s="113" t="str">
        <f>IF(AF395="","",COUNTIF(AF395:AF$3000,AF395))</f>
        <v/>
      </c>
      <c r="AH395" s="114" t="str">
        <f t="shared" si="13"/>
        <v/>
      </c>
    </row>
    <row r="396" spans="6:34" x14ac:dyDescent="0.3">
      <c r="F396" s="35"/>
      <c r="J396" s="35"/>
      <c r="K396" s="35"/>
      <c r="L396" s="35"/>
      <c r="AD396" s="73"/>
      <c r="AF396" s="112" t="str">
        <f t="shared" si="12"/>
        <v/>
      </c>
      <c r="AG396" s="113" t="str">
        <f>IF(AF396="","",COUNTIF(AF396:AF$3000,AF396))</f>
        <v/>
      </c>
      <c r="AH396" s="114" t="str">
        <f t="shared" si="13"/>
        <v/>
      </c>
    </row>
    <row r="397" spans="6:34" x14ac:dyDescent="0.3">
      <c r="F397" s="35"/>
      <c r="J397" s="35"/>
      <c r="K397" s="35"/>
      <c r="L397" s="35"/>
      <c r="AD397" s="73"/>
      <c r="AF397" s="112" t="str">
        <f t="shared" si="12"/>
        <v/>
      </c>
      <c r="AG397" s="113" t="str">
        <f>IF(AF397="","",COUNTIF(AF397:AF$3000,AF397))</f>
        <v/>
      </c>
      <c r="AH397" s="114" t="str">
        <f t="shared" si="13"/>
        <v/>
      </c>
    </row>
    <row r="398" spans="6:34" x14ac:dyDescent="0.3">
      <c r="F398" s="35"/>
      <c r="J398" s="35"/>
      <c r="K398" s="35"/>
      <c r="L398" s="35"/>
      <c r="AD398" s="73"/>
      <c r="AF398" s="112" t="str">
        <f t="shared" si="12"/>
        <v/>
      </c>
      <c r="AG398" s="113" t="str">
        <f>IF(AF398="","",COUNTIF(AF398:AF$3000,AF398))</f>
        <v/>
      </c>
      <c r="AH398" s="114" t="str">
        <f t="shared" si="13"/>
        <v/>
      </c>
    </row>
    <row r="399" spans="6:34" x14ac:dyDescent="0.3">
      <c r="F399" s="35"/>
      <c r="J399" s="35"/>
      <c r="K399" s="35"/>
      <c r="L399" s="35"/>
      <c r="AD399" s="73"/>
      <c r="AF399" s="112" t="str">
        <f t="shared" si="12"/>
        <v/>
      </c>
      <c r="AG399" s="113" t="str">
        <f>IF(AF399="","",COUNTIF(AF399:AF$3000,AF399))</f>
        <v/>
      </c>
      <c r="AH399" s="114" t="str">
        <f t="shared" si="13"/>
        <v/>
      </c>
    </row>
    <row r="400" spans="6:34" x14ac:dyDescent="0.3">
      <c r="F400" s="35"/>
      <c r="J400" s="35"/>
      <c r="K400" s="35"/>
      <c r="L400" s="35"/>
      <c r="AD400" s="73"/>
      <c r="AF400" s="112" t="str">
        <f t="shared" si="12"/>
        <v/>
      </c>
      <c r="AG400" s="113" t="str">
        <f>IF(AF400="","",COUNTIF(AF400:AF$3000,AF400))</f>
        <v/>
      </c>
      <c r="AH400" s="114" t="str">
        <f t="shared" si="13"/>
        <v/>
      </c>
    </row>
    <row r="401" spans="6:34" x14ac:dyDescent="0.3">
      <c r="F401" s="35"/>
      <c r="J401" s="35"/>
      <c r="K401" s="35"/>
      <c r="L401" s="35"/>
      <c r="AD401" s="73"/>
      <c r="AF401" s="112" t="str">
        <f t="shared" si="12"/>
        <v/>
      </c>
      <c r="AG401" s="113" t="str">
        <f>IF(AF401="","",COUNTIF(AF401:AF$3000,AF401))</f>
        <v/>
      </c>
      <c r="AH401" s="114" t="str">
        <f t="shared" si="13"/>
        <v/>
      </c>
    </row>
    <row r="402" spans="6:34" x14ac:dyDescent="0.3">
      <c r="F402" s="35"/>
      <c r="J402" s="35"/>
      <c r="K402" s="35"/>
      <c r="L402" s="35"/>
      <c r="AD402" s="73"/>
      <c r="AF402" s="112" t="str">
        <f t="shared" si="12"/>
        <v/>
      </c>
      <c r="AG402" s="113" t="str">
        <f>IF(AF402="","",COUNTIF(AF402:AF$3000,AF402))</f>
        <v/>
      </c>
      <c r="AH402" s="114" t="str">
        <f t="shared" si="13"/>
        <v/>
      </c>
    </row>
    <row r="403" spans="6:34" x14ac:dyDescent="0.3">
      <c r="F403" s="35"/>
      <c r="J403" s="35"/>
      <c r="K403" s="35"/>
      <c r="L403" s="35"/>
      <c r="AD403" s="73"/>
      <c r="AF403" s="112" t="str">
        <f t="shared" si="12"/>
        <v/>
      </c>
      <c r="AG403" s="113" t="str">
        <f>IF(AF403="","",COUNTIF(AF403:AF$3000,AF403))</f>
        <v/>
      </c>
      <c r="AH403" s="114" t="str">
        <f t="shared" si="13"/>
        <v/>
      </c>
    </row>
    <row r="404" spans="6:34" x14ac:dyDescent="0.3">
      <c r="F404" s="35"/>
      <c r="J404" s="35"/>
      <c r="K404" s="35"/>
      <c r="L404" s="35"/>
      <c r="AD404" s="73"/>
      <c r="AF404" s="112" t="str">
        <f t="shared" si="12"/>
        <v/>
      </c>
      <c r="AG404" s="113" t="str">
        <f>IF(AF404="","",COUNTIF(AF404:AF$3000,AF404))</f>
        <v/>
      </c>
      <c r="AH404" s="114" t="str">
        <f t="shared" si="13"/>
        <v/>
      </c>
    </row>
    <row r="405" spans="6:34" x14ac:dyDescent="0.3">
      <c r="F405" s="35"/>
      <c r="J405" s="35"/>
      <c r="K405" s="35"/>
      <c r="L405" s="35"/>
      <c r="AD405" s="73"/>
      <c r="AF405" s="112" t="str">
        <f t="shared" si="12"/>
        <v/>
      </c>
      <c r="AG405" s="113" t="str">
        <f>IF(AF405="","",COUNTIF(AF405:AF$3000,AF405))</f>
        <v/>
      </c>
      <c r="AH405" s="114" t="str">
        <f t="shared" si="13"/>
        <v/>
      </c>
    </row>
    <row r="406" spans="6:34" x14ac:dyDescent="0.3">
      <c r="F406" s="35"/>
      <c r="J406" s="35"/>
      <c r="K406" s="35"/>
      <c r="L406" s="35"/>
      <c r="AD406" s="73"/>
      <c r="AF406" s="112" t="str">
        <f t="shared" si="12"/>
        <v/>
      </c>
      <c r="AG406" s="113" t="str">
        <f>IF(AF406="","",COUNTIF(AF406:AF$3000,AF406))</f>
        <v/>
      </c>
      <c r="AH406" s="114" t="str">
        <f t="shared" si="13"/>
        <v/>
      </c>
    </row>
    <row r="407" spans="6:34" x14ac:dyDescent="0.3">
      <c r="F407" s="35"/>
      <c r="J407" s="35"/>
      <c r="K407" s="35"/>
      <c r="L407" s="35"/>
      <c r="AD407" s="73"/>
      <c r="AF407" s="112" t="str">
        <f t="shared" si="12"/>
        <v/>
      </c>
      <c r="AG407" s="113" t="str">
        <f>IF(AF407="","",COUNTIF(AF407:AF$3000,AF407))</f>
        <v/>
      </c>
      <c r="AH407" s="114" t="str">
        <f t="shared" si="13"/>
        <v/>
      </c>
    </row>
    <row r="408" spans="6:34" x14ac:dyDescent="0.3">
      <c r="F408" s="35"/>
      <c r="J408" s="35"/>
      <c r="K408" s="35"/>
      <c r="L408" s="35"/>
      <c r="AD408" s="73"/>
      <c r="AF408" s="112" t="str">
        <f t="shared" si="12"/>
        <v/>
      </c>
      <c r="AG408" s="113" t="str">
        <f>IF(AF408="","",COUNTIF(AF408:AF$3000,AF408))</f>
        <v/>
      </c>
      <c r="AH408" s="114" t="str">
        <f t="shared" si="13"/>
        <v/>
      </c>
    </row>
    <row r="409" spans="6:34" x14ac:dyDescent="0.3">
      <c r="F409" s="35"/>
      <c r="J409" s="35"/>
      <c r="K409" s="35"/>
      <c r="L409" s="35"/>
      <c r="AD409" s="73"/>
      <c r="AF409" s="112" t="str">
        <f t="shared" si="12"/>
        <v/>
      </c>
      <c r="AG409" s="113" t="str">
        <f>IF(AF409="","",COUNTIF(AF409:AF$3000,AF409))</f>
        <v/>
      </c>
      <c r="AH409" s="114" t="str">
        <f t="shared" si="13"/>
        <v/>
      </c>
    </row>
    <row r="410" spans="6:34" x14ac:dyDescent="0.3">
      <c r="F410" s="35"/>
      <c r="J410" s="35"/>
      <c r="K410" s="35"/>
      <c r="L410" s="35"/>
      <c r="AD410" s="73"/>
      <c r="AF410" s="112" t="str">
        <f t="shared" si="12"/>
        <v/>
      </c>
      <c r="AG410" s="113" t="str">
        <f>IF(AF410="","",COUNTIF(AF410:AF$3000,AF410))</f>
        <v/>
      </c>
      <c r="AH410" s="114" t="str">
        <f t="shared" si="13"/>
        <v/>
      </c>
    </row>
    <row r="411" spans="6:34" x14ac:dyDescent="0.3">
      <c r="F411" s="35"/>
      <c r="J411" s="35"/>
      <c r="K411" s="35"/>
      <c r="L411" s="35"/>
      <c r="AD411" s="73"/>
      <c r="AF411" s="112" t="str">
        <f t="shared" si="12"/>
        <v/>
      </c>
      <c r="AG411" s="113" t="str">
        <f>IF(AF411="","",COUNTIF(AF411:AF$3000,AF411))</f>
        <v/>
      </c>
      <c r="AH411" s="114" t="str">
        <f t="shared" si="13"/>
        <v/>
      </c>
    </row>
    <row r="412" spans="6:34" x14ac:dyDescent="0.3">
      <c r="F412" s="35"/>
      <c r="J412" s="35"/>
      <c r="K412" s="35"/>
      <c r="L412" s="35"/>
      <c r="AD412" s="73"/>
      <c r="AF412" s="112" t="str">
        <f t="shared" si="12"/>
        <v/>
      </c>
      <c r="AG412" s="113" t="str">
        <f>IF(AF412="","",COUNTIF(AF412:AF$3000,AF412))</f>
        <v/>
      </c>
      <c r="AH412" s="114" t="str">
        <f t="shared" si="13"/>
        <v/>
      </c>
    </row>
    <row r="413" spans="6:34" x14ac:dyDescent="0.3">
      <c r="F413" s="35"/>
      <c r="J413" s="35"/>
      <c r="K413" s="35"/>
      <c r="L413" s="35"/>
      <c r="AD413" s="73"/>
      <c r="AF413" s="112" t="str">
        <f t="shared" si="12"/>
        <v/>
      </c>
      <c r="AG413" s="113" t="str">
        <f>IF(AF413="","",COUNTIF(AF413:AF$3000,AF413))</f>
        <v/>
      </c>
      <c r="AH413" s="114" t="str">
        <f t="shared" si="13"/>
        <v/>
      </c>
    </row>
    <row r="414" spans="6:34" x14ac:dyDescent="0.3">
      <c r="F414" s="35"/>
      <c r="J414" s="35"/>
      <c r="K414" s="35"/>
      <c r="L414" s="35"/>
      <c r="AD414" s="73"/>
      <c r="AF414" s="112" t="str">
        <f t="shared" si="12"/>
        <v/>
      </c>
      <c r="AG414" s="113" t="str">
        <f>IF(AF414="","",COUNTIF(AF414:AF$3000,AF414))</f>
        <v/>
      </c>
      <c r="AH414" s="114" t="str">
        <f t="shared" si="13"/>
        <v/>
      </c>
    </row>
    <row r="415" spans="6:34" x14ac:dyDescent="0.3">
      <c r="F415" s="35"/>
      <c r="J415" s="35"/>
      <c r="K415" s="35"/>
      <c r="L415" s="35"/>
      <c r="AD415" s="73"/>
      <c r="AF415" s="112" t="str">
        <f t="shared" si="12"/>
        <v/>
      </c>
      <c r="AG415" s="113" t="str">
        <f>IF(AF415="","",COUNTIF(AF415:AF$3000,AF415))</f>
        <v/>
      </c>
      <c r="AH415" s="114" t="str">
        <f t="shared" si="13"/>
        <v/>
      </c>
    </row>
    <row r="416" spans="6:34" x14ac:dyDescent="0.3">
      <c r="F416" s="35"/>
      <c r="J416" s="35"/>
      <c r="K416" s="35"/>
      <c r="L416" s="35"/>
      <c r="AD416" s="73"/>
      <c r="AF416" s="112" t="str">
        <f t="shared" si="12"/>
        <v/>
      </c>
      <c r="AG416" s="113" t="str">
        <f>IF(AF416="","",COUNTIF(AF416:AF$3000,AF416))</f>
        <v/>
      </c>
      <c r="AH416" s="114" t="str">
        <f t="shared" si="13"/>
        <v/>
      </c>
    </row>
    <row r="417" spans="6:34" x14ac:dyDescent="0.3">
      <c r="F417" s="35"/>
      <c r="J417" s="35"/>
      <c r="K417" s="35"/>
      <c r="L417" s="35"/>
      <c r="AD417" s="73"/>
      <c r="AF417" s="112" t="str">
        <f t="shared" si="12"/>
        <v/>
      </c>
      <c r="AG417" s="113" t="str">
        <f>IF(AF417="","",COUNTIF(AF417:AF$3000,AF417))</f>
        <v/>
      </c>
      <c r="AH417" s="114" t="str">
        <f t="shared" si="13"/>
        <v/>
      </c>
    </row>
    <row r="418" spans="6:34" x14ac:dyDescent="0.3">
      <c r="F418" s="35"/>
      <c r="J418" s="35"/>
      <c r="K418" s="35"/>
      <c r="L418" s="35"/>
      <c r="AD418" s="73"/>
      <c r="AF418" s="112" t="str">
        <f t="shared" si="12"/>
        <v/>
      </c>
      <c r="AG418" s="113" t="str">
        <f>IF(AF418="","",COUNTIF(AF418:AF$3000,AF418))</f>
        <v/>
      </c>
      <c r="AH418" s="114" t="str">
        <f t="shared" si="13"/>
        <v/>
      </c>
    </row>
    <row r="419" spans="6:34" x14ac:dyDescent="0.3">
      <c r="F419" s="35"/>
      <c r="J419" s="35"/>
      <c r="K419" s="35"/>
      <c r="L419" s="35"/>
      <c r="AD419" s="73"/>
      <c r="AF419" s="112" t="str">
        <f t="shared" si="12"/>
        <v/>
      </c>
      <c r="AG419" s="113" t="str">
        <f>IF(AF419="","",COUNTIF(AF419:AF$3000,AF419))</f>
        <v/>
      </c>
      <c r="AH419" s="114" t="str">
        <f t="shared" si="13"/>
        <v/>
      </c>
    </row>
    <row r="420" spans="6:34" x14ac:dyDescent="0.3">
      <c r="F420" s="35"/>
      <c r="J420" s="35"/>
      <c r="K420" s="35"/>
      <c r="L420" s="35"/>
      <c r="AD420" s="73"/>
      <c r="AF420" s="112" t="str">
        <f t="shared" si="12"/>
        <v/>
      </c>
      <c r="AG420" s="113" t="str">
        <f>IF(AF420="","",COUNTIF(AF420:AF$3000,AF420))</f>
        <v/>
      </c>
      <c r="AH420" s="114" t="str">
        <f t="shared" si="13"/>
        <v/>
      </c>
    </row>
    <row r="421" spans="6:34" x14ac:dyDescent="0.3">
      <c r="F421" s="35"/>
      <c r="J421" s="35"/>
      <c r="K421" s="35"/>
      <c r="L421" s="35"/>
      <c r="AD421" s="73"/>
      <c r="AF421" s="112" t="str">
        <f t="shared" si="12"/>
        <v/>
      </c>
      <c r="AG421" s="113" t="str">
        <f>IF(AF421="","",COUNTIF(AF421:AF$3000,AF421))</f>
        <v/>
      </c>
      <c r="AH421" s="114" t="str">
        <f t="shared" si="13"/>
        <v/>
      </c>
    </row>
    <row r="422" spans="6:34" x14ac:dyDescent="0.3">
      <c r="F422" s="35"/>
      <c r="J422" s="35"/>
      <c r="K422" s="35"/>
      <c r="L422" s="35"/>
      <c r="AD422" s="73"/>
      <c r="AF422" s="112" t="str">
        <f t="shared" si="12"/>
        <v/>
      </c>
      <c r="AG422" s="113" t="str">
        <f>IF(AF422="","",COUNTIF(AF422:AF$3000,AF422))</f>
        <v/>
      </c>
      <c r="AH422" s="114" t="str">
        <f t="shared" si="13"/>
        <v/>
      </c>
    </row>
    <row r="423" spans="6:34" x14ac:dyDescent="0.3">
      <c r="F423" s="35"/>
      <c r="J423" s="35"/>
      <c r="K423" s="35"/>
      <c r="L423" s="35"/>
      <c r="AD423" s="73"/>
      <c r="AF423" s="112" t="str">
        <f t="shared" si="12"/>
        <v/>
      </c>
      <c r="AG423" s="113" t="str">
        <f>IF(AF423="","",COUNTIF(AF423:AF$3000,AF423))</f>
        <v/>
      </c>
      <c r="AH423" s="114" t="str">
        <f t="shared" si="13"/>
        <v/>
      </c>
    </row>
    <row r="424" spans="6:34" x14ac:dyDescent="0.3">
      <c r="F424" s="35"/>
      <c r="J424" s="35"/>
      <c r="K424" s="35"/>
      <c r="L424" s="35"/>
      <c r="AD424" s="73"/>
      <c r="AF424" s="112" t="str">
        <f t="shared" si="12"/>
        <v/>
      </c>
      <c r="AG424" s="113" t="str">
        <f>IF(AF424="","",COUNTIF(AF424:AF$3000,AF424))</f>
        <v/>
      </c>
      <c r="AH424" s="114" t="str">
        <f t="shared" si="13"/>
        <v/>
      </c>
    </row>
    <row r="425" spans="6:34" x14ac:dyDescent="0.3">
      <c r="F425" s="35"/>
      <c r="J425" s="35"/>
      <c r="K425" s="35"/>
      <c r="L425" s="35"/>
      <c r="AD425" s="73"/>
      <c r="AF425" s="112" t="str">
        <f t="shared" si="12"/>
        <v/>
      </c>
      <c r="AG425" s="113" t="str">
        <f>IF(AF425="","",COUNTIF(AF425:AF$3000,AF425))</f>
        <v/>
      </c>
      <c r="AH425" s="114" t="str">
        <f t="shared" si="13"/>
        <v/>
      </c>
    </row>
    <row r="426" spans="6:34" x14ac:dyDescent="0.3">
      <c r="F426" s="35"/>
      <c r="J426" s="35"/>
      <c r="K426" s="35"/>
      <c r="L426" s="35"/>
      <c r="AD426" s="73"/>
      <c r="AF426" s="112" t="str">
        <f t="shared" si="12"/>
        <v/>
      </c>
      <c r="AG426" s="113" t="str">
        <f>IF(AF426="","",COUNTIF(AF426:AF$3000,AF426))</f>
        <v/>
      </c>
      <c r="AH426" s="114" t="str">
        <f t="shared" si="13"/>
        <v/>
      </c>
    </row>
    <row r="427" spans="6:34" x14ac:dyDescent="0.3">
      <c r="F427" s="35"/>
      <c r="J427" s="35"/>
      <c r="K427" s="35"/>
      <c r="L427" s="35"/>
      <c r="AD427" s="73"/>
      <c r="AF427" s="112" t="str">
        <f t="shared" si="12"/>
        <v/>
      </c>
      <c r="AG427" s="113" t="str">
        <f>IF(AF427="","",COUNTIF(AF427:AF$3000,AF427))</f>
        <v/>
      </c>
      <c r="AH427" s="114" t="str">
        <f t="shared" si="13"/>
        <v/>
      </c>
    </row>
    <row r="428" spans="6:34" x14ac:dyDescent="0.3">
      <c r="F428" s="35"/>
      <c r="J428" s="35"/>
      <c r="K428" s="35"/>
      <c r="L428" s="35"/>
      <c r="AD428" s="73"/>
      <c r="AF428" s="112" t="str">
        <f t="shared" si="12"/>
        <v/>
      </c>
      <c r="AG428" s="113" t="str">
        <f>IF(AF428="","",COUNTIF(AF428:AF$3000,AF428))</f>
        <v/>
      </c>
      <c r="AH428" s="114" t="str">
        <f t="shared" si="13"/>
        <v/>
      </c>
    </row>
    <row r="429" spans="6:34" x14ac:dyDescent="0.3">
      <c r="F429" s="35"/>
      <c r="J429" s="35"/>
      <c r="K429" s="35"/>
      <c r="L429" s="35"/>
      <c r="AD429" s="73"/>
      <c r="AF429" s="112" t="str">
        <f t="shared" si="12"/>
        <v/>
      </c>
      <c r="AG429" s="113" t="str">
        <f>IF(AF429="","",COUNTIF(AF429:AF$3000,AF429))</f>
        <v/>
      </c>
      <c r="AH429" s="114" t="str">
        <f t="shared" si="13"/>
        <v/>
      </c>
    </row>
    <row r="430" spans="6:34" x14ac:dyDescent="0.3">
      <c r="F430" s="35"/>
      <c r="J430" s="35"/>
      <c r="K430" s="35"/>
      <c r="L430" s="35"/>
      <c r="AD430" s="73"/>
      <c r="AF430" s="112" t="str">
        <f t="shared" si="12"/>
        <v/>
      </c>
      <c r="AG430" s="113" t="str">
        <f>IF(AF430="","",COUNTIF(AF430:AF$3000,AF430))</f>
        <v/>
      </c>
      <c r="AH430" s="114" t="str">
        <f t="shared" si="13"/>
        <v/>
      </c>
    </row>
    <row r="431" spans="6:34" x14ac:dyDescent="0.3">
      <c r="F431" s="35"/>
      <c r="J431" s="35"/>
      <c r="K431" s="35"/>
      <c r="L431" s="35"/>
      <c r="AD431" s="73"/>
      <c r="AF431" s="112" t="str">
        <f t="shared" si="12"/>
        <v/>
      </c>
      <c r="AG431" s="113" t="str">
        <f>IF(AF431="","",COUNTIF(AF431:AF$3000,AF431))</f>
        <v/>
      </c>
      <c r="AH431" s="114" t="str">
        <f t="shared" si="13"/>
        <v/>
      </c>
    </row>
    <row r="432" spans="6:34" x14ac:dyDescent="0.3">
      <c r="F432" s="35"/>
      <c r="J432" s="35"/>
      <c r="K432" s="35"/>
      <c r="L432" s="35"/>
      <c r="AD432" s="73"/>
      <c r="AF432" s="112" t="str">
        <f t="shared" si="12"/>
        <v/>
      </c>
      <c r="AG432" s="113" t="str">
        <f>IF(AF432="","",COUNTIF(AF432:AF$3000,AF432))</f>
        <v/>
      </c>
      <c r="AH432" s="114" t="str">
        <f t="shared" si="13"/>
        <v/>
      </c>
    </row>
    <row r="433" spans="6:34" x14ac:dyDescent="0.3">
      <c r="F433" s="35"/>
      <c r="J433" s="35"/>
      <c r="K433" s="35"/>
      <c r="L433" s="35"/>
      <c r="AD433" s="73"/>
      <c r="AF433" s="112" t="str">
        <f t="shared" si="12"/>
        <v/>
      </c>
      <c r="AG433" s="113" t="str">
        <f>IF(AF433="","",COUNTIF(AF433:AF$3000,AF433))</f>
        <v/>
      </c>
      <c r="AH433" s="114" t="str">
        <f t="shared" si="13"/>
        <v/>
      </c>
    </row>
    <row r="434" spans="6:34" x14ac:dyDescent="0.3">
      <c r="F434" s="35"/>
      <c r="J434" s="35"/>
      <c r="K434" s="35"/>
      <c r="L434" s="35"/>
      <c r="AD434" s="73"/>
      <c r="AF434" s="112" t="str">
        <f t="shared" si="12"/>
        <v/>
      </c>
      <c r="AG434" s="113" t="str">
        <f>IF(AF434="","",COUNTIF(AF434:AF$3000,AF434))</f>
        <v/>
      </c>
      <c r="AH434" s="114" t="str">
        <f t="shared" si="13"/>
        <v/>
      </c>
    </row>
    <row r="435" spans="6:34" x14ac:dyDescent="0.3">
      <c r="F435" s="35"/>
      <c r="J435" s="35"/>
      <c r="K435" s="35"/>
      <c r="L435" s="35"/>
      <c r="AD435" s="73"/>
      <c r="AF435" s="112" t="str">
        <f t="shared" si="12"/>
        <v/>
      </c>
      <c r="AG435" s="113" t="str">
        <f>IF(AF435="","",COUNTIF(AF435:AF$3000,AF435))</f>
        <v/>
      </c>
      <c r="AH435" s="114" t="str">
        <f t="shared" si="13"/>
        <v/>
      </c>
    </row>
    <row r="436" spans="6:34" x14ac:dyDescent="0.3">
      <c r="F436" s="35"/>
      <c r="J436" s="35"/>
      <c r="K436" s="35"/>
      <c r="L436" s="35"/>
      <c r="AD436" s="73"/>
      <c r="AF436" s="112" t="str">
        <f t="shared" si="12"/>
        <v/>
      </c>
      <c r="AG436" s="113" t="str">
        <f>IF(AF436="","",COUNTIF(AF436:AF$3000,AF436))</f>
        <v/>
      </c>
      <c r="AH436" s="114" t="str">
        <f t="shared" si="13"/>
        <v/>
      </c>
    </row>
    <row r="437" spans="6:34" x14ac:dyDescent="0.3">
      <c r="F437" s="35"/>
      <c r="J437" s="35"/>
      <c r="K437" s="35"/>
      <c r="L437" s="35"/>
      <c r="AD437" s="73"/>
      <c r="AF437" s="112" t="str">
        <f t="shared" si="12"/>
        <v/>
      </c>
      <c r="AG437" s="113" t="str">
        <f>IF(AF437="","",COUNTIF(AF437:AF$3000,AF437))</f>
        <v/>
      </c>
      <c r="AH437" s="114" t="str">
        <f t="shared" si="13"/>
        <v/>
      </c>
    </row>
    <row r="438" spans="6:34" x14ac:dyDescent="0.3">
      <c r="F438" s="35"/>
      <c r="J438" s="35"/>
      <c r="K438" s="35"/>
      <c r="L438" s="35"/>
      <c r="AD438" s="73"/>
      <c r="AF438" s="112" t="str">
        <f t="shared" si="12"/>
        <v/>
      </c>
      <c r="AG438" s="113" t="str">
        <f>IF(AF438="","",COUNTIF(AF438:AF$3000,AF438))</f>
        <v/>
      </c>
      <c r="AH438" s="114" t="str">
        <f t="shared" si="13"/>
        <v/>
      </c>
    </row>
    <row r="439" spans="6:34" x14ac:dyDescent="0.3">
      <c r="F439" s="35"/>
      <c r="J439" s="35"/>
      <c r="K439" s="35"/>
      <c r="L439" s="35"/>
      <c r="AD439" s="73"/>
      <c r="AF439" s="112" t="str">
        <f t="shared" si="12"/>
        <v/>
      </c>
      <c r="AG439" s="113" t="str">
        <f>IF(AF439="","",COUNTIF(AF439:AF$3000,AF439))</f>
        <v/>
      </c>
      <c r="AH439" s="114" t="str">
        <f t="shared" si="13"/>
        <v/>
      </c>
    </row>
    <row r="440" spans="6:34" x14ac:dyDescent="0.3">
      <c r="F440" s="35"/>
      <c r="J440" s="35"/>
      <c r="K440" s="35"/>
      <c r="L440" s="35"/>
      <c r="AD440" s="73"/>
      <c r="AF440" s="112" t="str">
        <f t="shared" si="12"/>
        <v/>
      </c>
      <c r="AG440" s="113" t="str">
        <f>IF(AF440="","",COUNTIF(AF440:AF$3000,AF440))</f>
        <v/>
      </c>
      <c r="AH440" s="114" t="str">
        <f t="shared" si="13"/>
        <v/>
      </c>
    </row>
    <row r="441" spans="6:34" x14ac:dyDescent="0.3">
      <c r="F441" s="35"/>
      <c r="J441" s="35"/>
      <c r="K441" s="35"/>
      <c r="L441" s="35"/>
      <c r="AD441" s="73"/>
      <c r="AF441" s="112" t="str">
        <f t="shared" si="12"/>
        <v/>
      </c>
      <c r="AG441" s="113" t="str">
        <f>IF(AF441="","",COUNTIF(AF441:AF$3000,AF441))</f>
        <v/>
      </c>
      <c r="AH441" s="114" t="str">
        <f t="shared" si="13"/>
        <v/>
      </c>
    </row>
    <row r="442" spans="6:34" x14ac:dyDescent="0.3">
      <c r="F442" s="35"/>
      <c r="J442" s="35"/>
      <c r="K442" s="35"/>
      <c r="L442" s="35"/>
      <c r="AD442" s="73"/>
      <c r="AF442" s="112" t="str">
        <f t="shared" si="12"/>
        <v/>
      </c>
      <c r="AG442" s="113" t="str">
        <f>IF(AF442="","",COUNTIF(AF442:AF$3000,AF442))</f>
        <v/>
      </c>
      <c r="AH442" s="114" t="str">
        <f t="shared" si="13"/>
        <v/>
      </c>
    </row>
    <row r="443" spans="6:34" x14ac:dyDescent="0.3">
      <c r="F443" s="35"/>
      <c r="J443" s="35"/>
      <c r="K443" s="35"/>
      <c r="L443" s="35"/>
      <c r="AD443" s="73"/>
      <c r="AF443" s="112" t="str">
        <f t="shared" si="12"/>
        <v/>
      </c>
      <c r="AG443" s="113" t="str">
        <f>IF(AF443="","",COUNTIF(AF443:AF$3000,AF443))</f>
        <v/>
      </c>
      <c r="AH443" s="114" t="str">
        <f t="shared" si="13"/>
        <v/>
      </c>
    </row>
    <row r="444" spans="6:34" x14ac:dyDescent="0.3">
      <c r="F444" s="35"/>
      <c r="J444" s="35"/>
      <c r="K444" s="35"/>
      <c r="L444" s="35"/>
      <c r="AD444" s="73"/>
      <c r="AF444" s="112" t="str">
        <f t="shared" si="12"/>
        <v/>
      </c>
      <c r="AG444" s="113" t="str">
        <f>IF(AF444="","",COUNTIF(AF444:AF$3000,AF444))</f>
        <v/>
      </c>
      <c r="AH444" s="114" t="str">
        <f t="shared" si="13"/>
        <v/>
      </c>
    </row>
    <row r="445" spans="6:34" x14ac:dyDescent="0.3">
      <c r="F445" s="35"/>
      <c r="J445" s="35"/>
      <c r="K445" s="35"/>
      <c r="L445" s="35"/>
      <c r="AD445" s="73"/>
      <c r="AF445" s="112" t="str">
        <f t="shared" si="12"/>
        <v/>
      </c>
      <c r="AG445" s="113" t="str">
        <f>IF(AF445="","",COUNTIF(AF445:AF$3000,AF445))</f>
        <v/>
      </c>
      <c r="AH445" s="114" t="str">
        <f t="shared" si="13"/>
        <v/>
      </c>
    </row>
    <row r="446" spans="6:34" x14ac:dyDescent="0.3">
      <c r="F446" s="35"/>
      <c r="J446" s="35"/>
      <c r="K446" s="35"/>
      <c r="L446" s="35"/>
      <c r="AD446" s="73"/>
      <c r="AF446" s="112" t="str">
        <f t="shared" si="12"/>
        <v/>
      </c>
      <c r="AG446" s="113" t="str">
        <f>IF(AF446="","",COUNTIF(AF446:AF$3000,AF446))</f>
        <v/>
      </c>
      <c r="AH446" s="114" t="str">
        <f t="shared" si="13"/>
        <v/>
      </c>
    </row>
    <row r="447" spans="6:34" x14ac:dyDescent="0.3">
      <c r="F447" s="35"/>
      <c r="J447" s="35"/>
      <c r="K447" s="35"/>
      <c r="L447" s="35"/>
      <c r="AD447" s="73"/>
      <c r="AF447" s="112" t="str">
        <f t="shared" si="12"/>
        <v/>
      </c>
      <c r="AG447" s="113" t="str">
        <f>IF(AF447="","",COUNTIF(AF447:AF$3000,AF447))</f>
        <v/>
      </c>
      <c r="AH447" s="114" t="str">
        <f t="shared" si="13"/>
        <v/>
      </c>
    </row>
    <row r="448" spans="6:34" x14ac:dyDescent="0.3">
      <c r="F448" s="35"/>
      <c r="J448" s="35"/>
      <c r="K448" s="35"/>
      <c r="L448" s="35"/>
      <c r="AD448" s="73"/>
      <c r="AF448" s="112" t="str">
        <f t="shared" si="12"/>
        <v/>
      </c>
      <c r="AG448" s="113" t="str">
        <f>IF(AF448="","",COUNTIF(AF448:AF$3000,AF448))</f>
        <v/>
      </c>
      <c r="AH448" s="114" t="str">
        <f t="shared" si="13"/>
        <v/>
      </c>
    </row>
    <row r="449" spans="6:34" x14ac:dyDescent="0.3">
      <c r="F449" s="35"/>
      <c r="J449" s="35"/>
      <c r="K449" s="35"/>
      <c r="L449" s="35"/>
      <c r="AD449" s="73"/>
      <c r="AF449" s="112" t="str">
        <f t="shared" si="12"/>
        <v/>
      </c>
      <c r="AG449" s="113" t="str">
        <f>IF(AF449="","",COUNTIF(AF449:AF$3000,AF449))</f>
        <v/>
      </c>
      <c r="AH449" s="114" t="str">
        <f t="shared" si="13"/>
        <v/>
      </c>
    </row>
    <row r="450" spans="6:34" x14ac:dyDescent="0.3">
      <c r="F450" s="35"/>
      <c r="J450" s="35"/>
      <c r="K450" s="35"/>
      <c r="L450" s="35"/>
      <c r="AD450" s="73"/>
      <c r="AF450" s="112" t="str">
        <f t="shared" si="12"/>
        <v/>
      </c>
      <c r="AG450" s="113" t="str">
        <f>IF(AF450="","",COUNTIF(AF450:AF$3000,AF450))</f>
        <v/>
      </c>
      <c r="AH450" s="114" t="str">
        <f t="shared" si="13"/>
        <v/>
      </c>
    </row>
    <row r="451" spans="6:34" x14ac:dyDescent="0.3">
      <c r="F451" s="35"/>
      <c r="J451" s="35"/>
      <c r="K451" s="35"/>
      <c r="L451" s="35"/>
      <c r="AD451" s="73"/>
      <c r="AF451" s="112" t="str">
        <f t="shared" si="12"/>
        <v/>
      </c>
      <c r="AG451" s="113" t="str">
        <f>IF(AF451="","",COUNTIF(AF451:AF$3000,AF451))</f>
        <v/>
      </c>
      <c r="AH451" s="114" t="str">
        <f t="shared" si="13"/>
        <v/>
      </c>
    </row>
    <row r="452" spans="6:34" x14ac:dyDescent="0.3">
      <c r="F452" s="35"/>
      <c r="J452" s="35"/>
      <c r="K452" s="35"/>
      <c r="L452" s="35"/>
      <c r="AD452" s="73"/>
      <c r="AF452" s="112" t="str">
        <f t="shared" ref="AF452:AF515" si="14">IF(B452="","",TEXT(J452,"DD/MM/AA")&amp;"_"&amp;S452&amp;"_"&amp;V452)</f>
        <v/>
      </c>
      <c r="AG452" s="113" t="str">
        <f>IF(AF452="","",COUNTIF(AF452:AF$3000,AF452))</f>
        <v/>
      </c>
      <c r="AH452" s="114" t="str">
        <f t="shared" ref="AH452:AH515" si="15">IF(AA452="","",
IF(AG452&gt;1,"",
IF(SUMIF(AF$3:AF$31,AF452,H$3:H$31)/10&lt;1,1,SUMIF(AF$3:AF$31,AF452,H$3:H$31)/10)))</f>
        <v/>
      </c>
    </row>
    <row r="453" spans="6:34" x14ac:dyDescent="0.3">
      <c r="F453" s="35"/>
      <c r="J453" s="35"/>
      <c r="K453" s="35"/>
      <c r="L453" s="35"/>
      <c r="AD453" s="73"/>
      <c r="AF453" s="112" t="str">
        <f t="shared" si="14"/>
        <v/>
      </c>
      <c r="AG453" s="113" t="str">
        <f>IF(AF453="","",COUNTIF(AF453:AF$3000,AF453))</f>
        <v/>
      </c>
      <c r="AH453" s="114" t="str">
        <f t="shared" si="15"/>
        <v/>
      </c>
    </row>
    <row r="454" spans="6:34" x14ac:dyDescent="0.3">
      <c r="F454" s="35"/>
      <c r="J454" s="35"/>
      <c r="K454" s="35"/>
      <c r="L454" s="35"/>
      <c r="AD454" s="73"/>
      <c r="AF454" s="112" t="str">
        <f t="shared" si="14"/>
        <v/>
      </c>
      <c r="AG454" s="113" t="str">
        <f>IF(AF454="","",COUNTIF(AF454:AF$3000,AF454))</f>
        <v/>
      </c>
      <c r="AH454" s="114" t="str">
        <f t="shared" si="15"/>
        <v/>
      </c>
    </row>
    <row r="455" spans="6:34" x14ac:dyDescent="0.3">
      <c r="F455" s="35"/>
      <c r="J455" s="35"/>
      <c r="K455" s="35"/>
      <c r="L455" s="35"/>
      <c r="AD455" s="73"/>
      <c r="AF455" s="112" t="str">
        <f t="shared" si="14"/>
        <v/>
      </c>
      <c r="AG455" s="113" t="str">
        <f>IF(AF455="","",COUNTIF(AF455:AF$3000,AF455))</f>
        <v/>
      </c>
      <c r="AH455" s="114" t="str">
        <f t="shared" si="15"/>
        <v/>
      </c>
    </row>
    <row r="456" spans="6:34" x14ac:dyDescent="0.3">
      <c r="F456" s="35"/>
      <c r="J456" s="35"/>
      <c r="K456" s="35"/>
      <c r="L456" s="35"/>
      <c r="AD456" s="73"/>
      <c r="AF456" s="112" t="str">
        <f t="shared" si="14"/>
        <v/>
      </c>
      <c r="AG456" s="113" t="str">
        <f>IF(AF456="","",COUNTIF(AF456:AF$3000,AF456))</f>
        <v/>
      </c>
      <c r="AH456" s="114" t="str">
        <f t="shared" si="15"/>
        <v/>
      </c>
    </row>
    <row r="457" spans="6:34" x14ac:dyDescent="0.3">
      <c r="F457" s="35"/>
      <c r="J457" s="35"/>
      <c r="K457" s="35"/>
      <c r="L457" s="35"/>
      <c r="AD457" s="73"/>
      <c r="AF457" s="112" t="str">
        <f t="shared" si="14"/>
        <v/>
      </c>
      <c r="AG457" s="113" t="str">
        <f>IF(AF457="","",COUNTIF(AF457:AF$3000,AF457))</f>
        <v/>
      </c>
      <c r="AH457" s="114" t="str">
        <f t="shared" si="15"/>
        <v/>
      </c>
    </row>
    <row r="458" spans="6:34" x14ac:dyDescent="0.3">
      <c r="F458" s="35"/>
      <c r="J458" s="35"/>
      <c r="K458" s="35"/>
      <c r="L458" s="35"/>
      <c r="AD458" s="73"/>
      <c r="AF458" s="112" t="str">
        <f t="shared" si="14"/>
        <v/>
      </c>
      <c r="AG458" s="113" t="str">
        <f>IF(AF458="","",COUNTIF(AF458:AF$3000,AF458))</f>
        <v/>
      </c>
      <c r="AH458" s="114" t="str">
        <f t="shared" si="15"/>
        <v/>
      </c>
    </row>
    <row r="459" spans="6:34" x14ac:dyDescent="0.3">
      <c r="F459" s="35"/>
      <c r="J459" s="35"/>
      <c r="K459" s="35"/>
      <c r="L459" s="35"/>
      <c r="AD459" s="73"/>
      <c r="AF459" s="112" t="str">
        <f t="shared" si="14"/>
        <v/>
      </c>
      <c r="AG459" s="113" t="str">
        <f>IF(AF459="","",COUNTIF(AF459:AF$3000,AF459))</f>
        <v/>
      </c>
      <c r="AH459" s="114" t="str">
        <f t="shared" si="15"/>
        <v/>
      </c>
    </row>
    <row r="460" spans="6:34" x14ac:dyDescent="0.3">
      <c r="F460" s="35"/>
      <c r="J460" s="35"/>
      <c r="K460" s="35"/>
      <c r="L460" s="35"/>
      <c r="AD460" s="73"/>
      <c r="AF460" s="112" t="str">
        <f t="shared" si="14"/>
        <v/>
      </c>
      <c r="AG460" s="113" t="str">
        <f>IF(AF460="","",COUNTIF(AF460:AF$3000,AF460))</f>
        <v/>
      </c>
      <c r="AH460" s="114" t="str">
        <f t="shared" si="15"/>
        <v/>
      </c>
    </row>
    <row r="461" spans="6:34" x14ac:dyDescent="0.3">
      <c r="F461" s="35"/>
      <c r="J461" s="35"/>
      <c r="K461" s="35"/>
      <c r="L461" s="35"/>
      <c r="AD461" s="73"/>
      <c r="AF461" s="112" t="str">
        <f t="shared" si="14"/>
        <v/>
      </c>
      <c r="AG461" s="113" t="str">
        <f>IF(AF461="","",COUNTIF(AF461:AF$3000,AF461))</f>
        <v/>
      </c>
      <c r="AH461" s="114" t="str">
        <f t="shared" si="15"/>
        <v/>
      </c>
    </row>
    <row r="462" spans="6:34" x14ac:dyDescent="0.3">
      <c r="F462" s="35"/>
      <c r="J462" s="35"/>
      <c r="K462" s="35"/>
      <c r="L462" s="35"/>
      <c r="AD462" s="73"/>
      <c r="AF462" s="112" t="str">
        <f t="shared" si="14"/>
        <v/>
      </c>
      <c r="AG462" s="113" t="str">
        <f>IF(AF462="","",COUNTIF(AF462:AF$3000,AF462))</f>
        <v/>
      </c>
      <c r="AH462" s="114" t="str">
        <f t="shared" si="15"/>
        <v/>
      </c>
    </row>
    <row r="463" spans="6:34" x14ac:dyDescent="0.3">
      <c r="F463" s="35"/>
      <c r="J463" s="35"/>
      <c r="K463" s="35"/>
      <c r="L463" s="35"/>
      <c r="AD463" s="73"/>
      <c r="AF463" s="112" t="str">
        <f t="shared" si="14"/>
        <v/>
      </c>
      <c r="AG463" s="113" t="str">
        <f>IF(AF463="","",COUNTIF(AF463:AF$3000,AF463))</f>
        <v/>
      </c>
      <c r="AH463" s="114" t="str">
        <f t="shared" si="15"/>
        <v/>
      </c>
    </row>
    <row r="464" spans="6:34" x14ac:dyDescent="0.3">
      <c r="F464" s="35"/>
      <c r="J464" s="35"/>
      <c r="K464" s="35"/>
      <c r="L464" s="35"/>
      <c r="AD464" s="73"/>
      <c r="AF464" s="112" t="str">
        <f t="shared" si="14"/>
        <v/>
      </c>
      <c r="AG464" s="113" t="str">
        <f>IF(AF464="","",COUNTIF(AF464:AF$3000,AF464))</f>
        <v/>
      </c>
      <c r="AH464" s="114" t="str">
        <f t="shared" si="15"/>
        <v/>
      </c>
    </row>
    <row r="465" spans="6:34" x14ac:dyDescent="0.3">
      <c r="F465" s="35"/>
      <c r="J465" s="35"/>
      <c r="K465" s="35"/>
      <c r="L465" s="35"/>
      <c r="AD465" s="73"/>
      <c r="AF465" s="112" t="str">
        <f t="shared" si="14"/>
        <v/>
      </c>
      <c r="AG465" s="113" t="str">
        <f>IF(AF465="","",COUNTIF(AF465:AF$3000,AF465))</f>
        <v/>
      </c>
      <c r="AH465" s="114" t="str">
        <f t="shared" si="15"/>
        <v/>
      </c>
    </row>
    <row r="466" spans="6:34" x14ac:dyDescent="0.3">
      <c r="F466" s="35"/>
      <c r="J466" s="35"/>
      <c r="K466" s="35"/>
      <c r="L466" s="35"/>
      <c r="AD466" s="73"/>
      <c r="AF466" s="112" t="str">
        <f t="shared" si="14"/>
        <v/>
      </c>
      <c r="AG466" s="113" t="str">
        <f>IF(AF466="","",COUNTIF(AF466:AF$3000,AF466))</f>
        <v/>
      </c>
      <c r="AH466" s="114" t="str">
        <f t="shared" si="15"/>
        <v/>
      </c>
    </row>
    <row r="467" spans="6:34" x14ac:dyDescent="0.3">
      <c r="F467" s="35"/>
      <c r="J467" s="35"/>
      <c r="K467" s="35"/>
      <c r="L467" s="35"/>
      <c r="AD467" s="73"/>
      <c r="AF467" s="112" t="str">
        <f t="shared" si="14"/>
        <v/>
      </c>
      <c r="AG467" s="113" t="str">
        <f>IF(AF467="","",COUNTIF(AF467:AF$3000,AF467))</f>
        <v/>
      </c>
      <c r="AH467" s="114" t="str">
        <f t="shared" si="15"/>
        <v/>
      </c>
    </row>
    <row r="468" spans="6:34" x14ac:dyDescent="0.3">
      <c r="F468" s="35"/>
      <c r="J468" s="35"/>
      <c r="K468" s="35"/>
      <c r="L468" s="35"/>
      <c r="AD468" s="73"/>
      <c r="AF468" s="112" t="str">
        <f t="shared" si="14"/>
        <v/>
      </c>
      <c r="AG468" s="113" t="str">
        <f>IF(AF468="","",COUNTIF(AF468:AF$3000,AF468))</f>
        <v/>
      </c>
      <c r="AH468" s="114" t="str">
        <f t="shared" si="15"/>
        <v/>
      </c>
    </row>
    <row r="469" spans="6:34" x14ac:dyDescent="0.3">
      <c r="F469" s="35"/>
      <c r="J469" s="35"/>
      <c r="K469" s="35"/>
      <c r="L469" s="35"/>
      <c r="AD469" s="73"/>
      <c r="AF469" s="112" t="str">
        <f t="shared" si="14"/>
        <v/>
      </c>
      <c r="AG469" s="113" t="str">
        <f>IF(AF469="","",COUNTIF(AF469:AF$3000,AF469))</f>
        <v/>
      </c>
      <c r="AH469" s="114" t="str">
        <f t="shared" si="15"/>
        <v/>
      </c>
    </row>
    <row r="470" spans="6:34" x14ac:dyDescent="0.3">
      <c r="F470" s="35"/>
      <c r="J470" s="35"/>
      <c r="K470" s="35"/>
      <c r="L470" s="35"/>
      <c r="AD470" s="73"/>
      <c r="AF470" s="112" t="str">
        <f t="shared" si="14"/>
        <v/>
      </c>
      <c r="AG470" s="113" t="str">
        <f>IF(AF470="","",COUNTIF(AF470:AF$3000,AF470))</f>
        <v/>
      </c>
      <c r="AH470" s="114" t="str">
        <f t="shared" si="15"/>
        <v/>
      </c>
    </row>
    <row r="471" spans="6:34" x14ac:dyDescent="0.3">
      <c r="F471" s="35"/>
      <c r="J471" s="35"/>
      <c r="K471" s="35"/>
      <c r="L471" s="35"/>
      <c r="AD471" s="73"/>
      <c r="AF471" s="112" t="str">
        <f t="shared" si="14"/>
        <v/>
      </c>
      <c r="AG471" s="113" t="str">
        <f>IF(AF471="","",COUNTIF(AF471:AF$3000,AF471))</f>
        <v/>
      </c>
      <c r="AH471" s="114" t="str">
        <f t="shared" si="15"/>
        <v/>
      </c>
    </row>
    <row r="472" spans="6:34" x14ac:dyDescent="0.3">
      <c r="F472" s="35"/>
      <c r="J472" s="35"/>
      <c r="K472" s="35"/>
      <c r="L472" s="35"/>
      <c r="AD472" s="73"/>
      <c r="AF472" s="112" t="str">
        <f t="shared" si="14"/>
        <v/>
      </c>
      <c r="AG472" s="113" t="str">
        <f>IF(AF472="","",COUNTIF(AF472:AF$3000,AF472))</f>
        <v/>
      </c>
      <c r="AH472" s="114" t="str">
        <f t="shared" si="15"/>
        <v/>
      </c>
    </row>
    <row r="473" spans="6:34" x14ac:dyDescent="0.3">
      <c r="F473" s="35"/>
      <c r="J473" s="35"/>
      <c r="K473" s="35"/>
      <c r="L473" s="35"/>
      <c r="AD473" s="73"/>
      <c r="AF473" s="112" t="str">
        <f t="shared" si="14"/>
        <v/>
      </c>
      <c r="AG473" s="113" t="str">
        <f>IF(AF473="","",COUNTIF(AF473:AF$3000,AF473))</f>
        <v/>
      </c>
      <c r="AH473" s="114" t="str">
        <f t="shared" si="15"/>
        <v/>
      </c>
    </row>
    <row r="474" spans="6:34" x14ac:dyDescent="0.3">
      <c r="F474" s="35"/>
      <c r="J474" s="35"/>
      <c r="K474" s="35"/>
      <c r="L474" s="35"/>
      <c r="AD474" s="73"/>
      <c r="AF474" s="112" t="str">
        <f t="shared" si="14"/>
        <v/>
      </c>
      <c r="AG474" s="113" t="str">
        <f>IF(AF474="","",COUNTIF(AF474:AF$3000,AF474))</f>
        <v/>
      </c>
      <c r="AH474" s="114" t="str">
        <f t="shared" si="15"/>
        <v/>
      </c>
    </row>
    <row r="475" spans="6:34" x14ac:dyDescent="0.3">
      <c r="F475" s="35"/>
      <c r="J475" s="35"/>
      <c r="K475" s="35"/>
      <c r="L475" s="35"/>
      <c r="AD475" s="73"/>
      <c r="AF475" s="112" t="str">
        <f t="shared" si="14"/>
        <v/>
      </c>
      <c r="AG475" s="113" t="str">
        <f>IF(AF475="","",COUNTIF(AF475:AF$3000,AF475))</f>
        <v/>
      </c>
      <c r="AH475" s="114" t="str">
        <f t="shared" si="15"/>
        <v/>
      </c>
    </row>
    <row r="476" spans="6:34" x14ac:dyDescent="0.3">
      <c r="F476" s="35"/>
      <c r="J476" s="35"/>
      <c r="K476" s="35"/>
      <c r="L476" s="35"/>
      <c r="AD476" s="73"/>
      <c r="AF476" s="112" t="str">
        <f t="shared" si="14"/>
        <v/>
      </c>
      <c r="AG476" s="113" t="str">
        <f>IF(AF476="","",COUNTIF(AF476:AF$3000,AF476))</f>
        <v/>
      </c>
      <c r="AH476" s="114" t="str">
        <f t="shared" si="15"/>
        <v/>
      </c>
    </row>
    <row r="477" spans="6:34" x14ac:dyDescent="0.3">
      <c r="F477" s="35"/>
      <c r="J477" s="35"/>
      <c r="K477" s="35"/>
      <c r="L477" s="35"/>
      <c r="AD477" s="73"/>
      <c r="AF477" s="112" t="str">
        <f t="shared" si="14"/>
        <v/>
      </c>
      <c r="AG477" s="113" t="str">
        <f>IF(AF477="","",COUNTIF(AF477:AF$3000,AF477))</f>
        <v/>
      </c>
      <c r="AH477" s="114" t="str">
        <f t="shared" si="15"/>
        <v/>
      </c>
    </row>
    <row r="478" spans="6:34" x14ac:dyDescent="0.3">
      <c r="F478" s="35"/>
      <c r="J478" s="35"/>
      <c r="K478" s="35"/>
      <c r="L478" s="35"/>
      <c r="AD478" s="73"/>
      <c r="AF478" s="112" t="str">
        <f t="shared" si="14"/>
        <v/>
      </c>
      <c r="AG478" s="113" t="str">
        <f>IF(AF478="","",COUNTIF(AF478:AF$3000,AF478))</f>
        <v/>
      </c>
      <c r="AH478" s="114" t="str">
        <f t="shared" si="15"/>
        <v/>
      </c>
    </row>
    <row r="479" spans="6:34" x14ac:dyDescent="0.3">
      <c r="F479" s="35"/>
      <c r="J479" s="35"/>
      <c r="K479" s="35"/>
      <c r="L479" s="35"/>
      <c r="AD479" s="73"/>
      <c r="AF479" s="112" t="str">
        <f t="shared" si="14"/>
        <v/>
      </c>
      <c r="AG479" s="113" t="str">
        <f>IF(AF479="","",COUNTIF(AF479:AF$3000,AF479))</f>
        <v/>
      </c>
      <c r="AH479" s="114" t="str">
        <f t="shared" si="15"/>
        <v/>
      </c>
    </row>
    <row r="480" spans="6:34" x14ac:dyDescent="0.3">
      <c r="F480" s="35"/>
      <c r="J480" s="35"/>
      <c r="K480" s="35"/>
      <c r="L480" s="35"/>
      <c r="AD480" s="73"/>
      <c r="AF480" s="112" t="str">
        <f t="shared" si="14"/>
        <v/>
      </c>
      <c r="AG480" s="113" t="str">
        <f>IF(AF480="","",COUNTIF(AF480:AF$3000,AF480))</f>
        <v/>
      </c>
      <c r="AH480" s="114" t="str">
        <f t="shared" si="15"/>
        <v/>
      </c>
    </row>
    <row r="481" spans="6:34" x14ac:dyDescent="0.3">
      <c r="F481" s="35"/>
      <c r="J481" s="35"/>
      <c r="K481" s="35"/>
      <c r="L481" s="35"/>
      <c r="AD481" s="73"/>
      <c r="AF481" s="112" t="str">
        <f t="shared" si="14"/>
        <v/>
      </c>
      <c r="AG481" s="113" t="str">
        <f>IF(AF481="","",COUNTIF(AF481:AF$3000,AF481))</f>
        <v/>
      </c>
      <c r="AH481" s="114" t="str">
        <f t="shared" si="15"/>
        <v/>
      </c>
    </row>
    <row r="482" spans="6:34" x14ac:dyDescent="0.3">
      <c r="F482" s="35"/>
      <c r="J482" s="35"/>
      <c r="K482" s="35"/>
      <c r="L482" s="35"/>
      <c r="AD482" s="73"/>
      <c r="AF482" s="112" t="str">
        <f t="shared" si="14"/>
        <v/>
      </c>
      <c r="AG482" s="113" t="str">
        <f>IF(AF482="","",COUNTIF(AF482:AF$3000,AF482))</f>
        <v/>
      </c>
      <c r="AH482" s="114" t="str">
        <f t="shared" si="15"/>
        <v/>
      </c>
    </row>
    <row r="483" spans="6:34" x14ac:dyDescent="0.3">
      <c r="F483" s="35"/>
      <c r="J483" s="35"/>
      <c r="K483" s="35"/>
      <c r="L483" s="35"/>
      <c r="AD483" s="73"/>
      <c r="AF483" s="112" t="str">
        <f t="shared" si="14"/>
        <v/>
      </c>
      <c r="AG483" s="113" t="str">
        <f>IF(AF483="","",COUNTIF(AF483:AF$3000,AF483))</f>
        <v/>
      </c>
      <c r="AH483" s="114" t="str">
        <f t="shared" si="15"/>
        <v/>
      </c>
    </row>
    <row r="484" spans="6:34" x14ac:dyDescent="0.3">
      <c r="F484" s="35"/>
      <c r="J484" s="35"/>
      <c r="K484" s="35"/>
      <c r="L484" s="35"/>
      <c r="AD484" s="73"/>
      <c r="AF484" s="112" t="str">
        <f t="shared" si="14"/>
        <v/>
      </c>
      <c r="AG484" s="113" t="str">
        <f>IF(AF484="","",COUNTIF(AF484:AF$3000,AF484))</f>
        <v/>
      </c>
      <c r="AH484" s="114" t="str">
        <f t="shared" si="15"/>
        <v/>
      </c>
    </row>
    <row r="485" spans="6:34" x14ac:dyDescent="0.3">
      <c r="F485" s="35"/>
      <c r="J485" s="35"/>
      <c r="K485" s="35"/>
      <c r="L485" s="35"/>
      <c r="AD485" s="73"/>
      <c r="AF485" s="112" t="str">
        <f t="shared" si="14"/>
        <v/>
      </c>
      <c r="AG485" s="113" t="str">
        <f>IF(AF485="","",COUNTIF(AF485:AF$3000,AF485))</f>
        <v/>
      </c>
      <c r="AH485" s="114" t="str">
        <f t="shared" si="15"/>
        <v/>
      </c>
    </row>
    <row r="486" spans="6:34" x14ac:dyDescent="0.3">
      <c r="F486" s="35"/>
      <c r="J486" s="35"/>
      <c r="K486" s="35"/>
      <c r="L486" s="35"/>
      <c r="AD486" s="73"/>
      <c r="AF486" s="112" t="str">
        <f t="shared" si="14"/>
        <v/>
      </c>
      <c r="AG486" s="113" t="str">
        <f>IF(AF486="","",COUNTIF(AF486:AF$3000,AF486))</f>
        <v/>
      </c>
      <c r="AH486" s="114" t="str">
        <f t="shared" si="15"/>
        <v/>
      </c>
    </row>
    <row r="487" spans="6:34" x14ac:dyDescent="0.3">
      <c r="F487" s="35"/>
      <c r="J487" s="35"/>
      <c r="K487" s="35"/>
      <c r="L487" s="35"/>
      <c r="AD487" s="73"/>
      <c r="AF487" s="112" t="str">
        <f t="shared" si="14"/>
        <v/>
      </c>
      <c r="AG487" s="113" t="str">
        <f>IF(AF487="","",COUNTIF(AF487:AF$3000,AF487))</f>
        <v/>
      </c>
      <c r="AH487" s="114" t="str">
        <f t="shared" si="15"/>
        <v/>
      </c>
    </row>
    <row r="488" spans="6:34" x14ac:dyDescent="0.3">
      <c r="F488" s="35"/>
      <c r="J488" s="35"/>
      <c r="K488" s="35"/>
      <c r="L488" s="35"/>
      <c r="AD488" s="73"/>
      <c r="AF488" s="112" t="str">
        <f t="shared" si="14"/>
        <v/>
      </c>
      <c r="AG488" s="113" t="str">
        <f>IF(AF488="","",COUNTIF(AF488:AF$3000,AF488))</f>
        <v/>
      </c>
      <c r="AH488" s="114" t="str">
        <f t="shared" si="15"/>
        <v/>
      </c>
    </row>
    <row r="489" spans="6:34" x14ac:dyDescent="0.3">
      <c r="F489" s="35"/>
      <c r="J489" s="35"/>
      <c r="K489" s="35"/>
      <c r="L489" s="35"/>
      <c r="AD489" s="73"/>
      <c r="AF489" s="112" t="str">
        <f t="shared" si="14"/>
        <v/>
      </c>
      <c r="AG489" s="113" t="str">
        <f>IF(AF489="","",COUNTIF(AF489:AF$3000,AF489))</f>
        <v/>
      </c>
      <c r="AH489" s="114" t="str">
        <f t="shared" si="15"/>
        <v/>
      </c>
    </row>
    <row r="490" spans="6:34" x14ac:dyDescent="0.3">
      <c r="F490" s="35"/>
      <c r="J490" s="35"/>
      <c r="K490" s="35"/>
      <c r="L490" s="35"/>
      <c r="AD490" s="73"/>
      <c r="AF490" s="112" t="str">
        <f t="shared" si="14"/>
        <v/>
      </c>
      <c r="AG490" s="113" t="str">
        <f>IF(AF490="","",COUNTIF(AF490:AF$3000,AF490))</f>
        <v/>
      </c>
      <c r="AH490" s="114" t="str">
        <f t="shared" si="15"/>
        <v/>
      </c>
    </row>
    <row r="491" spans="6:34" x14ac:dyDescent="0.3">
      <c r="F491" s="35"/>
      <c r="J491" s="35"/>
      <c r="K491" s="35"/>
      <c r="L491" s="35"/>
      <c r="AD491" s="73"/>
      <c r="AF491" s="112" t="str">
        <f t="shared" si="14"/>
        <v/>
      </c>
      <c r="AG491" s="113" t="str">
        <f>IF(AF491="","",COUNTIF(AF491:AF$3000,AF491))</f>
        <v/>
      </c>
      <c r="AH491" s="114" t="str">
        <f t="shared" si="15"/>
        <v/>
      </c>
    </row>
    <row r="492" spans="6:34" x14ac:dyDescent="0.3">
      <c r="F492" s="35"/>
      <c r="J492" s="35"/>
      <c r="K492" s="35"/>
      <c r="L492" s="35"/>
      <c r="AD492" s="73"/>
      <c r="AF492" s="112" t="str">
        <f t="shared" si="14"/>
        <v/>
      </c>
      <c r="AG492" s="113" t="str">
        <f>IF(AF492="","",COUNTIF(AF492:AF$3000,AF492))</f>
        <v/>
      </c>
      <c r="AH492" s="114" t="str">
        <f t="shared" si="15"/>
        <v/>
      </c>
    </row>
    <row r="493" spans="6:34" x14ac:dyDescent="0.3">
      <c r="F493" s="35"/>
      <c r="J493" s="35"/>
      <c r="K493" s="35"/>
      <c r="L493" s="35"/>
      <c r="AD493" s="73"/>
      <c r="AF493" s="112" t="str">
        <f t="shared" si="14"/>
        <v/>
      </c>
      <c r="AG493" s="113" t="str">
        <f>IF(AF493="","",COUNTIF(AF493:AF$3000,AF493))</f>
        <v/>
      </c>
      <c r="AH493" s="114" t="str">
        <f t="shared" si="15"/>
        <v/>
      </c>
    </row>
    <row r="494" spans="6:34" x14ac:dyDescent="0.3">
      <c r="F494" s="35"/>
      <c r="J494" s="35"/>
      <c r="K494" s="35"/>
      <c r="L494" s="35"/>
      <c r="AD494" s="73"/>
      <c r="AF494" s="112" t="str">
        <f t="shared" si="14"/>
        <v/>
      </c>
      <c r="AG494" s="113" t="str">
        <f>IF(AF494="","",COUNTIF(AF494:AF$3000,AF494))</f>
        <v/>
      </c>
      <c r="AH494" s="114" t="str">
        <f t="shared" si="15"/>
        <v/>
      </c>
    </row>
    <row r="495" spans="6:34" x14ac:dyDescent="0.3">
      <c r="F495" s="35"/>
      <c r="J495" s="35"/>
      <c r="K495" s="35"/>
      <c r="L495" s="35"/>
      <c r="AD495" s="73"/>
      <c r="AF495" s="112" t="str">
        <f t="shared" si="14"/>
        <v/>
      </c>
      <c r="AG495" s="113" t="str">
        <f>IF(AF495="","",COUNTIF(AF495:AF$3000,AF495))</f>
        <v/>
      </c>
      <c r="AH495" s="114" t="str">
        <f t="shared" si="15"/>
        <v/>
      </c>
    </row>
    <row r="496" spans="6:34" x14ac:dyDescent="0.3">
      <c r="F496" s="35"/>
      <c r="J496" s="35"/>
      <c r="K496" s="35"/>
      <c r="L496" s="35"/>
      <c r="AD496" s="73"/>
      <c r="AF496" s="112" t="str">
        <f t="shared" si="14"/>
        <v/>
      </c>
      <c r="AG496" s="113" t="str">
        <f>IF(AF496="","",COUNTIF(AF496:AF$3000,AF496))</f>
        <v/>
      </c>
      <c r="AH496" s="114" t="str">
        <f t="shared" si="15"/>
        <v/>
      </c>
    </row>
    <row r="497" spans="6:34" x14ac:dyDescent="0.3">
      <c r="F497" s="35"/>
      <c r="J497" s="35"/>
      <c r="K497" s="35"/>
      <c r="L497" s="35"/>
      <c r="AD497" s="73"/>
      <c r="AF497" s="112" t="str">
        <f t="shared" si="14"/>
        <v/>
      </c>
      <c r="AG497" s="113" t="str">
        <f>IF(AF497="","",COUNTIF(AF497:AF$3000,AF497))</f>
        <v/>
      </c>
      <c r="AH497" s="114" t="str">
        <f t="shared" si="15"/>
        <v/>
      </c>
    </row>
    <row r="498" spans="6:34" x14ac:dyDescent="0.3">
      <c r="F498" s="35"/>
      <c r="J498" s="35"/>
      <c r="K498" s="35"/>
      <c r="L498" s="35"/>
      <c r="AD498" s="73"/>
      <c r="AF498" s="112" t="str">
        <f t="shared" si="14"/>
        <v/>
      </c>
      <c r="AG498" s="113" t="str">
        <f>IF(AF498="","",COUNTIF(AF498:AF$3000,AF498))</f>
        <v/>
      </c>
      <c r="AH498" s="114" t="str">
        <f t="shared" si="15"/>
        <v/>
      </c>
    </row>
    <row r="499" spans="6:34" x14ac:dyDescent="0.3">
      <c r="F499" s="35"/>
      <c r="J499" s="35"/>
      <c r="K499" s="35"/>
      <c r="L499" s="35"/>
      <c r="AD499" s="73"/>
      <c r="AF499" s="112" t="str">
        <f t="shared" si="14"/>
        <v/>
      </c>
      <c r="AG499" s="113" t="str">
        <f>IF(AF499="","",COUNTIF(AF499:AF$3000,AF499))</f>
        <v/>
      </c>
      <c r="AH499" s="114" t="str">
        <f t="shared" si="15"/>
        <v/>
      </c>
    </row>
    <row r="500" spans="6:34" x14ac:dyDescent="0.3">
      <c r="F500" s="35"/>
      <c r="J500" s="35"/>
      <c r="K500" s="35"/>
      <c r="L500" s="35"/>
      <c r="AD500" s="73"/>
      <c r="AF500" s="112" t="str">
        <f t="shared" si="14"/>
        <v/>
      </c>
      <c r="AG500" s="113" t="str">
        <f>IF(AF500="","",COUNTIF(AF500:AF$3000,AF500))</f>
        <v/>
      </c>
      <c r="AH500" s="114" t="str">
        <f t="shared" si="15"/>
        <v/>
      </c>
    </row>
    <row r="501" spans="6:34" x14ac:dyDescent="0.3">
      <c r="F501" s="35"/>
      <c r="J501" s="35"/>
      <c r="K501" s="35"/>
      <c r="L501" s="35"/>
      <c r="AD501" s="73"/>
      <c r="AF501" s="112" t="str">
        <f t="shared" si="14"/>
        <v/>
      </c>
      <c r="AG501" s="113" t="str">
        <f>IF(AF501="","",COUNTIF(AF501:AF$3000,AF501))</f>
        <v/>
      </c>
      <c r="AH501" s="114" t="str">
        <f t="shared" si="15"/>
        <v/>
      </c>
    </row>
    <row r="502" spans="6:34" x14ac:dyDescent="0.3">
      <c r="F502" s="35"/>
      <c r="J502" s="35"/>
      <c r="K502" s="35"/>
      <c r="L502" s="35"/>
      <c r="AD502" s="73"/>
      <c r="AF502" s="112" t="str">
        <f t="shared" si="14"/>
        <v/>
      </c>
      <c r="AG502" s="113" t="str">
        <f>IF(AF502="","",COUNTIF(AF502:AF$3000,AF502))</f>
        <v/>
      </c>
      <c r="AH502" s="114" t="str">
        <f t="shared" si="15"/>
        <v/>
      </c>
    </row>
    <row r="503" spans="6:34" x14ac:dyDescent="0.3">
      <c r="F503" s="35"/>
      <c r="J503" s="35"/>
      <c r="K503" s="35"/>
      <c r="L503" s="35"/>
      <c r="AD503" s="73"/>
      <c r="AF503" s="112" t="str">
        <f t="shared" si="14"/>
        <v/>
      </c>
      <c r="AG503" s="113" t="str">
        <f>IF(AF503="","",COUNTIF(AF503:AF$3000,AF503))</f>
        <v/>
      </c>
      <c r="AH503" s="114" t="str">
        <f t="shared" si="15"/>
        <v/>
      </c>
    </row>
    <row r="504" spans="6:34" x14ac:dyDescent="0.3">
      <c r="F504" s="35"/>
      <c r="J504" s="35"/>
      <c r="K504" s="35"/>
      <c r="L504" s="35"/>
      <c r="AD504" s="73"/>
      <c r="AF504" s="112" t="str">
        <f t="shared" si="14"/>
        <v/>
      </c>
      <c r="AG504" s="113" t="str">
        <f>IF(AF504="","",COUNTIF(AF504:AF$3000,AF504))</f>
        <v/>
      </c>
      <c r="AH504" s="114" t="str">
        <f t="shared" si="15"/>
        <v/>
      </c>
    </row>
    <row r="505" spans="6:34" x14ac:dyDescent="0.3">
      <c r="F505" s="35"/>
      <c r="J505" s="35"/>
      <c r="K505" s="35"/>
      <c r="L505" s="35"/>
      <c r="AD505" s="73"/>
      <c r="AF505" s="112" t="str">
        <f t="shared" si="14"/>
        <v/>
      </c>
      <c r="AG505" s="113" t="str">
        <f>IF(AF505="","",COUNTIF(AF505:AF$3000,AF505))</f>
        <v/>
      </c>
      <c r="AH505" s="114" t="str">
        <f t="shared" si="15"/>
        <v/>
      </c>
    </row>
    <row r="506" spans="6:34" x14ac:dyDescent="0.3">
      <c r="F506" s="35"/>
      <c r="J506" s="35"/>
      <c r="K506" s="35"/>
      <c r="L506" s="35"/>
      <c r="AD506" s="73"/>
      <c r="AF506" s="112" t="str">
        <f t="shared" si="14"/>
        <v/>
      </c>
      <c r="AG506" s="113" t="str">
        <f>IF(AF506="","",COUNTIF(AF506:AF$3000,AF506))</f>
        <v/>
      </c>
      <c r="AH506" s="114" t="str">
        <f t="shared" si="15"/>
        <v/>
      </c>
    </row>
    <row r="507" spans="6:34" x14ac:dyDescent="0.3">
      <c r="F507" s="35"/>
      <c r="J507" s="35"/>
      <c r="K507" s="35"/>
      <c r="L507" s="35"/>
      <c r="AD507" s="73"/>
      <c r="AF507" s="112" t="str">
        <f t="shared" si="14"/>
        <v/>
      </c>
      <c r="AG507" s="113" t="str">
        <f>IF(AF507="","",COUNTIF(AF507:AF$3000,AF507))</f>
        <v/>
      </c>
      <c r="AH507" s="114" t="str">
        <f t="shared" si="15"/>
        <v/>
      </c>
    </row>
    <row r="508" spans="6:34" x14ac:dyDescent="0.3">
      <c r="F508" s="35"/>
      <c r="J508" s="35"/>
      <c r="K508" s="35"/>
      <c r="L508" s="35"/>
      <c r="AD508" s="73"/>
      <c r="AF508" s="112" t="str">
        <f t="shared" si="14"/>
        <v/>
      </c>
      <c r="AG508" s="113" t="str">
        <f>IF(AF508="","",COUNTIF(AF508:AF$3000,AF508))</f>
        <v/>
      </c>
      <c r="AH508" s="114" t="str">
        <f t="shared" si="15"/>
        <v/>
      </c>
    </row>
    <row r="509" spans="6:34" x14ac:dyDescent="0.3">
      <c r="F509" s="35"/>
      <c r="J509" s="35"/>
      <c r="K509" s="35"/>
      <c r="L509" s="35"/>
      <c r="AD509" s="73"/>
      <c r="AF509" s="112" t="str">
        <f t="shared" si="14"/>
        <v/>
      </c>
      <c r="AG509" s="113" t="str">
        <f>IF(AF509="","",COUNTIF(AF509:AF$3000,AF509))</f>
        <v/>
      </c>
      <c r="AH509" s="114" t="str">
        <f t="shared" si="15"/>
        <v/>
      </c>
    </row>
    <row r="510" spans="6:34" x14ac:dyDescent="0.3">
      <c r="F510" s="35"/>
      <c r="J510" s="35"/>
      <c r="K510" s="35"/>
      <c r="L510" s="35"/>
      <c r="AD510" s="73"/>
      <c r="AF510" s="112" t="str">
        <f t="shared" si="14"/>
        <v/>
      </c>
      <c r="AG510" s="113" t="str">
        <f>IF(AF510="","",COUNTIF(AF510:AF$3000,AF510))</f>
        <v/>
      </c>
      <c r="AH510" s="114" t="str">
        <f t="shared" si="15"/>
        <v/>
      </c>
    </row>
    <row r="511" spans="6:34" x14ac:dyDescent="0.3">
      <c r="F511" s="35"/>
      <c r="J511" s="35"/>
      <c r="K511" s="35"/>
      <c r="L511" s="35"/>
      <c r="AD511" s="73"/>
      <c r="AF511" s="112" t="str">
        <f t="shared" si="14"/>
        <v/>
      </c>
      <c r="AG511" s="113" t="str">
        <f>IF(AF511="","",COUNTIF(AF511:AF$3000,AF511))</f>
        <v/>
      </c>
      <c r="AH511" s="114" t="str">
        <f t="shared" si="15"/>
        <v/>
      </c>
    </row>
    <row r="512" spans="6:34" x14ac:dyDescent="0.3">
      <c r="F512" s="35"/>
      <c r="J512" s="35"/>
      <c r="K512" s="35"/>
      <c r="L512" s="35"/>
      <c r="AD512" s="73"/>
      <c r="AF512" s="112" t="str">
        <f t="shared" si="14"/>
        <v/>
      </c>
      <c r="AG512" s="113" t="str">
        <f>IF(AF512="","",COUNTIF(AF512:AF$3000,AF512))</f>
        <v/>
      </c>
      <c r="AH512" s="114" t="str">
        <f t="shared" si="15"/>
        <v/>
      </c>
    </row>
    <row r="513" spans="6:34" x14ac:dyDescent="0.3">
      <c r="F513" s="35"/>
      <c r="J513" s="35"/>
      <c r="K513" s="35"/>
      <c r="L513" s="35"/>
      <c r="AD513" s="73"/>
      <c r="AF513" s="112" t="str">
        <f t="shared" si="14"/>
        <v/>
      </c>
      <c r="AG513" s="113" t="str">
        <f>IF(AF513="","",COUNTIF(AF513:AF$3000,AF513))</f>
        <v/>
      </c>
      <c r="AH513" s="114" t="str">
        <f t="shared" si="15"/>
        <v/>
      </c>
    </row>
    <row r="514" spans="6:34" x14ac:dyDescent="0.3">
      <c r="F514" s="35"/>
      <c r="J514" s="35"/>
      <c r="K514" s="35"/>
      <c r="L514" s="35"/>
      <c r="AD514" s="73"/>
      <c r="AF514" s="112" t="str">
        <f t="shared" si="14"/>
        <v/>
      </c>
      <c r="AG514" s="113" t="str">
        <f>IF(AF514="","",COUNTIF(AF514:AF$3000,AF514))</f>
        <v/>
      </c>
      <c r="AH514" s="114" t="str">
        <f t="shared" si="15"/>
        <v/>
      </c>
    </row>
    <row r="515" spans="6:34" x14ac:dyDescent="0.3">
      <c r="F515" s="35"/>
      <c r="J515" s="35"/>
      <c r="K515" s="35"/>
      <c r="L515" s="35"/>
      <c r="AD515" s="73"/>
      <c r="AF515" s="112" t="str">
        <f t="shared" si="14"/>
        <v/>
      </c>
      <c r="AG515" s="113" t="str">
        <f>IF(AF515="","",COUNTIF(AF515:AF$3000,AF515))</f>
        <v/>
      </c>
      <c r="AH515" s="114" t="str">
        <f t="shared" si="15"/>
        <v/>
      </c>
    </row>
    <row r="516" spans="6:34" x14ac:dyDescent="0.3">
      <c r="F516" s="35"/>
      <c r="J516" s="35"/>
      <c r="K516" s="35"/>
      <c r="L516" s="35"/>
      <c r="AD516" s="73"/>
      <c r="AF516" s="112" t="str">
        <f t="shared" ref="AF516:AF579" si="16">IF(B516="","",TEXT(J516,"DD/MM/AA")&amp;"_"&amp;S516&amp;"_"&amp;V516)</f>
        <v/>
      </c>
      <c r="AG516" s="113" t="str">
        <f>IF(AF516="","",COUNTIF(AF516:AF$3000,AF516))</f>
        <v/>
      </c>
      <c r="AH516" s="114" t="str">
        <f t="shared" ref="AH516:AH579" si="17">IF(AA516="","",
IF(AG516&gt;1,"",
IF(SUMIF(AF$3:AF$31,AF516,H$3:H$31)/10&lt;1,1,SUMIF(AF$3:AF$31,AF516,H$3:H$31)/10)))</f>
        <v/>
      </c>
    </row>
    <row r="517" spans="6:34" x14ac:dyDescent="0.3">
      <c r="F517" s="35"/>
      <c r="J517" s="35"/>
      <c r="K517" s="35"/>
      <c r="L517" s="35"/>
      <c r="AD517" s="73"/>
      <c r="AF517" s="112" t="str">
        <f t="shared" si="16"/>
        <v/>
      </c>
      <c r="AG517" s="113" t="str">
        <f>IF(AF517="","",COUNTIF(AF517:AF$3000,AF517))</f>
        <v/>
      </c>
      <c r="AH517" s="114" t="str">
        <f t="shared" si="17"/>
        <v/>
      </c>
    </row>
    <row r="518" spans="6:34" x14ac:dyDescent="0.3">
      <c r="F518" s="35"/>
      <c r="J518" s="35"/>
      <c r="K518" s="35"/>
      <c r="L518" s="35"/>
      <c r="AD518" s="73"/>
      <c r="AF518" s="112" t="str">
        <f t="shared" si="16"/>
        <v/>
      </c>
      <c r="AG518" s="113" t="str">
        <f>IF(AF518="","",COUNTIF(AF518:AF$3000,AF518))</f>
        <v/>
      </c>
      <c r="AH518" s="114" t="str">
        <f t="shared" si="17"/>
        <v/>
      </c>
    </row>
    <row r="519" spans="6:34" x14ac:dyDescent="0.3">
      <c r="F519" s="35"/>
      <c r="J519" s="35"/>
      <c r="K519" s="35"/>
      <c r="L519" s="35"/>
      <c r="AD519" s="73"/>
      <c r="AF519" s="112" t="str">
        <f t="shared" si="16"/>
        <v/>
      </c>
      <c r="AG519" s="113" t="str">
        <f>IF(AF519="","",COUNTIF(AF519:AF$3000,AF519))</f>
        <v/>
      </c>
      <c r="AH519" s="114" t="str">
        <f t="shared" si="17"/>
        <v/>
      </c>
    </row>
    <row r="520" spans="6:34" x14ac:dyDescent="0.3">
      <c r="F520" s="35"/>
      <c r="J520" s="35"/>
      <c r="K520" s="35"/>
      <c r="L520" s="35"/>
      <c r="AD520" s="73"/>
      <c r="AF520" s="112" t="str">
        <f t="shared" si="16"/>
        <v/>
      </c>
      <c r="AG520" s="113" t="str">
        <f>IF(AF520="","",COUNTIF(AF520:AF$3000,AF520))</f>
        <v/>
      </c>
      <c r="AH520" s="114" t="str">
        <f t="shared" si="17"/>
        <v/>
      </c>
    </row>
    <row r="521" spans="6:34" x14ac:dyDescent="0.3">
      <c r="F521" s="35"/>
      <c r="J521" s="35"/>
      <c r="K521" s="35"/>
      <c r="L521" s="35"/>
      <c r="AD521" s="73"/>
      <c r="AF521" s="112" t="str">
        <f t="shared" si="16"/>
        <v/>
      </c>
      <c r="AG521" s="113" t="str">
        <f>IF(AF521="","",COUNTIF(AF521:AF$3000,AF521))</f>
        <v/>
      </c>
      <c r="AH521" s="114" t="str">
        <f t="shared" si="17"/>
        <v/>
      </c>
    </row>
    <row r="522" spans="6:34" x14ac:dyDescent="0.3">
      <c r="F522" s="35"/>
      <c r="J522" s="35"/>
      <c r="K522" s="35"/>
      <c r="L522" s="35"/>
      <c r="AD522" s="73"/>
      <c r="AF522" s="112" t="str">
        <f t="shared" si="16"/>
        <v/>
      </c>
      <c r="AG522" s="113" t="str">
        <f>IF(AF522="","",COUNTIF(AF522:AF$3000,AF522))</f>
        <v/>
      </c>
      <c r="AH522" s="114" t="str">
        <f t="shared" si="17"/>
        <v/>
      </c>
    </row>
    <row r="523" spans="6:34" x14ac:dyDescent="0.3">
      <c r="F523" s="35"/>
      <c r="J523" s="35"/>
      <c r="K523" s="35"/>
      <c r="L523" s="35"/>
      <c r="AD523" s="73"/>
      <c r="AF523" s="112" t="str">
        <f t="shared" si="16"/>
        <v/>
      </c>
      <c r="AG523" s="113" t="str">
        <f>IF(AF523="","",COUNTIF(AF523:AF$3000,AF523))</f>
        <v/>
      </c>
      <c r="AH523" s="114" t="str">
        <f t="shared" si="17"/>
        <v/>
      </c>
    </row>
    <row r="524" spans="6:34" x14ac:dyDescent="0.3">
      <c r="F524" s="35"/>
      <c r="J524" s="35"/>
      <c r="K524" s="35"/>
      <c r="L524" s="35"/>
      <c r="AD524" s="73"/>
      <c r="AF524" s="112" t="str">
        <f t="shared" si="16"/>
        <v/>
      </c>
      <c r="AG524" s="113" t="str">
        <f>IF(AF524="","",COUNTIF(AF524:AF$3000,AF524))</f>
        <v/>
      </c>
      <c r="AH524" s="114" t="str">
        <f t="shared" si="17"/>
        <v/>
      </c>
    </row>
    <row r="525" spans="6:34" x14ac:dyDescent="0.3">
      <c r="F525" s="35"/>
      <c r="J525" s="35"/>
      <c r="K525" s="35"/>
      <c r="L525" s="35"/>
      <c r="AD525" s="73"/>
      <c r="AF525" s="112" t="str">
        <f t="shared" si="16"/>
        <v/>
      </c>
      <c r="AG525" s="113" t="str">
        <f>IF(AF525="","",COUNTIF(AF525:AF$3000,AF525))</f>
        <v/>
      </c>
      <c r="AH525" s="114" t="str">
        <f t="shared" si="17"/>
        <v/>
      </c>
    </row>
    <row r="526" spans="6:34" x14ac:dyDescent="0.3">
      <c r="F526" s="35"/>
      <c r="J526" s="35"/>
      <c r="K526" s="35"/>
      <c r="L526" s="35"/>
      <c r="AD526" s="73"/>
      <c r="AF526" s="112" t="str">
        <f t="shared" si="16"/>
        <v/>
      </c>
      <c r="AG526" s="113" t="str">
        <f>IF(AF526="","",COUNTIF(AF526:AF$3000,AF526))</f>
        <v/>
      </c>
      <c r="AH526" s="114" t="str">
        <f t="shared" si="17"/>
        <v/>
      </c>
    </row>
    <row r="527" spans="6:34" x14ac:dyDescent="0.3">
      <c r="F527" s="35"/>
      <c r="J527" s="35"/>
      <c r="K527" s="35"/>
      <c r="L527" s="35"/>
      <c r="AD527" s="73"/>
      <c r="AF527" s="112" t="str">
        <f t="shared" si="16"/>
        <v/>
      </c>
      <c r="AG527" s="113" t="str">
        <f>IF(AF527="","",COUNTIF(AF527:AF$3000,AF527))</f>
        <v/>
      </c>
      <c r="AH527" s="114" t="str">
        <f t="shared" si="17"/>
        <v/>
      </c>
    </row>
    <row r="528" spans="6:34" x14ac:dyDescent="0.3">
      <c r="F528" s="35"/>
      <c r="J528" s="35"/>
      <c r="K528" s="35"/>
      <c r="L528" s="35"/>
      <c r="AD528" s="73"/>
      <c r="AF528" s="112" t="str">
        <f t="shared" si="16"/>
        <v/>
      </c>
      <c r="AG528" s="113" t="str">
        <f>IF(AF528="","",COUNTIF(AF528:AF$3000,AF528))</f>
        <v/>
      </c>
      <c r="AH528" s="114" t="str">
        <f t="shared" si="17"/>
        <v/>
      </c>
    </row>
    <row r="529" spans="6:34" x14ac:dyDescent="0.3">
      <c r="F529" s="35"/>
      <c r="J529" s="35"/>
      <c r="K529" s="35"/>
      <c r="L529" s="35"/>
      <c r="AD529" s="73"/>
      <c r="AF529" s="112" t="str">
        <f t="shared" si="16"/>
        <v/>
      </c>
      <c r="AG529" s="113" t="str">
        <f>IF(AF529="","",COUNTIF(AF529:AF$3000,AF529))</f>
        <v/>
      </c>
      <c r="AH529" s="114" t="str">
        <f t="shared" si="17"/>
        <v/>
      </c>
    </row>
    <row r="530" spans="6:34" x14ac:dyDescent="0.3">
      <c r="F530" s="35"/>
      <c r="J530" s="35"/>
      <c r="K530" s="35"/>
      <c r="L530" s="35"/>
      <c r="AD530" s="73"/>
      <c r="AF530" s="112" t="str">
        <f t="shared" si="16"/>
        <v/>
      </c>
      <c r="AG530" s="113" t="str">
        <f>IF(AF530="","",COUNTIF(AF530:AF$3000,AF530))</f>
        <v/>
      </c>
      <c r="AH530" s="114" t="str">
        <f t="shared" si="17"/>
        <v/>
      </c>
    </row>
    <row r="531" spans="6:34" x14ac:dyDescent="0.3">
      <c r="F531" s="35"/>
      <c r="J531" s="35"/>
      <c r="K531" s="35"/>
      <c r="L531" s="35"/>
      <c r="AD531" s="73"/>
      <c r="AF531" s="112" t="str">
        <f t="shared" si="16"/>
        <v/>
      </c>
      <c r="AG531" s="113" t="str">
        <f>IF(AF531="","",COUNTIF(AF531:AF$3000,AF531))</f>
        <v/>
      </c>
      <c r="AH531" s="114" t="str">
        <f t="shared" si="17"/>
        <v/>
      </c>
    </row>
    <row r="532" spans="6:34" x14ac:dyDescent="0.3">
      <c r="F532" s="35"/>
      <c r="J532" s="35"/>
      <c r="K532" s="35"/>
      <c r="L532" s="35"/>
      <c r="AD532" s="73"/>
      <c r="AF532" s="112" t="str">
        <f t="shared" si="16"/>
        <v/>
      </c>
      <c r="AG532" s="113" t="str">
        <f>IF(AF532="","",COUNTIF(AF532:AF$3000,AF532))</f>
        <v/>
      </c>
      <c r="AH532" s="114" t="str">
        <f t="shared" si="17"/>
        <v/>
      </c>
    </row>
    <row r="533" spans="6:34" x14ac:dyDescent="0.3">
      <c r="F533" s="35"/>
      <c r="J533" s="35"/>
      <c r="K533" s="35"/>
      <c r="L533" s="35"/>
      <c r="AD533" s="73"/>
      <c r="AF533" s="112" t="str">
        <f t="shared" si="16"/>
        <v/>
      </c>
      <c r="AG533" s="113" t="str">
        <f>IF(AF533="","",COUNTIF(AF533:AF$3000,AF533))</f>
        <v/>
      </c>
      <c r="AH533" s="114" t="str">
        <f t="shared" si="17"/>
        <v/>
      </c>
    </row>
    <row r="534" spans="6:34" x14ac:dyDescent="0.3">
      <c r="F534" s="35"/>
      <c r="J534" s="35"/>
      <c r="K534" s="35"/>
      <c r="L534" s="35"/>
      <c r="AD534" s="73"/>
      <c r="AF534" s="112" t="str">
        <f t="shared" si="16"/>
        <v/>
      </c>
      <c r="AG534" s="113" t="str">
        <f>IF(AF534="","",COUNTIF(AF534:AF$3000,AF534))</f>
        <v/>
      </c>
      <c r="AH534" s="114" t="str">
        <f t="shared" si="17"/>
        <v/>
      </c>
    </row>
    <row r="535" spans="6:34" x14ac:dyDescent="0.3">
      <c r="F535" s="35"/>
      <c r="J535" s="35"/>
      <c r="K535" s="35"/>
      <c r="L535" s="35"/>
      <c r="AD535" s="73"/>
      <c r="AF535" s="112" t="str">
        <f t="shared" si="16"/>
        <v/>
      </c>
      <c r="AG535" s="113" t="str">
        <f>IF(AF535="","",COUNTIF(AF535:AF$3000,AF535))</f>
        <v/>
      </c>
      <c r="AH535" s="114" t="str">
        <f t="shared" si="17"/>
        <v/>
      </c>
    </row>
    <row r="536" spans="6:34" x14ac:dyDescent="0.3">
      <c r="F536" s="35"/>
      <c r="J536" s="35"/>
      <c r="K536" s="35"/>
      <c r="L536" s="35"/>
      <c r="AD536" s="73"/>
      <c r="AF536" s="112" t="str">
        <f t="shared" si="16"/>
        <v/>
      </c>
      <c r="AG536" s="113" t="str">
        <f>IF(AF536="","",COUNTIF(AF536:AF$3000,AF536))</f>
        <v/>
      </c>
      <c r="AH536" s="114" t="str">
        <f t="shared" si="17"/>
        <v/>
      </c>
    </row>
    <row r="537" spans="6:34" x14ac:dyDescent="0.3">
      <c r="F537" s="35"/>
      <c r="J537" s="35"/>
      <c r="K537" s="35"/>
      <c r="L537" s="35"/>
      <c r="AD537" s="73"/>
      <c r="AF537" s="112" t="str">
        <f t="shared" si="16"/>
        <v/>
      </c>
      <c r="AG537" s="113" t="str">
        <f>IF(AF537="","",COUNTIF(AF537:AF$3000,AF537))</f>
        <v/>
      </c>
      <c r="AH537" s="114" t="str">
        <f t="shared" si="17"/>
        <v/>
      </c>
    </row>
    <row r="538" spans="6:34" x14ac:dyDescent="0.3">
      <c r="F538" s="35"/>
      <c r="J538" s="35"/>
      <c r="K538" s="35"/>
      <c r="L538" s="35"/>
      <c r="AD538" s="73"/>
      <c r="AF538" s="112" t="str">
        <f t="shared" si="16"/>
        <v/>
      </c>
      <c r="AG538" s="113" t="str">
        <f>IF(AF538="","",COUNTIF(AF538:AF$3000,AF538))</f>
        <v/>
      </c>
      <c r="AH538" s="114" t="str">
        <f t="shared" si="17"/>
        <v/>
      </c>
    </row>
    <row r="539" spans="6:34" x14ac:dyDescent="0.3">
      <c r="F539" s="35"/>
      <c r="J539" s="35"/>
      <c r="K539" s="35"/>
      <c r="L539" s="35"/>
      <c r="AD539" s="73"/>
      <c r="AF539" s="112" t="str">
        <f t="shared" si="16"/>
        <v/>
      </c>
      <c r="AG539" s="113" t="str">
        <f>IF(AF539="","",COUNTIF(AF539:AF$3000,AF539))</f>
        <v/>
      </c>
      <c r="AH539" s="114" t="str">
        <f t="shared" si="17"/>
        <v/>
      </c>
    </row>
    <row r="540" spans="6:34" x14ac:dyDescent="0.3">
      <c r="F540" s="35"/>
      <c r="J540" s="35"/>
      <c r="K540" s="35"/>
      <c r="L540" s="35"/>
      <c r="AD540" s="73"/>
      <c r="AF540" s="112" t="str">
        <f t="shared" si="16"/>
        <v/>
      </c>
      <c r="AG540" s="113" t="str">
        <f>IF(AF540="","",COUNTIF(AF540:AF$3000,AF540))</f>
        <v/>
      </c>
      <c r="AH540" s="114" t="str">
        <f t="shared" si="17"/>
        <v/>
      </c>
    </row>
    <row r="541" spans="6:34" x14ac:dyDescent="0.3">
      <c r="F541" s="35"/>
      <c r="J541" s="35"/>
      <c r="K541" s="35"/>
      <c r="L541" s="35"/>
      <c r="AD541" s="73"/>
      <c r="AF541" s="112" t="str">
        <f t="shared" si="16"/>
        <v/>
      </c>
      <c r="AG541" s="113" t="str">
        <f>IF(AF541="","",COUNTIF(AF541:AF$3000,AF541))</f>
        <v/>
      </c>
      <c r="AH541" s="114" t="str">
        <f t="shared" si="17"/>
        <v/>
      </c>
    </row>
    <row r="542" spans="6:34" x14ac:dyDescent="0.3">
      <c r="F542" s="35"/>
      <c r="J542" s="35"/>
      <c r="K542" s="35"/>
      <c r="L542" s="35"/>
      <c r="AD542" s="73"/>
      <c r="AF542" s="112" t="str">
        <f t="shared" si="16"/>
        <v/>
      </c>
      <c r="AG542" s="113" t="str">
        <f>IF(AF542="","",COUNTIF(AF542:AF$3000,AF542))</f>
        <v/>
      </c>
      <c r="AH542" s="114" t="str">
        <f t="shared" si="17"/>
        <v/>
      </c>
    </row>
    <row r="543" spans="6:34" x14ac:dyDescent="0.3">
      <c r="F543" s="35"/>
      <c r="J543" s="35"/>
      <c r="K543" s="35"/>
      <c r="L543" s="35"/>
      <c r="AD543" s="73"/>
      <c r="AF543" s="112" t="str">
        <f t="shared" si="16"/>
        <v/>
      </c>
      <c r="AG543" s="113" t="str">
        <f>IF(AF543="","",COUNTIF(AF543:AF$3000,AF543))</f>
        <v/>
      </c>
      <c r="AH543" s="114" t="str">
        <f t="shared" si="17"/>
        <v/>
      </c>
    </row>
    <row r="544" spans="6:34" x14ac:dyDescent="0.3">
      <c r="F544" s="35"/>
      <c r="J544" s="35"/>
      <c r="K544" s="35"/>
      <c r="L544" s="35"/>
      <c r="AD544" s="73"/>
      <c r="AF544" s="112" t="str">
        <f t="shared" si="16"/>
        <v/>
      </c>
      <c r="AG544" s="113" t="str">
        <f>IF(AF544="","",COUNTIF(AF544:AF$3000,AF544))</f>
        <v/>
      </c>
      <c r="AH544" s="114" t="str">
        <f t="shared" si="17"/>
        <v/>
      </c>
    </row>
    <row r="545" spans="6:34" x14ac:dyDescent="0.3">
      <c r="F545" s="35"/>
      <c r="J545" s="35"/>
      <c r="K545" s="35"/>
      <c r="L545" s="35"/>
      <c r="AD545" s="73"/>
      <c r="AF545" s="112" t="str">
        <f t="shared" si="16"/>
        <v/>
      </c>
      <c r="AG545" s="113" t="str">
        <f>IF(AF545="","",COUNTIF(AF545:AF$3000,AF545))</f>
        <v/>
      </c>
      <c r="AH545" s="114" t="str">
        <f t="shared" si="17"/>
        <v/>
      </c>
    </row>
    <row r="546" spans="6:34" x14ac:dyDescent="0.3">
      <c r="F546" s="35"/>
      <c r="J546" s="35"/>
      <c r="K546" s="35"/>
      <c r="L546" s="35"/>
      <c r="AD546" s="73"/>
      <c r="AF546" s="112" t="str">
        <f t="shared" si="16"/>
        <v/>
      </c>
      <c r="AG546" s="113" t="str">
        <f>IF(AF546="","",COUNTIF(AF546:AF$3000,AF546))</f>
        <v/>
      </c>
      <c r="AH546" s="114" t="str">
        <f t="shared" si="17"/>
        <v/>
      </c>
    </row>
    <row r="547" spans="6:34" x14ac:dyDescent="0.3">
      <c r="F547" s="35"/>
      <c r="J547" s="35"/>
      <c r="K547" s="35"/>
      <c r="L547" s="35"/>
      <c r="AD547" s="73"/>
      <c r="AF547" s="112" t="str">
        <f t="shared" si="16"/>
        <v/>
      </c>
      <c r="AG547" s="113" t="str">
        <f>IF(AF547="","",COUNTIF(AF547:AF$3000,AF547))</f>
        <v/>
      </c>
      <c r="AH547" s="114" t="str">
        <f t="shared" si="17"/>
        <v/>
      </c>
    </row>
    <row r="548" spans="6:34" x14ac:dyDescent="0.3">
      <c r="F548" s="35"/>
      <c r="J548" s="35"/>
      <c r="K548" s="35"/>
      <c r="L548" s="35"/>
      <c r="AD548" s="73"/>
      <c r="AF548" s="112" t="str">
        <f t="shared" si="16"/>
        <v/>
      </c>
      <c r="AG548" s="113" t="str">
        <f>IF(AF548="","",COUNTIF(AF548:AF$3000,AF548))</f>
        <v/>
      </c>
      <c r="AH548" s="114" t="str">
        <f t="shared" si="17"/>
        <v/>
      </c>
    </row>
    <row r="549" spans="6:34" x14ac:dyDescent="0.3">
      <c r="F549" s="35"/>
      <c r="J549" s="35"/>
      <c r="K549" s="35"/>
      <c r="L549" s="35"/>
      <c r="AD549" s="73"/>
      <c r="AF549" s="112" t="str">
        <f t="shared" si="16"/>
        <v/>
      </c>
      <c r="AG549" s="113" t="str">
        <f>IF(AF549="","",COUNTIF(AF549:AF$3000,AF549))</f>
        <v/>
      </c>
      <c r="AH549" s="114" t="str">
        <f t="shared" si="17"/>
        <v/>
      </c>
    </row>
    <row r="550" spans="6:34" x14ac:dyDescent="0.3">
      <c r="F550" s="35"/>
      <c r="J550" s="35"/>
      <c r="K550" s="35"/>
      <c r="L550" s="35"/>
      <c r="AD550" s="73"/>
      <c r="AF550" s="112" t="str">
        <f t="shared" si="16"/>
        <v/>
      </c>
      <c r="AG550" s="113" t="str">
        <f>IF(AF550="","",COUNTIF(AF550:AF$3000,AF550))</f>
        <v/>
      </c>
      <c r="AH550" s="114" t="str">
        <f t="shared" si="17"/>
        <v/>
      </c>
    </row>
    <row r="551" spans="6:34" x14ac:dyDescent="0.3">
      <c r="F551" s="35"/>
      <c r="J551" s="35"/>
      <c r="K551" s="35"/>
      <c r="L551" s="35"/>
      <c r="AD551" s="73"/>
      <c r="AF551" s="112" t="str">
        <f t="shared" si="16"/>
        <v/>
      </c>
      <c r="AG551" s="113" t="str">
        <f>IF(AF551="","",COUNTIF(AF551:AF$3000,AF551))</f>
        <v/>
      </c>
      <c r="AH551" s="114" t="str">
        <f t="shared" si="17"/>
        <v/>
      </c>
    </row>
    <row r="552" spans="6:34" x14ac:dyDescent="0.3">
      <c r="F552" s="35"/>
      <c r="J552" s="35"/>
      <c r="K552" s="35"/>
      <c r="L552" s="35"/>
      <c r="AD552" s="73"/>
      <c r="AF552" s="112" t="str">
        <f t="shared" si="16"/>
        <v/>
      </c>
      <c r="AG552" s="113" t="str">
        <f>IF(AF552="","",COUNTIF(AF552:AF$3000,AF552))</f>
        <v/>
      </c>
      <c r="AH552" s="114" t="str">
        <f t="shared" si="17"/>
        <v/>
      </c>
    </row>
    <row r="553" spans="6:34" x14ac:dyDescent="0.3">
      <c r="F553" s="35"/>
      <c r="J553" s="35"/>
      <c r="K553" s="35"/>
      <c r="L553" s="35"/>
      <c r="AD553" s="73"/>
      <c r="AF553" s="112" t="str">
        <f t="shared" si="16"/>
        <v/>
      </c>
      <c r="AG553" s="113" t="str">
        <f>IF(AF553="","",COUNTIF(AF553:AF$3000,AF553))</f>
        <v/>
      </c>
      <c r="AH553" s="114" t="str">
        <f t="shared" si="17"/>
        <v/>
      </c>
    </row>
    <row r="554" spans="6:34" x14ac:dyDescent="0.3">
      <c r="F554" s="35"/>
      <c r="J554" s="35"/>
      <c r="K554" s="35"/>
      <c r="L554" s="35"/>
      <c r="AD554" s="73"/>
      <c r="AF554" s="112" t="str">
        <f t="shared" si="16"/>
        <v/>
      </c>
      <c r="AG554" s="113" t="str">
        <f>IF(AF554="","",COUNTIF(AF554:AF$3000,AF554))</f>
        <v/>
      </c>
      <c r="AH554" s="114" t="str">
        <f t="shared" si="17"/>
        <v/>
      </c>
    </row>
    <row r="555" spans="6:34" x14ac:dyDescent="0.3">
      <c r="F555" s="35"/>
      <c r="J555" s="35"/>
      <c r="K555" s="35"/>
      <c r="L555" s="35"/>
      <c r="AD555" s="73"/>
      <c r="AF555" s="112" t="str">
        <f t="shared" si="16"/>
        <v/>
      </c>
      <c r="AG555" s="113" t="str">
        <f>IF(AF555="","",COUNTIF(AF555:AF$3000,AF555))</f>
        <v/>
      </c>
      <c r="AH555" s="114" t="str">
        <f t="shared" si="17"/>
        <v/>
      </c>
    </row>
    <row r="556" spans="6:34" x14ac:dyDescent="0.3">
      <c r="F556" s="35"/>
      <c r="J556" s="35"/>
      <c r="K556" s="35"/>
      <c r="L556" s="35"/>
      <c r="AD556" s="73"/>
      <c r="AF556" s="112" t="str">
        <f t="shared" si="16"/>
        <v/>
      </c>
      <c r="AG556" s="113" t="str">
        <f>IF(AF556="","",COUNTIF(AF556:AF$3000,AF556))</f>
        <v/>
      </c>
      <c r="AH556" s="114" t="str">
        <f t="shared" si="17"/>
        <v/>
      </c>
    </row>
    <row r="557" spans="6:34" x14ac:dyDescent="0.3">
      <c r="F557" s="35"/>
      <c r="J557" s="35"/>
      <c r="K557" s="35"/>
      <c r="L557" s="35"/>
      <c r="AD557" s="73"/>
      <c r="AF557" s="112" t="str">
        <f t="shared" si="16"/>
        <v/>
      </c>
      <c r="AG557" s="113" t="str">
        <f>IF(AF557="","",COUNTIF(AF557:AF$3000,AF557))</f>
        <v/>
      </c>
      <c r="AH557" s="114" t="str">
        <f t="shared" si="17"/>
        <v/>
      </c>
    </row>
    <row r="558" spans="6:34" x14ac:dyDescent="0.3">
      <c r="F558" s="35"/>
      <c r="J558" s="35"/>
      <c r="K558" s="35"/>
      <c r="L558" s="35"/>
      <c r="AD558" s="73"/>
      <c r="AF558" s="112" t="str">
        <f t="shared" si="16"/>
        <v/>
      </c>
      <c r="AG558" s="113" t="str">
        <f>IF(AF558="","",COUNTIF(AF558:AF$3000,AF558))</f>
        <v/>
      </c>
      <c r="AH558" s="114" t="str">
        <f t="shared" si="17"/>
        <v/>
      </c>
    </row>
    <row r="559" spans="6:34" x14ac:dyDescent="0.3">
      <c r="F559" s="35"/>
      <c r="J559" s="35"/>
      <c r="K559" s="35"/>
      <c r="L559" s="35"/>
      <c r="AD559" s="73"/>
      <c r="AF559" s="112" t="str">
        <f t="shared" si="16"/>
        <v/>
      </c>
      <c r="AG559" s="113" t="str">
        <f>IF(AF559="","",COUNTIF(AF559:AF$3000,AF559))</f>
        <v/>
      </c>
      <c r="AH559" s="114" t="str">
        <f t="shared" si="17"/>
        <v/>
      </c>
    </row>
    <row r="560" spans="6:34" x14ac:dyDescent="0.3">
      <c r="F560" s="35"/>
      <c r="J560" s="35"/>
      <c r="K560" s="35"/>
      <c r="L560" s="35"/>
      <c r="AD560" s="73"/>
      <c r="AF560" s="112" t="str">
        <f t="shared" si="16"/>
        <v/>
      </c>
      <c r="AG560" s="113" t="str">
        <f>IF(AF560="","",COUNTIF(AF560:AF$3000,AF560))</f>
        <v/>
      </c>
      <c r="AH560" s="114" t="str">
        <f t="shared" si="17"/>
        <v/>
      </c>
    </row>
    <row r="561" spans="6:34" x14ac:dyDescent="0.3">
      <c r="F561" s="35"/>
      <c r="J561" s="35"/>
      <c r="K561" s="35"/>
      <c r="L561" s="35"/>
      <c r="AD561" s="73"/>
      <c r="AF561" s="112" t="str">
        <f t="shared" si="16"/>
        <v/>
      </c>
      <c r="AG561" s="113" t="str">
        <f>IF(AF561="","",COUNTIF(AF561:AF$3000,AF561))</f>
        <v/>
      </c>
      <c r="AH561" s="114" t="str">
        <f t="shared" si="17"/>
        <v/>
      </c>
    </row>
    <row r="562" spans="6:34" x14ac:dyDescent="0.3">
      <c r="F562" s="35"/>
      <c r="J562" s="35"/>
      <c r="K562" s="35"/>
      <c r="L562" s="35"/>
      <c r="AD562" s="73"/>
      <c r="AF562" s="112" t="str">
        <f t="shared" si="16"/>
        <v/>
      </c>
      <c r="AG562" s="113" t="str">
        <f>IF(AF562="","",COUNTIF(AF562:AF$3000,AF562))</f>
        <v/>
      </c>
      <c r="AH562" s="114" t="str">
        <f t="shared" si="17"/>
        <v/>
      </c>
    </row>
    <row r="563" spans="6:34" x14ac:dyDescent="0.3">
      <c r="F563" s="35"/>
      <c r="J563" s="35"/>
      <c r="K563" s="35"/>
      <c r="L563" s="35"/>
      <c r="AD563" s="73"/>
      <c r="AF563" s="112" t="str">
        <f t="shared" si="16"/>
        <v/>
      </c>
      <c r="AG563" s="113" t="str">
        <f>IF(AF563="","",COUNTIF(AF563:AF$3000,AF563))</f>
        <v/>
      </c>
      <c r="AH563" s="114" t="str">
        <f t="shared" si="17"/>
        <v/>
      </c>
    </row>
    <row r="564" spans="6:34" x14ac:dyDescent="0.3">
      <c r="F564" s="35"/>
      <c r="J564" s="35"/>
      <c r="K564" s="35"/>
      <c r="L564" s="35"/>
      <c r="AD564" s="73"/>
      <c r="AF564" s="112" t="str">
        <f t="shared" si="16"/>
        <v/>
      </c>
      <c r="AG564" s="113" t="str">
        <f>IF(AF564="","",COUNTIF(AF564:AF$3000,AF564))</f>
        <v/>
      </c>
      <c r="AH564" s="114" t="str">
        <f t="shared" si="17"/>
        <v/>
      </c>
    </row>
    <row r="565" spans="6:34" x14ac:dyDescent="0.3">
      <c r="F565" s="35"/>
      <c r="J565" s="35"/>
      <c r="K565" s="35"/>
      <c r="L565" s="35"/>
      <c r="AD565" s="73"/>
      <c r="AF565" s="112" t="str">
        <f t="shared" si="16"/>
        <v/>
      </c>
      <c r="AG565" s="113" t="str">
        <f>IF(AF565="","",COUNTIF(AF565:AF$3000,AF565))</f>
        <v/>
      </c>
      <c r="AH565" s="114" t="str">
        <f t="shared" si="17"/>
        <v/>
      </c>
    </row>
    <row r="566" spans="6:34" x14ac:dyDescent="0.3">
      <c r="F566" s="35"/>
      <c r="J566" s="35"/>
      <c r="K566" s="35"/>
      <c r="L566" s="35"/>
      <c r="AD566" s="73"/>
      <c r="AF566" s="112" t="str">
        <f t="shared" si="16"/>
        <v/>
      </c>
      <c r="AG566" s="113" t="str">
        <f>IF(AF566="","",COUNTIF(AF566:AF$3000,AF566))</f>
        <v/>
      </c>
      <c r="AH566" s="114" t="str">
        <f t="shared" si="17"/>
        <v/>
      </c>
    </row>
    <row r="567" spans="6:34" x14ac:dyDescent="0.3">
      <c r="F567" s="35"/>
      <c r="J567" s="35"/>
      <c r="K567" s="35"/>
      <c r="L567" s="35"/>
      <c r="AD567" s="73"/>
      <c r="AF567" s="112" t="str">
        <f t="shared" si="16"/>
        <v/>
      </c>
      <c r="AG567" s="113" t="str">
        <f>IF(AF567="","",COUNTIF(AF567:AF$3000,AF567))</f>
        <v/>
      </c>
      <c r="AH567" s="114" t="str">
        <f t="shared" si="17"/>
        <v/>
      </c>
    </row>
    <row r="568" spans="6:34" x14ac:dyDescent="0.3">
      <c r="F568" s="35"/>
      <c r="J568" s="35"/>
      <c r="K568" s="35"/>
      <c r="L568" s="35"/>
      <c r="AD568" s="73"/>
      <c r="AF568" s="112" t="str">
        <f t="shared" si="16"/>
        <v/>
      </c>
      <c r="AG568" s="113" t="str">
        <f>IF(AF568="","",COUNTIF(AF568:AF$3000,AF568))</f>
        <v/>
      </c>
      <c r="AH568" s="114" t="str">
        <f t="shared" si="17"/>
        <v/>
      </c>
    </row>
    <row r="569" spans="6:34" x14ac:dyDescent="0.3">
      <c r="F569" s="35"/>
      <c r="J569" s="35"/>
      <c r="K569" s="35"/>
      <c r="L569" s="35"/>
      <c r="AD569" s="73"/>
      <c r="AF569" s="112" t="str">
        <f t="shared" si="16"/>
        <v/>
      </c>
      <c r="AG569" s="113" t="str">
        <f>IF(AF569="","",COUNTIF(AF569:AF$3000,AF569))</f>
        <v/>
      </c>
      <c r="AH569" s="114" t="str">
        <f t="shared" si="17"/>
        <v/>
      </c>
    </row>
    <row r="570" spans="6:34" x14ac:dyDescent="0.3">
      <c r="F570" s="35"/>
      <c r="J570" s="35"/>
      <c r="K570" s="35"/>
      <c r="L570" s="35"/>
      <c r="AD570" s="73"/>
      <c r="AF570" s="112" t="str">
        <f t="shared" si="16"/>
        <v/>
      </c>
      <c r="AG570" s="113" t="str">
        <f>IF(AF570="","",COUNTIF(AF570:AF$3000,AF570))</f>
        <v/>
      </c>
      <c r="AH570" s="114" t="str">
        <f t="shared" si="17"/>
        <v/>
      </c>
    </row>
    <row r="571" spans="6:34" x14ac:dyDescent="0.3">
      <c r="F571" s="35"/>
      <c r="J571" s="35"/>
      <c r="K571" s="35"/>
      <c r="L571" s="35"/>
      <c r="AD571" s="73"/>
      <c r="AF571" s="112" t="str">
        <f t="shared" si="16"/>
        <v/>
      </c>
      <c r="AG571" s="113" t="str">
        <f>IF(AF571="","",COUNTIF(AF571:AF$3000,AF571))</f>
        <v/>
      </c>
      <c r="AH571" s="114" t="str">
        <f t="shared" si="17"/>
        <v/>
      </c>
    </row>
    <row r="572" spans="6:34" x14ac:dyDescent="0.3">
      <c r="F572" s="35"/>
      <c r="J572" s="35"/>
      <c r="K572" s="35"/>
      <c r="L572" s="35"/>
      <c r="AD572" s="73"/>
      <c r="AF572" s="112" t="str">
        <f t="shared" si="16"/>
        <v/>
      </c>
      <c r="AG572" s="113" t="str">
        <f>IF(AF572="","",COUNTIF(AF572:AF$3000,AF572))</f>
        <v/>
      </c>
      <c r="AH572" s="114" t="str">
        <f t="shared" si="17"/>
        <v/>
      </c>
    </row>
    <row r="573" spans="6:34" x14ac:dyDescent="0.3">
      <c r="F573" s="35"/>
      <c r="J573" s="35"/>
      <c r="K573" s="35"/>
      <c r="L573" s="35"/>
      <c r="AD573" s="73"/>
      <c r="AF573" s="112" t="str">
        <f t="shared" si="16"/>
        <v/>
      </c>
      <c r="AG573" s="113" t="str">
        <f>IF(AF573="","",COUNTIF(AF573:AF$3000,AF573))</f>
        <v/>
      </c>
      <c r="AH573" s="114" t="str">
        <f t="shared" si="17"/>
        <v/>
      </c>
    </row>
    <row r="574" spans="6:34" x14ac:dyDescent="0.3">
      <c r="F574" s="35"/>
      <c r="J574" s="35"/>
      <c r="K574" s="35"/>
      <c r="L574" s="35"/>
      <c r="AD574" s="73"/>
      <c r="AF574" s="112" t="str">
        <f t="shared" si="16"/>
        <v/>
      </c>
      <c r="AG574" s="113" t="str">
        <f>IF(AF574="","",COUNTIF(AF574:AF$3000,AF574))</f>
        <v/>
      </c>
      <c r="AH574" s="114" t="str">
        <f t="shared" si="17"/>
        <v/>
      </c>
    </row>
    <row r="575" spans="6:34" x14ac:dyDescent="0.3">
      <c r="F575" s="35"/>
      <c r="J575" s="35"/>
      <c r="K575" s="35"/>
      <c r="L575" s="35"/>
      <c r="AD575" s="73"/>
      <c r="AF575" s="112" t="str">
        <f t="shared" si="16"/>
        <v/>
      </c>
      <c r="AG575" s="113" t="str">
        <f>IF(AF575="","",COUNTIF(AF575:AF$3000,AF575))</f>
        <v/>
      </c>
      <c r="AH575" s="114" t="str">
        <f t="shared" si="17"/>
        <v/>
      </c>
    </row>
    <row r="576" spans="6:34" x14ac:dyDescent="0.3">
      <c r="F576" s="35"/>
      <c r="J576" s="35"/>
      <c r="K576" s="35"/>
      <c r="L576" s="35"/>
      <c r="AD576" s="73"/>
      <c r="AF576" s="112" t="str">
        <f t="shared" si="16"/>
        <v/>
      </c>
      <c r="AG576" s="113" t="str">
        <f>IF(AF576="","",COUNTIF(AF576:AF$3000,AF576))</f>
        <v/>
      </c>
      <c r="AH576" s="114" t="str">
        <f t="shared" si="17"/>
        <v/>
      </c>
    </row>
    <row r="577" spans="6:34" x14ac:dyDescent="0.3">
      <c r="F577" s="35"/>
      <c r="J577" s="35"/>
      <c r="K577" s="35"/>
      <c r="L577" s="35"/>
      <c r="AD577" s="73"/>
      <c r="AF577" s="112" t="str">
        <f t="shared" si="16"/>
        <v/>
      </c>
      <c r="AG577" s="113" t="str">
        <f>IF(AF577="","",COUNTIF(AF577:AF$3000,AF577))</f>
        <v/>
      </c>
      <c r="AH577" s="114" t="str">
        <f t="shared" si="17"/>
        <v/>
      </c>
    </row>
    <row r="578" spans="6:34" x14ac:dyDescent="0.3">
      <c r="F578" s="35"/>
      <c r="J578" s="35"/>
      <c r="K578" s="35"/>
      <c r="L578" s="35"/>
      <c r="AD578" s="73"/>
      <c r="AF578" s="112" t="str">
        <f t="shared" si="16"/>
        <v/>
      </c>
      <c r="AG578" s="113" t="str">
        <f>IF(AF578="","",COUNTIF(AF578:AF$3000,AF578))</f>
        <v/>
      </c>
      <c r="AH578" s="114" t="str">
        <f t="shared" si="17"/>
        <v/>
      </c>
    </row>
    <row r="579" spans="6:34" x14ac:dyDescent="0.3">
      <c r="F579" s="35"/>
      <c r="J579" s="35"/>
      <c r="K579" s="35"/>
      <c r="L579" s="35"/>
      <c r="AD579" s="73"/>
      <c r="AF579" s="112" t="str">
        <f t="shared" si="16"/>
        <v/>
      </c>
      <c r="AG579" s="113" t="str">
        <f>IF(AF579="","",COUNTIF(AF579:AF$3000,AF579))</f>
        <v/>
      </c>
      <c r="AH579" s="114" t="str">
        <f t="shared" si="17"/>
        <v/>
      </c>
    </row>
    <row r="580" spans="6:34" x14ac:dyDescent="0.3">
      <c r="F580" s="35"/>
      <c r="J580" s="35"/>
      <c r="K580" s="35"/>
      <c r="L580" s="35"/>
      <c r="AD580" s="73"/>
      <c r="AF580" s="112" t="str">
        <f t="shared" ref="AF580:AF643" si="18">IF(B580="","",TEXT(J580,"DD/MM/AA")&amp;"_"&amp;S580&amp;"_"&amp;V580)</f>
        <v/>
      </c>
      <c r="AG580" s="113" t="str">
        <f>IF(AF580="","",COUNTIF(AF580:AF$3000,AF580))</f>
        <v/>
      </c>
      <c r="AH580" s="114" t="str">
        <f t="shared" ref="AH580:AH643" si="19">IF(AA580="","",
IF(AG580&gt;1,"",
IF(SUMIF(AF$3:AF$31,AF580,H$3:H$31)/10&lt;1,1,SUMIF(AF$3:AF$31,AF580,H$3:H$31)/10)))</f>
        <v/>
      </c>
    </row>
    <row r="581" spans="6:34" x14ac:dyDescent="0.3">
      <c r="F581" s="35"/>
      <c r="J581" s="35"/>
      <c r="K581" s="35"/>
      <c r="L581" s="35"/>
      <c r="AD581" s="73"/>
      <c r="AF581" s="112" t="str">
        <f t="shared" si="18"/>
        <v/>
      </c>
      <c r="AG581" s="113" t="str">
        <f>IF(AF581="","",COUNTIF(AF581:AF$3000,AF581))</f>
        <v/>
      </c>
      <c r="AH581" s="114" t="str">
        <f t="shared" si="19"/>
        <v/>
      </c>
    </row>
    <row r="582" spans="6:34" x14ac:dyDescent="0.3">
      <c r="F582" s="35"/>
      <c r="J582" s="35"/>
      <c r="K582" s="35"/>
      <c r="L582" s="35"/>
      <c r="AD582" s="73"/>
      <c r="AF582" s="112" t="str">
        <f t="shared" si="18"/>
        <v/>
      </c>
      <c r="AG582" s="113" t="str">
        <f>IF(AF582="","",COUNTIF(AF582:AF$3000,AF582))</f>
        <v/>
      </c>
      <c r="AH582" s="114" t="str">
        <f t="shared" si="19"/>
        <v/>
      </c>
    </row>
    <row r="583" spans="6:34" x14ac:dyDescent="0.3">
      <c r="F583" s="35"/>
      <c r="J583" s="35"/>
      <c r="K583" s="35"/>
      <c r="L583" s="35"/>
      <c r="AD583" s="73"/>
      <c r="AF583" s="112" t="str">
        <f t="shared" si="18"/>
        <v/>
      </c>
      <c r="AG583" s="113" t="str">
        <f>IF(AF583="","",COUNTIF(AF583:AF$3000,AF583))</f>
        <v/>
      </c>
      <c r="AH583" s="114" t="str">
        <f t="shared" si="19"/>
        <v/>
      </c>
    </row>
    <row r="584" spans="6:34" x14ac:dyDescent="0.3">
      <c r="F584" s="35"/>
      <c r="J584" s="35"/>
      <c r="K584" s="35"/>
      <c r="L584" s="35"/>
      <c r="AD584" s="73"/>
      <c r="AF584" s="112" t="str">
        <f t="shared" si="18"/>
        <v/>
      </c>
      <c r="AG584" s="113" t="str">
        <f>IF(AF584="","",COUNTIF(AF584:AF$3000,AF584))</f>
        <v/>
      </c>
      <c r="AH584" s="114" t="str">
        <f t="shared" si="19"/>
        <v/>
      </c>
    </row>
    <row r="585" spans="6:34" x14ac:dyDescent="0.3">
      <c r="F585" s="35"/>
      <c r="J585" s="35"/>
      <c r="K585" s="35"/>
      <c r="L585" s="35"/>
      <c r="AD585" s="73"/>
      <c r="AF585" s="112" t="str">
        <f t="shared" si="18"/>
        <v/>
      </c>
      <c r="AG585" s="113" t="str">
        <f>IF(AF585="","",COUNTIF(AF585:AF$3000,AF585))</f>
        <v/>
      </c>
      <c r="AH585" s="114" t="str">
        <f t="shared" si="19"/>
        <v/>
      </c>
    </row>
    <row r="586" spans="6:34" x14ac:dyDescent="0.3">
      <c r="F586" s="35"/>
      <c r="J586" s="35"/>
      <c r="K586" s="35"/>
      <c r="L586" s="35"/>
      <c r="AD586" s="73"/>
      <c r="AF586" s="112" t="str">
        <f t="shared" si="18"/>
        <v/>
      </c>
      <c r="AG586" s="113" t="str">
        <f>IF(AF586="","",COUNTIF(AF586:AF$3000,AF586))</f>
        <v/>
      </c>
      <c r="AH586" s="114" t="str">
        <f t="shared" si="19"/>
        <v/>
      </c>
    </row>
    <row r="587" spans="6:34" x14ac:dyDescent="0.3">
      <c r="F587" s="35"/>
      <c r="J587" s="35"/>
      <c r="K587" s="35"/>
      <c r="L587" s="35"/>
      <c r="AD587" s="73"/>
      <c r="AF587" s="112" t="str">
        <f t="shared" si="18"/>
        <v/>
      </c>
      <c r="AG587" s="113" t="str">
        <f>IF(AF587="","",COUNTIF(AF587:AF$3000,AF587))</f>
        <v/>
      </c>
      <c r="AH587" s="114" t="str">
        <f t="shared" si="19"/>
        <v/>
      </c>
    </row>
    <row r="588" spans="6:34" x14ac:dyDescent="0.3">
      <c r="F588" s="35"/>
      <c r="J588" s="35"/>
      <c r="K588" s="35"/>
      <c r="L588" s="35"/>
      <c r="AD588" s="73"/>
      <c r="AF588" s="112" t="str">
        <f t="shared" si="18"/>
        <v/>
      </c>
      <c r="AG588" s="113" t="str">
        <f>IF(AF588="","",COUNTIF(AF588:AF$3000,AF588))</f>
        <v/>
      </c>
      <c r="AH588" s="114" t="str">
        <f t="shared" si="19"/>
        <v/>
      </c>
    </row>
    <row r="589" spans="6:34" x14ac:dyDescent="0.3">
      <c r="F589" s="35"/>
      <c r="J589" s="35"/>
      <c r="K589" s="35"/>
      <c r="L589" s="35"/>
      <c r="AD589" s="73"/>
      <c r="AF589" s="112" t="str">
        <f t="shared" si="18"/>
        <v/>
      </c>
      <c r="AG589" s="113" t="str">
        <f>IF(AF589="","",COUNTIF(AF589:AF$3000,AF589))</f>
        <v/>
      </c>
      <c r="AH589" s="114" t="str">
        <f t="shared" si="19"/>
        <v/>
      </c>
    </row>
    <row r="590" spans="6:34" x14ac:dyDescent="0.3">
      <c r="F590" s="35"/>
      <c r="J590" s="35"/>
      <c r="K590" s="35"/>
      <c r="L590" s="35"/>
      <c r="AD590" s="73"/>
      <c r="AF590" s="112" t="str">
        <f t="shared" si="18"/>
        <v/>
      </c>
      <c r="AG590" s="113" t="str">
        <f>IF(AF590="","",COUNTIF(AF590:AF$3000,AF590))</f>
        <v/>
      </c>
      <c r="AH590" s="114" t="str">
        <f t="shared" si="19"/>
        <v/>
      </c>
    </row>
    <row r="591" spans="6:34" x14ac:dyDescent="0.3">
      <c r="F591" s="35"/>
      <c r="J591" s="35"/>
      <c r="K591" s="35"/>
      <c r="L591" s="35"/>
      <c r="AD591" s="73"/>
      <c r="AF591" s="112" t="str">
        <f t="shared" si="18"/>
        <v/>
      </c>
      <c r="AG591" s="113" t="str">
        <f>IF(AF591="","",COUNTIF(AF591:AF$3000,AF591))</f>
        <v/>
      </c>
      <c r="AH591" s="114" t="str">
        <f t="shared" si="19"/>
        <v/>
      </c>
    </row>
    <row r="592" spans="6:34" x14ac:dyDescent="0.3">
      <c r="F592" s="35"/>
      <c r="J592" s="35"/>
      <c r="K592" s="35"/>
      <c r="L592" s="35"/>
      <c r="AD592" s="73"/>
      <c r="AF592" s="112" t="str">
        <f t="shared" si="18"/>
        <v/>
      </c>
      <c r="AG592" s="113" t="str">
        <f>IF(AF592="","",COUNTIF(AF592:AF$3000,AF592))</f>
        <v/>
      </c>
      <c r="AH592" s="114" t="str">
        <f t="shared" si="19"/>
        <v/>
      </c>
    </row>
    <row r="593" spans="6:34" x14ac:dyDescent="0.3">
      <c r="F593" s="35"/>
      <c r="J593" s="35"/>
      <c r="K593" s="35"/>
      <c r="L593" s="35"/>
      <c r="AD593" s="73"/>
      <c r="AF593" s="112" t="str">
        <f t="shared" si="18"/>
        <v/>
      </c>
      <c r="AG593" s="113" t="str">
        <f>IF(AF593="","",COUNTIF(AF593:AF$3000,AF593))</f>
        <v/>
      </c>
      <c r="AH593" s="114" t="str">
        <f t="shared" si="19"/>
        <v/>
      </c>
    </row>
    <row r="594" spans="6:34" x14ac:dyDescent="0.3">
      <c r="F594" s="35"/>
      <c r="J594" s="35"/>
      <c r="K594" s="35"/>
      <c r="L594" s="35"/>
      <c r="AD594" s="73"/>
      <c r="AF594" s="112" t="str">
        <f t="shared" si="18"/>
        <v/>
      </c>
      <c r="AG594" s="113" t="str">
        <f>IF(AF594="","",COUNTIF(AF594:AF$3000,AF594))</f>
        <v/>
      </c>
      <c r="AH594" s="114" t="str">
        <f t="shared" si="19"/>
        <v/>
      </c>
    </row>
    <row r="595" spans="6:34" x14ac:dyDescent="0.3">
      <c r="F595" s="35"/>
      <c r="J595" s="35"/>
      <c r="K595" s="35"/>
      <c r="L595" s="35"/>
      <c r="AD595" s="73"/>
      <c r="AF595" s="112" t="str">
        <f t="shared" si="18"/>
        <v/>
      </c>
      <c r="AG595" s="113" t="str">
        <f>IF(AF595="","",COUNTIF(AF595:AF$3000,AF595))</f>
        <v/>
      </c>
      <c r="AH595" s="114" t="str">
        <f t="shared" si="19"/>
        <v/>
      </c>
    </row>
    <row r="596" spans="6:34" x14ac:dyDescent="0.3">
      <c r="F596" s="35"/>
      <c r="J596" s="35"/>
      <c r="K596" s="35"/>
      <c r="L596" s="35"/>
      <c r="AD596" s="73"/>
      <c r="AF596" s="112" t="str">
        <f t="shared" si="18"/>
        <v/>
      </c>
      <c r="AG596" s="113" t="str">
        <f>IF(AF596="","",COUNTIF(AF596:AF$3000,AF596))</f>
        <v/>
      </c>
      <c r="AH596" s="114" t="str">
        <f t="shared" si="19"/>
        <v/>
      </c>
    </row>
    <row r="597" spans="6:34" x14ac:dyDescent="0.3">
      <c r="F597" s="35"/>
      <c r="J597" s="35"/>
      <c r="K597" s="35"/>
      <c r="L597" s="35"/>
      <c r="AD597" s="73"/>
      <c r="AF597" s="112" t="str">
        <f t="shared" si="18"/>
        <v/>
      </c>
      <c r="AG597" s="113" t="str">
        <f>IF(AF597="","",COUNTIF(AF597:AF$3000,AF597))</f>
        <v/>
      </c>
      <c r="AH597" s="114" t="str">
        <f t="shared" si="19"/>
        <v/>
      </c>
    </row>
    <row r="598" spans="6:34" x14ac:dyDescent="0.3">
      <c r="F598" s="35"/>
      <c r="J598" s="35"/>
      <c r="K598" s="35"/>
      <c r="L598" s="35"/>
      <c r="AD598" s="73"/>
      <c r="AF598" s="112" t="str">
        <f t="shared" si="18"/>
        <v/>
      </c>
      <c r="AG598" s="113" t="str">
        <f>IF(AF598="","",COUNTIF(AF598:AF$3000,AF598))</f>
        <v/>
      </c>
      <c r="AH598" s="114" t="str">
        <f t="shared" si="19"/>
        <v/>
      </c>
    </row>
    <row r="599" spans="6:34" x14ac:dyDescent="0.3">
      <c r="F599" s="35"/>
      <c r="J599" s="35"/>
      <c r="K599" s="35"/>
      <c r="L599" s="35"/>
      <c r="AD599" s="73"/>
      <c r="AF599" s="112" t="str">
        <f t="shared" si="18"/>
        <v/>
      </c>
      <c r="AG599" s="113" t="str">
        <f>IF(AF599="","",COUNTIF(AF599:AF$3000,AF599))</f>
        <v/>
      </c>
      <c r="AH599" s="114" t="str">
        <f t="shared" si="19"/>
        <v/>
      </c>
    </row>
    <row r="600" spans="6:34" x14ac:dyDescent="0.3">
      <c r="F600" s="35"/>
      <c r="J600" s="35"/>
      <c r="K600" s="35"/>
      <c r="L600" s="35"/>
      <c r="AD600" s="73"/>
      <c r="AF600" s="112" t="str">
        <f t="shared" si="18"/>
        <v/>
      </c>
      <c r="AG600" s="113" t="str">
        <f>IF(AF600="","",COUNTIF(AF600:AF$3000,AF600))</f>
        <v/>
      </c>
      <c r="AH600" s="114" t="str">
        <f t="shared" si="19"/>
        <v/>
      </c>
    </row>
    <row r="601" spans="6:34" x14ac:dyDescent="0.3">
      <c r="F601" s="35"/>
      <c r="J601" s="35"/>
      <c r="K601" s="35"/>
      <c r="L601" s="35"/>
      <c r="AD601" s="73"/>
      <c r="AF601" s="112" t="str">
        <f t="shared" si="18"/>
        <v/>
      </c>
      <c r="AG601" s="113" t="str">
        <f>IF(AF601="","",COUNTIF(AF601:AF$3000,AF601))</f>
        <v/>
      </c>
      <c r="AH601" s="114" t="str">
        <f t="shared" si="19"/>
        <v/>
      </c>
    </row>
    <row r="602" spans="6:34" x14ac:dyDescent="0.3">
      <c r="F602" s="35"/>
      <c r="J602" s="35"/>
      <c r="K602" s="35"/>
      <c r="L602" s="35"/>
      <c r="AD602" s="73"/>
      <c r="AF602" s="112" t="str">
        <f t="shared" si="18"/>
        <v/>
      </c>
      <c r="AG602" s="113" t="str">
        <f>IF(AF602="","",COUNTIF(AF602:AF$3000,AF602))</f>
        <v/>
      </c>
      <c r="AH602" s="114" t="str">
        <f t="shared" si="19"/>
        <v/>
      </c>
    </row>
    <row r="603" spans="6:34" x14ac:dyDescent="0.3">
      <c r="F603" s="35"/>
      <c r="J603" s="35"/>
      <c r="K603" s="35"/>
      <c r="L603" s="35"/>
      <c r="AD603" s="73"/>
      <c r="AF603" s="112" t="str">
        <f t="shared" si="18"/>
        <v/>
      </c>
      <c r="AG603" s="113" t="str">
        <f>IF(AF603="","",COUNTIF(AF603:AF$3000,AF603))</f>
        <v/>
      </c>
      <c r="AH603" s="114" t="str">
        <f t="shared" si="19"/>
        <v/>
      </c>
    </row>
    <row r="604" spans="6:34" x14ac:dyDescent="0.3">
      <c r="F604" s="35"/>
      <c r="J604" s="35"/>
      <c r="K604" s="35"/>
      <c r="L604" s="35"/>
      <c r="AD604" s="73"/>
      <c r="AF604" s="112" t="str">
        <f t="shared" si="18"/>
        <v/>
      </c>
      <c r="AG604" s="113" t="str">
        <f>IF(AF604="","",COUNTIF(AF604:AF$3000,AF604))</f>
        <v/>
      </c>
      <c r="AH604" s="114" t="str">
        <f t="shared" si="19"/>
        <v/>
      </c>
    </row>
    <row r="605" spans="6:34" x14ac:dyDescent="0.3">
      <c r="F605" s="35"/>
      <c r="J605" s="35"/>
      <c r="K605" s="35"/>
      <c r="L605" s="35"/>
      <c r="AD605" s="73"/>
      <c r="AF605" s="112" t="str">
        <f t="shared" si="18"/>
        <v/>
      </c>
      <c r="AG605" s="113" t="str">
        <f>IF(AF605="","",COUNTIF(AF605:AF$3000,AF605))</f>
        <v/>
      </c>
      <c r="AH605" s="114" t="str">
        <f t="shared" si="19"/>
        <v/>
      </c>
    </row>
    <row r="606" spans="6:34" x14ac:dyDescent="0.3">
      <c r="F606" s="35"/>
      <c r="J606" s="35"/>
      <c r="K606" s="35"/>
      <c r="L606" s="35"/>
      <c r="AD606" s="73"/>
      <c r="AF606" s="112" t="str">
        <f t="shared" si="18"/>
        <v/>
      </c>
      <c r="AG606" s="113" t="str">
        <f>IF(AF606="","",COUNTIF(AF606:AF$3000,AF606))</f>
        <v/>
      </c>
      <c r="AH606" s="114" t="str">
        <f t="shared" si="19"/>
        <v/>
      </c>
    </row>
    <row r="607" spans="6:34" x14ac:dyDescent="0.3">
      <c r="F607" s="35"/>
      <c r="J607" s="35"/>
      <c r="K607" s="35"/>
      <c r="L607" s="35"/>
      <c r="AD607" s="73"/>
      <c r="AF607" s="112" t="str">
        <f t="shared" si="18"/>
        <v/>
      </c>
      <c r="AG607" s="113" t="str">
        <f>IF(AF607="","",COUNTIF(AF607:AF$3000,AF607))</f>
        <v/>
      </c>
      <c r="AH607" s="114" t="str">
        <f t="shared" si="19"/>
        <v/>
      </c>
    </row>
    <row r="608" spans="6:34" x14ac:dyDescent="0.3">
      <c r="F608" s="35"/>
      <c r="J608" s="35"/>
      <c r="K608" s="35"/>
      <c r="L608" s="35"/>
      <c r="AD608" s="73"/>
      <c r="AF608" s="112" t="str">
        <f t="shared" si="18"/>
        <v/>
      </c>
      <c r="AG608" s="113" t="str">
        <f>IF(AF608="","",COUNTIF(AF608:AF$3000,AF608))</f>
        <v/>
      </c>
      <c r="AH608" s="114" t="str">
        <f t="shared" si="19"/>
        <v/>
      </c>
    </row>
    <row r="609" spans="6:34" x14ac:dyDescent="0.3">
      <c r="F609" s="35"/>
      <c r="J609" s="35"/>
      <c r="K609" s="35"/>
      <c r="L609" s="35"/>
      <c r="AD609" s="73"/>
      <c r="AF609" s="112" t="str">
        <f t="shared" si="18"/>
        <v/>
      </c>
      <c r="AG609" s="113" t="str">
        <f>IF(AF609="","",COUNTIF(AF609:AF$3000,AF609))</f>
        <v/>
      </c>
      <c r="AH609" s="114" t="str">
        <f t="shared" si="19"/>
        <v/>
      </c>
    </row>
    <row r="610" spans="6:34" x14ac:dyDescent="0.3">
      <c r="F610" s="35"/>
      <c r="J610" s="35"/>
      <c r="K610" s="35"/>
      <c r="L610" s="35"/>
      <c r="AD610" s="73"/>
      <c r="AF610" s="112" t="str">
        <f t="shared" si="18"/>
        <v/>
      </c>
      <c r="AG610" s="113" t="str">
        <f>IF(AF610="","",COUNTIF(AF610:AF$3000,AF610))</f>
        <v/>
      </c>
      <c r="AH610" s="114" t="str">
        <f t="shared" si="19"/>
        <v/>
      </c>
    </row>
    <row r="611" spans="6:34" x14ac:dyDescent="0.3">
      <c r="F611" s="35"/>
      <c r="J611" s="35"/>
      <c r="K611" s="35"/>
      <c r="L611" s="35"/>
      <c r="AD611" s="73"/>
      <c r="AF611" s="112" t="str">
        <f t="shared" si="18"/>
        <v/>
      </c>
      <c r="AG611" s="113" t="str">
        <f>IF(AF611="","",COUNTIF(AF611:AF$3000,AF611))</f>
        <v/>
      </c>
      <c r="AH611" s="114" t="str">
        <f t="shared" si="19"/>
        <v/>
      </c>
    </row>
    <row r="612" spans="6:34" x14ac:dyDescent="0.3">
      <c r="F612" s="35"/>
      <c r="J612" s="35"/>
      <c r="K612" s="35"/>
      <c r="L612" s="35"/>
      <c r="AD612" s="73"/>
      <c r="AF612" s="112" t="str">
        <f t="shared" si="18"/>
        <v/>
      </c>
      <c r="AG612" s="113" t="str">
        <f>IF(AF612="","",COUNTIF(AF612:AF$3000,AF612))</f>
        <v/>
      </c>
      <c r="AH612" s="114" t="str">
        <f t="shared" si="19"/>
        <v/>
      </c>
    </row>
    <row r="613" spans="6:34" x14ac:dyDescent="0.3">
      <c r="F613" s="35"/>
      <c r="J613" s="35"/>
      <c r="K613" s="35"/>
      <c r="L613" s="35"/>
      <c r="AD613" s="73"/>
      <c r="AF613" s="112" t="str">
        <f t="shared" si="18"/>
        <v/>
      </c>
      <c r="AG613" s="113" t="str">
        <f>IF(AF613="","",COUNTIF(AF613:AF$3000,AF613))</f>
        <v/>
      </c>
      <c r="AH613" s="114" t="str">
        <f t="shared" si="19"/>
        <v/>
      </c>
    </row>
    <row r="614" spans="6:34" x14ac:dyDescent="0.3">
      <c r="F614" s="35"/>
      <c r="J614" s="35"/>
      <c r="K614" s="35"/>
      <c r="L614" s="35"/>
      <c r="AD614" s="73"/>
      <c r="AF614" s="112" t="str">
        <f t="shared" si="18"/>
        <v/>
      </c>
      <c r="AG614" s="113" t="str">
        <f>IF(AF614="","",COUNTIF(AF614:AF$3000,AF614))</f>
        <v/>
      </c>
      <c r="AH614" s="114" t="str">
        <f t="shared" si="19"/>
        <v/>
      </c>
    </row>
    <row r="615" spans="6:34" x14ac:dyDescent="0.3">
      <c r="F615" s="35"/>
      <c r="J615" s="35"/>
      <c r="K615" s="35"/>
      <c r="L615" s="35"/>
      <c r="AD615" s="73"/>
      <c r="AF615" s="112" t="str">
        <f t="shared" si="18"/>
        <v/>
      </c>
      <c r="AG615" s="113" t="str">
        <f>IF(AF615="","",COUNTIF(AF615:AF$3000,AF615))</f>
        <v/>
      </c>
      <c r="AH615" s="114" t="str">
        <f t="shared" si="19"/>
        <v/>
      </c>
    </row>
    <row r="616" spans="6:34" x14ac:dyDescent="0.3">
      <c r="F616" s="35"/>
      <c r="J616" s="35"/>
      <c r="K616" s="35"/>
      <c r="L616" s="35"/>
      <c r="AD616" s="73"/>
      <c r="AF616" s="112" t="str">
        <f t="shared" si="18"/>
        <v/>
      </c>
      <c r="AG616" s="113" t="str">
        <f>IF(AF616="","",COUNTIF(AF616:AF$3000,AF616))</f>
        <v/>
      </c>
      <c r="AH616" s="114" t="str">
        <f t="shared" si="19"/>
        <v/>
      </c>
    </row>
    <row r="617" spans="6:34" x14ac:dyDescent="0.3">
      <c r="F617" s="35"/>
      <c r="J617" s="35"/>
      <c r="K617" s="35"/>
      <c r="L617" s="35"/>
      <c r="AD617" s="73"/>
      <c r="AF617" s="112" t="str">
        <f t="shared" si="18"/>
        <v/>
      </c>
      <c r="AG617" s="113" t="str">
        <f>IF(AF617="","",COUNTIF(AF617:AF$3000,AF617))</f>
        <v/>
      </c>
      <c r="AH617" s="114" t="str">
        <f t="shared" si="19"/>
        <v/>
      </c>
    </row>
    <row r="618" spans="6:34" x14ac:dyDescent="0.3">
      <c r="F618" s="35"/>
      <c r="J618" s="35"/>
      <c r="K618" s="35"/>
      <c r="L618" s="35"/>
      <c r="AD618" s="73"/>
      <c r="AF618" s="112" t="str">
        <f t="shared" si="18"/>
        <v/>
      </c>
      <c r="AG618" s="113" t="str">
        <f>IF(AF618="","",COUNTIF(AF618:AF$3000,AF618))</f>
        <v/>
      </c>
      <c r="AH618" s="114" t="str">
        <f t="shared" si="19"/>
        <v/>
      </c>
    </row>
    <row r="619" spans="6:34" x14ac:dyDescent="0.3">
      <c r="F619" s="35"/>
      <c r="J619" s="35"/>
      <c r="K619" s="35"/>
      <c r="L619" s="35"/>
      <c r="AD619" s="73"/>
      <c r="AF619" s="112" t="str">
        <f t="shared" si="18"/>
        <v/>
      </c>
      <c r="AG619" s="113" t="str">
        <f>IF(AF619="","",COUNTIF(AF619:AF$3000,AF619))</f>
        <v/>
      </c>
      <c r="AH619" s="114" t="str">
        <f t="shared" si="19"/>
        <v/>
      </c>
    </row>
    <row r="620" spans="6:34" x14ac:dyDescent="0.3">
      <c r="F620" s="35"/>
      <c r="J620" s="35"/>
      <c r="K620" s="35"/>
      <c r="L620" s="35"/>
      <c r="AD620" s="73"/>
      <c r="AF620" s="112" t="str">
        <f t="shared" si="18"/>
        <v/>
      </c>
      <c r="AG620" s="113" t="str">
        <f>IF(AF620="","",COUNTIF(AF620:AF$3000,AF620))</f>
        <v/>
      </c>
      <c r="AH620" s="114" t="str">
        <f t="shared" si="19"/>
        <v/>
      </c>
    </row>
    <row r="621" spans="6:34" x14ac:dyDescent="0.3">
      <c r="F621" s="35"/>
      <c r="J621" s="35"/>
      <c r="K621" s="35"/>
      <c r="L621" s="35"/>
      <c r="AD621" s="73"/>
      <c r="AF621" s="112" t="str">
        <f t="shared" si="18"/>
        <v/>
      </c>
      <c r="AG621" s="113" t="str">
        <f>IF(AF621="","",COUNTIF(AF621:AF$3000,AF621))</f>
        <v/>
      </c>
      <c r="AH621" s="114" t="str">
        <f t="shared" si="19"/>
        <v/>
      </c>
    </row>
    <row r="622" spans="6:34" x14ac:dyDescent="0.3">
      <c r="F622" s="35"/>
      <c r="J622" s="35"/>
      <c r="K622" s="35"/>
      <c r="L622" s="35"/>
      <c r="AD622" s="73"/>
      <c r="AF622" s="112" t="str">
        <f t="shared" si="18"/>
        <v/>
      </c>
      <c r="AG622" s="113" t="str">
        <f>IF(AF622="","",COUNTIF(AF622:AF$3000,AF622))</f>
        <v/>
      </c>
      <c r="AH622" s="114" t="str">
        <f t="shared" si="19"/>
        <v/>
      </c>
    </row>
    <row r="623" spans="6:34" x14ac:dyDescent="0.3">
      <c r="F623" s="35"/>
      <c r="J623" s="35"/>
      <c r="K623" s="35"/>
      <c r="L623" s="35"/>
      <c r="AD623" s="73"/>
      <c r="AF623" s="112" t="str">
        <f t="shared" si="18"/>
        <v/>
      </c>
      <c r="AG623" s="113" t="str">
        <f>IF(AF623="","",COUNTIF(AF623:AF$3000,AF623))</f>
        <v/>
      </c>
      <c r="AH623" s="114" t="str">
        <f t="shared" si="19"/>
        <v/>
      </c>
    </row>
    <row r="624" spans="6:34" x14ac:dyDescent="0.3">
      <c r="F624" s="35"/>
      <c r="J624" s="35"/>
      <c r="K624" s="35"/>
      <c r="L624" s="35"/>
      <c r="AD624" s="73"/>
      <c r="AF624" s="112" t="str">
        <f t="shared" si="18"/>
        <v/>
      </c>
      <c r="AG624" s="113" t="str">
        <f>IF(AF624="","",COUNTIF(AF624:AF$3000,AF624))</f>
        <v/>
      </c>
      <c r="AH624" s="114" t="str">
        <f t="shared" si="19"/>
        <v/>
      </c>
    </row>
    <row r="625" spans="6:34" x14ac:dyDescent="0.3">
      <c r="F625" s="35"/>
      <c r="J625" s="35"/>
      <c r="K625" s="35"/>
      <c r="L625" s="35"/>
      <c r="AD625" s="73"/>
      <c r="AF625" s="112" t="str">
        <f t="shared" si="18"/>
        <v/>
      </c>
      <c r="AG625" s="113" t="str">
        <f>IF(AF625="","",COUNTIF(AF625:AF$3000,AF625))</f>
        <v/>
      </c>
      <c r="AH625" s="114" t="str">
        <f t="shared" si="19"/>
        <v/>
      </c>
    </row>
    <row r="626" spans="6:34" x14ac:dyDescent="0.3">
      <c r="F626" s="35"/>
      <c r="J626" s="35"/>
      <c r="K626" s="35"/>
      <c r="L626" s="35"/>
      <c r="AD626" s="73"/>
      <c r="AF626" s="112" t="str">
        <f t="shared" si="18"/>
        <v/>
      </c>
      <c r="AG626" s="113" t="str">
        <f>IF(AF626="","",COUNTIF(AF626:AF$3000,AF626))</f>
        <v/>
      </c>
      <c r="AH626" s="114" t="str">
        <f t="shared" si="19"/>
        <v/>
      </c>
    </row>
    <row r="627" spans="6:34" x14ac:dyDescent="0.3">
      <c r="F627" s="35"/>
      <c r="J627" s="35"/>
      <c r="K627" s="35"/>
      <c r="L627" s="35"/>
      <c r="AD627" s="73"/>
      <c r="AF627" s="112" t="str">
        <f t="shared" si="18"/>
        <v/>
      </c>
      <c r="AG627" s="113" t="str">
        <f>IF(AF627="","",COUNTIF(AF627:AF$3000,AF627))</f>
        <v/>
      </c>
      <c r="AH627" s="114" t="str">
        <f t="shared" si="19"/>
        <v/>
      </c>
    </row>
    <row r="628" spans="6:34" x14ac:dyDescent="0.3">
      <c r="F628" s="35"/>
      <c r="J628" s="35"/>
      <c r="K628" s="35"/>
      <c r="L628" s="35"/>
      <c r="AD628" s="73"/>
      <c r="AF628" s="112" t="str">
        <f t="shared" si="18"/>
        <v/>
      </c>
      <c r="AG628" s="113" t="str">
        <f>IF(AF628="","",COUNTIF(AF628:AF$3000,AF628))</f>
        <v/>
      </c>
      <c r="AH628" s="114" t="str">
        <f t="shared" si="19"/>
        <v/>
      </c>
    </row>
    <row r="629" spans="6:34" x14ac:dyDescent="0.3">
      <c r="F629" s="35"/>
      <c r="J629" s="35"/>
      <c r="K629" s="35"/>
      <c r="L629" s="35"/>
      <c r="AD629" s="73"/>
      <c r="AF629" s="112" t="str">
        <f t="shared" si="18"/>
        <v/>
      </c>
      <c r="AG629" s="113" t="str">
        <f>IF(AF629="","",COUNTIF(AF629:AF$3000,AF629))</f>
        <v/>
      </c>
      <c r="AH629" s="114" t="str">
        <f t="shared" si="19"/>
        <v/>
      </c>
    </row>
    <row r="630" spans="6:34" x14ac:dyDescent="0.3">
      <c r="F630" s="35"/>
      <c r="J630" s="35"/>
      <c r="K630" s="35"/>
      <c r="L630" s="35"/>
      <c r="AD630" s="73"/>
      <c r="AF630" s="112" t="str">
        <f t="shared" si="18"/>
        <v/>
      </c>
      <c r="AG630" s="113" t="str">
        <f>IF(AF630="","",COUNTIF(AF630:AF$3000,AF630))</f>
        <v/>
      </c>
      <c r="AH630" s="114" t="str">
        <f t="shared" si="19"/>
        <v/>
      </c>
    </row>
    <row r="631" spans="6:34" x14ac:dyDescent="0.3">
      <c r="F631" s="35"/>
      <c r="J631" s="35"/>
      <c r="K631" s="35"/>
      <c r="L631" s="35"/>
      <c r="AD631" s="73"/>
      <c r="AF631" s="112" t="str">
        <f t="shared" si="18"/>
        <v/>
      </c>
      <c r="AG631" s="113" t="str">
        <f>IF(AF631="","",COUNTIF(AF631:AF$3000,AF631))</f>
        <v/>
      </c>
      <c r="AH631" s="114" t="str">
        <f t="shared" si="19"/>
        <v/>
      </c>
    </row>
    <row r="632" spans="6:34" x14ac:dyDescent="0.3">
      <c r="F632" s="35"/>
      <c r="J632" s="35"/>
      <c r="K632" s="35"/>
      <c r="L632" s="35"/>
      <c r="AD632" s="73"/>
      <c r="AF632" s="112" t="str">
        <f t="shared" si="18"/>
        <v/>
      </c>
      <c r="AG632" s="113" t="str">
        <f>IF(AF632="","",COUNTIF(AF632:AF$3000,AF632))</f>
        <v/>
      </c>
      <c r="AH632" s="114" t="str">
        <f t="shared" si="19"/>
        <v/>
      </c>
    </row>
    <row r="633" spans="6:34" x14ac:dyDescent="0.3">
      <c r="F633" s="35"/>
      <c r="J633" s="35"/>
      <c r="K633" s="35"/>
      <c r="L633" s="35"/>
      <c r="AD633" s="73"/>
      <c r="AF633" s="112" t="str">
        <f t="shared" si="18"/>
        <v/>
      </c>
      <c r="AG633" s="113" t="str">
        <f>IF(AF633="","",COUNTIF(AF633:AF$3000,AF633))</f>
        <v/>
      </c>
      <c r="AH633" s="114" t="str">
        <f t="shared" si="19"/>
        <v/>
      </c>
    </row>
    <row r="634" spans="6:34" x14ac:dyDescent="0.3">
      <c r="F634" s="35"/>
      <c r="J634" s="35"/>
      <c r="K634" s="35"/>
      <c r="L634" s="35"/>
      <c r="AD634" s="73"/>
      <c r="AF634" s="112" t="str">
        <f t="shared" si="18"/>
        <v/>
      </c>
      <c r="AG634" s="113" t="str">
        <f>IF(AF634="","",COUNTIF(AF634:AF$3000,AF634))</f>
        <v/>
      </c>
      <c r="AH634" s="114" t="str">
        <f t="shared" si="19"/>
        <v/>
      </c>
    </row>
    <row r="635" spans="6:34" x14ac:dyDescent="0.3">
      <c r="F635" s="35"/>
      <c r="J635" s="35"/>
      <c r="K635" s="35"/>
      <c r="L635" s="35"/>
      <c r="AD635" s="73"/>
      <c r="AF635" s="112" t="str">
        <f t="shared" si="18"/>
        <v/>
      </c>
      <c r="AG635" s="113" t="str">
        <f>IF(AF635="","",COUNTIF(AF635:AF$3000,AF635))</f>
        <v/>
      </c>
      <c r="AH635" s="114" t="str">
        <f t="shared" si="19"/>
        <v/>
      </c>
    </row>
    <row r="636" spans="6:34" x14ac:dyDescent="0.3">
      <c r="F636" s="35"/>
      <c r="J636" s="35"/>
      <c r="K636" s="35"/>
      <c r="L636" s="35"/>
      <c r="AD636" s="73"/>
      <c r="AF636" s="112" t="str">
        <f t="shared" si="18"/>
        <v/>
      </c>
      <c r="AG636" s="113" t="str">
        <f>IF(AF636="","",COUNTIF(AF636:AF$3000,AF636))</f>
        <v/>
      </c>
      <c r="AH636" s="114" t="str">
        <f t="shared" si="19"/>
        <v/>
      </c>
    </row>
    <row r="637" spans="6:34" x14ac:dyDescent="0.3">
      <c r="F637" s="35"/>
      <c r="J637" s="35"/>
      <c r="K637" s="35"/>
      <c r="L637" s="35"/>
      <c r="AD637" s="73"/>
      <c r="AF637" s="112" t="str">
        <f t="shared" si="18"/>
        <v/>
      </c>
      <c r="AG637" s="113" t="str">
        <f>IF(AF637="","",COUNTIF(AF637:AF$3000,AF637))</f>
        <v/>
      </c>
      <c r="AH637" s="114" t="str">
        <f t="shared" si="19"/>
        <v/>
      </c>
    </row>
    <row r="638" spans="6:34" x14ac:dyDescent="0.3">
      <c r="F638" s="35"/>
      <c r="J638" s="35"/>
      <c r="K638" s="35"/>
      <c r="L638" s="35"/>
      <c r="AD638" s="73"/>
      <c r="AF638" s="112" t="str">
        <f t="shared" si="18"/>
        <v/>
      </c>
      <c r="AG638" s="113" t="str">
        <f>IF(AF638="","",COUNTIF(AF638:AF$3000,AF638))</f>
        <v/>
      </c>
      <c r="AH638" s="114" t="str">
        <f t="shared" si="19"/>
        <v/>
      </c>
    </row>
    <row r="639" spans="6:34" x14ac:dyDescent="0.3">
      <c r="F639" s="35"/>
      <c r="J639" s="35"/>
      <c r="K639" s="35"/>
      <c r="L639" s="35"/>
      <c r="AD639" s="73"/>
      <c r="AF639" s="112" t="str">
        <f t="shared" si="18"/>
        <v/>
      </c>
      <c r="AG639" s="113" t="str">
        <f>IF(AF639="","",COUNTIF(AF639:AF$3000,AF639))</f>
        <v/>
      </c>
      <c r="AH639" s="114" t="str">
        <f t="shared" si="19"/>
        <v/>
      </c>
    </row>
    <row r="640" spans="6:34" x14ac:dyDescent="0.3">
      <c r="F640" s="35"/>
      <c r="J640" s="35"/>
      <c r="K640" s="35"/>
      <c r="L640" s="35"/>
      <c r="AD640" s="73"/>
      <c r="AF640" s="112" t="str">
        <f t="shared" si="18"/>
        <v/>
      </c>
      <c r="AG640" s="113" t="str">
        <f>IF(AF640="","",COUNTIF(AF640:AF$3000,AF640))</f>
        <v/>
      </c>
      <c r="AH640" s="114" t="str">
        <f t="shared" si="19"/>
        <v/>
      </c>
    </row>
    <row r="641" spans="6:34" x14ac:dyDescent="0.3">
      <c r="F641" s="35"/>
      <c r="J641" s="35"/>
      <c r="K641" s="35"/>
      <c r="L641" s="35"/>
      <c r="AD641" s="73"/>
      <c r="AF641" s="112" t="str">
        <f t="shared" si="18"/>
        <v/>
      </c>
      <c r="AG641" s="113" t="str">
        <f>IF(AF641="","",COUNTIF(AF641:AF$3000,AF641))</f>
        <v/>
      </c>
      <c r="AH641" s="114" t="str">
        <f t="shared" si="19"/>
        <v/>
      </c>
    </row>
    <row r="642" spans="6:34" x14ac:dyDescent="0.3">
      <c r="F642" s="35"/>
      <c r="J642" s="35"/>
      <c r="K642" s="35"/>
      <c r="L642" s="35"/>
      <c r="AD642" s="73"/>
      <c r="AF642" s="112" t="str">
        <f t="shared" si="18"/>
        <v/>
      </c>
      <c r="AG642" s="113" t="str">
        <f>IF(AF642="","",COUNTIF(AF642:AF$3000,AF642))</f>
        <v/>
      </c>
      <c r="AH642" s="114" t="str">
        <f t="shared" si="19"/>
        <v/>
      </c>
    </row>
    <row r="643" spans="6:34" x14ac:dyDescent="0.3">
      <c r="F643" s="35"/>
      <c r="J643" s="35"/>
      <c r="K643" s="35"/>
      <c r="L643" s="35"/>
      <c r="AD643" s="73"/>
      <c r="AF643" s="112" t="str">
        <f t="shared" si="18"/>
        <v/>
      </c>
      <c r="AG643" s="113" t="str">
        <f>IF(AF643="","",COUNTIF(AF643:AF$3000,AF643))</f>
        <v/>
      </c>
      <c r="AH643" s="114" t="str">
        <f t="shared" si="19"/>
        <v/>
      </c>
    </row>
    <row r="644" spans="6:34" x14ac:dyDescent="0.3">
      <c r="F644" s="35"/>
      <c r="J644" s="35"/>
      <c r="K644" s="35"/>
      <c r="L644" s="35"/>
      <c r="AD644" s="73"/>
      <c r="AF644" s="112" t="str">
        <f t="shared" ref="AF644:AF707" si="20">IF(B644="","",TEXT(J644,"DD/MM/AA")&amp;"_"&amp;S644&amp;"_"&amp;V644)</f>
        <v/>
      </c>
      <c r="AG644" s="113" t="str">
        <f>IF(AF644="","",COUNTIF(AF644:AF$3000,AF644))</f>
        <v/>
      </c>
      <c r="AH644" s="114" t="str">
        <f t="shared" ref="AH644:AH707" si="21">IF(AA644="","",
IF(AG644&gt;1,"",
IF(SUMIF(AF$3:AF$31,AF644,H$3:H$31)/10&lt;1,1,SUMIF(AF$3:AF$31,AF644,H$3:H$31)/10)))</f>
        <v/>
      </c>
    </row>
    <row r="645" spans="6:34" x14ac:dyDescent="0.3">
      <c r="F645" s="35"/>
      <c r="J645" s="35"/>
      <c r="K645" s="35"/>
      <c r="L645" s="35"/>
      <c r="AD645" s="73"/>
      <c r="AF645" s="112" t="str">
        <f t="shared" si="20"/>
        <v/>
      </c>
      <c r="AG645" s="113" t="str">
        <f>IF(AF645="","",COUNTIF(AF645:AF$3000,AF645))</f>
        <v/>
      </c>
      <c r="AH645" s="114" t="str">
        <f t="shared" si="21"/>
        <v/>
      </c>
    </row>
    <row r="646" spans="6:34" x14ac:dyDescent="0.3">
      <c r="F646" s="35"/>
      <c r="J646" s="35"/>
      <c r="K646" s="35"/>
      <c r="L646" s="35"/>
      <c r="AD646" s="73"/>
      <c r="AF646" s="112" t="str">
        <f t="shared" si="20"/>
        <v/>
      </c>
      <c r="AG646" s="113" t="str">
        <f>IF(AF646="","",COUNTIF(AF646:AF$3000,AF646))</f>
        <v/>
      </c>
      <c r="AH646" s="114" t="str">
        <f t="shared" si="21"/>
        <v/>
      </c>
    </row>
    <row r="647" spans="6:34" x14ac:dyDescent="0.3">
      <c r="F647" s="35"/>
      <c r="J647" s="35"/>
      <c r="K647" s="35"/>
      <c r="L647" s="35"/>
      <c r="AD647" s="73"/>
      <c r="AF647" s="112" t="str">
        <f t="shared" si="20"/>
        <v/>
      </c>
      <c r="AG647" s="113" t="str">
        <f>IF(AF647="","",COUNTIF(AF647:AF$3000,AF647))</f>
        <v/>
      </c>
      <c r="AH647" s="114" t="str">
        <f t="shared" si="21"/>
        <v/>
      </c>
    </row>
    <row r="648" spans="6:34" x14ac:dyDescent="0.3">
      <c r="F648" s="35"/>
      <c r="J648" s="35"/>
      <c r="K648" s="35"/>
      <c r="L648" s="35"/>
      <c r="AD648" s="73"/>
      <c r="AF648" s="112" t="str">
        <f t="shared" si="20"/>
        <v/>
      </c>
      <c r="AG648" s="113" t="str">
        <f>IF(AF648="","",COUNTIF(AF648:AF$3000,AF648))</f>
        <v/>
      </c>
      <c r="AH648" s="114" t="str">
        <f t="shared" si="21"/>
        <v/>
      </c>
    </row>
    <row r="649" spans="6:34" x14ac:dyDescent="0.3">
      <c r="F649" s="35"/>
      <c r="J649" s="35"/>
      <c r="K649" s="35"/>
      <c r="L649" s="35"/>
      <c r="AD649" s="73"/>
      <c r="AF649" s="112" t="str">
        <f t="shared" si="20"/>
        <v/>
      </c>
      <c r="AG649" s="113" t="str">
        <f>IF(AF649="","",COUNTIF(AF649:AF$3000,AF649))</f>
        <v/>
      </c>
      <c r="AH649" s="114" t="str">
        <f t="shared" si="21"/>
        <v/>
      </c>
    </row>
    <row r="650" spans="6:34" x14ac:dyDescent="0.3">
      <c r="F650" s="35"/>
      <c r="J650" s="35"/>
      <c r="K650" s="35"/>
      <c r="L650" s="35"/>
      <c r="AD650" s="73"/>
      <c r="AF650" s="112" t="str">
        <f t="shared" si="20"/>
        <v/>
      </c>
      <c r="AG650" s="113" t="str">
        <f>IF(AF650="","",COUNTIF(AF650:AF$3000,AF650))</f>
        <v/>
      </c>
      <c r="AH650" s="114" t="str">
        <f t="shared" si="21"/>
        <v/>
      </c>
    </row>
    <row r="651" spans="6:34" x14ac:dyDescent="0.3">
      <c r="F651" s="35"/>
      <c r="J651" s="35"/>
      <c r="K651" s="35"/>
      <c r="L651" s="35"/>
      <c r="AD651" s="73"/>
      <c r="AF651" s="112" t="str">
        <f t="shared" si="20"/>
        <v/>
      </c>
      <c r="AG651" s="113" t="str">
        <f>IF(AF651="","",COUNTIF(AF651:AF$3000,AF651))</f>
        <v/>
      </c>
      <c r="AH651" s="114" t="str">
        <f t="shared" si="21"/>
        <v/>
      </c>
    </row>
    <row r="652" spans="6:34" x14ac:dyDescent="0.3">
      <c r="F652" s="35"/>
      <c r="J652" s="35"/>
      <c r="K652" s="35"/>
      <c r="L652" s="35"/>
      <c r="AD652" s="73"/>
      <c r="AF652" s="112" t="str">
        <f t="shared" si="20"/>
        <v/>
      </c>
      <c r="AG652" s="113" t="str">
        <f>IF(AF652="","",COUNTIF(AF652:AF$3000,AF652))</f>
        <v/>
      </c>
      <c r="AH652" s="114" t="str">
        <f t="shared" si="21"/>
        <v/>
      </c>
    </row>
    <row r="653" spans="6:34" x14ac:dyDescent="0.3">
      <c r="F653" s="35"/>
      <c r="J653" s="35"/>
      <c r="K653" s="35"/>
      <c r="L653" s="35"/>
      <c r="AD653" s="73"/>
      <c r="AF653" s="112" t="str">
        <f t="shared" si="20"/>
        <v/>
      </c>
      <c r="AG653" s="113" t="str">
        <f>IF(AF653="","",COUNTIF(AF653:AF$3000,AF653))</f>
        <v/>
      </c>
      <c r="AH653" s="114" t="str">
        <f t="shared" si="21"/>
        <v/>
      </c>
    </row>
    <row r="654" spans="6:34" x14ac:dyDescent="0.3">
      <c r="F654" s="35"/>
      <c r="J654" s="35"/>
      <c r="K654" s="35"/>
      <c r="L654" s="35"/>
      <c r="AD654" s="73"/>
      <c r="AF654" s="112" t="str">
        <f t="shared" si="20"/>
        <v/>
      </c>
      <c r="AG654" s="113" t="str">
        <f>IF(AF654="","",COUNTIF(AF654:AF$3000,AF654))</f>
        <v/>
      </c>
      <c r="AH654" s="114" t="str">
        <f t="shared" si="21"/>
        <v/>
      </c>
    </row>
    <row r="655" spans="6:34" x14ac:dyDescent="0.3">
      <c r="F655" s="35"/>
      <c r="J655" s="35"/>
      <c r="K655" s="35"/>
      <c r="L655" s="35"/>
      <c r="AD655" s="73"/>
      <c r="AF655" s="112" t="str">
        <f t="shared" si="20"/>
        <v/>
      </c>
      <c r="AG655" s="113" t="str">
        <f>IF(AF655="","",COUNTIF(AF655:AF$3000,AF655))</f>
        <v/>
      </c>
      <c r="AH655" s="114" t="str">
        <f t="shared" si="21"/>
        <v/>
      </c>
    </row>
    <row r="656" spans="6:34" x14ac:dyDescent="0.3">
      <c r="F656" s="35"/>
      <c r="J656" s="35"/>
      <c r="K656" s="35"/>
      <c r="L656" s="35"/>
      <c r="AD656" s="73"/>
      <c r="AF656" s="112" t="str">
        <f t="shared" si="20"/>
        <v/>
      </c>
      <c r="AG656" s="113" t="str">
        <f>IF(AF656="","",COUNTIF(AF656:AF$3000,AF656))</f>
        <v/>
      </c>
      <c r="AH656" s="114" t="str">
        <f t="shared" si="21"/>
        <v/>
      </c>
    </row>
    <row r="657" spans="6:34" x14ac:dyDescent="0.3">
      <c r="F657" s="35"/>
      <c r="J657" s="35"/>
      <c r="K657" s="35"/>
      <c r="L657" s="35"/>
      <c r="AD657" s="73"/>
      <c r="AF657" s="112" t="str">
        <f t="shared" si="20"/>
        <v/>
      </c>
      <c r="AG657" s="113" t="str">
        <f>IF(AF657="","",COUNTIF(AF657:AF$3000,AF657))</f>
        <v/>
      </c>
      <c r="AH657" s="114" t="str">
        <f t="shared" si="21"/>
        <v/>
      </c>
    </row>
    <row r="658" spans="6:34" x14ac:dyDescent="0.3">
      <c r="F658" s="35"/>
      <c r="J658" s="35"/>
      <c r="K658" s="35"/>
      <c r="L658" s="35"/>
      <c r="AD658" s="73"/>
      <c r="AF658" s="112" t="str">
        <f t="shared" si="20"/>
        <v/>
      </c>
      <c r="AG658" s="113" t="str">
        <f>IF(AF658="","",COUNTIF(AF658:AF$3000,AF658))</f>
        <v/>
      </c>
      <c r="AH658" s="114" t="str">
        <f t="shared" si="21"/>
        <v/>
      </c>
    </row>
    <row r="659" spans="6:34" x14ac:dyDescent="0.3">
      <c r="F659" s="35"/>
      <c r="J659" s="35"/>
      <c r="K659" s="35"/>
      <c r="L659" s="35"/>
      <c r="AD659" s="73"/>
      <c r="AF659" s="112" t="str">
        <f t="shared" si="20"/>
        <v/>
      </c>
      <c r="AG659" s="113" t="str">
        <f>IF(AF659="","",COUNTIF(AF659:AF$3000,AF659))</f>
        <v/>
      </c>
      <c r="AH659" s="114" t="str">
        <f t="shared" si="21"/>
        <v/>
      </c>
    </row>
    <row r="660" spans="6:34" x14ac:dyDescent="0.3">
      <c r="F660" s="35"/>
      <c r="J660" s="35"/>
      <c r="K660" s="35"/>
      <c r="L660" s="35"/>
      <c r="AD660" s="73"/>
      <c r="AF660" s="112" t="str">
        <f t="shared" si="20"/>
        <v/>
      </c>
      <c r="AG660" s="113" t="str">
        <f>IF(AF660="","",COUNTIF(AF660:AF$3000,AF660))</f>
        <v/>
      </c>
      <c r="AH660" s="114" t="str">
        <f t="shared" si="21"/>
        <v/>
      </c>
    </row>
    <row r="661" spans="6:34" x14ac:dyDescent="0.3">
      <c r="F661" s="35"/>
      <c r="J661" s="35"/>
      <c r="K661" s="35"/>
      <c r="L661" s="35"/>
      <c r="AD661" s="73"/>
      <c r="AF661" s="112" t="str">
        <f t="shared" si="20"/>
        <v/>
      </c>
      <c r="AG661" s="113" t="str">
        <f>IF(AF661="","",COUNTIF(AF661:AF$3000,AF661))</f>
        <v/>
      </c>
      <c r="AH661" s="114" t="str">
        <f t="shared" si="21"/>
        <v/>
      </c>
    </row>
    <row r="662" spans="6:34" x14ac:dyDescent="0.3">
      <c r="F662" s="35"/>
      <c r="J662" s="35"/>
      <c r="K662" s="35"/>
      <c r="L662" s="35"/>
      <c r="AD662" s="73"/>
      <c r="AF662" s="112" t="str">
        <f t="shared" si="20"/>
        <v/>
      </c>
      <c r="AG662" s="113" t="str">
        <f>IF(AF662="","",COUNTIF(AF662:AF$3000,AF662))</f>
        <v/>
      </c>
      <c r="AH662" s="114" t="str">
        <f t="shared" si="21"/>
        <v/>
      </c>
    </row>
    <row r="663" spans="6:34" x14ac:dyDescent="0.3">
      <c r="F663" s="35"/>
      <c r="J663" s="35"/>
      <c r="K663" s="35"/>
      <c r="L663" s="35"/>
      <c r="AD663" s="73"/>
      <c r="AF663" s="112" t="str">
        <f t="shared" si="20"/>
        <v/>
      </c>
      <c r="AG663" s="113" t="str">
        <f>IF(AF663="","",COUNTIF(AF663:AF$3000,AF663))</f>
        <v/>
      </c>
      <c r="AH663" s="114" t="str">
        <f t="shared" si="21"/>
        <v/>
      </c>
    </row>
    <row r="664" spans="6:34" x14ac:dyDescent="0.3">
      <c r="F664" s="35"/>
      <c r="J664" s="35"/>
      <c r="K664" s="35"/>
      <c r="L664" s="35"/>
      <c r="AD664" s="73"/>
      <c r="AF664" s="112" t="str">
        <f t="shared" si="20"/>
        <v/>
      </c>
      <c r="AG664" s="113" t="str">
        <f>IF(AF664="","",COUNTIF(AF664:AF$3000,AF664))</f>
        <v/>
      </c>
      <c r="AH664" s="114" t="str">
        <f t="shared" si="21"/>
        <v/>
      </c>
    </row>
    <row r="665" spans="6:34" x14ac:dyDescent="0.3">
      <c r="F665" s="35"/>
      <c r="J665" s="35"/>
      <c r="K665" s="35"/>
      <c r="L665" s="35"/>
      <c r="AD665" s="73"/>
      <c r="AF665" s="112" t="str">
        <f t="shared" si="20"/>
        <v/>
      </c>
      <c r="AG665" s="113" t="str">
        <f>IF(AF665="","",COUNTIF(AF665:AF$3000,AF665))</f>
        <v/>
      </c>
      <c r="AH665" s="114" t="str">
        <f t="shared" si="21"/>
        <v/>
      </c>
    </row>
    <row r="666" spans="6:34" x14ac:dyDescent="0.3">
      <c r="F666" s="35"/>
      <c r="J666" s="35"/>
      <c r="K666" s="35"/>
      <c r="L666" s="35"/>
      <c r="AD666" s="73"/>
      <c r="AF666" s="112" t="str">
        <f t="shared" si="20"/>
        <v/>
      </c>
      <c r="AG666" s="113" t="str">
        <f>IF(AF666="","",COUNTIF(AF666:AF$3000,AF666))</f>
        <v/>
      </c>
      <c r="AH666" s="114" t="str">
        <f t="shared" si="21"/>
        <v/>
      </c>
    </row>
    <row r="667" spans="6:34" x14ac:dyDescent="0.3">
      <c r="F667" s="35"/>
      <c r="J667" s="35"/>
      <c r="K667" s="35"/>
      <c r="L667" s="35"/>
      <c r="AD667" s="73"/>
      <c r="AF667" s="112" t="str">
        <f t="shared" si="20"/>
        <v/>
      </c>
      <c r="AG667" s="113" t="str">
        <f>IF(AF667="","",COUNTIF(AF667:AF$3000,AF667))</f>
        <v/>
      </c>
      <c r="AH667" s="114" t="str">
        <f t="shared" si="21"/>
        <v/>
      </c>
    </row>
    <row r="668" spans="6:34" x14ac:dyDescent="0.3">
      <c r="F668" s="35"/>
      <c r="J668" s="35"/>
      <c r="K668" s="35"/>
      <c r="L668" s="35"/>
      <c r="AD668" s="73"/>
      <c r="AF668" s="112" t="str">
        <f t="shared" si="20"/>
        <v/>
      </c>
      <c r="AG668" s="113" t="str">
        <f>IF(AF668="","",COUNTIF(AF668:AF$3000,AF668))</f>
        <v/>
      </c>
      <c r="AH668" s="114" t="str">
        <f t="shared" si="21"/>
        <v/>
      </c>
    </row>
    <row r="669" spans="6:34" x14ac:dyDescent="0.3">
      <c r="F669" s="35"/>
      <c r="J669" s="35"/>
      <c r="K669" s="35"/>
      <c r="L669" s="35"/>
      <c r="AD669" s="73"/>
      <c r="AF669" s="112" t="str">
        <f t="shared" si="20"/>
        <v/>
      </c>
      <c r="AG669" s="113" t="str">
        <f>IF(AF669="","",COUNTIF(AF669:AF$3000,AF669))</f>
        <v/>
      </c>
      <c r="AH669" s="114" t="str">
        <f t="shared" si="21"/>
        <v/>
      </c>
    </row>
    <row r="670" spans="6:34" x14ac:dyDescent="0.3">
      <c r="F670" s="35"/>
      <c r="J670" s="35"/>
      <c r="K670" s="35"/>
      <c r="L670" s="35"/>
      <c r="AD670" s="73"/>
      <c r="AF670" s="112" t="str">
        <f t="shared" si="20"/>
        <v/>
      </c>
      <c r="AG670" s="113" t="str">
        <f>IF(AF670="","",COUNTIF(AF670:AF$3000,AF670))</f>
        <v/>
      </c>
      <c r="AH670" s="114" t="str">
        <f t="shared" si="21"/>
        <v/>
      </c>
    </row>
    <row r="671" spans="6:34" x14ac:dyDescent="0.3">
      <c r="F671" s="35"/>
      <c r="J671" s="35"/>
      <c r="K671" s="35"/>
      <c r="L671" s="35"/>
      <c r="AD671" s="73"/>
      <c r="AF671" s="112" t="str">
        <f t="shared" si="20"/>
        <v/>
      </c>
      <c r="AG671" s="113" t="str">
        <f>IF(AF671="","",COUNTIF(AF671:AF$3000,AF671))</f>
        <v/>
      </c>
      <c r="AH671" s="114" t="str">
        <f t="shared" si="21"/>
        <v/>
      </c>
    </row>
    <row r="672" spans="6:34" x14ac:dyDescent="0.3">
      <c r="F672" s="35"/>
      <c r="J672" s="35"/>
      <c r="K672" s="35"/>
      <c r="L672" s="35"/>
      <c r="AD672" s="73"/>
      <c r="AF672" s="112" t="str">
        <f t="shared" si="20"/>
        <v/>
      </c>
      <c r="AG672" s="113" t="str">
        <f>IF(AF672="","",COUNTIF(AF672:AF$3000,AF672))</f>
        <v/>
      </c>
      <c r="AH672" s="114" t="str">
        <f t="shared" si="21"/>
        <v/>
      </c>
    </row>
    <row r="673" spans="6:34" x14ac:dyDescent="0.3">
      <c r="F673" s="35"/>
      <c r="J673" s="35"/>
      <c r="K673" s="35"/>
      <c r="L673" s="35"/>
      <c r="AD673" s="73"/>
      <c r="AF673" s="112" t="str">
        <f t="shared" si="20"/>
        <v/>
      </c>
      <c r="AG673" s="113" t="str">
        <f>IF(AF673="","",COUNTIF(AF673:AF$3000,AF673))</f>
        <v/>
      </c>
      <c r="AH673" s="114" t="str">
        <f t="shared" si="21"/>
        <v/>
      </c>
    </row>
    <row r="674" spans="6:34" x14ac:dyDescent="0.3">
      <c r="F674" s="35"/>
      <c r="J674" s="35"/>
      <c r="K674" s="35"/>
      <c r="L674" s="35"/>
      <c r="AD674" s="73"/>
      <c r="AF674" s="112" t="str">
        <f t="shared" si="20"/>
        <v/>
      </c>
      <c r="AG674" s="113" t="str">
        <f>IF(AF674="","",COUNTIF(AF674:AF$3000,AF674))</f>
        <v/>
      </c>
      <c r="AH674" s="114" t="str">
        <f t="shared" si="21"/>
        <v/>
      </c>
    </row>
    <row r="675" spans="6:34" x14ac:dyDescent="0.3">
      <c r="F675" s="35"/>
      <c r="J675" s="35"/>
      <c r="K675" s="35"/>
      <c r="L675" s="35"/>
      <c r="AD675" s="73"/>
      <c r="AF675" s="112" t="str">
        <f t="shared" si="20"/>
        <v/>
      </c>
      <c r="AG675" s="113" t="str">
        <f>IF(AF675="","",COUNTIF(AF675:AF$3000,AF675))</f>
        <v/>
      </c>
      <c r="AH675" s="114" t="str">
        <f t="shared" si="21"/>
        <v/>
      </c>
    </row>
    <row r="676" spans="6:34" x14ac:dyDescent="0.3">
      <c r="F676" s="35"/>
      <c r="J676" s="35"/>
      <c r="K676" s="35"/>
      <c r="L676" s="35"/>
      <c r="AD676" s="73"/>
      <c r="AF676" s="112" t="str">
        <f t="shared" si="20"/>
        <v/>
      </c>
      <c r="AG676" s="113" t="str">
        <f>IF(AF676="","",COUNTIF(AF676:AF$3000,AF676))</f>
        <v/>
      </c>
      <c r="AH676" s="114" t="str">
        <f t="shared" si="21"/>
        <v/>
      </c>
    </row>
    <row r="677" spans="6:34" x14ac:dyDescent="0.3">
      <c r="F677" s="35"/>
      <c r="J677" s="35"/>
      <c r="K677" s="35"/>
      <c r="L677" s="35"/>
      <c r="AD677" s="73"/>
      <c r="AF677" s="112" t="str">
        <f t="shared" si="20"/>
        <v/>
      </c>
      <c r="AG677" s="113" t="str">
        <f>IF(AF677="","",COUNTIF(AF677:AF$3000,AF677))</f>
        <v/>
      </c>
      <c r="AH677" s="114" t="str">
        <f t="shared" si="21"/>
        <v/>
      </c>
    </row>
    <row r="678" spans="6:34" x14ac:dyDescent="0.3">
      <c r="F678" s="35"/>
      <c r="J678" s="35"/>
      <c r="K678" s="35"/>
      <c r="L678" s="35"/>
      <c r="AD678" s="73"/>
      <c r="AF678" s="112" t="str">
        <f t="shared" si="20"/>
        <v/>
      </c>
      <c r="AG678" s="113" t="str">
        <f>IF(AF678="","",COUNTIF(AF678:AF$3000,AF678))</f>
        <v/>
      </c>
      <c r="AH678" s="114" t="str">
        <f t="shared" si="21"/>
        <v/>
      </c>
    </row>
    <row r="679" spans="6:34" x14ac:dyDescent="0.3">
      <c r="F679" s="35"/>
      <c r="J679" s="35"/>
      <c r="K679" s="35"/>
      <c r="L679" s="35"/>
      <c r="AD679" s="73"/>
      <c r="AF679" s="112" t="str">
        <f t="shared" si="20"/>
        <v/>
      </c>
      <c r="AG679" s="113" t="str">
        <f>IF(AF679="","",COUNTIF(AF679:AF$3000,AF679))</f>
        <v/>
      </c>
      <c r="AH679" s="114" t="str">
        <f t="shared" si="21"/>
        <v/>
      </c>
    </row>
    <row r="680" spans="6:34" x14ac:dyDescent="0.3">
      <c r="F680" s="35"/>
      <c r="J680" s="35"/>
      <c r="K680" s="35"/>
      <c r="L680" s="35"/>
      <c r="AD680" s="73"/>
      <c r="AF680" s="112" t="str">
        <f t="shared" si="20"/>
        <v/>
      </c>
      <c r="AG680" s="113" t="str">
        <f>IF(AF680="","",COUNTIF(AF680:AF$3000,AF680))</f>
        <v/>
      </c>
      <c r="AH680" s="114" t="str">
        <f t="shared" si="21"/>
        <v/>
      </c>
    </row>
    <row r="681" spans="6:34" x14ac:dyDescent="0.3">
      <c r="F681" s="35"/>
      <c r="J681" s="35"/>
      <c r="K681" s="35"/>
      <c r="L681" s="35"/>
      <c r="AD681" s="73"/>
      <c r="AF681" s="112" t="str">
        <f t="shared" si="20"/>
        <v/>
      </c>
      <c r="AG681" s="113" t="str">
        <f>IF(AF681="","",COUNTIF(AF681:AF$3000,AF681))</f>
        <v/>
      </c>
      <c r="AH681" s="114" t="str">
        <f t="shared" si="21"/>
        <v/>
      </c>
    </row>
    <row r="682" spans="6:34" x14ac:dyDescent="0.3">
      <c r="F682" s="35"/>
      <c r="J682" s="35"/>
      <c r="K682" s="35"/>
      <c r="L682" s="35"/>
      <c r="AD682" s="73"/>
      <c r="AF682" s="112" t="str">
        <f t="shared" si="20"/>
        <v/>
      </c>
      <c r="AG682" s="113" t="str">
        <f>IF(AF682="","",COUNTIF(AF682:AF$3000,AF682))</f>
        <v/>
      </c>
      <c r="AH682" s="114" t="str">
        <f t="shared" si="21"/>
        <v/>
      </c>
    </row>
    <row r="683" spans="6:34" x14ac:dyDescent="0.3">
      <c r="F683" s="35"/>
      <c r="J683" s="35"/>
      <c r="K683" s="35"/>
      <c r="L683" s="35"/>
      <c r="AD683" s="73"/>
      <c r="AF683" s="112" t="str">
        <f t="shared" si="20"/>
        <v/>
      </c>
      <c r="AG683" s="113" t="str">
        <f>IF(AF683="","",COUNTIF(AF683:AF$3000,AF683))</f>
        <v/>
      </c>
      <c r="AH683" s="114" t="str">
        <f t="shared" si="21"/>
        <v/>
      </c>
    </row>
    <row r="684" spans="6:34" x14ac:dyDescent="0.3">
      <c r="F684" s="35"/>
      <c r="J684" s="35"/>
      <c r="K684" s="35"/>
      <c r="L684" s="35"/>
      <c r="AD684" s="73"/>
      <c r="AF684" s="112" t="str">
        <f t="shared" si="20"/>
        <v/>
      </c>
      <c r="AG684" s="113" t="str">
        <f>IF(AF684="","",COUNTIF(AF684:AF$3000,AF684))</f>
        <v/>
      </c>
      <c r="AH684" s="114" t="str">
        <f t="shared" si="21"/>
        <v/>
      </c>
    </row>
    <row r="685" spans="6:34" x14ac:dyDescent="0.3">
      <c r="F685" s="35"/>
      <c r="J685" s="35"/>
      <c r="K685" s="35"/>
      <c r="L685" s="35"/>
      <c r="AD685" s="73"/>
      <c r="AF685" s="112" t="str">
        <f t="shared" si="20"/>
        <v/>
      </c>
      <c r="AG685" s="113" t="str">
        <f>IF(AF685="","",COUNTIF(AF685:AF$3000,AF685))</f>
        <v/>
      </c>
      <c r="AH685" s="114" t="str">
        <f t="shared" si="21"/>
        <v/>
      </c>
    </row>
    <row r="686" spans="6:34" x14ac:dyDescent="0.3">
      <c r="F686" s="35"/>
      <c r="J686" s="35"/>
      <c r="K686" s="35"/>
      <c r="L686" s="35"/>
      <c r="AD686" s="73"/>
      <c r="AF686" s="112" t="str">
        <f t="shared" si="20"/>
        <v/>
      </c>
      <c r="AG686" s="113" t="str">
        <f>IF(AF686="","",COUNTIF(AF686:AF$3000,AF686))</f>
        <v/>
      </c>
      <c r="AH686" s="114" t="str">
        <f t="shared" si="21"/>
        <v/>
      </c>
    </row>
    <row r="687" spans="6:34" x14ac:dyDescent="0.3">
      <c r="F687" s="35"/>
      <c r="J687" s="35"/>
      <c r="K687" s="35"/>
      <c r="L687" s="35"/>
      <c r="AD687" s="73"/>
      <c r="AF687" s="112" t="str">
        <f t="shared" si="20"/>
        <v/>
      </c>
      <c r="AG687" s="113" t="str">
        <f>IF(AF687="","",COUNTIF(AF687:AF$3000,AF687))</f>
        <v/>
      </c>
      <c r="AH687" s="114" t="str">
        <f t="shared" si="21"/>
        <v/>
      </c>
    </row>
    <row r="688" spans="6:34" x14ac:dyDescent="0.3">
      <c r="F688" s="35"/>
      <c r="J688" s="35"/>
      <c r="K688" s="35"/>
      <c r="L688" s="35"/>
      <c r="AD688" s="73"/>
      <c r="AF688" s="112" t="str">
        <f t="shared" si="20"/>
        <v/>
      </c>
      <c r="AG688" s="113" t="str">
        <f>IF(AF688="","",COUNTIF(AF688:AF$3000,AF688))</f>
        <v/>
      </c>
      <c r="AH688" s="114" t="str">
        <f t="shared" si="21"/>
        <v/>
      </c>
    </row>
    <row r="689" spans="6:34" x14ac:dyDescent="0.3">
      <c r="F689" s="35"/>
      <c r="J689" s="35"/>
      <c r="K689" s="35"/>
      <c r="L689" s="35"/>
      <c r="AD689" s="73"/>
      <c r="AF689" s="112" t="str">
        <f t="shared" si="20"/>
        <v/>
      </c>
      <c r="AG689" s="113" t="str">
        <f>IF(AF689="","",COUNTIF(AF689:AF$3000,AF689))</f>
        <v/>
      </c>
      <c r="AH689" s="114" t="str">
        <f t="shared" si="21"/>
        <v/>
      </c>
    </row>
    <row r="690" spans="6:34" x14ac:dyDescent="0.3">
      <c r="F690" s="35"/>
      <c r="J690" s="35"/>
      <c r="K690" s="35"/>
      <c r="L690" s="35"/>
      <c r="AD690" s="73"/>
      <c r="AF690" s="112" t="str">
        <f t="shared" si="20"/>
        <v/>
      </c>
      <c r="AG690" s="113" t="str">
        <f>IF(AF690="","",COUNTIF(AF690:AF$3000,AF690))</f>
        <v/>
      </c>
      <c r="AH690" s="114" t="str">
        <f t="shared" si="21"/>
        <v/>
      </c>
    </row>
    <row r="691" spans="6:34" x14ac:dyDescent="0.3">
      <c r="F691" s="35"/>
      <c r="J691" s="35"/>
      <c r="K691" s="35"/>
      <c r="L691" s="35"/>
      <c r="AD691" s="73"/>
      <c r="AF691" s="112" t="str">
        <f t="shared" si="20"/>
        <v/>
      </c>
      <c r="AG691" s="113" t="str">
        <f>IF(AF691="","",COUNTIF(AF691:AF$3000,AF691))</f>
        <v/>
      </c>
      <c r="AH691" s="114" t="str">
        <f t="shared" si="21"/>
        <v/>
      </c>
    </row>
    <row r="692" spans="6:34" x14ac:dyDescent="0.3">
      <c r="F692" s="35"/>
      <c r="J692" s="35"/>
      <c r="K692" s="35"/>
      <c r="L692" s="35"/>
      <c r="AD692" s="73"/>
      <c r="AF692" s="112" t="str">
        <f t="shared" si="20"/>
        <v/>
      </c>
      <c r="AG692" s="113" t="str">
        <f>IF(AF692="","",COUNTIF(AF692:AF$3000,AF692))</f>
        <v/>
      </c>
      <c r="AH692" s="114" t="str">
        <f t="shared" si="21"/>
        <v/>
      </c>
    </row>
    <row r="693" spans="6:34" x14ac:dyDescent="0.3">
      <c r="F693" s="35"/>
      <c r="J693" s="35"/>
      <c r="K693" s="35"/>
      <c r="L693" s="35"/>
      <c r="AD693" s="73"/>
      <c r="AF693" s="112" t="str">
        <f t="shared" si="20"/>
        <v/>
      </c>
      <c r="AG693" s="113" t="str">
        <f>IF(AF693="","",COUNTIF(AF693:AF$3000,AF693))</f>
        <v/>
      </c>
      <c r="AH693" s="114" t="str">
        <f t="shared" si="21"/>
        <v/>
      </c>
    </row>
    <row r="694" spans="6:34" x14ac:dyDescent="0.3">
      <c r="F694" s="35"/>
      <c r="J694" s="35"/>
      <c r="K694" s="35"/>
      <c r="L694" s="35"/>
      <c r="AD694" s="73"/>
      <c r="AF694" s="112" t="str">
        <f t="shared" si="20"/>
        <v/>
      </c>
      <c r="AG694" s="113" t="str">
        <f>IF(AF694="","",COUNTIF(AF694:AF$3000,AF694))</f>
        <v/>
      </c>
      <c r="AH694" s="114" t="str">
        <f t="shared" si="21"/>
        <v/>
      </c>
    </row>
    <row r="695" spans="6:34" x14ac:dyDescent="0.3">
      <c r="F695" s="35"/>
      <c r="J695" s="35"/>
      <c r="K695" s="35"/>
      <c r="L695" s="35"/>
      <c r="AD695" s="73"/>
      <c r="AF695" s="112" t="str">
        <f t="shared" si="20"/>
        <v/>
      </c>
      <c r="AG695" s="113" t="str">
        <f>IF(AF695="","",COUNTIF(AF695:AF$3000,AF695))</f>
        <v/>
      </c>
      <c r="AH695" s="114" t="str">
        <f t="shared" si="21"/>
        <v/>
      </c>
    </row>
    <row r="696" spans="6:34" x14ac:dyDescent="0.3">
      <c r="F696" s="35"/>
      <c r="J696" s="35"/>
      <c r="K696" s="35"/>
      <c r="L696" s="35"/>
      <c r="AD696" s="73"/>
      <c r="AF696" s="112" t="str">
        <f t="shared" si="20"/>
        <v/>
      </c>
      <c r="AG696" s="113" t="str">
        <f>IF(AF696="","",COUNTIF(AF696:AF$3000,AF696))</f>
        <v/>
      </c>
      <c r="AH696" s="114" t="str">
        <f t="shared" si="21"/>
        <v/>
      </c>
    </row>
    <row r="697" spans="6:34" x14ac:dyDescent="0.3">
      <c r="F697" s="35"/>
      <c r="J697" s="35"/>
      <c r="K697" s="35"/>
      <c r="L697" s="35"/>
      <c r="AD697" s="73"/>
      <c r="AF697" s="112" t="str">
        <f t="shared" si="20"/>
        <v/>
      </c>
      <c r="AG697" s="113" t="str">
        <f>IF(AF697="","",COUNTIF(AF697:AF$3000,AF697))</f>
        <v/>
      </c>
      <c r="AH697" s="114" t="str">
        <f t="shared" si="21"/>
        <v/>
      </c>
    </row>
    <row r="698" spans="6:34" x14ac:dyDescent="0.3">
      <c r="F698" s="35"/>
      <c r="J698" s="35"/>
      <c r="K698" s="35"/>
      <c r="L698" s="35"/>
      <c r="AD698" s="73"/>
      <c r="AF698" s="112" t="str">
        <f t="shared" si="20"/>
        <v/>
      </c>
      <c r="AG698" s="113" t="str">
        <f>IF(AF698="","",COUNTIF(AF698:AF$3000,AF698))</f>
        <v/>
      </c>
      <c r="AH698" s="114" t="str">
        <f t="shared" si="21"/>
        <v/>
      </c>
    </row>
    <row r="699" spans="6:34" x14ac:dyDescent="0.3">
      <c r="F699" s="35"/>
      <c r="J699" s="35"/>
      <c r="K699" s="35"/>
      <c r="L699" s="35"/>
      <c r="AD699" s="73"/>
      <c r="AF699" s="112" t="str">
        <f t="shared" si="20"/>
        <v/>
      </c>
      <c r="AG699" s="113" t="str">
        <f>IF(AF699="","",COUNTIF(AF699:AF$3000,AF699))</f>
        <v/>
      </c>
      <c r="AH699" s="114" t="str">
        <f t="shared" si="21"/>
        <v/>
      </c>
    </row>
    <row r="700" spans="6:34" x14ac:dyDescent="0.3">
      <c r="F700" s="35"/>
      <c r="J700" s="35"/>
      <c r="K700" s="35"/>
      <c r="L700" s="35"/>
      <c r="AD700" s="73"/>
      <c r="AF700" s="112" t="str">
        <f t="shared" si="20"/>
        <v/>
      </c>
      <c r="AG700" s="113" t="str">
        <f>IF(AF700="","",COUNTIF(AF700:AF$3000,AF700))</f>
        <v/>
      </c>
      <c r="AH700" s="114" t="str">
        <f t="shared" si="21"/>
        <v/>
      </c>
    </row>
    <row r="701" spans="6:34" x14ac:dyDescent="0.3">
      <c r="F701" s="35"/>
      <c r="J701" s="35"/>
      <c r="K701" s="35"/>
      <c r="L701" s="35"/>
      <c r="AD701" s="73"/>
      <c r="AF701" s="112" t="str">
        <f t="shared" si="20"/>
        <v/>
      </c>
      <c r="AG701" s="113" t="str">
        <f>IF(AF701="","",COUNTIF(AF701:AF$3000,AF701))</f>
        <v/>
      </c>
      <c r="AH701" s="114" t="str">
        <f t="shared" si="21"/>
        <v/>
      </c>
    </row>
    <row r="702" spans="6:34" x14ac:dyDescent="0.3">
      <c r="F702" s="35"/>
      <c r="J702" s="35"/>
      <c r="K702" s="35"/>
      <c r="L702" s="35"/>
      <c r="AD702" s="73"/>
      <c r="AF702" s="112" t="str">
        <f t="shared" si="20"/>
        <v/>
      </c>
      <c r="AG702" s="113" t="str">
        <f>IF(AF702="","",COUNTIF(AF702:AF$3000,AF702))</f>
        <v/>
      </c>
      <c r="AH702" s="114" t="str">
        <f t="shared" si="21"/>
        <v/>
      </c>
    </row>
    <row r="703" spans="6:34" x14ac:dyDescent="0.3">
      <c r="F703" s="35"/>
      <c r="J703" s="35"/>
      <c r="K703" s="35"/>
      <c r="L703" s="35"/>
      <c r="AD703" s="73"/>
      <c r="AF703" s="112" t="str">
        <f t="shared" si="20"/>
        <v/>
      </c>
      <c r="AG703" s="113" t="str">
        <f>IF(AF703="","",COUNTIF(AF703:AF$3000,AF703))</f>
        <v/>
      </c>
      <c r="AH703" s="114" t="str">
        <f t="shared" si="21"/>
        <v/>
      </c>
    </row>
    <row r="704" spans="6:34" x14ac:dyDescent="0.3">
      <c r="F704" s="35"/>
      <c r="J704" s="35"/>
      <c r="K704" s="35"/>
      <c r="L704" s="35"/>
      <c r="AD704" s="73"/>
      <c r="AF704" s="112" t="str">
        <f t="shared" si="20"/>
        <v/>
      </c>
      <c r="AG704" s="113" t="str">
        <f>IF(AF704="","",COUNTIF(AF704:AF$3000,AF704))</f>
        <v/>
      </c>
      <c r="AH704" s="114" t="str">
        <f t="shared" si="21"/>
        <v/>
      </c>
    </row>
    <row r="705" spans="6:34" x14ac:dyDescent="0.3">
      <c r="F705" s="35"/>
      <c r="J705" s="35"/>
      <c r="K705" s="35"/>
      <c r="L705" s="35"/>
      <c r="AD705" s="73"/>
      <c r="AF705" s="112" t="str">
        <f t="shared" si="20"/>
        <v/>
      </c>
      <c r="AG705" s="113" t="str">
        <f>IF(AF705="","",COUNTIF(AF705:AF$3000,AF705))</f>
        <v/>
      </c>
      <c r="AH705" s="114" t="str">
        <f t="shared" si="21"/>
        <v/>
      </c>
    </row>
    <row r="706" spans="6:34" x14ac:dyDescent="0.3">
      <c r="F706" s="35"/>
      <c r="J706" s="35"/>
      <c r="K706" s="35"/>
      <c r="L706" s="35"/>
      <c r="AD706" s="73"/>
      <c r="AF706" s="112" t="str">
        <f t="shared" si="20"/>
        <v/>
      </c>
      <c r="AG706" s="113" t="str">
        <f>IF(AF706="","",COUNTIF(AF706:AF$3000,AF706))</f>
        <v/>
      </c>
      <c r="AH706" s="114" t="str">
        <f t="shared" si="21"/>
        <v/>
      </c>
    </row>
    <row r="707" spans="6:34" x14ac:dyDescent="0.3">
      <c r="F707" s="35"/>
      <c r="J707" s="35"/>
      <c r="K707" s="35"/>
      <c r="L707" s="35"/>
      <c r="AD707" s="73"/>
      <c r="AF707" s="112" t="str">
        <f t="shared" si="20"/>
        <v/>
      </c>
      <c r="AG707" s="113" t="str">
        <f>IF(AF707="","",COUNTIF(AF707:AF$3000,AF707))</f>
        <v/>
      </c>
      <c r="AH707" s="114" t="str">
        <f t="shared" si="21"/>
        <v/>
      </c>
    </row>
    <row r="708" spans="6:34" x14ac:dyDescent="0.3">
      <c r="F708" s="35"/>
      <c r="J708" s="35"/>
      <c r="K708" s="35"/>
      <c r="L708" s="35"/>
      <c r="AD708" s="73"/>
      <c r="AF708" s="112" t="str">
        <f t="shared" ref="AF708:AF771" si="22">IF(B708="","",TEXT(J708,"DD/MM/AA")&amp;"_"&amp;S708&amp;"_"&amp;V708)</f>
        <v/>
      </c>
      <c r="AG708" s="113" t="str">
        <f>IF(AF708="","",COUNTIF(AF708:AF$3000,AF708))</f>
        <v/>
      </c>
      <c r="AH708" s="114" t="str">
        <f t="shared" ref="AH708:AH771" si="23">IF(AA708="","",
IF(AG708&gt;1,"",
IF(SUMIF(AF$3:AF$31,AF708,H$3:H$31)/10&lt;1,1,SUMIF(AF$3:AF$31,AF708,H$3:H$31)/10)))</f>
        <v/>
      </c>
    </row>
    <row r="709" spans="6:34" x14ac:dyDescent="0.3">
      <c r="F709" s="35"/>
      <c r="J709" s="35"/>
      <c r="K709" s="35"/>
      <c r="L709" s="35"/>
      <c r="AD709" s="73"/>
      <c r="AF709" s="112" t="str">
        <f t="shared" si="22"/>
        <v/>
      </c>
      <c r="AG709" s="113" t="str">
        <f>IF(AF709="","",COUNTIF(AF709:AF$3000,AF709))</f>
        <v/>
      </c>
      <c r="AH709" s="114" t="str">
        <f t="shared" si="23"/>
        <v/>
      </c>
    </row>
    <row r="710" spans="6:34" x14ac:dyDescent="0.3">
      <c r="F710" s="35"/>
      <c r="J710" s="35"/>
      <c r="K710" s="35"/>
      <c r="L710" s="35"/>
      <c r="AD710" s="73"/>
      <c r="AF710" s="112" t="str">
        <f t="shared" si="22"/>
        <v/>
      </c>
      <c r="AG710" s="113" t="str">
        <f>IF(AF710="","",COUNTIF(AF710:AF$3000,AF710))</f>
        <v/>
      </c>
      <c r="AH710" s="114" t="str">
        <f t="shared" si="23"/>
        <v/>
      </c>
    </row>
    <row r="711" spans="6:34" x14ac:dyDescent="0.3">
      <c r="F711" s="35"/>
      <c r="J711" s="35"/>
      <c r="K711" s="35"/>
      <c r="L711" s="35"/>
      <c r="AD711" s="73"/>
      <c r="AF711" s="112" t="str">
        <f t="shared" si="22"/>
        <v/>
      </c>
      <c r="AG711" s="113" t="str">
        <f>IF(AF711="","",COUNTIF(AF711:AF$3000,AF711))</f>
        <v/>
      </c>
      <c r="AH711" s="114" t="str">
        <f t="shared" si="23"/>
        <v/>
      </c>
    </row>
    <row r="712" spans="6:34" x14ac:dyDescent="0.3">
      <c r="F712" s="35"/>
      <c r="J712" s="35"/>
      <c r="K712" s="35"/>
      <c r="L712" s="35"/>
      <c r="AD712" s="73"/>
      <c r="AF712" s="112" t="str">
        <f t="shared" si="22"/>
        <v/>
      </c>
      <c r="AG712" s="113" t="str">
        <f>IF(AF712="","",COUNTIF(AF712:AF$3000,AF712))</f>
        <v/>
      </c>
      <c r="AH712" s="114" t="str">
        <f t="shared" si="23"/>
        <v/>
      </c>
    </row>
    <row r="713" spans="6:34" x14ac:dyDescent="0.3">
      <c r="F713" s="35"/>
      <c r="J713" s="35"/>
      <c r="K713" s="35"/>
      <c r="L713" s="35"/>
      <c r="AD713" s="73"/>
      <c r="AF713" s="112" t="str">
        <f t="shared" si="22"/>
        <v/>
      </c>
      <c r="AG713" s="113" t="str">
        <f>IF(AF713="","",COUNTIF(AF713:AF$3000,AF713))</f>
        <v/>
      </c>
      <c r="AH713" s="114" t="str">
        <f t="shared" si="23"/>
        <v/>
      </c>
    </row>
    <row r="714" spans="6:34" x14ac:dyDescent="0.3">
      <c r="F714" s="35"/>
      <c r="J714" s="35"/>
      <c r="K714" s="35"/>
      <c r="L714" s="35"/>
      <c r="AD714" s="73"/>
      <c r="AF714" s="112" t="str">
        <f t="shared" si="22"/>
        <v/>
      </c>
      <c r="AG714" s="113" t="str">
        <f>IF(AF714="","",COUNTIF(AF714:AF$3000,AF714))</f>
        <v/>
      </c>
      <c r="AH714" s="114" t="str">
        <f t="shared" si="23"/>
        <v/>
      </c>
    </row>
    <row r="715" spans="6:34" x14ac:dyDescent="0.3">
      <c r="F715" s="35"/>
      <c r="J715" s="35"/>
      <c r="K715" s="35"/>
      <c r="L715" s="35"/>
      <c r="AD715" s="73"/>
      <c r="AF715" s="112" t="str">
        <f t="shared" si="22"/>
        <v/>
      </c>
      <c r="AG715" s="113" t="str">
        <f>IF(AF715="","",COUNTIF(AF715:AF$3000,AF715))</f>
        <v/>
      </c>
      <c r="AH715" s="114" t="str">
        <f t="shared" si="23"/>
        <v/>
      </c>
    </row>
    <row r="716" spans="6:34" x14ac:dyDescent="0.3">
      <c r="F716" s="35"/>
      <c r="J716" s="35"/>
      <c r="K716" s="35"/>
      <c r="L716" s="35"/>
      <c r="AD716" s="73"/>
      <c r="AF716" s="112" t="str">
        <f t="shared" si="22"/>
        <v/>
      </c>
      <c r="AG716" s="113" t="str">
        <f>IF(AF716="","",COUNTIF(AF716:AF$3000,AF716))</f>
        <v/>
      </c>
      <c r="AH716" s="114" t="str">
        <f t="shared" si="23"/>
        <v/>
      </c>
    </row>
    <row r="717" spans="6:34" x14ac:dyDescent="0.3">
      <c r="F717" s="35"/>
      <c r="J717" s="35"/>
      <c r="K717" s="35"/>
      <c r="L717" s="35"/>
      <c r="AD717" s="73"/>
      <c r="AF717" s="112" t="str">
        <f t="shared" si="22"/>
        <v/>
      </c>
      <c r="AG717" s="113" t="str">
        <f>IF(AF717="","",COUNTIF(AF717:AF$3000,AF717))</f>
        <v/>
      </c>
      <c r="AH717" s="114" t="str">
        <f t="shared" si="23"/>
        <v/>
      </c>
    </row>
    <row r="718" spans="6:34" x14ac:dyDescent="0.3">
      <c r="F718" s="35"/>
      <c r="J718" s="35"/>
      <c r="K718" s="35"/>
      <c r="L718" s="35"/>
      <c r="AD718" s="73"/>
      <c r="AF718" s="112" t="str">
        <f t="shared" si="22"/>
        <v/>
      </c>
      <c r="AG718" s="113" t="str">
        <f>IF(AF718="","",COUNTIF(AF718:AF$3000,AF718))</f>
        <v/>
      </c>
      <c r="AH718" s="114" t="str">
        <f t="shared" si="23"/>
        <v/>
      </c>
    </row>
    <row r="719" spans="6:34" x14ac:dyDescent="0.3">
      <c r="F719" s="35"/>
      <c r="J719" s="35"/>
      <c r="K719" s="35"/>
      <c r="L719" s="35"/>
      <c r="AD719" s="73"/>
      <c r="AF719" s="112" t="str">
        <f t="shared" si="22"/>
        <v/>
      </c>
      <c r="AG719" s="113" t="str">
        <f>IF(AF719="","",COUNTIF(AF719:AF$3000,AF719))</f>
        <v/>
      </c>
      <c r="AH719" s="114" t="str">
        <f t="shared" si="23"/>
        <v/>
      </c>
    </row>
    <row r="720" spans="6:34" x14ac:dyDescent="0.3">
      <c r="F720" s="35"/>
      <c r="J720" s="35"/>
      <c r="K720" s="35"/>
      <c r="L720" s="35"/>
      <c r="AD720" s="73"/>
      <c r="AF720" s="112" t="str">
        <f t="shared" si="22"/>
        <v/>
      </c>
      <c r="AG720" s="113" t="str">
        <f>IF(AF720="","",COUNTIF(AF720:AF$3000,AF720))</f>
        <v/>
      </c>
      <c r="AH720" s="114" t="str">
        <f t="shared" si="23"/>
        <v/>
      </c>
    </row>
    <row r="721" spans="6:34" x14ac:dyDescent="0.3">
      <c r="F721" s="35"/>
      <c r="J721" s="35"/>
      <c r="K721" s="35"/>
      <c r="L721" s="35"/>
      <c r="AD721" s="73"/>
      <c r="AF721" s="112" t="str">
        <f t="shared" si="22"/>
        <v/>
      </c>
      <c r="AG721" s="113" t="str">
        <f>IF(AF721="","",COUNTIF(AF721:AF$3000,AF721))</f>
        <v/>
      </c>
      <c r="AH721" s="114" t="str">
        <f t="shared" si="23"/>
        <v/>
      </c>
    </row>
    <row r="722" spans="6:34" x14ac:dyDescent="0.3">
      <c r="F722" s="35"/>
      <c r="J722" s="35"/>
      <c r="K722" s="35"/>
      <c r="L722" s="35"/>
      <c r="AD722" s="73"/>
      <c r="AF722" s="112" t="str">
        <f t="shared" si="22"/>
        <v/>
      </c>
      <c r="AG722" s="113" t="str">
        <f>IF(AF722="","",COUNTIF(AF722:AF$3000,AF722))</f>
        <v/>
      </c>
      <c r="AH722" s="114" t="str">
        <f t="shared" si="23"/>
        <v/>
      </c>
    </row>
    <row r="723" spans="6:34" x14ac:dyDescent="0.3">
      <c r="F723" s="35"/>
      <c r="J723" s="35"/>
      <c r="K723" s="35"/>
      <c r="L723" s="35"/>
      <c r="AD723" s="73"/>
      <c r="AF723" s="112" t="str">
        <f t="shared" si="22"/>
        <v/>
      </c>
      <c r="AG723" s="113" t="str">
        <f>IF(AF723="","",COUNTIF(AF723:AF$3000,AF723))</f>
        <v/>
      </c>
      <c r="AH723" s="114" t="str">
        <f t="shared" si="23"/>
        <v/>
      </c>
    </row>
    <row r="724" spans="6:34" x14ac:dyDescent="0.3">
      <c r="F724" s="35"/>
      <c r="J724" s="35"/>
      <c r="K724" s="35"/>
      <c r="L724" s="35"/>
      <c r="AD724" s="73"/>
      <c r="AF724" s="112" t="str">
        <f t="shared" si="22"/>
        <v/>
      </c>
      <c r="AG724" s="113" t="str">
        <f>IF(AF724="","",COUNTIF(AF724:AF$3000,AF724))</f>
        <v/>
      </c>
      <c r="AH724" s="114" t="str">
        <f t="shared" si="23"/>
        <v/>
      </c>
    </row>
    <row r="725" spans="6:34" x14ac:dyDescent="0.3">
      <c r="F725" s="35"/>
      <c r="J725" s="35"/>
      <c r="K725" s="35"/>
      <c r="L725" s="35"/>
      <c r="AD725" s="73"/>
      <c r="AF725" s="112" t="str">
        <f t="shared" si="22"/>
        <v/>
      </c>
      <c r="AG725" s="113" t="str">
        <f>IF(AF725="","",COUNTIF(AF725:AF$3000,AF725))</f>
        <v/>
      </c>
      <c r="AH725" s="114" t="str">
        <f t="shared" si="23"/>
        <v/>
      </c>
    </row>
    <row r="726" spans="6:34" x14ac:dyDescent="0.3">
      <c r="F726" s="35"/>
      <c r="J726" s="35"/>
      <c r="K726" s="35"/>
      <c r="L726" s="35"/>
      <c r="AD726" s="73"/>
      <c r="AF726" s="112" t="str">
        <f t="shared" si="22"/>
        <v/>
      </c>
      <c r="AG726" s="113" t="str">
        <f>IF(AF726="","",COUNTIF(AF726:AF$3000,AF726))</f>
        <v/>
      </c>
      <c r="AH726" s="114" t="str">
        <f t="shared" si="23"/>
        <v/>
      </c>
    </row>
    <row r="727" spans="6:34" x14ac:dyDescent="0.3">
      <c r="F727" s="35"/>
      <c r="J727" s="35"/>
      <c r="K727" s="35"/>
      <c r="L727" s="35"/>
      <c r="AD727" s="73"/>
      <c r="AF727" s="112" t="str">
        <f t="shared" si="22"/>
        <v/>
      </c>
      <c r="AG727" s="113" t="str">
        <f>IF(AF727="","",COUNTIF(AF727:AF$3000,AF727))</f>
        <v/>
      </c>
      <c r="AH727" s="114" t="str">
        <f t="shared" si="23"/>
        <v/>
      </c>
    </row>
    <row r="728" spans="6:34" x14ac:dyDescent="0.3">
      <c r="F728" s="35"/>
      <c r="J728" s="35"/>
      <c r="K728" s="35"/>
      <c r="L728" s="35"/>
      <c r="AD728" s="73"/>
      <c r="AF728" s="112" t="str">
        <f t="shared" si="22"/>
        <v/>
      </c>
      <c r="AG728" s="113" t="str">
        <f>IF(AF728="","",COUNTIF(AF728:AF$3000,AF728))</f>
        <v/>
      </c>
      <c r="AH728" s="114" t="str">
        <f t="shared" si="23"/>
        <v/>
      </c>
    </row>
    <row r="729" spans="6:34" x14ac:dyDescent="0.3">
      <c r="F729" s="35"/>
      <c r="J729" s="35"/>
      <c r="K729" s="35"/>
      <c r="L729" s="35"/>
      <c r="AD729" s="73"/>
      <c r="AF729" s="112" t="str">
        <f t="shared" si="22"/>
        <v/>
      </c>
      <c r="AG729" s="113" t="str">
        <f>IF(AF729="","",COUNTIF(AF729:AF$3000,AF729))</f>
        <v/>
      </c>
      <c r="AH729" s="114" t="str">
        <f t="shared" si="23"/>
        <v/>
      </c>
    </row>
    <row r="730" spans="6:34" x14ac:dyDescent="0.3">
      <c r="F730" s="35"/>
      <c r="J730" s="35"/>
      <c r="K730" s="35"/>
      <c r="L730" s="35"/>
      <c r="AD730" s="73"/>
      <c r="AF730" s="112" t="str">
        <f t="shared" si="22"/>
        <v/>
      </c>
      <c r="AG730" s="113" t="str">
        <f>IF(AF730="","",COUNTIF(AF730:AF$3000,AF730))</f>
        <v/>
      </c>
      <c r="AH730" s="114" t="str">
        <f t="shared" si="23"/>
        <v/>
      </c>
    </row>
    <row r="731" spans="6:34" x14ac:dyDescent="0.3">
      <c r="F731" s="35"/>
      <c r="J731" s="35"/>
      <c r="K731" s="35"/>
      <c r="L731" s="35"/>
      <c r="AD731" s="73"/>
      <c r="AF731" s="112" t="str">
        <f t="shared" si="22"/>
        <v/>
      </c>
      <c r="AG731" s="113" t="str">
        <f>IF(AF731="","",COUNTIF(AF731:AF$3000,AF731))</f>
        <v/>
      </c>
      <c r="AH731" s="114" t="str">
        <f t="shared" si="23"/>
        <v/>
      </c>
    </row>
    <row r="732" spans="6:34" x14ac:dyDescent="0.3">
      <c r="F732" s="35"/>
      <c r="J732" s="35"/>
      <c r="K732" s="35"/>
      <c r="L732" s="35"/>
      <c r="AD732" s="73"/>
      <c r="AF732" s="112" t="str">
        <f t="shared" si="22"/>
        <v/>
      </c>
      <c r="AG732" s="113" t="str">
        <f>IF(AF732="","",COUNTIF(AF732:AF$3000,AF732))</f>
        <v/>
      </c>
      <c r="AH732" s="114" t="str">
        <f t="shared" si="23"/>
        <v/>
      </c>
    </row>
    <row r="733" spans="6:34" x14ac:dyDescent="0.3">
      <c r="F733" s="35"/>
      <c r="J733" s="35"/>
      <c r="K733" s="35"/>
      <c r="L733" s="35"/>
      <c r="AD733" s="73"/>
      <c r="AF733" s="112" t="str">
        <f t="shared" si="22"/>
        <v/>
      </c>
      <c r="AG733" s="113" t="str">
        <f>IF(AF733="","",COUNTIF(AF733:AF$3000,AF733))</f>
        <v/>
      </c>
      <c r="AH733" s="114" t="str">
        <f t="shared" si="23"/>
        <v/>
      </c>
    </row>
    <row r="734" spans="6:34" x14ac:dyDescent="0.3">
      <c r="F734" s="35"/>
      <c r="J734" s="35"/>
      <c r="K734" s="35"/>
      <c r="L734" s="35"/>
      <c r="AD734" s="73"/>
      <c r="AF734" s="112" t="str">
        <f t="shared" si="22"/>
        <v/>
      </c>
      <c r="AG734" s="113" t="str">
        <f>IF(AF734="","",COUNTIF(AF734:AF$3000,AF734))</f>
        <v/>
      </c>
      <c r="AH734" s="114" t="str">
        <f t="shared" si="23"/>
        <v/>
      </c>
    </row>
    <row r="735" spans="6:34" x14ac:dyDescent="0.3">
      <c r="F735" s="35"/>
      <c r="J735" s="35"/>
      <c r="K735" s="35"/>
      <c r="L735" s="35"/>
      <c r="AD735" s="73"/>
      <c r="AF735" s="112" t="str">
        <f t="shared" si="22"/>
        <v/>
      </c>
      <c r="AG735" s="113" t="str">
        <f>IF(AF735="","",COUNTIF(AF735:AF$3000,AF735))</f>
        <v/>
      </c>
      <c r="AH735" s="114" t="str">
        <f t="shared" si="23"/>
        <v/>
      </c>
    </row>
    <row r="736" spans="6:34" x14ac:dyDescent="0.3">
      <c r="F736" s="35"/>
      <c r="J736" s="35"/>
      <c r="K736" s="35"/>
      <c r="L736" s="35"/>
      <c r="AD736" s="73"/>
      <c r="AF736" s="112" t="str">
        <f t="shared" si="22"/>
        <v/>
      </c>
      <c r="AG736" s="113" t="str">
        <f>IF(AF736="","",COUNTIF(AF736:AF$3000,AF736))</f>
        <v/>
      </c>
      <c r="AH736" s="114" t="str">
        <f t="shared" si="23"/>
        <v/>
      </c>
    </row>
    <row r="737" spans="6:34" x14ac:dyDescent="0.3">
      <c r="F737" s="35"/>
      <c r="J737" s="35"/>
      <c r="K737" s="35"/>
      <c r="L737" s="35"/>
      <c r="AD737" s="73"/>
      <c r="AF737" s="112" t="str">
        <f t="shared" si="22"/>
        <v/>
      </c>
      <c r="AG737" s="113" t="str">
        <f>IF(AF737="","",COUNTIF(AF737:AF$3000,AF737))</f>
        <v/>
      </c>
      <c r="AH737" s="114" t="str">
        <f t="shared" si="23"/>
        <v/>
      </c>
    </row>
    <row r="738" spans="6:34" x14ac:dyDescent="0.3">
      <c r="F738" s="35"/>
      <c r="J738" s="35"/>
      <c r="K738" s="35"/>
      <c r="L738" s="35"/>
      <c r="AD738" s="73"/>
      <c r="AF738" s="112" t="str">
        <f t="shared" si="22"/>
        <v/>
      </c>
      <c r="AG738" s="113" t="str">
        <f>IF(AF738="","",COUNTIF(AF738:AF$3000,AF738))</f>
        <v/>
      </c>
      <c r="AH738" s="114" t="str">
        <f t="shared" si="23"/>
        <v/>
      </c>
    </row>
    <row r="739" spans="6:34" x14ac:dyDescent="0.3">
      <c r="F739" s="35"/>
      <c r="J739" s="35"/>
      <c r="K739" s="35"/>
      <c r="L739" s="35"/>
      <c r="AD739" s="73"/>
      <c r="AF739" s="112" t="str">
        <f t="shared" si="22"/>
        <v/>
      </c>
      <c r="AG739" s="113" t="str">
        <f>IF(AF739="","",COUNTIF(AF739:AF$3000,AF739))</f>
        <v/>
      </c>
      <c r="AH739" s="114" t="str">
        <f t="shared" si="23"/>
        <v/>
      </c>
    </row>
    <row r="740" spans="6:34" x14ac:dyDescent="0.3">
      <c r="F740" s="35"/>
      <c r="J740" s="35"/>
      <c r="K740" s="35"/>
      <c r="L740" s="35"/>
      <c r="AD740" s="73"/>
      <c r="AF740" s="112" t="str">
        <f t="shared" si="22"/>
        <v/>
      </c>
      <c r="AG740" s="113" t="str">
        <f>IF(AF740="","",COUNTIF(AF740:AF$3000,AF740))</f>
        <v/>
      </c>
      <c r="AH740" s="114" t="str">
        <f t="shared" si="23"/>
        <v/>
      </c>
    </row>
    <row r="741" spans="6:34" x14ac:dyDescent="0.3">
      <c r="F741" s="35"/>
      <c r="J741" s="35"/>
      <c r="K741" s="35"/>
      <c r="L741" s="35"/>
      <c r="AD741" s="73"/>
      <c r="AF741" s="112" t="str">
        <f t="shared" si="22"/>
        <v/>
      </c>
      <c r="AG741" s="113" t="str">
        <f>IF(AF741="","",COUNTIF(AF741:AF$3000,AF741))</f>
        <v/>
      </c>
      <c r="AH741" s="114" t="str">
        <f t="shared" si="23"/>
        <v/>
      </c>
    </row>
    <row r="742" spans="6:34" x14ac:dyDescent="0.3">
      <c r="F742" s="35"/>
      <c r="J742" s="35"/>
      <c r="K742" s="35"/>
      <c r="L742" s="35"/>
      <c r="AD742" s="73"/>
      <c r="AF742" s="112" t="str">
        <f t="shared" si="22"/>
        <v/>
      </c>
      <c r="AG742" s="113" t="str">
        <f>IF(AF742="","",COUNTIF(AF742:AF$3000,AF742))</f>
        <v/>
      </c>
      <c r="AH742" s="114" t="str">
        <f t="shared" si="23"/>
        <v/>
      </c>
    </row>
    <row r="743" spans="6:34" x14ac:dyDescent="0.3">
      <c r="F743" s="35"/>
      <c r="J743" s="35"/>
      <c r="K743" s="35"/>
      <c r="L743" s="35"/>
      <c r="AD743" s="73"/>
      <c r="AF743" s="112" t="str">
        <f t="shared" si="22"/>
        <v/>
      </c>
      <c r="AG743" s="113" t="str">
        <f>IF(AF743="","",COUNTIF(AF743:AF$3000,AF743))</f>
        <v/>
      </c>
      <c r="AH743" s="114" t="str">
        <f t="shared" si="23"/>
        <v/>
      </c>
    </row>
    <row r="744" spans="6:34" x14ac:dyDescent="0.3">
      <c r="F744" s="35"/>
      <c r="J744" s="35"/>
      <c r="K744" s="35"/>
      <c r="L744" s="35"/>
      <c r="AD744" s="73"/>
      <c r="AF744" s="112" t="str">
        <f t="shared" si="22"/>
        <v/>
      </c>
      <c r="AG744" s="113" t="str">
        <f>IF(AF744="","",COUNTIF(AF744:AF$3000,AF744))</f>
        <v/>
      </c>
      <c r="AH744" s="114" t="str">
        <f t="shared" si="23"/>
        <v/>
      </c>
    </row>
    <row r="745" spans="6:34" x14ac:dyDescent="0.3">
      <c r="F745" s="35"/>
      <c r="J745" s="35"/>
      <c r="K745" s="35"/>
      <c r="L745" s="35"/>
      <c r="AD745" s="73"/>
      <c r="AF745" s="112" t="str">
        <f t="shared" si="22"/>
        <v/>
      </c>
      <c r="AG745" s="113" t="str">
        <f>IF(AF745="","",COUNTIF(AF745:AF$3000,AF745))</f>
        <v/>
      </c>
      <c r="AH745" s="114" t="str">
        <f t="shared" si="23"/>
        <v/>
      </c>
    </row>
    <row r="746" spans="6:34" x14ac:dyDescent="0.3">
      <c r="F746" s="35"/>
      <c r="J746" s="35"/>
      <c r="K746" s="35"/>
      <c r="L746" s="35"/>
      <c r="AD746" s="73"/>
      <c r="AF746" s="112" t="str">
        <f t="shared" si="22"/>
        <v/>
      </c>
      <c r="AG746" s="113" t="str">
        <f>IF(AF746="","",COUNTIF(AF746:AF$3000,AF746))</f>
        <v/>
      </c>
      <c r="AH746" s="114" t="str">
        <f t="shared" si="23"/>
        <v/>
      </c>
    </row>
    <row r="747" spans="6:34" x14ac:dyDescent="0.3">
      <c r="F747" s="35"/>
      <c r="J747" s="35"/>
      <c r="K747" s="35"/>
      <c r="L747" s="35"/>
      <c r="AD747" s="73"/>
      <c r="AF747" s="112" t="str">
        <f t="shared" si="22"/>
        <v/>
      </c>
      <c r="AG747" s="113" t="str">
        <f>IF(AF747="","",COUNTIF(AF747:AF$3000,AF747))</f>
        <v/>
      </c>
      <c r="AH747" s="114" t="str">
        <f t="shared" si="23"/>
        <v/>
      </c>
    </row>
    <row r="748" spans="6:34" x14ac:dyDescent="0.3">
      <c r="F748" s="35"/>
      <c r="J748" s="35"/>
      <c r="K748" s="35"/>
      <c r="L748" s="35"/>
      <c r="AD748" s="73"/>
      <c r="AF748" s="112" t="str">
        <f t="shared" si="22"/>
        <v/>
      </c>
      <c r="AG748" s="113" t="str">
        <f>IF(AF748="","",COUNTIF(AF748:AF$3000,AF748))</f>
        <v/>
      </c>
      <c r="AH748" s="114" t="str">
        <f t="shared" si="23"/>
        <v/>
      </c>
    </row>
    <row r="749" spans="6:34" x14ac:dyDescent="0.3">
      <c r="F749" s="35"/>
      <c r="J749" s="35"/>
      <c r="K749" s="35"/>
      <c r="L749" s="35"/>
      <c r="AD749" s="73"/>
      <c r="AF749" s="112" t="str">
        <f t="shared" si="22"/>
        <v/>
      </c>
      <c r="AG749" s="113" t="str">
        <f>IF(AF749="","",COUNTIF(AF749:AF$3000,AF749))</f>
        <v/>
      </c>
      <c r="AH749" s="114" t="str">
        <f t="shared" si="23"/>
        <v/>
      </c>
    </row>
    <row r="750" spans="6:34" x14ac:dyDescent="0.3">
      <c r="F750" s="35"/>
      <c r="J750" s="35"/>
      <c r="K750" s="35"/>
      <c r="L750" s="35"/>
      <c r="AD750" s="73"/>
      <c r="AF750" s="112" t="str">
        <f t="shared" si="22"/>
        <v/>
      </c>
      <c r="AG750" s="113" t="str">
        <f>IF(AF750="","",COUNTIF(AF750:AF$3000,AF750))</f>
        <v/>
      </c>
      <c r="AH750" s="114" t="str">
        <f t="shared" si="23"/>
        <v/>
      </c>
    </row>
    <row r="751" spans="6:34" x14ac:dyDescent="0.3">
      <c r="F751" s="35"/>
      <c r="J751" s="35"/>
      <c r="K751" s="35"/>
      <c r="L751" s="35"/>
      <c r="AD751" s="73"/>
      <c r="AF751" s="112" t="str">
        <f t="shared" si="22"/>
        <v/>
      </c>
      <c r="AG751" s="113" t="str">
        <f>IF(AF751="","",COUNTIF(AF751:AF$3000,AF751))</f>
        <v/>
      </c>
      <c r="AH751" s="114" t="str">
        <f t="shared" si="23"/>
        <v/>
      </c>
    </row>
    <row r="752" spans="6:34" x14ac:dyDescent="0.3">
      <c r="F752" s="35"/>
      <c r="J752" s="35"/>
      <c r="K752" s="35"/>
      <c r="L752" s="35"/>
      <c r="AD752" s="73"/>
      <c r="AF752" s="112" t="str">
        <f t="shared" si="22"/>
        <v/>
      </c>
      <c r="AG752" s="113" t="str">
        <f>IF(AF752="","",COUNTIF(AF752:AF$3000,AF752))</f>
        <v/>
      </c>
      <c r="AH752" s="114" t="str">
        <f t="shared" si="23"/>
        <v/>
      </c>
    </row>
    <row r="753" spans="6:34" x14ac:dyDescent="0.3">
      <c r="F753" s="35"/>
      <c r="J753" s="35"/>
      <c r="K753" s="35"/>
      <c r="L753" s="35"/>
      <c r="AD753" s="73"/>
      <c r="AF753" s="112" t="str">
        <f t="shared" si="22"/>
        <v/>
      </c>
      <c r="AG753" s="113" t="str">
        <f>IF(AF753="","",COUNTIF(AF753:AF$3000,AF753))</f>
        <v/>
      </c>
      <c r="AH753" s="114" t="str">
        <f t="shared" si="23"/>
        <v/>
      </c>
    </row>
    <row r="754" spans="6:34" x14ac:dyDescent="0.3">
      <c r="F754" s="35"/>
      <c r="J754" s="35"/>
      <c r="K754" s="35"/>
      <c r="L754" s="35"/>
      <c r="AD754" s="73"/>
      <c r="AF754" s="112" t="str">
        <f t="shared" si="22"/>
        <v/>
      </c>
      <c r="AG754" s="113" t="str">
        <f>IF(AF754="","",COUNTIF(AF754:AF$3000,AF754))</f>
        <v/>
      </c>
      <c r="AH754" s="114" t="str">
        <f t="shared" si="23"/>
        <v/>
      </c>
    </row>
    <row r="755" spans="6:34" x14ac:dyDescent="0.3">
      <c r="F755" s="35"/>
      <c r="J755" s="35"/>
      <c r="K755" s="35"/>
      <c r="L755" s="35"/>
      <c r="AD755" s="73"/>
      <c r="AF755" s="112" t="str">
        <f t="shared" si="22"/>
        <v/>
      </c>
      <c r="AG755" s="113" t="str">
        <f>IF(AF755="","",COUNTIF(AF755:AF$3000,AF755))</f>
        <v/>
      </c>
      <c r="AH755" s="114" t="str">
        <f t="shared" si="23"/>
        <v/>
      </c>
    </row>
    <row r="756" spans="6:34" x14ac:dyDescent="0.3">
      <c r="F756" s="35"/>
      <c r="J756" s="35"/>
      <c r="K756" s="35"/>
      <c r="L756" s="35"/>
      <c r="AD756" s="73"/>
      <c r="AF756" s="112" t="str">
        <f t="shared" si="22"/>
        <v/>
      </c>
      <c r="AG756" s="113" t="str">
        <f>IF(AF756="","",COUNTIF(AF756:AF$3000,AF756))</f>
        <v/>
      </c>
      <c r="AH756" s="114" t="str">
        <f t="shared" si="23"/>
        <v/>
      </c>
    </row>
    <row r="757" spans="6:34" x14ac:dyDescent="0.3">
      <c r="F757" s="35"/>
      <c r="J757" s="35"/>
      <c r="K757" s="35"/>
      <c r="L757" s="35"/>
      <c r="AD757" s="73"/>
      <c r="AF757" s="112" t="str">
        <f t="shared" si="22"/>
        <v/>
      </c>
      <c r="AG757" s="113" t="str">
        <f>IF(AF757="","",COUNTIF(AF757:AF$3000,AF757))</f>
        <v/>
      </c>
      <c r="AH757" s="114" t="str">
        <f t="shared" si="23"/>
        <v/>
      </c>
    </row>
    <row r="758" spans="6:34" x14ac:dyDescent="0.3">
      <c r="F758" s="35"/>
      <c r="J758" s="35"/>
      <c r="K758" s="35"/>
      <c r="L758" s="35"/>
      <c r="AD758" s="73"/>
      <c r="AF758" s="112" t="str">
        <f t="shared" si="22"/>
        <v/>
      </c>
      <c r="AG758" s="113" t="str">
        <f>IF(AF758="","",COUNTIF(AF758:AF$3000,AF758))</f>
        <v/>
      </c>
      <c r="AH758" s="114" t="str">
        <f t="shared" si="23"/>
        <v/>
      </c>
    </row>
    <row r="759" spans="6:34" x14ac:dyDescent="0.3">
      <c r="F759" s="35"/>
      <c r="J759" s="35"/>
      <c r="K759" s="35"/>
      <c r="L759" s="35"/>
      <c r="AD759" s="73"/>
      <c r="AF759" s="112" t="str">
        <f t="shared" si="22"/>
        <v/>
      </c>
      <c r="AG759" s="113" t="str">
        <f>IF(AF759="","",COUNTIF(AF759:AF$3000,AF759))</f>
        <v/>
      </c>
      <c r="AH759" s="114" t="str">
        <f t="shared" si="23"/>
        <v/>
      </c>
    </row>
    <row r="760" spans="6:34" x14ac:dyDescent="0.3">
      <c r="F760" s="35"/>
      <c r="J760" s="35"/>
      <c r="K760" s="35"/>
      <c r="L760" s="35"/>
      <c r="AD760" s="73"/>
      <c r="AF760" s="112" t="str">
        <f t="shared" si="22"/>
        <v/>
      </c>
      <c r="AG760" s="113" t="str">
        <f>IF(AF760="","",COUNTIF(AF760:AF$3000,AF760))</f>
        <v/>
      </c>
      <c r="AH760" s="114" t="str">
        <f t="shared" si="23"/>
        <v/>
      </c>
    </row>
    <row r="761" spans="6:34" x14ac:dyDescent="0.3">
      <c r="F761" s="35"/>
      <c r="J761" s="35"/>
      <c r="K761" s="35"/>
      <c r="L761" s="35"/>
      <c r="AD761" s="73"/>
      <c r="AF761" s="112" t="str">
        <f t="shared" si="22"/>
        <v/>
      </c>
      <c r="AG761" s="113" t="str">
        <f>IF(AF761="","",COUNTIF(AF761:AF$3000,AF761))</f>
        <v/>
      </c>
      <c r="AH761" s="114" t="str">
        <f t="shared" si="23"/>
        <v/>
      </c>
    </row>
    <row r="762" spans="6:34" x14ac:dyDescent="0.3">
      <c r="F762" s="35"/>
      <c r="J762" s="35"/>
      <c r="K762" s="35"/>
      <c r="L762" s="35"/>
      <c r="AD762" s="73"/>
      <c r="AF762" s="112" t="str">
        <f t="shared" si="22"/>
        <v/>
      </c>
      <c r="AG762" s="113" t="str">
        <f>IF(AF762="","",COUNTIF(AF762:AF$3000,AF762))</f>
        <v/>
      </c>
      <c r="AH762" s="114" t="str">
        <f t="shared" si="23"/>
        <v/>
      </c>
    </row>
    <row r="763" spans="6:34" x14ac:dyDescent="0.3">
      <c r="F763" s="35"/>
      <c r="J763" s="35"/>
      <c r="K763" s="35"/>
      <c r="L763" s="35"/>
      <c r="AD763" s="73"/>
      <c r="AF763" s="112" t="str">
        <f t="shared" si="22"/>
        <v/>
      </c>
      <c r="AG763" s="113" t="str">
        <f>IF(AF763="","",COUNTIF(AF763:AF$3000,AF763))</f>
        <v/>
      </c>
      <c r="AH763" s="114" t="str">
        <f t="shared" si="23"/>
        <v/>
      </c>
    </row>
    <row r="764" spans="6:34" x14ac:dyDescent="0.3">
      <c r="F764" s="35"/>
      <c r="J764" s="35"/>
      <c r="K764" s="35"/>
      <c r="L764" s="35"/>
      <c r="AD764" s="73"/>
      <c r="AF764" s="112" t="str">
        <f t="shared" si="22"/>
        <v/>
      </c>
      <c r="AG764" s="113" t="str">
        <f>IF(AF764="","",COUNTIF(AF764:AF$3000,AF764))</f>
        <v/>
      </c>
      <c r="AH764" s="114" t="str">
        <f t="shared" si="23"/>
        <v/>
      </c>
    </row>
    <row r="765" spans="6:34" x14ac:dyDescent="0.3">
      <c r="F765" s="35"/>
      <c r="J765" s="35"/>
      <c r="K765" s="35"/>
      <c r="L765" s="35"/>
      <c r="AD765" s="73"/>
      <c r="AF765" s="112" t="str">
        <f t="shared" si="22"/>
        <v/>
      </c>
      <c r="AG765" s="113" t="str">
        <f>IF(AF765="","",COUNTIF(AF765:AF$3000,AF765))</f>
        <v/>
      </c>
      <c r="AH765" s="114" t="str">
        <f t="shared" si="23"/>
        <v/>
      </c>
    </row>
    <row r="766" spans="6:34" x14ac:dyDescent="0.3">
      <c r="F766" s="35"/>
      <c r="J766" s="35"/>
      <c r="K766" s="35"/>
      <c r="L766" s="35"/>
      <c r="AD766" s="73"/>
      <c r="AF766" s="112" t="str">
        <f t="shared" si="22"/>
        <v/>
      </c>
      <c r="AG766" s="113" t="str">
        <f>IF(AF766="","",COUNTIF(AF766:AF$3000,AF766))</f>
        <v/>
      </c>
      <c r="AH766" s="114" t="str">
        <f t="shared" si="23"/>
        <v/>
      </c>
    </row>
    <row r="767" spans="6:34" x14ac:dyDescent="0.3">
      <c r="F767" s="35"/>
      <c r="J767" s="35"/>
      <c r="K767" s="35"/>
      <c r="L767" s="35"/>
      <c r="AD767" s="73"/>
      <c r="AF767" s="112" t="str">
        <f t="shared" si="22"/>
        <v/>
      </c>
      <c r="AG767" s="113" t="str">
        <f>IF(AF767="","",COUNTIF(AF767:AF$3000,AF767))</f>
        <v/>
      </c>
      <c r="AH767" s="114" t="str">
        <f t="shared" si="23"/>
        <v/>
      </c>
    </row>
    <row r="768" spans="6:34" x14ac:dyDescent="0.3">
      <c r="F768" s="35"/>
      <c r="J768" s="35"/>
      <c r="K768" s="35"/>
      <c r="L768" s="35"/>
      <c r="AD768" s="73"/>
      <c r="AF768" s="112" t="str">
        <f t="shared" si="22"/>
        <v/>
      </c>
      <c r="AG768" s="113" t="str">
        <f>IF(AF768="","",COUNTIF(AF768:AF$3000,AF768))</f>
        <v/>
      </c>
      <c r="AH768" s="114" t="str">
        <f t="shared" si="23"/>
        <v/>
      </c>
    </row>
    <row r="769" spans="6:34" x14ac:dyDescent="0.3">
      <c r="F769" s="35"/>
      <c r="J769" s="35"/>
      <c r="K769" s="35"/>
      <c r="L769" s="35"/>
      <c r="AD769" s="73"/>
      <c r="AF769" s="112" t="str">
        <f t="shared" si="22"/>
        <v/>
      </c>
      <c r="AG769" s="113" t="str">
        <f>IF(AF769="","",COUNTIF(AF769:AF$3000,AF769))</f>
        <v/>
      </c>
      <c r="AH769" s="114" t="str">
        <f t="shared" si="23"/>
        <v/>
      </c>
    </row>
    <row r="770" spans="6:34" x14ac:dyDescent="0.3">
      <c r="F770" s="35"/>
      <c r="J770" s="35"/>
      <c r="K770" s="35"/>
      <c r="L770" s="35"/>
      <c r="AD770" s="73"/>
      <c r="AF770" s="112" t="str">
        <f t="shared" si="22"/>
        <v/>
      </c>
      <c r="AG770" s="113" t="str">
        <f>IF(AF770="","",COUNTIF(AF770:AF$3000,AF770))</f>
        <v/>
      </c>
      <c r="AH770" s="114" t="str">
        <f t="shared" si="23"/>
        <v/>
      </c>
    </row>
    <row r="771" spans="6:34" x14ac:dyDescent="0.3">
      <c r="F771" s="35"/>
      <c r="J771" s="35"/>
      <c r="K771" s="35"/>
      <c r="L771" s="35"/>
      <c r="AD771" s="73"/>
      <c r="AF771" s="112" t="str">
        <f t="shared" si="22"/>
        <v/>
      </c>
      <c r="AG771" s="113" t="str">
        <f>IF(AF771="","",COUNTIF(AF771:AF$3000,AF771))</f>
        <v/>
      </c>
      <c r="AH771" s="114" t="str">
        <f t="shared" si="23"/>
        <v/>
      </c>
    </row>
    <row r="772" spans="6:34" x14ac:dyDescent="0.3">
      <c r="F772" s="35"/>
      <c r="J772" s="35"/>
      <c r="K772" s="35"/>
      <c r="L772" s="35"/>
      <c r="AD772" s="73"/>
      <c r="AF772" s="112" t="str">
        <f t="shared" ref="AF772:AF835" si="24">IF(B772="","",TEXT(J772,"DD/MM/AA")&amp;"_"&amp;S772&amp;"_"&amp;V772)</f>
        <v/>
      </c>
      <c r="AG772" s="113" t="str">
        <f>IF(AF772="","",COUNTIF(AF772:AF$3000,AF772))</f>
        <v/>
      </c>
      <c r="AH772" s="114" t="str">
        <f t="shared" ref="AH772:AH835" si="25">IF(AA772="","",
IF(AG772&gt;1,"",
IF(SUMIF(AF$3:AF$31,AF772,H$3:H$31)/10&lt;1,1,SUMIF(AF$3:AF$31,AF772,H$3:H$31)/10)))</f>
        <v/>
      </c>
    </row>
    <row r="773" spans="6:34" x14ac:dyDescent="0.3">
      <c r="F773" s="35"/>
      <c r="J773" s="35"/>
      <c r="K773" s="35"/>
      <c r="L773" s="35"/>
      <c r="AD773" s="73"/>
      <c r="AF773" s="112" t="str">
        <f t="shared" si="24"/>
        <v/>
      </c>
      <c r="AG773" s="113" t="str">
        <f>IF(AF773="","",COUNTIF(AF773:AF$3000,AF773))</f>
        <v/>
      </c>
      <c r="AH773" s="114" t="str">
        <f t="shared" si="25"/>
        <v/>
      </c>
    </row>
    <row r="774" spans="6:34" x14ac:dyDescent="0.3">
      <c r="F774" s="35"/>
      <c r="J774" s="35"/>
      <c r="K774" s="35"/>
      <c r="L774" s="35"/>
      <c r="AD774" s="73"/>
      <c r="AF774" s="112" t="str">
        <f t="shared" si="24"/>
        <v/>
      </c>
      <c r="AG774" s="113" t="str">
        <f>IF(AF774="","",COUNTIF(AF774:AF$3000,AF774))</f>
        <v/>
      </c>
      <c r="AH774" s="114" t="str">
        <f t="shared" si="25"/>
        <v/>
      </c>
    </row>
    <row r="775" spans="6:34" x14ac:dyDescent="0.3">
      <c r="F775" s="35"/>
      <c r="J775" s="35"/>
      <c r="K775" s="35"/>
      <c r="L775" s="35"/>
      <c r="AD775" s="73"/>
      <c r="AF775" s="112" t="str">
        <f t="shared" si="24"/>
        <v/>
      </c>
      <c r="AG775" s="113" t="str">
        <f>IF(AF775="","",COUNTIF(AF775:AF$3000,AF775))</f>
        <v/>
      </c>
      <c r="AH775" s="114" t="str">
        <f t="shared" si="25"/>
        <v/>
      </c>
    </row>
    <row r="776" spans="6:34" x14ac:dyDescent="0.3">
      <c r="F776" s="35"/>
      <c r="J776" s="35"/>
      <c r="K776" s="35"/>
      <c r="L776" s="35"/>
      <c r="AD776" s="73"/>
      <c r="AF776" s="112" t="str">
        <f t="shared" si="24"/>
        <v/>
      </c>
      <c r="AG776" s="113" t="str">
        <f>IF(AF776="","",COUNTIF(AF776:AF$3000,AF776))</f>
        <v/>
      </c>
      <c r="AH776" s="114" t="str">
        <f t="shared" si="25"/>
        <v/>
      </c>
    </row>
    <row r="777" spans="6:34" x14ac:dyDescent="0.3">
      <c r="F777" s="35"/>
      <c r="J777" s="35"/>
      <c r="K777" s="35"/>
      <c r="L777" s="35"/>
      <c r="AD777" s="73"/>
      <c r="AF777" s="112" t="str">
        <f t="shared" si="24"/>
        <v/>
      </c>
      <c r="AG777" s="113" t="str">
        <f>IF(AF777="","",COUNTIF(AF777:AF$3000,AF777))</f>
        <v/>
      </c>
      <c r="AH777" s="114" t="str">
        <f t="shared" si="25"/>
        <v/>
      </c>
    </row>
    <row r="778" spans="6:34" x14ac:dyDescent="0.3">
      <c r="F778" s="35"/>
      <c r="J778" s="35"/>
      <c r="K778" s="35"/>
      <c r="L778" s="35"/>
      <c r="AD778" s="73"/>
      <c r="AF778" s="112" t="str">
        <f t="shared" si="24"/>
        <v/>
      </c>
      <c r="AG778" s="113" t="str">
        <f>IF(AF778="","",COUNTIF(AF778:AF$3000,AF778))</f>
        <v/>
      </c>
      <c r="AH778" s="114" t="str">
        <f t="shared" si="25"/>
        <v/>
      </c>
    </row>
    <row r="779" spans="6:34" x14ac:dyDescent="0.3">
      <c r="F779" s="35"/>
      <c r="J779" s="35"/>
      <c r="K779" s="35"/>
      <c r="L779" s="35"/>
      <c r="AD779" s="73"/>
      <c r="AF779" s="112" t="str">
        <f t="shared" si="24"/>
        <v/>
      </c>
      <c r="AG779" s="113" t="str">
        <f>IF(AF779="","",COUNTIF(AF779:AF$3000,AF779))</f>
        <v/>
      </c>
      <c r="AH779" s="114" t="str">
        <f t="shared" si="25"/>
        <v/>
      </c>
    </row>
    <row r="780" spans="6:34" x14ac:dyDescent="0.3">
      <c r="F780" s="35"/>
      <c r="J780" s="35"/>
      <c r="K780" s="35"/>
      <c r="L780" s="35"/>
      <c r="AD780" s="73"/>
      <c r="AF780" s="112" t="str">
        <f t="shared" si="24"/>
        <v/>
      </c>
      <c r="AG780" s="113" t="str">
        <f>IF(AF780="","",COUNTIF(AF780:AF$3000,AF780))</f>
        <v/>
      </c>
      <c r="AH780" s="114" t="str">
        <f t="shared" si="25"/>
        <v/>
      </c>
    </row>
    <row r="781" spans="6:34" x14ac:dyDescent="0.3">
      <c r="F781" s="35"/>
      <c r="J781" s="35"/>
      <c r="K781" s="35"/>
      <c r="L781" s="35"/>
      <c r="AD781" s="73"/>
      <c r="AF781" s="112" t="str">
        <f t="shared" si="24"/>
        <v/>
      </c>
      <c r="AG781" s="113" t="str">
        <f>IF(AF781="","",COUNTIF(AF781:AF$3000,AF781))</f>
        <v/>
      </c>
      <c r="AH781" s="114" t="str">
        <f t="shared" si="25"/>
        <v/>
      </c>
    </row>
    <row r="782" spans="6:34" x14ac:dyDescent="0.3">
      <c r="F782" s="35"/>
      <c r="J782" s="35"/>
      <c r="K782" s="35"/>
      <c r="L782" s="35"/>
      <c r="AD782" s="73"/>
      <c r="AF782" s="112" t="str">
        <f t="shared" si="24"/>
        <v/>
      </c>
      <c r="AG782" s="113" t="str">
        <f>IF(AF782="","",COUNTIF(AF782:AF$3000,AF782))</f>
        <v/>
      </c>
      <c r="AH782" s="114" t="str">
        <f t="shared" si="25"/>
        <v/>
      </c>
    </row>
    <row r="783" spans="6:34" x14ac:dyDescent="0.3">
      <c r="F783" s="35"/>
      <c r="J783" s="35"/>
      <c r="K783" s="35"/>
      <c r="L783" s="35"/>
      <c r="AD783" s="73"/>
      <c r="AF783" s="112" t="str">
        <f t="shared" si="24"/>
        <v/>
      </c>
      <c r="AG783" s="113" t="str">
        <f>IF(AF783="","",COUNTIF(AF783:AF$3000,AF783))</f>
        <v/>
      </c>
      <c r="AH783" s="114" t="str">
        <f t="shared" si="25"/>
        <v/>
      </c>
    </row>
    <row r="784" spans="6:34" x14ac:dyDescent="0.3">
      <c r="F784" s="35"/>
      <c r="J784" s="35"/>
      <c r="K784" s="35"/>
      <c r="L784" s="35"/>
      <c r="AD784" s="73"/>
      <c r="AF784" s="112" t="str">
        <f t="shared" si="24"/>
        <v/>
      </c>
      <c r="AG784" s="113" t="str">
        <f>IF(AF784="","",COUNTIF(AF784:AF$3000,AF784))</f>
        <v/>
      </c>
      <c r="AH784" s="114" t="str">
        <f t="shared" si="25"/>
        <v/>
      </c>
    </row>
    <row r="785" spans="6:34" x14ac:dyDescent="0.3">
      <c r="F785" s="35"/>
      <c r="J785" s="35"/>
      <c r="K785" s="35"/>
      <c r="L785" s="35"/>
      <c r="AD785" s="73"/>
      <c r="AF785" s="112" t="str">
        <f t="shared" si="24"/>
        <v/>
      </c>
      <c r="AG785" s="113" t="str">
        <f>IF(AF785="","",COUNTIF(AF785:AF$3000,AF785))</f>
        <v/>
      </c>
      <c r="AH785" s="114" t="str">
        <f t="shared" si="25"/>
        <v/>
      </c>
    </row>
    <row r="786" spans="6:34" x14ac:dyDescent="0.3">
      <c r="F786" s="35"/>
      <c r="J786" s="35"/>
      <c r="K786" s="35"/>
      <c r="L786" s="35"/>
      <c r="AD786" s="73"/>
      <c r="AF786" s="112" t="str">
        <f t="shared" si="24"/>
        <v/>
      </c>
      <c r="AG786" s="113" t="str">
        <f>IF(AF786="","",COUNTIF(AF786:AF$3000,AF786))</f>
        <v/>
      </c>
      <c r="AH786" s="114" t="str">
        <f t="shared" si="25"/>
        <v/>
      </c>
    </row>
    <row r="787" spans="6:34" x14ac:dyDescent="0.3">
      <c r="F787" s="35"/>
      <c r="J787" s="35"/>
      <c r="K787" s="35"/>
      <c r="L787" s="35"/>
      <c r="AD787" s="73"/>
      <c r="AF787" s="112" t="str">
        <f t="shared" si="24"/>
        <v/>
      </c>
      <c r="AG787" s="113" t="str">
        <f>IF(AF787="","",COUNTIF(AF787:AF$3000,AF787))</f>
        <v/>
      </c>
      <c r="AH787" s="114" t="str">
        <f t="shared" si="25"/>
        <v/>
      </c>
    </row>
    <row r="788" spans="6:34" x14ac:dyDescent="0.3">
      <c r="F788" s="35"/>
      <c r="J788" s="35"/>
      <c r="K788" s="35"/>
      <c r="L788" s="35"/>
      <c r="AD788" s="73"/>
      <c r="AF788" s="112" t="str">
        <f t="shared" si="24"/>
        <v/>
      </c>
      <c r="AG788" s="113" t="str">
        <f>IF(AF788="","",COUNTIF(AF788:AF$3000,AF788))</f>
        <v/>
      </c>
      <c r="AH788" s="114" t="str">
        <f t="shared" si="25"/>
        <v/>
      </c>
    </row>
    <row r="789" spans="6:34" x14ac:dyDescent="0.3">
      <c r="F789" s="35"/>
      <c r="J789" s="35"/>
      <c r="K789" s="35"/>
      <c r="L789" s="35"/>
      <c r="AD789" s="73"/>
      <c r="AF789" s="112" t="str">
        <f t="shared" si="24"/>
        <v/>
      </c>
      <c r="AG789" s="113" t="str">
        <f>IF(AF789="","",COUNTIF(AF789:AF$3000,AF789))</f>
        <v/>
      </c>
      <c r="AH789" s="114" t="str">
        <f t="shared" si="25"/>
        <v/>
      </c>
    </row>
    <row r="790" spans="6:34" x14ac:dyDescent="0.3">
      <c r="F790" s="35"/>
      <c r="J790" s="35"/>
      <c r="K790" s="35"/>
      <c r="L790" s="35"/>
      <c r="AD790" s="73"/>
      <c r="AF790" s="112" t="str">
        <f t="shared" si="24"/>
        <v/>
      </c>
      <c r="AG790" s="113" t="str">
        <f>IF(AF790="","",COUNTIF(AF790:AF$3000,AF790))</f>
        <v/>
      </c>
      <c r="AH790" s="114" t="str">
        <f t="shared" si="25"/>
        <v/>
      </c>
    </row>
    <row r="791" spans="6:34" x14ac:dyDescent="0.3">
      <c r="F791" s="35"/>
      <c r="J791" s="35"/>
      <c r="K791" s="35"/>
      <c r="L791" s="35"/>
      <c r="AD791" s="73"/>
      <c r="AF791" s="112" t="str">
        <f t="shared" si="24"/>
        <v/>
      </c>
      <c r="AG791" s="113" t="str">
        <f>IF(AF791="","",COUNTIF(AF791:AF$3000,AF791))</f>
        <v/>
      </c>
      <c r="AH791" s="114" t="str">
        <f t="shared" si="25"/>
        <v/>
      </c>
    </row>
    <row r="792" spans="6:34" x14ac:dyDescent="0.3">
      <c r="F792" s="35"/>
      <c r="J792" s="35"/>
      <c r="K792" s="35"/>
      <c r="L792" s="35"/>
      <c r="AD792" s="73"/>
      <c r="AF792" s="112" t="str">
        <f t="shared" si="24"/>
        <v/>
      </c>
      <c r="AG792" s="113" t="str">
        <f>IF(AF792="","",COUNTIF(AF792:AF$3000,AF792))</f>
        <v/>
      </c>
      <c r="AH792" s="114" t="str">
        <f t="shared" si="25"/>
        <v/>
      </c>
    </row>
    <row r="793" spans="6:34" x14ac:dyDescent="0.3">
      <c r="F793" s="35"/>
      <c r="J793" s="35"/>
      <c r="K793" s="35"/>
      <c r="L793" s="35"/>
      <c r="AD793" s="73"/>
      <c r="AF793" s="112" t="str">
        <f t="shared" si="24"/>
        <v/>
      </c>
      <c r="AG793" s="113" t="str">
        <f>IF(AF793="","",COUNTIF(AF793:AF$3000,AF793))</f>
        <v/>
      </c>
      <c r="AH793" s="114" t="str">
        <f t="shared" si="25"/>
        <v/>
      </c>
    </row>
    <row r="794" spans="6:34" x14ac:dyDescent="0.3">
      <c r="F794" s="35"/>
      <c r="J794" s="35"/>
      <c r="K794" s="35"/>
      <c r="L794" s="35"/>
      <c r="AD794" s="73"/>
      <c r="AF794" s="112" t="str">
        <f t="shared" si="24"/>
        <v/>
      </c>
      <c r="AG794" s="113" t="str">
        <f>IF(AF794="","",COUNTIF(AF794:AF$3000,AF794))</f>
        <v/>
      </c>
      <c r="AH794" s="114" t="str">
        <f t="shared" si="25"/>
        <v/>
      </c>
    </row>
    <row r="795" spans="6:34" x14ac:dyDescent="0.3">
      <c r="F795" s="35"/>
      <c r="J795" s="35"/>
      <c r="K795" s="35"/>
      <c r="L795" s="35"/>
      <c r="AD795" s="73"/>
      <c r="AF795" s="112" t="str">
        <f t="shared" si="24"/>
        <v/>
      </c>
      <c r="AG795" s="113" t="str">
        <f>IF(AF795="","",COUNTIF(AF795:AF$3000,AF795))</f>
        <v/>
      </c>
      <c r="AH795" s="114" t="str">
        <f t="shared" si="25"/>
        <v/>
      </c>
    </row>
    <row r="796" spans="6:34" x14ac:dyDescent="0.3">
      <c r="F796" s="35"/>
      <c r="J796" s="35"/>
      <c r="K796" s="35"/>
      <c r="L796" s="35"/>
      <c r="AD796" s="73"/>
      <c r="AF796" s="112" t="str">
        <f t="shared" si="24"/>
        <v/>
      </c>
      <c r="AG796" s="113" t="str">
        <f>IF(AF796="","",COUNTIF(AF796:AF$3000,AF796))</f>
        <v/>
      </c>
      <c r="AH796" s="114" t="str">
        <f t="shared" si="25"/>
        <v/>
      </c>
    </row>
    <row r="797" spans="6:34" x14ac:dyDescent="0.3">
      <c r="F797" s="35"/>
      <c r="J797" s="35"/>
      <c r="K797" s="35"/>
      <c r="L797" s="35"/>
      <c r="AD797" s="73"/>
      <c r="AF797" s="112" t="str">
        <f t="shared" si="24"/>
        <v/>
      </c>
      <c r="AG797" s="113" t="str">
        <f>IF(AF797="","",COUNTIF(AF797:AF$3000,AF797))</f>
        <v/>
      </c>
      <c r="AH797" s="114" t="str">
        <f t="shared" si="25"/>
        <v/>
      </c>
    </row>
    <row r="798" spans="6:34" x14ac:dyDescent="0.3">
      <c r="F798" s="35"/>
      <c r="J798" s="35"/>
      <c r="K798" s="35"/>
      <c r="L798" s="35"/>
      <c r="AD798" s="73"/>
      <c r="AF798" s="112" t="str">
        <f t="shared" si="24"/>
        <v/>
      </c>
      <c r="AG798" s="113" t="str">
        <f>IF(AF798="","",COUNTIF(AF798:AF$3000,AF798))</f>
        <v/>
      </c>
      <c r="AH798" s="114" t="str">
        <f t="shared" si="25"/>
        <v/>
      </c>
    </row>
    <row r="799" spans="6:34" x14ac:dyDescent="0.3">
      <c r="F799" s="35"/>
      <c r="J799" s="35"/>
      <c r="K799" s="35"/>
      <c r="L799" s="35"/>
      <c r="AD799" s="73"/>
      <c r="AF799" s="112" t="str">
        <f t="shared" si="24"/>
        <v/>
      </c>
      <c r="AG799" s="113" t="str">
        <f>IF(AF799="","",COUNTIF(AF799:AF$3000,AF799))</f>
        <v/>
      </c>
      <c r="AH799" s="114" t="str">
        <f t="shared" si="25"/>
        <v/>
      </c>
    </row>
    <row r="800" spans="6:34" x14ac:dyDescent="0.3">
      <c r="F800" s="35"/>
      <c r="J800" s="35"/>
      <c r="K800" s="35"/>
      <c r="L800" s="35"/>
      <c r="AD800" s="73"/>
      <c r="AF800" s="112" t="str">
        <f t="shared" si="24"/>
        <v/>
      </c>
      <c r="AG800" s="113" t="str">
        <f>IF(AF800="","",COUNTIF(AF800:AF$3000,AF800))</f>
        <v/>
      </c>
      <c r="AH800" s="114" t="str">
        <f t="shared" si="25"/>
        <v/>
      </c>
    </row>
    <row r="801" spans="6:34" x14ac:dyDescent="0.3">
      <c r="F801" s="35"/>
      <c r="J801" s="35"/>
      <c r="K801" s="35"/>
      <c r="L801" s="35"/>
      <c r="AD801" s="73"/>
      <c r="AF801" s="112" t="str">
        <f t="shared" si="24"/>
        <v/>
      </c>
      <c r="AG801" s="113" t="str">
        <f>IF(AF801="","",COUNTIF(AF801:AF$3000,AF801))</f>
        <v/>
      </c>
      <c r="AH801" s="114" t="str">
        <f t="shared" si="25"/>
        <v/>
      </c>
    </row>
    <row r="802" spans="6:34" x14ac:dyDescent="0.3">
      <c r="F802" s="35"/>
      <c r="J802" s="35"/>
      <c r="K802" s="35"/>
      <c r="L802" s="35"/>
      <c r="AD802" s="73"/>
      <c r="AF802" s="112" t="str">
        <f t="shared" si="24"/>
        <v/>
      </c>
      <c r="AG802" s="113" t="str">
        <f>IF(AF802="","",COUNTIF(AF802:AF$3000,AF802))</f>
        <v/>
      </c>
      <c r="AH802" s="114" t="str">
        <f t="shared" si="25"/>
        <v/>
      </c>
    </row>
    <row r="803" spans="6:34" x14ac:dyDescent="0.3">
      <c r="F803" s="35"/>
      <c r="J803" s="35"/>
      <c r="K803" s="35"/>
      <c r="L803" s="35"/>
      <c r="AD803" s="73"/>
      <c r="AF803" s="112" t="str">
        <f t="shared" si="24"/>
        <v/>
      </c>
      <c r="AG803" s="113" t="str">
        <f>IF(AF803="","",COUNTIF(AF803:AF$3000,AF803))</f>
        <v/>
      </c>
      <c r="AH803" s="114" t="str">
        <f t="shared" si="25"/>
        <v/>
      </c>
    </row>
    <row r="804" spans="6:34" x14ac:dyDescent="0.3">
      <c r="F804" s="35"/>
      <c r="J804" s="35"/>
      <c r="K804" s="35"/>
      <c r="L804" s="35"/>
      <c r="AD804" s="73"/>
      <c r="AF804" s="112" t="str">
        <f t="shared" si="24"/>
        <v/>
      </c>
      <c r="AG804" s="113" t="str">
        <f>IF(AF804="","",COUNTIF(AF804:AF$3000,AF804))</f>
        <v/>
      </c>
      <c r="AH804" s="114" t="str">
        <f t="shared" si="25"/>
        <v/>
      </c>
    </row>
    <row r="805" spans="6:34" x14ac:dyDescent="0.3">
      <c r="F805" s="35"/>
      <c r="J805" s="35"/>
      <c r="K805" s="35"/>
      <c r="L805" s="35"/>
      <c r="AD805" s="73"/>
      <c r="AF805" s="112" t="str">
        <f t="shared" si="24"/>
        <v/>
      </c>
      <c r="AG805" s="113" t="str">
        <f>IF(AF805="","",COUNTIF(AF805:AF$3000,AF805))</f>
        <v/>
      </c>
      <c r="AH805" s="114" t="str">
        <f t="shared" si="25"/>
        <v/>
      </c>
    </row>
    <row r="806" spans="6:34" x14ac:dyDescent="0.3">
      <c r="F806" s="35"/>
      <c r="J806" s="35"/>
      <c r="K806" s="35"/>
      <c r="L806" s="35"/>
      <c r="AD806" s="73"/>
      <c r="AF806" s="112" t="str">
        <f t="shared" si="24"/>
        <v/>
      </c>
      <c r="AG806" s="113" t="str">
        <f>IF(AF806="","",COUNTIF(AF806:AF$3000,AF806))</f>
        <v/>
      </c>
      <c r="AH806" s="114" t="str">
        <f t="shared" si="25"/>
        <v/>
      </c>
    </row>
    <row r="807" spans="6:34" x14ac:dyDescent="0.3">
      <c r="F807" s="35"/>
      <c r="J807" s="35"/>
      <c r="K807" s="35"/>
      <c r="L807" s="35"/>
      <c r="AD807" s="73"/>
      <c r="AF807" s="112" t="str">
        <f t="shared" si="24"/>
        <v/>
      </c>
      <c r="AG807" s="113" t="str">
        <f>IF(AF807="","",COUNTIF(AF807:AF$3000,AF807))</f>
        <v/>
      </c>
      <c r="AH807" s="114" t="str">
        <f t="shared" si="25"/>
        <v/>
      </c>
    </row>
    <row r="808" spans="6:34" x14ac:dyDescent="0.3">
      <c r="F808" s="35"/>
      <c r="J808" s="35"/>
      <c r="K808" s="35"/>
      <c r="L808" s="35"/>
      <c r="AD808" s="73"/>
      <c r="AF808" s="112" t="str">
        <f t="shared" si="24"/>
        <v/>
      </c>
      <c r="AG808" s="113" t="str">
        <f>IF(AF808="","",COUNTIF(AF808:AF$3000,AF808))</f>
        <v/>
      </c>
      <c r="AH808" s="114" t="str">
        <f t="shared" si="25"/>
        <v/>
      </c>
    </row>
    <row r="809" spans="6:34" x14ac:dyDescent="0.3">
      <c r="F809" s="35"/>
      <c r="J809" s="35"/>
      <c r="K809" s="35"/>
      <c r="L809" s="35"/>
      <c r="AD809" s="73"/>
      <c r="AF809" s="112" t="str">
        <f t="shared" si="24"/>
        <v/>
      </c>
      <c r="AG809" s="113" t="str">
        <f>IF(AF809="","",COUNTIF(AF809:AF$3000,AF809))</f>
        <v/>
      </c>
      <c r="AH809" s="114" t="str">
        <f t="shared" si="25"/>
        <v/>
      </c>
    </row>
    <row r="810" spans="6:34" x14ac:dyDescent="0.3">
      <c r="F810" s="35"/>
      <c r="J810" s="35"/>
      <c r="K810" s="35"/>
      <c r="L810" s="35"/>
      <c r="AD810" s="73"/>
      <c r="AF810" s="112" t="str">
        <f t="shared" si="24"/>
        <v/>
      </c>
      <c r="AG810" s="113" t="str">
        <f>IF(AF810="","",COUNTIF(AF810:AF$3000,AF810))</f>
        <v/>
      </c>
      <c r="AH810" s="114" t="str">
        <f t="shared" si="25"/>
        <v/>
      </c>
    </row>
    <row r="811" spans="6:34" x14ac:dyDescent="0.3">
      <c r="F811" s="35"/>
      <c r="J811" s="35"/>
      <c r="K811" s="35"/>
      <c r="L811" s="35"/>
      <c r="AD811" s="73"/>
      <c r="AF811" s="112" t="str">
        <f t="shared" si="24"/>
        <v/>
      </c>
      <c r="AG811" s="113" t="str">
        <f>IF(AF811="","",COUNTIF(AF811:AF$3000,AF811))</f>
        <v/>
      </c>
      <c r="AH811" s="114" t="str">
        <f t="shared" si="25"/>
        <v/>
      </c>
    </row>
    <row r="812" spans="6:34" x14ac:dyDescent="0.3">
      <c r="F812" s="35"/>
      <c r="J812" s="35"/>
      <c r="K812" s="35"/>
      <c r="L812" s="35"/>
      <c r="AD812" s="73"/>
      <c r="AF812" s="112" t="str">
        <f t="shared" si="24"/>
        <v/>
      </c>
      <c r="AG812" s="113" t="str">
        <f>IF(AF812="","",COUNTIF(AF812:AF$3000,AF812))</f>
        <v/>
      </c>
      <c r="AH812" s="114" t="str">
        <f t="shared" si="25"/>
        <v/>
      </c>
    </row>
    <row r="813" spans="6:34" x14ac:dyDescent="0.3">
      <c r="F813" s="35"/>
      <c r="J813" s="35"/>
      <c r="K813" s="35"/>
      <c r="L813" s="35"/>
      <c r="AD813" s="73"/>
      <c r="AF813" s="112" t="str">
        <f t="shared" si="24"/>
        <v/>
      </c>
      <c r="AG813" s="113" t="str">
        <f>IF(AF813="","",COUNTIF(AF813:AF$3000,AF813))</f>
        <v/>
      </c>
      <c r="AH813" s="114" t="str">
        <f t="shared" si="25"/>
        <v/>
      </c>
    </row>
    <row r="814" spans="6:34" x14ac:dyDescent="0.3">
      <c r="F814" s="35"/>
      <c r="J814" s="35"/>
      <c r="K814" s="35"/>
      <c r="L814" s="35"/>
      <c r="AD814" s="73"/>
      <c r="AF814" s="112" t="str">
        <f t="shared" si="24"/>
        <v/>
      </c>
      <c r="AG814" s="113" t="str">
        <f>IF(AF814="","",COUNTIF(AF814:AF$3000,AF814))</f>
        <v/>
      </c>
      <c r="AH814" s="114" t="str">
        <f t="shared" si="25"/>
        <v/>
      </c>
    </row>
    <row r="815" spans="6:34" x14ac:dyDescent="0.3">
      <c r="F815" s="35"/>
      <c r="J815" s="35"/>
      <c r="K815" s="35"/>
      <c r="L815" s="35"/>
      <c r="AD815" s="73"/>
      <c r="AF815" s="112" t="str">
        <f t="shared" si="24"/>
        <v/>
      </c>
      <c r="AG815" s="113" t="str">
        <f>IF(AF815="","",COUNTIF(AF815:AF$3000,AF815))</f>
        <v/>
      </c>
      <c r="AH815" s="114" t="str">
        <f t="shared" si="25"/>
        <v/>
      </c>
    </row>
    <row r="816" spans="6:34" x14ac:dyDescent="0.3">
      <c r="F816" s="35"/>
      <c r="J816" s="35"/>
      <c r="K816" s="35"/>
      <c r="L816" s="35"/>
      <c r="AD816" s="73"/>
      <c r="AF816" s="112" t="str">
        <f t="shared" si="24"/>
        <v/>
      </c>
      <c r="AG816" s="113" t="str">
        <f>IF(AF816="","",COUNTIF(AF816:AF$3000,AF816))</f>
        <v/>
      </c>
      <c r="AH816" s="114" t="str">
        <f t="shared" si="25"/>
        <v/>
      </c>
    </row>
    <row r="817" spans="6:34" x14ac:dyDescent="0.3">
      <c r="F817" s="35"/>
      <c r="J817" s="35"/>
      <c r="K817" s="35"/>
      <c r="L817" s="35"/>
      <c r="AD817" s="73"/>
      <c r="AF817" s="112" t="str">
        <f t="shared" si="24"/>
        <v/>
      </c>
      <c r="AG817" s="113" t="str">
        <f>IF(AF817="","",COUNTIF(AF817:AF$3000,AF817))</f>
        <v/>
      </c>
      <c r="AH817" s="114" t="str">
        <f t="shared" si="25"/>
        <v/>
      </c>
    </row>
    <row r="818" spans="6:34" x14ac:dyDescent="0.3">
      <c r="F818" s="35"/>
      <c r="J818" s="35"/>
      <c r="K818" s="35"/>
      <c r="L818" s="35"/>
      <c r="AD818" s="73"/>
      <c r="AF818" s="112" t="str">
        <f t="shared" si="24"/>
        <v/>
      </c>
      <c r="AG818" s="113" t="str">
        <f>IF(AF818="","",COUNTIF(AF818:AF$3000,AF818))</f>
        <v/>
      </c>
      <c r="AH818" s="114" t="str">
        <f t="shared" si="25"/>
        <v/>
      </c>
    </row>
    <row r="819" spans="6:34" x14ac:dyDescent="0.3">
      <c r="F819" s="35"/>
      <c r="J819" s="35"/>
      <c r="K819" s="35"/>
      <c r="L819" s="35"/>
      <c r="AD819" s="73"/>
      <c r="AF819" s="112" t="str">
        <f t="shared" si="24"/>
        <v/>
      </c>
      <c r="AG819" s="113" t="str">
        <f>IF(AF819="","",COUNTIF(AF819:AF$3000,AF819))</f>
        <v/>
      </c>
      <c r="AH819" s="114" t="str">
        <f t="shared" si="25"/>
        <v/>
      </c>
    </row>
    <row r="820" spans="6:34" x14ac:dyDescent="0.3">
      <c r="F820" s="35"/>
      <c r="J820" s="35"/>
      <c r="K820" s="35"/>
      <c r="L820" s="35"/>
      <c r="AD820" s="73"/>
      <c r="AF820" s="112" t="str">
        <f t="shared" si="24"/>
        <v/>
      </c>
      <c r="AG820" s="113" t="str">
        <f>IF(AF820="","",COUNTIF(AF820:AF$3000,AF820))</f>
        <v/>
      </c>
      <c r="AH820" s="114" t="str">
        <f t="shared" si="25"/>
        <v/>
      </c>
    </row>
    <row r="821" spans="6:34" x14ac:dyDescent="0.3">
      <c r="F821" s="35"/>
      <c r="J821" s="35"/>
      <c r="K821" s="35"/>
      <c r="L821" s="35"/>
      <c r="AD821" s="73"/>
      <c r="AF821" s="112" t="str">
        <f t="shared" si="24"/>
        <v/>
      </c>
      <c r="AG821" s="113" t="str">
        <f>IF(AF821="","",COUNTIF(AF821:AF$3000,AF821))</f>
        <v/>
      </c>
      <c r="AH821" s="114" t="str">
        <f t="shared" si="25"/>
        <v/>
      </c>
    </row>
    <row r="822" spans="6:34" x14ac:dyDescent="0.3">
      <c r="F822" s="35"/>
      <c r="J822" s="35"/>
      <c r="K822" s="35"/>
      <c r="L822" s="35"/>
      <c r="AD822" s="73"/>
      <c r="AF822" s="112" t="str">
        <f t="shared" si="24"/>
        <v/>
      </c>
      <c r="AG822" s="113" t="str">
        <f>IF(AF822="","",COUNTIF(AF822:AF$3000,AF822))</f>
        <v/>
      </c>
      <c r="AH822" s="114" t="str">
        <f t="shared" si="25"/>
        <v/>
      </c>
    </row>
    <row r="823" spans="6:34" x14ac:dyDescent="0.3">
      <c r="F823" s="35"/>
      <c r="J823" s="35"/>
      <c r="K823" s="35"/>
      <c r="L823" s="35"/>
      <c r="AD823" s="73"/>
      <c r="AF823" s="112" t="str">
        <f t="shared" si="24"/>
        <v/>
      </c>
      <c r="AG823" s="113" t="str">
        <f>IF(AF823="","",COUNTIF(AF823:AF$3000,AF823))</f>
        <v/>
      </c>
      <c r="AH823" s="114" t="str">
        <f t="shared" si="25"/>
        <v/>
      </c>
    </row>
    <row r="824" spans="6:34" x14ac:dyDescent="0.3">
      <c r="F824" s="35"/>
      <c r="J824" s="35"/>
      <c r="K824" s="35"/>
      <c r="L824" s="35"/>
      <c r="AD824" s="73"/>
      <c r="AF824" s="112" t="str">
        <f t="shared" si="24"/>
        <v/>
      </c>
      <c r="AG824" s="113" t="str">
        <f>IF(AF824="","",COUNTIF(AF824:AF$3000,AF824))</f>
        <v/>
      </c>
      <c r="AH824" s="114" t="str">
        <f t="shared" si="25"/>
        <v/>
      </c>
    </row>
    <row r="825" spans="6:34" x14ac:dyDescent="0.3">
      <c r="F825" s="35"/>
      <c r="J825" s="35"/>
      <c r="K825" s="35"/>
      <c r="L825" s="35"/>
      <c r="AD825" s="73"/>
      <c r="AF825" s="112" t="str">
        <f t="shared" si="24"/>
        <v/>
      </c>
      <c r="AG825" s="113" t="str">
        <f>IF(AF825="","",COUNTIF(AF825:AF$3000,AF825))</f>
        <v/>
      </c>
      <c r="AH825" s="114" t="str">
        <f t="shared" si="25"/>
        <v/>
      </c>
    </row>
    <row r="826" spans="6:34" x14ac:dyDescent="0.3">
      <c r="F826" s="35"/>
      <c r="J826" s="35"/>
      <c r="K826" s="35"/>
      <c r="L826" s="35"/>
      <c r="AD826" s="73"/>
      <c r="AF826" s="112" t="str">
        <f t="shared" si="24"/>
        <v/>
      </c>
      <c r="AG826" s="113" t="str">
        <f>IF(AF826="","",COUNTIF(AF826:AF$3000,AF826))</f>
        <v/>
      </c>
      <c r="AH826" s="114" t="str">
        <f t="shared" si="25"/>
        <v/>
      </c>
    </row>
    <row r="827" spans="6:34" x14ac:dyDescent="0.3">
      <c r="F827" s="35"/>
      <c r="J827" s="35"/>
      <c r="K827" s="35"/>
      <c r="L827" s="35"/>
      <c r="AD827" s="73"/>
      <c r="AF827" s="112" t="str">
        <f t="shared" si="24"/>
        <v/>
      </c>
      <c r="AG827" s="113" t="str">
        <f>IF(AF827="","",COUNTIF(AF827:AF$3000,AF827))</f>
        <v/>
      </c>
      <c r="AH827" s="114" t="str">
        <f t="shared" si="25"/>
        <v/>
      </c>
    </row>
    <row r="828" spans="6:34" x14ac:dyDescent="0.3">
      <c r="F828" s="35"/>
      <c r="J828" s="35"/>
      <c r="K828" s="35"/>
      <c r="L828" s="35"/>
      <c r="AD828" s="73"/>
      <c r="AF828" s="112" t="str">
        <f t="shared" si="24"/>
        <v/>
      </c>
      <c r="AG828" s="113" t="str">
        <f>IF(AF828="","",COUNTIF(AF828:AF$3000,AF828))</f>
        <v/>
      </c>
      <c r="AH828" s="114" t="str">
        <f t="shared" si="25"/>
        <v/>
      </c>
    </row>
    <row r="829" spans="6:34" x14ac:dyDescent="0.3">
      <c r="F829" s="35"/>
      <c r="J829" s="35"/>
      <c r="K829" s="35"/>
      <c r="L829" s="35"/>
      <c r="AD829" s="73"/>
      <c r="AF829" s="112" t="str">
        <f t="shared" si="24"/>
        <v/>
      </c>
      <c r="AG829" s="113" t="str">
        <f>IF(AF829="","",COUNTIF(AF829:AF$3000,AF829))</f>
        <v/>
      </c>
      <c r="AH829" s="114" t="str">
        <f t="shared" si="25"/>
        <v/>
      </c>
    </row>
    <row r="830" spans="6:34" x14ac:dyDescent="0.3">
      <c r="F830" s="35"/>
      <c r="J830" s="35"/>
      <c r="K830" s="35"/>
      <c r="L830" s="35"/>
      <c r="AD830" s="73"/>
      <c r="AF830" s="112" t="str">
        <f t="shared" si="24"/>
        <v/>
      </c>
      <c r="AG830" s="113" t="str">
        <f>IF(AF830="","",COUNTIF(AF830:AF$3000,AF830))</f>
        <v/>
      </c>
      <c r="AH830" s="114" t="str">
        <f t="shared" si="25"/>
        <v/>
      </c>
    </row>
    <row r="831" spans="6:34" x14ac:dyDescent="0.3">
      <c r="F831" s="35"/>
      <c r="J831" s="35"/>
      <c r="K831" s="35"/>
      <c r="L831" s="35"/>
      <c r="AD831" s="73"/>
      <c r="AF831" s="112" t="str">
        <f t="shared" si="24"/>
        <v/>
      </c>
      <c r="AG831" s="113" t="str">
        <f>IF(AF831="","",COUNTIF(AF831:AF$3000,AF831))</f>
        <v/>
      </c>
      <c r="AH831" s="114" t="str">
        <f t="shared" si="25"/>
        <v/>
      </c>
    </row>
    <row r="832" spans="6:34" x14ac:dyDescent="0.3">
      <c r="F832" s="35"/>
      <c r="J832" s="35"/>
      <c r="K832" s="35"/>
      <c r="L832" s="35"/>
      <c r="AD832" s="73"/>
      <c r="AF832" s="112" t="str">
        <f t="shared" si="24"/>
        <v/>
      </c>
      <c r="AG832" s="113" t="str">
        <f>IF(AF832="","",COUNTIF(AF832:AF$3000,AF832))</f>
        <v/>
      </c>
      <c r="AH832" s="114" t="str">
        <f t="shared" si="25"/>
        <v/>
      </c>
    </row>
    <row r="833" spans="6:34" x14ac:dyDescent="0.3">
      <c r="F833" s="35"/>
      <c r="J833" s="35"/>
      <c r="K833" s="35"/>
      <c r="L833" s="35"/>
      <c r="AD833" s="73"/>
      <c r="AF833" s="112" t="str">
        <f t="shared" si="24"/>
        <v/>
      </c>
      <c r="AG833" s="113" t="str">
        <f>IF(AF833="","",COUNTIF(AF833:AF$3000,AF833))</f>
        <v/>
      </c>
      <c r="AH833" s="114" t="str">
        <f t="shared" si="25"/>
        <v/>
      </c>
    </row>
    <row r="834" spans="6:34" x14ac:dyDescent="0.3">
      <c r="F834" s="35"/>
      <c r="J834" s="35"/>
      <c r="K834" s="35"/>
      <c r="L834" s="35"/>
      <c r="AD834" s="73"/>
      <c r="AF834" s="112" t="str">
        <f t="shared" si="24"/>
        <v/>
      </c>
      <c r="AG834" s="113" t="str">
        <f>IF(AF834="","",COUNTIF(AF834:AF$3000,AF834))</f>
        <v/>
      </c>
      <c r="AH834" s="114" t="str">
        <f t="shared" si="25"/>
        <v/>
      </c>
    </row>
    <row r="835" spans="6:34" x14ac:dyDescent="0.3">
      <c r="F835" s="35"/>
      <c r="J835" s="35"/>
      <c r="K835" s="35"/>
      <c r="L835" s="35"/>
      <c r="AD835" s="73"/>
      <c r="AF835" s="112" t="str">
        <f t="shared" si="24"/>
        <v/>
      </c>
      <c r="AG835" s="113" t="str">
        <f>IF(AF835="","",COUNTIF(AF835:AF$3000,AF835))</f>
        <v/>
      </c>
      <c r="AH835" s="114" t="str">
        <f t="shared" si="25"/>
        <v/>
      </c>
    </row>
    <row r="836" spans="6:34" x14ac:dyDescent="0.3">
      <c r="F836" s="35"/>
      <c r="J836" s="35"/>
      <c r="K836" s="35"/>
      <c r="L836" s="35"/>
      <c r="AD836" s="73"/>
      <c r="AF836" s="112" t="str">
        <f t="shared" ref="AF836:AF899" si="26">IF(B836="","",TEXT(J836,"DD/MM/AA")&amp;"_"&amp;S836&amp;"_"&amp;V836)</f>
        <v/>
      </c>
      <c r="AG836" s="113" t="str">
        <f>IF(AF836="","",COUNTIF(AF836:AF$3000,AF836))</f>
        <v/>
      </c>
      <c r="AH836" s="114" t="str">
        <f t="shared" ref="AH836:AH899" si="27">IF(AA836="","",
IF(AG836&gt;1,"",
IF(SUMIF(AF$3:AF$31,AF836,H$3:H$31)/10&lt;1,1,SUMIF(AF$3:AF$31,AF836,H$3:H$31)/10)))</f>
        <v/>
      </c>
    </row>
    <row r="837" spans="6:34" x14ac:dyDescent="0.3">
      <c r="F837" s="35"/>
      <c r="J837" s="35"/>
      <c r="K837" s="35"/>
      <c r="L837" s="35"/>
      <c r="AD837" s="73"/>
      <c r="AF837" s="112" t="str">
        <f t="shared" si="26"/>
        <v/>
      </c>
      <c r="AG837" s="113" t="str">
        <f>IF(AF837="","",COUNTIF(AF837:AF$3000,AF837))</f>
        <v/>
      </c>
      <c r="AH837" s="114" t="str">
        <f t="shared" si="27"/>
        <v/>
      </c>
    </row>
    <row r="838" spans="6:34" x14ac:dyDescent="0.3">
      <c r="F838" s="35"/>
      <c r="J838" s="35"/>
      <c r="K838" s="35"/>
      <c r="L838" s="35"/>
      <c r="AD838" s="73"/>
      <c r="AF838" s="112" t="str">
        <f t="shared" si="26"/>
        <v/>
      </c>
      <c r="AG838" s="113" t="str">
        <f>IF(AF838="","",COUNTIF(AF838:AF$3000,AF838))</f>
        <v/>
      </c>
      <c r="AH838" s="114" t="str">
        <f t="shared" si="27"/>
        <v/>
      </c>
    </row>
    <row r="839" spans="6:34" x14ac:dyDescent="0.3">
      <c r="F839" s="35"/>
      <c r="J839" s="35"/>
      <c r="K839" s="35"/>
      <c r="L839" s="35"/>
      <c r="AD839" s="73"/>
      <c r="AF839" s="112" t="str">
        <f t="shared" si="26"/>
        <v/>
      </c>
      <c r="AG839" s="113" t="str">
        <f>IF(AF839="","",COUNTIF(AF839:AF$3000,AF839))</f>
        <v/>
      </c>
      <c r="AH839" s="114" t="str">
        <f t="shared" si="27"/>
        <v/>
      </c>
    </row>
    <row r="840" spans="6:34" x14ac:dyDescent="0.3">
      <c r="F840" s="35"/>
      <c r="J840" s="35"/>
      <c r="K840" s="35"/>
      <c r="L840" s="35"/>
      <c r="AD840" s="73"/>
      <c r="AF840" s="112" t="str">
        <f t="shared" si="26"/>
        <v/>
      </c>
      <c r="AG840" s="113" t="str">
        <f>IF(AF840="","",COUNTIF(AF840:AF$3000,AF840))</f>
        <v/>
      </c>
      <c r="AH840" s="114" t="str">
        <f t="shared" si="27"/>
        <v/>
      </c>
    </row>
    <row r="841" spans="6:34" x14ac:dyDescent="0.3">
      <c r="F841" s="35"/>
      <c r="J841" s="35"/>
      <c r="K841" s="35"/>
      <c r="L841" s="35"/>
      <c r="AD841" s="73"/>
      <c r="AF841" s="112" t="str">
        <f t="shared" si="26"/>
        <v/>
      </c>
      <c r="AG841" s="113" t="str">
        <f>IF(AF841="","",COUNTIF(AF841:AF$3000,AF841))</f>
        <v/>
      </c>
      <c r="AH841" s="114" t="str">
        <f t="shared" si="27"/>
        <v/>
      </c>
    </row>
    <row r="842" spans="6:34" x14ac:dyDescent="0.3">
      <c r="F842" s="35"/>
      <c r="J842" s="35"/>
      <c r="K842" s="35"/>
      <c r="L842" s="35"/>
      <c r="AD842" s="73"/>
      <c r="AF842" s="112" t="str">
        <f t="shared" si="26"/>
        <v/>
      </c>
      <c r="AG842" s="113" t="str">
        <f>IF(AF842="","",COUNTIF(AF842:AF$3000,AF842))</f>
        <v/>
      </c>
      <c r="AH842" s="114" t="str">
        <f t="shared" si="27"/>
        <v/>
      </c>
    </row>
    <row r="843" spans="6:34" x14ac:dyDescent="0.3">
      <c r="F843" s="35"/>
      <c r="J843" s="35"/>
      <c r="K843" s="35"/>
      <c r="L843" s="35"/>
      <c r="AD843" s="73"/>
      <c r="AF843" s="112" t="str">
        <f t="shared" si="26"/>
        <v/>
      </c>
      <c r="AG843" s="113" t="str">
        <f>IF(AF843="","",COUNTIF(AF843:AF$3000,AF843))</f>
        <v/>
      </c>
      <c r="AH843" s="114" t="str">
        <f t="shared" si="27"/>
        <v/>
      </c>
    </row>
    <row r="844" spans="6:34" x14ac:dyDescent="0.3">
      <c r="F844" s="35"/>
      <c r="J844" s="35"/>
      <c r="K844" s="35"/>
      <c r="L844" s="35"/>
      <c r="AD844" s="73"/>
      <c r="AF844" s="112" t="str">
        <f t="shared" si="26"/>
        <v/>
      </c>
      <c r="AG844" s="113" t="str">
        <f>IF(AF844="","",COUNTIF(AF844:AF$3000,AF844))</f>
        <v/>
      </c>
      <c r="AH844" s="114" t="str">
        <f t="shared" si="27"/>
        <v/>
      </c>
    </row>
    <row r="845" spans="6:34" x14ac:dyDescent="0.3">
      <c r="F845" s="35"/>
      <c r="J845" s="35"/>
      <c r="K845" s="35"/>
      <c r="L845" s="35"/>
      <c r="AD845" s="73"/>
      <c r="AF845" s="112" t="str">
        <f t="shared" si="26"/>
        <v/>
      </c>
      <c r="AG845" s="113" t="str">
        <f>IF(AF845="","",COUNTIF(AF845:AF$3000,AF845))</f>
        <v/>
      </c>
      <c r="AH845" s="114" t="str">
        <f t="shared" si="27"/>
        <v/>
      </c>
    </row>
    <row r="846" spans="6:34" x14ac:dyDescent="0.3">
      <c r="F846" s="35"/>
      <c r="J846" s="35"/>
      <c r="K846" s="35"/>
      <c r="L846" s="35"/>
      <c r="AD846" s="73"/>
      <c r="AF846" s="112" t="str">
        <f t="shared" si="26"/>
        <v/>
      </c>
      <c r="AG846" s="113" t="str">
        <f>IF(AF846="","",COUNTIF(AF846:AF$3000,AF846))</f>
        <v/>
      </c>
      <c r="AH846" s="114" t="str">
        <f t="shared" si="27"/>
        <v/>
      </c>
    </row>
    <row r="847" spans="6:34" x14ac:dyDescent="0.3">
      <c r="F847" s="35"/>
      <c r="J847" s="35"/>
      <c r="K847" s="35"/>
      <c r="L847" s="35"/>
      <c r="AD847" s="73"/>
      <c r="AF847" s="112" t="str">
        <f t="shared" si="26"/>
        <v/>
      </c>
      <c r="AG847" s="113" t="str">
        <f>IF(AF847="","",COUNTIF(AF847:AF$3000,AF847))</f>
        <v/>
      </c>
      <c r="AH847" s="114" t="str">
        <f t="shared" si="27"/>
        <v/>
      </c>
    </row>
    <row r="848" spans="6:34" x14ac:dyDescent="0.3">
      <c r="F848" s="35"/>
      <c r="J848" s="35"/>
      <c r="K848" s="35"/>
      <c r="L848" s="35"/>
      <c r="AD848" s="73"/>
      <c r="AF848" s="112" t="str">
        <f t="shared" si="26"/>
        <v/>
      </c>
      <c r="AG848" s="113" t="str">
        <f>IF(AF848="","",COUNTIF(AF848:AF$3000,AF848))</f>
        <v/>
      </c>
      <c r="AH848" s="114" t="str">
        <f t="shared" si="27"/>
        <v/>
      </c>
    </row>
    <row r="849" spans="6:34" x14ac:dyDescent="0.3">
      <c r="F849" s="35"/>
      <c r="J849" s="35"/>
      <c r="K849" s="35"/>
      <c r="L849" s="35"/>
      <c r="AD849" s="73"/>
      <c r="AF849" s="112" t="str">
        <f t="shared" si="26"/>
        <v/>
      </c>
      <c r="AG849" s="113" t="str">
        <f>IF(AF849="","",COUNTIF(AF849:AF$3000,AF849))</f>
        <v/>
      </c>
      <c r="AH849" s="114" t="str">
        <f t="shared" si="27"/>
        <v/>
      </c>
    </row>
    <row r="850" spans="6:34" x14ac:dyDescent="0.3">
      <c r="F850" s="35"/>
      <c r="J850" s="35"/>
      <c r="K850" s="35"/>
      <c r="L850" s="35"/>
      <c r="AD850" s="73"/>
      <c r="AF850" s="112" t="str">
        <f t="shared" si="26"/>
        <v/>
      </c>
      <c r="AG850" s="113" t="str">
        <f>IF(AF850="","",COUNTIF(AF850:AF$3000,AF850))</f>
        <v/>
      </c>
      <c r="AH850" s="114" t="str">
        <f t="shared" si="27"/>
        <v/>
      </c>
    </row>
    <row r="851" spans="6:34" x14ac:dyDescent="0.3">
      <c r="F851" s="35"/>
      <c r="J851" s="35"/>
      <c r="K851" s="35"/>
      <c r="L851" s="35"/>
      <c r="AD851" s="73"/>
      <c r="AF851" s="112" t="str">
        <f t="shared" si="26"/>
        <v/>
      </c>
      <c r="AG851" s="113" t="str">
        <f>IF(AF851="","",COUNTIF(AF851:AF$3000,AF851))</f>
        <v/>
      </c>
      <c r="AH851" s="114" t="str">
        <f t="shared" si="27"/>
        <v/>
      </c>
    </row>
    <row r="852" spans="6:34" x14ac:dyDescent="0.3">
      <c r="F852" s="35"/>
      <c r="J852" s="35"/>
      <c r="K852" s="35"/>
      <c r="L852" s="35"/>
      <c r="AD852" s="73"/>
      <c r="AF852" s="112" t="str">
        <f t="shared" si="26"/>
        <v/>
      </c>
      <c r="AG852" s="113" t="str">
        <f>IF(AF852="","",COUNTIF(AF852:AF$3000,AF852))</f>
        <v/>
      </c>
      <c r="AH852" s="114" t="str">
        <f t="shared" si="27"/>
        <v/>
      </c>
    </row>
    <row r="853" spans="6:34" x14ac:dyDescent="0.3">
      <c r="F853" s="35"/>
      <c r="J853" s="35"/>
      <c r="K853" s="35"/>
      <c r="L853" s="35"/>
      <c r="AD853" s="73"/>
      <c r="AF853" s="112" t="str">
        <f t="shared" si="26"/>
        <v/>
      </c>
      <c r="AG853" s="113" t="str">
        <f>IF(AF853="","",COUNTIF(AF853:AF$3000,AF853))</f>
        <v/>
      </c>
      <c r="AH853" s="114" t="str">
        <f t="shared" si="27"/>
        <v/>
      </c>
    </row>
    <row r="854" spans="6:34" x14ac:dyDescent="0.3">
      <c r="F854" s="35"/>
      <c r="J854" s="35"/>
      <c r="K854" s="35"/>
      <c r="L854" s="35"/>
      <c r="AD854" s="73"/>
      <c r="AF854" s="112" t="str">
        <f t="shared" si="26"/>
        <v/>
      </c>
      <c r="AG854" s="113" t="str">
        <f>IF(AF854="","",COUNTIF(AF854:AF$3000,AF854))</f>
        <v/>
      </c>
      <c r="AH854" s="114" t="str">
        <f t="shared" si="27"/>
        <v/>
      </c>
    </row>
    <row r="855" spans="6:34" x14ac:dyDescent="0.3">
      <c r="F855" s="35"/>
      <c r="J855" s="35"/>
      <c r="K855" s="35"/>
      <c r="L855" s="35"/>
      <c r="AD855" s="73"/>
      <c r="AF855" s="112" t="str">
        <f t="shared" si="26"/>
        <v/>
      </c>
      <c r="AG855" s="113" t="str">
        <f>IF(AF855="","",COUNTIF(AF855:AF$3000,AF855))</f>
        <v/>
      </c>
      <c r="AH855" s="114" t="str">
        <f t="shared" si="27"/>
        <v/>
      </c>
    </row>
    <row r="856" spans="6:34" x14ac:dyDescent="0.3">
      <c r="F856" s="35"/>
      <c r="J856" s="35"/>
      <c r="K856" s="35"/>
      <c r="L856" s="35"/>
      <c r="AD856" s="73"/>
      <c r="AF856" s="112" t="str">
        <f t="shared" si="26"/>
        <v/>
      </c>
      <c r="AG856" s="113" t="str">
        <f>IF(AF856="","",COUNTIF(AF856:AF$3000,AF856))</f>
        <v/>
      </c>
      <c r="AH856" s="114" t="str">
        <f t="shared" si="27"/>
        <v/>
      </c>
    </row>
    <row r="857" spans="6:34" x14ac:dyDescent="0.3">
      <c r="F857" s="35"/>
      <c r="J857" s="35"/>
      <c r="K857" s="35"/>
      <c r="L857" s="35"/>
      <c r="AD857" s="73"/>
      <c r="AF857" s="112" t="str">
        <f t="shared" si="26"/>
        <v/>
      </c>
      <c r="AG857" s="113" t="str">
        <f>IF(AF857="","",COUNTIF(AF857:AF$3000,AF857))</f>
        <v/>
      </c>
      <c r="AH857" s="114" t="str">
        <f t="shared" si="27"/>
        <v/>
      </c>
    </row>
    <row r="858" spans="6:34" x14ac:dyDescent="0.3">
      <c r="F858" s="35"/>
      <c r="J858" s="35"/>
      <c r="K858" s="35"/>
      <c r="L858" s="35"/>
      <c r="AD858" s="73"/>
      <c r="AF858" s="112" t="str">
        <f t="shared" si="26"/>
        <v/>
      </c>
      <c r="AG858" s="113" t="str">
        <f>IF(AF858="","",COUNTIF(AF858:AF$3000,AF858))</f>
        <v/>
      </c>
      <c r="AH858" s="114" t="str">
        <f t="shared" si="27"/>
        <v/>
      </c>
    </row>
    <row r="859" spans="6:34" x14ac:dyDescent="0.3">
      <c r="F859" s="35"/>
      <c r="J859" s="35"/>
      <c r="K859" s="35"/>
      <c r="L859" s="35"/>
      <c r="AD859" s="73"/>
      <c r="AF859" s="112" t="str">
        <f t="shared" si="26"/>
        <v/>
      </c>
      <c r="AG859" s="113" t="str">
        <f>IF(AF859="","",COUNTIF(AF859:AF$3000,AF859))</f>
        <v/>
      </c>
      <c r="AH859" s="114" t="str">
        <f t="shared" si="27"/>
        <v/>
      </c>
    </row>
    <row r="860" spans="6:34" x14ac:dyDescent="0.3">
      <c r="F860" s="35"/>
      <c r="J860" s="35"/>
      <c r="K860" s="35"/>
      <c r="L860" s="35"/>
      <c r="AD860" s="73"/>
      <c r="AF860" s="112" t="str">
        <f t="shared" si="26"/>
        <v/>
      </c>
      <c r="AG860" s="113" t="str">
        <f>IF(AF860="","",COUNTIF(AF860:AF$3000,AF860))</f>
        <v/>
      </c>
      <c r="AH860" s="114" t="str">
        <f t="shared" si="27"/>
        <v/>
      </c>
    </row>
    <row r="861" spans="6:34" x14ac:dyDescent="0.3">
      <c r="F861" s="35"/>
      <c r="J861" s="35"/>
      <c r="K861" s="35"/>
      <c r="L861" s="35"/>
      <c r="AD861" s="73"/>
      <c r="AF861" s="112" t="str">
        <f t="shared" si="26"/>
        <v/>
      </c>
      <c r="AG861" s="113" t="str">
        <f>IF(AF861="","",COUNTIF(AF861:AF$3000,AF861))</f>
        <v/>
      </c>
      <c r="AH861" s="114" t="str">
        <f t="shared" si="27"/>
        <v/>
      </c>
    </row>
    <row r="862" spans="6:34" x14ac:dyDescent="0.3">
      <c r="F862" s="35"/>
      <c r="J862" s="35"/>
      <c r="K862" s="35"/>
      <c r="L862" s="35"/>
      <c r="AD862" s="73"/>
      <c r="AF862" s="112" t="str">
        <f t="shared" si="26"/>
        <v/>
      </c>
      <c r="AG862" s="113" t="str">
        <f>IF(AF862="","",COUNTIF(AF862:AF$3000,AF862))</f>
        <v/>
      </c>
      <c r="AH862" s="114" t="str">
        <f t="shared" si="27"/>
        <v/>
      </c>
    </row>
    <row r="863" spans="6:34" x14ac:dyDescent="0.3">
      <c r="F863" s="35"/>
      <c r="J863" s="35"/>
      <c r="K863" s="35"/>
      <c r="L863" s="35"/>
      <c r="AD863" s="73"/>
      <c r="AF863" s="112" t="str">
        <f t="shared" si="26"/>
        <v/>
      </c>
      <c r="AG863" s="113" t="str">
        <f>IF(AF863="","",COUNTIF(AF863:AF$3000,AF863))</f>
        <v/>
      </c>
      <c r="AH863" s="114" t="str">
        <f t="shared" si="27"/>
        <v/>
      </c>
    </row>
    <row r="864" spans="6:34" x14ac:dyDescent="0.3">
      <c r="F864" s="35"/>
      <c r="J864" s="35"/>
      <c r="K864" s="35"/>
      <c r="L864" s="35"/>
      <c r="AD864" s="73"/>
      <c r="AF864" s="112" t="str">
        <f t="shared" si="26"/>
        <v/>
      </c>
      <c r="AG864" s="113" t="str">
        <f>IF(AF864="","",COUNTIF(AF864:AF$3000,AF864))</f>
        <v/>
      </c>
      <c r="AH864" s="114" t="str">
        <f t="shared" si="27"/>
        <v/>
      </c>
    </row>
    <row r="865" spans="6:34" x14ac:dyDescent="0.3">
      <c r="F865" s="35"/>
      <c r="J865" s="35"/>
      <c r="K865" s="35"/>
      <c r="L865" s="35"/>
      <c r="AD865" s="73"/>
      <c r="AF865" s="112" t="str">
        <f t="shared" si="26"/>
        <v/>
      </c>
      <c r="AG865" s="113" t="str">
        <f>IF(AF865="","",COUNTIF(AF865:AF$3000,AF865))</f>
        <v/>
      </c>
      <c r="AH865" s="114" t="str">
        <f t="shared" si="27"/>
        <v/>
      </c>
    </row>
    <row r="866" spans="6:34" x14ac:dyDescent="0.3">
      <c r="F866" s="35"/>
      <c r="J866" s="35"/>
      <c r="K866" s="35"/>
      <c r="L866" s="35"/>
      <c r="AD866" s="73"/>
      <c r="AF866" s="112" t="str">
        <f t="shared" si="26"/>
        <v/>
      </c>
      <c r="AG866" s="113" t="str">
        <f>IF(AF866="","",COUNTIF(AF866:AF$3000,AF866))</f>
        <v/>
      </c>
      <c r="AH866" s="114" t="str">
        <f t="shared" si="27"/>
        <v/>
      </c>
    </row>
    <row r="867" spans="6:34" x14ac:dyDescent="0.3">
      <c r="F867" s="35"/>
      <c r="J867" s="35"/>
      <c r="K867" s="35"/>
      <c r="L867" s="35"/>
      <c r="AD867" s="73"/>
      <c r="AF867" s="112" t="str">
        <f t="shared" si="26"/>
        <v/>
      </c>
      <c r="AG867" s="113" t="str">
        <f>IF(AF867="","",COUNTIF(AF867:AF$3000,AF867))</f>
        <v/>
      </c>
      <c r="AH867" s="114" t="str">
        <f t="shared" si="27"/>
        <v/>
      </c>
    </row>
    <row r="868" spans="6:34" x14ac:dyDescent="0.3">
      <c r="F868" s="35"/>
      <c r="J868" s="35"/>
      <c r="K868" s="35"/>
      <c r="L868" s="35"/>
      <c r="AD868" s="73"/>
      <c r="AF868" s="112" t="str">
        <f t="shared" si="26"/>
        <v/>
      </c>
      <c r="AG868" s="113" t="str">
        <f>IF(AF868="","",COUNTIF(AF868:AF$3000,AF868))</f>
        <v/>
      </c>
      <c r="AH868" s="114" t="str">
        <f t="shared" si="27"/>
        <v/>
      </c>
    </row>
    <row r="869" spans="6:34" x14ac:dyDescent="0.3">
      <c r="F869" s="35"/>
      <c r="J869" s="35"/>
      <c r="K869" s="35"/>
      <c r="L869" s="35"/>
      <c r="AD869" s="73"/>
      <c r="AF869" s="112" t="str">
        <f t="shared" si="26"/>
        <v/>
      </c>
      <c r="AG869" s="113" t="str">
        <f>IF(AF869="","",COUNTIF(AF869:AF$3000,AF869))</f>
        <v/>
      </c>
      <c r="AH869" s="114" t="str">
        <f t="shared" si="27"/>
        <v/>
      </c>
    </row>
    <row r="870" spans="6:34" x14ac:dyDescent="0.3">
      <c r="F870" s="35"/>
      <c r="J870" s="35"/>
      <c r="K870" s="35"/>
      <c r="L870" s="35"/>
      <c r="AD870" s="73"/>
      <c r="AF870" s="112" t="str">
        <f t="shared" si="26"/>
        <v/>
      </c>
      <c r="AG870" s="113" t="str">
        <f>IF(AF870="","",COUNTIF(AF870:AF$3000,AF870))</f>
        <v/>
      </c>
      <c r="AH870" s="114" t="str">
        <f t="shared" si="27"/>
        <v/>
      </c>
    </row>
    <row r="871" spans="6:34" x14ac:dyDescent="0.3">
      <c r="F871" s="35"/>
      <c r="J871" s="35"/>
      <c r="K871" s="35"/>
      <c r="L871" s="35"/>
      <c r="AD871" s="73"/>
      <c r="AF871" s="112" t="str">
        <f t="shared" si="26"/>
        <v/>
      </c>
      <c r="AG871" s="113" t="str">
        <f>IF(AF871="","",COUNTIF(AF871:AF$3000,AF871))</f>
        <v/>
      </c>
      <c r="AH871" s="114" t="str">
        <f t="shared" si="27"/>
        <v/>
      </c>
    </row>
    <row r="872" spans="6:34" x14ac:dyDescent="0.3">
      <c r="F872" s="35"/>
      <c r="J872" s="35"/>
      <c r="K872" s="35"/>
      <c r="L872" s="35"/>
      <c r="AD872" s="73"/>
      <c r="AF872" s="112" t="str">
        <f t="shared" si="26"/>
        <v/>
      </c>
      <c r="AG872" s="113" t="str">
        <f>IF(AF872="","",COUNTIF(AF872:AF$3000,AF872))</f>
        <v/>
      </c>
      <c r="AH872" s="114" t="str">
        <f t="shared" si="27"/>
        <v/>
      </c>
    </row>
    <row r="873" spans="6:34" x14ac:dyDescent="0.3">
      <c r="F873" s="35"/>
      <c r="J873" s="35"/>
      <c r="K873" s="35"/>
      <c r="L873" s="35"/>
      <c r="AD873" s="73"/>
      <c r="AF873" s="112" t="str">
        <f t="shared" si="26"/>
        <v/>
      </c>
      <c r="AG873" s="113" t="str">
        <f>IF(AF873="","",COUNTIF(AF873:AF$3000,AF873))</f>
        <v/>
      </c>
      <c r="AH873" s="114" t="str">
        <f t="shared" si="27"/>
        <v/>
      </c>
    </row>
    <row r="874" spans="6:34" x14ac:dyDescent="0.3">
      <c r="F874" s="35"/>
      <c r="J874" s="35"/>
      <c r="K874" s="35"/>
      <c r="L874" s="35"/>
      <c r="AD874" s="73"/>
      <c r="AF874" s="112" t="str">
        <f t="shared" si="26"/>
        <v/>
      </c>
      <c r="AG874" s="113" t="str">
        <f>IF(AF874="","",COUNTIF(AF874:AF$3000,AF874))</f>
        <v/>
      </c>
      <c r="AH874" s="114" t="str">
        <f t="shared" si="27"/>
        <v/>
      </c>
    </row>
    <row r="875" spans="6:34" x14ac:dyDescent="0.3">
      <c r="F875" s="35"/>
      <c r="J875" s="35"/>
      <c r="K875" s="35"/>
      <c r="L875" s="35"/>
      <c r="AD875" s="73"/>
      <c r="AF875" s="112" t="str">
        <f t="shared" si="26"/>
        <v/>
      </c>
      <c r="AG875" s="113" t="str">
        <f>IF(AF875="","",COUNTIF(AF875:AF$3000,AF875))</f>
        <v/>
      </c>
      <c r="AH875" s="114" t="str">
        <f t="shared" si="27"/>
        <v/>
      </c>
    </row>
    <row r="876" spans="6:34" x14ac:dyDescent="0.3">
      <c r="F876" s="35"/>
      <c r="J876" s="35"/>
      <c r="K876" s="35"/>
      <c r="L876" s="35"/>
      <c r="AD876" s="73"/>
      <c r="AF876" s="112" t="str">
        <f t="shared" si="26"/>
        <v/>
      </c>
      <c r="AG876" s="113" t="str">
        <f>IF(AF876="","",COUNTIF(AF876:AF$3000,AF876))</f>
        <v/>
      </c>
      <c r="AH876" s="114" t="str">
        <f t="shared" si="27"/>
        <v/>
      </c>
    </row>
    <row r="877" spans="6:34" x14ac:dyDescent="0.3">
      <c r="F877" s="35"/>
      <c r="J877" s="35"/>
      <c r="K877" s="35"/>
      <c r="L877" s="35"/>
      <c r="AD877" s="73"/>
      <c r="AF877" s="112" t="str">
        <f t="shared" si="26"/>
        <v/>
      </c>
      <c r="AG877" s="113" t="str">
        <f>IF(AF877="","",COUNTIF(AF877:AF$3000,AF877))</f>
        <v/>
      </c>
      <c r="AH877" s="114" t="str">
        <f t="shared" si="27"/>
        <v/>
      </c>
    </row>
    <row r="878" spans="6:34" x14ac:dyDescent="0.3">
      <c r="F878" s="35"/>
      <c r="J878" s="35"/>
      <c r="K878" s="35"/>
      <c r="L878" s="35"/>
      <c r="AD878" s="73"/>
      <c r="AF878" s="112" t="str">
        <f t="shared" si="26"/>
        <v/>
      </c>
      <c r="AG878" s="113" t="str">
        <f>IF(AF878="","",COUNTIF(AF878:AF$3000,AF878))</f>
        <v/>
      </c>
      <c r="AH878" s="114" t="str">
        <f t="shared" si="27"/>
        <v/>
      </c>
    </row>
    <row r="879" spans="6:34" x14ac:dyDescent="0.3">
      <c r="F879" s="35"/>
      <c r="J879" s="35"/>
      <c r="K879" s="35"/>
      <c r="L879" s="35"/>
      <c r="AD879" s="73"/>
      <c r="AF879" s="112" t="str">
        <f t="shared" si="26"/>
        <v/>
      </c>
      <c r="AG879" s="113" t="str">
        <f>IF(AF879="","",COUNTIF(AF879:AF$3000,AF879))</f>
        <v/>
      </c>
      <c r="AH879" s="114" t="str">
        <f t="shared" si="27"/>
        <v/>
      </c>
    </row>
    <row r="880" spans="6:34" x14ac:dyDescent="0.3">
      <c r="F880" s="35"/>
      <c r="J880" s="35"/>
      <c r="K880" s="35"/>
      <c r="L880" s="35"/>
      <c r="AD880" s="73"/>
      <c r="AF880" s="112" t="str">
        <f t="shared" si="26"/>
        <v/>
      </c>
      <c r="AG880" s="113" t="str">
        <f>IF(AF880="","",COUNTIF(AF880:AF$3000,AF880))</f>
        <v/>
      </c>
      <c r="AH880" s="114" t="str">
        <f t="shared" si="27"/>
        <v/>
      </c>
    </row>
    <row r="881" spans="6:34" x14ac:dyDescent="0.3">
      <c r="F881" s="35"/>
      <c r="J881" s="35"/>
      <c r="K881" s="35"/>
      <c r="L881" s="35"/>
      <c r="AD881" s="73"/>
      <c r="AF881" s="112" t="str">
        <f t="shared" si="26"/>
        <v/>
      </c>
      <c r="AG881" s="113" t="str">
        <f>IF(AF881="","",COUNTIF(AF881:AF$3000,AF881))</f>
        <v/>
      </c>
      <c r="AH881" s="114" t="str">
        <f t="shared" si="27"/>
        <v/>
      </c>
    </row>
    <row r="882" spans="6:34" x14ac:dyDescent="0.3">
      <c r="F882" s="35"/>
      <c r="J882" s="35"/>
      <c r="K882" s="35"/>
      <c r="L882" s="35"/>
      <c r="AD882" s="73"/>
      <c r="AF882" s="112" t="str">
        <f t="shared" si="26"/>
        <v/>
      </c>
      <c r="AG882" s="113" t="str">
        <f>IF(AF882="","",COUNTIF(AF882:AF$3000,AF882))</f>
        <v/>
      </c>
      <c r="AH882" s="114" t="str">
        <f t="shared" si="27"/>
        <v/>
      </c>
    </row>
    <row r="883" spans="6:34" x14ac:dyDescent="0.3">
      <c r="F883" s="35"/>
      <c r="J883" s="35"/>
      <c r="K883" s="35"/>
      <c r="L883" s="35"/>
      <c r="AD883" s="73"/>
      <c r="AF883" s="112" t="str">
        <f t="shared" si="26"/>
        <v/>
      </c>
      <c r="AG883" s="113" t="str">
        <f>IF(AF883="","",COUNTIF(AF883:AF$3000,AF883))</f>
        <v/>
      </c>
      <c r="AH883" s="114" t="str">
        <f t="shared" si="27"/>
        <v/>
      </c>
    </row>
    <row r="884" spans="6:34" x14ac:dyDescent="0.3">
      <c r="F884" s="35"/>
      <c r="J884" s="35"/>
      <c r="K884" s="35"/>
      <c r="L884" s="35"/>
      <c r="AD884" s="73"/>
      <c r="AF884" s="112" t="str">
        <f t="shared" si="26"/>
        <v/>
      </c>
      <c r="AG884" s="113" t="str">
        <f>IF(AF884="","",COUNTIF(AF884:AF$3000,AF884))</f>
        <v/>
      </c>
      <c r="AH884" s="114" t="str">
        <f t="shared" si="27"/>
        <v/>
      </c>
    </row>
    <row r="885" spans="6:34" x14ac:dyDescent="0.3">
      <c r="F885" s="35"/>
      <c r="J885" s="35"/>
      <c r="K885" s="35"/>
      <c r="L885" s="35"/>
      <c r="AD885" s="73"/>
      <c r="AF885" s="112" t="str">
        <f t="shared" si="26"/>
        <v/>
      </c>
      <c r="AG885" s="113" t="str">
        <f>IF(AF885="","",COUNTIF(AF885:AF$3000,AF885))</f>
        <v/>
      </c>
      <c r="AH885" s="114" t="str">
        <f t="shared" si="27"/>
        <v/>
      </c>
    </row>
    <row r="886" spans="6:34" x14ac:dyDescent="0.3">
      <c r="F886" s="35"/>
      <c r="J886" s="35"/>
      <c r="K886" s="35"/>
      <c r="L886" s="35"/>
      <c r="AD886" s="73"/>
      <c r="AF886" s="112" t="str">
        <f t="shared" si="26"/>
        <v/>
      </c>
      <c r="AG886" s="113" t="str">
        <f>IF(AF886="","",COUNTIF(AF886:AF$3000,AF886))</f>
        <v/>
      </c>
      <c r="AH886" s="114" t="str">
        <f t="shared" si="27"/>
        <v/>
      </c>
    </row>
    <row r="887" spans="6:34" x14ac:dyDescent="0.3">
      <c r="F887" s="35"/>
      <c r="J887" s="35"/>
      <c r="K887" s="35"/>
      <c r="L887" s="35"/>
      <c r="AD887" s="73"/>
      <c r="AF887" s="112" t="str">
        <f t="shared" si="26"/>
        <v/>
      </c>
      <c r="AG887" s="113" t="str">
        <f>IF(AF887="","",COUNTIF(AF887:AF$3000,AF887))</f>
        <v/>
      </c>
      <c r="AH887" s="114" t="str">
        <f t="shared" si="27"/>
        <v/>
      </c>
    </row>
    <row r="888" spans="6:34" x14ac:dyDescent="0.3">
      <c r="F888" s="35"/>
      <c r="J888" s="35"/>
      <c r="K888" s="35"/>
      <c r="L888" s="35"/>
      <c r="AD888" s="73"/>
      <c r="AF888" s="112" t="str">
        <f t="shared" si="26"/>
        <v/>
      </c>
      <c r="AG888" s="113" t="str">
        <f>IF(AF888="","",COUNTIF(AF888:AF$3000,AF888))</f>
        <v/>
      </c>
      <c r="AH888" s="114" t="str">
        <f t="shared" si="27"/>
        <v/>
      </c>
    </row>
    <row r="889" spans="6:34" x14ac:dyDescent="0.3">
      <c r="F889" s="35"/>
      <c r="J889" s="35"/>
      <c r="K889" s="35"/>
      <c r="L889" s="35"/>
      <c r="AD889" s="73"/>
      <c r="AF889" s="112" t="str">
        <f t="shared" si="26"/>
        <v/>
      </c>
      <c r="AG889" s="113" t="str">
        <f>IF(AF889="","",COUNTIF(AF889:AF$3000,AF889))</f>
        <v/>
      </c>
      <c r="AH889" s="114" t="str">
        <f t="shared" si="27"/>
        <v/>
      </c>
    </row>
    <row r="890" spans="6:34" x14ac:dyDescent="0.3">
      <c r="F890" s="35"/>
      <c r="J890" s="35"/>
      <c r="K890" s="35"/>
      <c r="L890" s="35"/>
      <c r="AD890" s="73"/>
      <c r="AF890" s="112" t="str">
        <f t="shared" si="26"/>
        <v/>
      </c>
      <c r="AG890" s="113" t="str">
        <f>IF(AF890="","",COUNTIF(AF890:AF$3000,AF890))</f>
        <v/>
      </c>
      <c r="AH890" s="114" t="str">
        <f t="shared" si="27"/>
        <v/>
      </c>
    </row>
    <row r="891" spans="6:34" x14ac:dyDescent="0.3">
      <c r="F891" s="35"/>
      <c r="J891" s="35"/>
      <c r="K891" s="35"/>
      <c r="L891" s="35"/>
      <c r="AD891" s="73"/>
      <c r="AF891" s="112" t="str">
        <f t="shared" si="26"/>
        <v/>
      </c>
      <c r="AG891" s="113" t="str">
        <f>IF(AF891="","",COUNTIF(AF891:AF$3000,AF891))</f>
        <v/>
      </c>
      <c r="AH891" s="114" t="str">
        <f t="shared" si="27"/>
        <v/>
      </c>
    </row>
    <row r="892" spans="6:34" x14ac:dyDescent="0.3">
      <c r="F892" s="35"/>
      <c r="J892" s="35"/>
      <c r="K892" s="35"/>
      <c r="L892" s="35"/>
      <c r="AD892" s="73"/>
      <c r="AF892" s="112" t="str">
        <f t="shared" si="26"/>
        <v/>
      </c>
      <c r="AG892" s="113" t="str">
        <f>IF(AF892="","",COUNTIF(AF892:AF$3000,AF892))</f>
        <v/>
      </c>
      <c r="AH892" s="114" t="str">
        <f t="shared" si="27"/>
        <v/>
      </c>
    </row>
    <row r="893" spans="6:34" x14ac:dyDescent="0.3">
      <c r="F893" s="35"/>
      <c r="J893" s="35"/>
      <c r="K893" s="35"/>
      <c r="L893" s="35"/>
      <c r="AD893" s="73"/>
      <c r="AF893" s="112" t="str">
        <f t="shared" si="26"/>
        <v/>
      </c>
      <c r="AG893" s="113" t="str">
        <f>IF(AF893="","",COUNTIF(AF893:AF$3000,AF893))</f>
        <v/>
      </c>
      <c r="AH893" s="114" t="str">
        <f t="shared" si="27"/>
        <v/>
      </c>
    </row>
    <row r="894" spans="6:34" x14ac:dyDescent="0.3">
      <c r="F894" s="35"/>
      <c r="J894" s="35"/>
      <c r="K894" s="35"/>
      <c r="L894" s="35"/>
      <c r="AD894" s="73"/>
      <c r="AF894" s="112" t="str">
        <f t="shared" si="26"/>
        <v/>
      </c>
      <c r="AG894" s="113" t="str">
        <f>IF(AF894="","",COUNTIF(AF894:AF$3000,AF894))</f>
        <v/>
      </c>
      <c r="AH894" s="114" t="str">
        <f t="shared" si="27"/>
        <v/>
      </c>
    </row>
    <row r="895" spans="6:34" x14ac:dyDescent="0.3">
      <c r="F895" s="35"/>
      <c r="J895" s="35"/>
      <c r="K895" s="35"/>
      <c r="L895" s="35"/>
      <c r="AD895" s="73"/>
      <c r="AF895" s="112" t="str">
        <f t="shared" si="26"/>
        <v/>
      </c>
      <c r="AG895" s="113" t="str">
        <f>IF(AF895="","",COUNTIF(AF895:AF$3000,AF895))</f>
        <v/>
      </c>
      <c r="AH895" s="114" t="str">
        <f t="shared" si="27"/>
        <v/>
      </c>
    </row>
    <row r="896" spans="6:34" x14ac:dyDescent="0.3">
      <c r="F896" s="35"/>
      <c r="J896" s="35"/>
      <c r="K896" s="35"/>
      <c r="L896" s="35"/>
      <c r="AD896" s="73"/>
      <c r="AF896" s="112" t="str">
        <f t="shared" si="26"/>
        <v/>
      </c>
      <c r="AG896" s="113" t="str">
        <f>IF(AF896="","",COUNTIF(AF896:AF$3000,AF896))</f>
        <v/>
      </c>
      <c r="AH896" s="114" t="str">
        <f t="shared" si="27"/>
        <v/>
      </c>
    </row>
    <row r="897" spans="6:34" x14ac:dyDescent="0.3">
      <c r="F897" s="35"/>
      <c r="J897" s="35"/>
      <c r="K897" s="35"/>
      <c r="L897" s="35"/>
      <c r="AD897" s="73"/>
      <c r="AF897" s="112" t="str">
        <f t="shared" si="26"/>
        <v/>
      </c>
      <c r="AG897" s="113" t="str">
        <f>IF(AF897="","",COUNTIF(AF897:AF$3000,AF897))</f>
        <v/>
      </c>
      <c r="AH897" s="114" t="str">
        <f t="shared" si="27"/>
        <v/>
      </c>
    </row>
    <row r="898" spans="6:34" x14ac:dyDescent="0.3">
      <c r="F898" s="35"/>
      <c r="J898" s="35"/>
      <c r="K898" s="35"/>
      <c r="L898" s="35"/>
      <c r="AD898" s="73"/>
      <c r="AF898" s="112" t="str">
        <f t="shared" si="26"/>
        <v/>
      </c>
      <c r="AG898" s="113" t="str">
        <f>IF(AF898="","",COUNTIF(AF898:AF$3000,AF898))</f>
        <v/>
      </c>
      <c r="AH898" s="114" t="str">
        <f t="shared" si="27"/>
        <v/>
      </c>
    </row>
    <row r="899" spans="6:34" x14ac:dyDescent="0.3">
      <c r="F899" s="35"/>
      <c r="J899" s="35"/>
      <c r="K899" s="35"/>
      <c r="L899" s="35"/>
      <c r="AD899" s="73"/>
      <c r="AF899" s="112" t="str">
        <f t="shared" si="26"/>
        <v/>
      </c>
      <c r="AG899" s="113" t="str">
        <f>IF(AF899="","",COUNTIF(AF899:AF$3000,AF899))</f>
        <v/>
      </c>
      <c r="AH899" s="114" t="str">
        <f t="shared" si="27"/>
        <v/>
      </c>
    </row>
    <row r="900" spans="6:34" x14ac:dyDescent="0.3">
      <c r="F900" s="35"/>
      <c r="J900" s="35"/>
      <c r="K900" s="35"/>
      <c r="L900" s="35"/>
      <c r="AD900" s="73"/>
      <c r="AF900" s="112" t="str">
        <f t="shared" ref="AF900:AF963" si="28">IF(B900="","",TEXT(J900,"DD/MM/AA")&amp;"_"&amp;S900&amp;"_"&amp;V900)</f>
        <v/>
      </c>
      <c r="AG900" s="113" t="str">
        <f>IF(AF900="","",COUNTIF(AF900:AF$3000,AF900))</f>
        <v/>
      </c>
      <c r="AH900" s="114" t="str">
        <f t="shared" ref="AH900:AH963" si="29">IF(AA900="","",
IF(AG900&gt;1,"",
IF(SUMIF(AF$3:AF$31,AF900,H$3:H$31)/10&lt;1,1,SUMIF(AF$3:AF$31,AF900,H$3:H$31)/10)))</f>
        <v/>
      </c>
    </row>
    <row r="901" spans="6:34" x14ac:dyDescent="0.3">
      <c r="F901" s="35"/>
      <c r="J901" s="35"/>
      <c r="K901" s="35"/>
      <c r="L901" s="35"/>
      <c r="AD901" s="73"/>
      <c r="AF901" s="112" t="str">
        <f t="shared" si="28"/>
        <v/>
      </c>
      <c r="AG901" s="113" t="str">
        <f>IF(AF901="","",COUNTIF(AF901:AF$3000,AF901))</f>
        <v/>
      </c>
      <c r="AH901" s="114" t="str">
        <f t="shared" si="29"/>
        <v/>
      </c>
    </row>
    <row r="902" spans="6:34" x14ac:dyDescent="0.3">
      <c r="F902" s="35"/>
      <c r="J902" s="35"/>
      <c r="K902" s="35"/>
      <c r="L902" s="35"/>
      <c r="AD902" s="73"/>
      <c r="AF902" s="112" t="str">
        <f t="shared" si="28"/>
        <v/>
      </c>
      <c r="AG902" s="113" t="str">
        <f>IF(AF902="","",COUNTIF(AF902:AF$3000,AF902))</f>
        <v/>
      </c>
      <c r="AH902" s="114" t="str">
        <f t="shared" si="29"/>
        <v/>
      </c>
    </row>
    <row r="903" spans="6:34" x14ac:dyDescent="0.3">
      <c r="F903" s="35"/>
      <c r="J903" s="35"/>
      <c r="K903" s="35"/>
      <c r="L903" s="35"/>
      <c r="AD903" s="73"/>
      <c r="AF903" s="112" t="str">
        <f t="shared" si="28"/>
        <v/>
      </c>
      <c r="AG903" s="113" t="str">
        <f>IF(AF903="","",COUNTIF(AF903:AF$3000,AF903))</f>
        <v/>
      </c>
      <c r="AH903" s="114" t="str">
        <f t="shared" si="29"/>
        <v/>
      </c>
    </row>
    <row r="904" spans="6:34" x14ac:dyDescent="0.3">
      <c r="F904" s="35"/>
      <c r="J904" s="35"/>
      <c r="K904" s="35"/>
      <c r="L904" s="35"/>
      <c r="AD904" s="73"/>
      <c r="AF904" s="112" t="str">
        <f t="shared" si="28"/>
        <v/>
      </c>
      <c r="AG904" s="113" t="str">
        <f>IF(AF904="","",COUNTIF(AF904:AF$3000,AF904))</f>
        <v/>
      </c>
      <c r="AH904" s="114" t="str">
        <f t="shared" si="29"/>
        <v/>
      </c>
    </row>
    <row r="905" spans="6:34" x14ac:dyDescent="0.3">
      <c r="F905" s="35"/>
      <c r="J905" s="35"/>
      <c r="K905" s="35"/>
      <c r="L905" s="35"/>
      <c r="AD905" s="73"/>
      <c r="AF905" s="112" t="str">
        <f t="shared" si="28"/>
        <v/>
      </c>
      <c r="AG905" s="113" t="str">
        <f>IF(AF905="","",COUNTIF(AF905:AF$3000,AF905))</f>
        <v/>
      </c>
      <c r="AH905" s="114" t="str">
        <f t="shared" si="29"/>
        <v/>
      </c>
    </row>
    <row r="906" spans="6:34" x14ac:dyDescent="0.3">
      <c r="F906" s="35"/>
      <c r="J906" s="35"/>
      <c r="K906" s="35"/>
      <c r="L906" s="35"/>
      <c r="AD906" s="73"/>
      <c r="AF906" s="112" t="str">
        <f t="shared" si="28"/>
        <v/>
      </c>
      <c r="AG906" s="113" t="str">
        <f>IF(AF906="","",COUNTIF(AF906:AF$3000,AF906))</f>
        <v/>
      </c>
      <c r="AH906" s="114" t="str">
        <f t="shared" si="29"/>
        <v/>
      </c>
    </row>
    <row r="907" spans="6:34" x14ac:dyDescent="0.3">
      <c r="F907" s="35"/>
      <c r="J907" s="35"/>
      <c r="K907" s="35"/>
      <c r="L907" s="35"/>
      <c r="AD907" s="73"/>
      <c r="AF907" s="112" t="str">
        <f t="shared" si="28"/>
        <v/>
      </c>
      <c r="AG907" s="113" t="str">
        <f>IF(AF907="","",COUNTIF(AF907:AF$3000,AF907))</f>
        <v/>
      </c>
      <c r="AH907" s="114" t="str">
        <f t="shared" si="29"/>
        <v/>
      </c>
    </row>
    <row r="908" spans="6:34" x14ac:dyDescent="0.3">
      <c r="F908" s="35"/>
      <c r="J908" s="35"/>
      <c r="K908" s="35"/>
      <c r="L908" s="35"/>
      <c r="AD908" s="73"/>
      <c r="AF908" s="112" t="str">
        <f t="shared" si="28"/>
        <v/>
      </c>
      <c r="AG908" s="113" t="str">
        <f>IF(AF908="","",COUNTIF(AF908:AF$3000,AF908))</f>
        <v/>
      </c>
      <c r="AH908" s="114" t="str">
        <f t="shared" si="29"/>
        <v/>
      </c>
    </row>
    <row r="909" spans="6:34" x14ac:dyDescent="0.3">
      <c r="F909" s="35"/>
      <c r="J909" s="35"/>
      <c r="K909" s="35"/>
      <c r="L909" s="35"/>
      <c r="AD909" s="73"/>
      <c r="AF909" s="112" t="str">
        <f t="shared" si="28"/>
        <v/>
      </c>
      <c r="AG909" s="113" t="str">
        <f>IF(AF909="","",COUNTIF(AF909:AF$3000,AF909))</f>
        <v/>
      </c>
      <c r="AH909" s="114" t="str">
        <f t="shared" si="29"/>
        <v/>
      </c>
    </row>
    <row r="910" spans="6:34" x14ac:dyDescent="0.3">
      <c r="F910" s="35"/>
      <c r="J910" s="35"/>
      <c r="K910" s="35"/>
      <c r="L910" s="35"/>
      <c r="AD910" s="73"/>
      <c r="AF910" s="112" t="str">
        <f t="shared" si="28"/>
        <v/>
      </c>
      <c r="AG910" s="113" t="str">
        <f>IF(AF910="","",COUNTIF(AF910:AF$3000,AF910))</f>
        <v/>
      </c>
      <c r="AH910" s="114" t="str">
        <f t="shared" si="29"/>
        <v/>
      </c>
    </row>
    <row r="911" spans="6:34" x14ac:dyDescent="0.3">
      <c r="F911" s="35"/>
      <c r="J911" s="35"/>
      <c r="K911" s="35"/>
      <c r="L911" s="35"/>
      <c r="AD911" s="73"/>
      <c r="AF911" s="112" t="str">
        <f t="shared" si="28"/>
        <v/>
      </c>
      <c r="AG911" s="113" t="str">
        <f>IF(AF911="","",COUNTIF(AF911:AF$3000,AF911))</f>
        <v/>
      </c>
      <c r="AH911" s="114" t="str">
        <f t="shared" si="29"/>
        <v/>
      </c>
    </row>
    <row r="912" spans="6:34" x14ac:dyDescent="0.3">
      <c r="F912" s="35"/>
      <c r="J912" s="35"/>
      <c r="K912" s="35"/>
      <c r="L912" s="35"/>
      <c r="AD912" s="73"/>
      <c r="AF912" s="112" t="str">
        <f t="shared" si="28"/>
        <v/>
      </c>
      <c r="AG912" s="113" t="str">
        <f>IF(AF912="","",COUNTIF(AF912:AF$3000,AF912))</f>
        <v/>
      </c>
      <c r="AH912" s="114" t="str">
        <f t="shared" si="29"/>
        <v/>
      </c>
    </row>
    <row r="913" spans="6:34" x14ac:dyDescent="0.3">
      <c r="F913" s="35"/>
      <c r="J913" s="35"/>
      <c r="K913" s="35"/>
      <c r="L913" s="35"/>
      <c r="AD913" s="73"/>
      <c r="AF913" s="112" t="str">
        <f t="shared" si="28"/>
        <v/>
      </c>
      <c r="AG913" s="113" t="str">
        <f>IF(AF913="","",COUNTIF(AF913:AF$3000,AF913))</f>
        <v/>
      </c>
      <c r="AH913" s="114" t="str">
        <f t="shared" si="29"/>
        <v/>
      </c>
    </row>
    <row r="914" spans="6:34" x14ac:dyDescent="0.3">
      <c r="F914" s="35"/>
      <c r="J914" s="35"/>
      <c r="K914" s="35"/>
      <c r="L914" s="35"/>
      <c r="AD914" s="73"/>
      <c r="AF914" s="112" t="str">
        <f t="shared" si="28"/>
        <v/>
      </c>
      <c r="AG914" s="113" t="str">
        <f>IF(AF914="","",COUNTIF(AF914:AF$3000,AF914))</f>
        <v/>
      </c>
      <c r="AH914" s="114" t="str">
        <f t="shared" si="29"/>
        <v/>
      </c>
    </row>
    <row r="915" spans="6:34" x14ac:dyDescent="0.3">
      <c r="F915" s="35"/>
      <c r="J915" s="35"/>
      <c r="K915" s="35"/>
      <c r="L915" s="35"/>
      <c r="AD915" s="73"/>
      <c r="AF915" s="112" t="str">
        <f t="shared" si="28"/>
        <v/>
      </c>
      <c r="AG915" s="113" t="str">
        <f>IF(AF915="","",COUNTIF(AF915:AF$3000,AF915))</f>
        <v/>
      </c>
      <c r="AH915" s="114" t="str">
        <f t="shared" si="29"/>
        <v/>
      </c>
    </row>
    <row r="916" spans="6:34" x14ac:dyDescent="0.3">
      <c r="F916" s="35"/>
      <c r="J916" s="35"/>
      <c r="K916" s="35"/>
      <c r="L916" s="35"/>
      <c r="AD916" s="73"/>
      <c r="AF916" s="112" t="str">
        <f t="shared" si="28"/>
        <v/>
      </c>
      <c r="AG916" s="113" t="str">
        <f>IF(AF916="","",COUNTIF(AF916:AF$3000,AF916))</f>
        <v/>
      </c>
      <c r="AH916" s="114" t="str">
        <f t="shared" si="29"/>
        <v/>
      </c>
    </row>
    <row r="917" spans="6:34" x14ac:dyDescent="0.3">
      <c r="F917" s="35"/>
      <c r="J917" s="35"/>
      <c r="K917" s="35"/>
      <c r="L917" s="35"/>
      <c r="AD917" s="73"/>
      <c r="AF917" s="112" t="str">
        <f t="shared" si="28"/>
        <v/>
      </c>
      <c r="AG917" s="113" t="str">
        <f>IF(AF917="","",COUNTIF(AF917:AF$3000,AF917))</f>
        <v/>
      </c>
      <c r="AH917" s="114" t="str">
        <f t="shared" si="29"/>
        <v/>
      </c>
    </row>
    <row r="918" spans="6:34" x14ac:dyDescent="0.3">
      <c r="F918" s="35"/>
      <c r="J918" s="35"/>
      <c r="K918" s="35"/>
      <c r="L918" s="35"/>
      <c r="AD918" s="73"/>
      <c r="AF918" s="112" t="str">
        <f t="shared" si="28"/>
        <v/>
      </c>
      <c r="AG918" s="113" t="str">
        <f>IF(AF918="","",COUNTIF(AF918:AF$3000,AF918))</f>
        <v/>
      </c>
      <c r="AH918" s="114" t="str">
        <f t="shared" si="29"/>
        <v/>
      </c>
    </row>
    <row r="919" spans="6:34" x14ac:dyDescent="0.3">
      <c r="F919" s="35"/>
      <c r="J919" s="35"/>
      <c r="K919" s="35"/>
      <c r="L919" s="35"/>
      <c r="AD919" s="73"/>
      <c r="AF919" s="112" t="str">
        <f t="shared" si="28"/>
        <v/>
      </c>
      <c r="AG919" s="113" t="str">
        <f>IF(AF919="","",COUNTIF(AF919:AF$3000,AF919))</f>
        <v/>
      </c>
      <c r="AH919" s="114" t="str">
        <f t="shared" si="29"/>
        <v/>
      </c>
    </row>
    <row r="920" spans="6:34" x14ac:dyDescent="0.3">
      <c r="F920" s="35"/>
      <c r="J920" s="35"/>
      <c r="K920" s="35"/>
      <c r="L920" s="35"/>
      <c r="AD920" s="73"/>
      <c r="AF920" s="112" t="str">
        <f t="shared" si="28"/>
        <v/>
      </c>
      <c r="AG920" s="113" t="str">
        <f>IF(AF920="","",COUNTIF(AF920:AF$3000,AF920))</f>
        <v/>
      </c>
      <c r="AH920" s="114" t="str">
        <f t="shared" si="29"/>
        <v/>
      </c>
    </row>
    <row r="921" spans="6:34" x14ac:dyDescent="0.3">
      <c r="F921" s="35"/>
      <c r="J921" s="35"/>
      <c r="K921" s="35"/>
      <c r="L921" s="35"/>
      <c r="AD921" s="73"/>
      <c r="AF921" s="112" t="str">
        <f t="shared" si="28"/>
        <v/>
      </c>
      <c r="AG921" s="113" t="str">
        <f>IF(AF921="","",COUNTIF(AF921:AF$3000,AF921))</f>
        <v/>
      </c>
      <c r="AH921" s="114" t="str">
        <f t="shared" si="29"/>
        <v/>
      </c>
    </row>
    <row r="922" spans="6:34" x14ac:dyDescent="0.3">
      <c r="F922" s="35"/>
      <c r="J922" s="35"/>
      <c r="K922" s="35"/>
      <c r="L922" s="35"/>
      <c r="AD922" s="73"/>
      <c r="AF922" s="112" t="str">
        <f t="shared" si="28"/>
        <v/>
      </c>
      <c r="AG922" s="113" t="str">
        <f>IF(AF922="","",COUNTIF(AF922:AF$3000,AF922))</f>
        <v/>
      </c>
      <c r="AH922" s="114" t="str">
        <f t="shared" si="29"/>
        <v/>
      </c>
    </row>
    <row r="923" spans="6:34" x14ac:dyDescent="0.3">
      <c r="F923" s="35"/>
      <c r="J923" s="35"/>
      <c r="K923" s="35"/>
      <c r="L923" s="35"/>
      <c r="AD923" s="73"/>
      <c r="AF923" s="112" t="str">
        <f t="shared" si="28"/>
        <v/>
      </c>
      <c r="AG923" s="113" t="str">
        <f>IF(AF923="","",COUNTIF(AF923:AF$3000,AF923))</f>
        <v/>
      </c>
      <c r="AH923" s="114" t="str">
        <f t="shared" si="29"/>
        <v/>
      </c>
    </row>
    <row r="924" spans="6:34" x14ac:dyDescent="0.3">
      <c r="F924" s="35"/>
      <c r="J924" s="35"/>
      <c r="K924" s="35"/>
      <c r="L924" s="35"/>
      <c r="AD924" s="73"/>
      <c r="AF924" s="112" t="str">
        <f t="shared" si="28"/>
        <v/>
      </c>
      <c r="AG924" s="113" t="str">
        <f>IF(AF924="","",COUNTIF(AF924:AF$3000,AF924))</f>
        <v/>
      </c>
      <c r="AH924" s="114" t="str">
        <f t="shared" si="29"/>
        <v/>
      </c>
    </row>
    <row r="925" spans="6:34" x14ac:dyDescent="0.3">
      <c r="F925" s="35"/>
      <c r="J925" s="35"/>
      <c r="K925" s="35"/>
      <c r="L925" s="35"/>
      <c r="AD925" s="73"/>
      <c r="AF925" s="112" t="str">
        <f t="shared" si="28"/>
        <v/>
      </c>
      <c r="AG925" s="113" t="str">
        <f>IF(AF925="","",COUNTIF(AF925:AF$3000,AF925))</f>
        <v/>
      </c>
      <c r="AH925" s="114" t="str">
        <f t="shared" si="29"/>
        <v/>
      </c>
    </row>
    <row r="926" spans="6:34" x14ac:dyDescent="0.3">
      <c r="F926" s="35"/>
      <c r="J926" s="35"/>
      <c r="K926" s="35"/>
      <c r="L926" s="35"/>
      <c r="AD926" s="73"/>
      <c r="AF926" s="112" t="str">
        <f t="shared" si="28"/>
        <v/>
      </c>
      <c r="AG926" s="113" t="str">
        <f>IF(AF926="","",COUNTIF(AF926:AF$3000,AF926))</f>
        <v/>
      </c>
      <c r="AH926" s="114" t="str">
        <f t="shared" si="29"/>
        <v/>
      </c>
    </row>
    <row r="927" spans="6:34" x14ac:dyDescent="0.3">
      <c r="F927" s="35"/>
      <c r="J927" s="35"/>
      <c r="K927" s="35"/>
      <c r="L927" s="35"/>
      <c r="AD927" s="73"/>
      <c r="AF927" s="112" t="str">
        <f t="shared" si="28"/>
        <v/>
      </c>
      <c r="AG927" s="113" t="str">
        <f>IF(AF927="","",COUNTIF(AF927:AF$3000,AF927))</f>
        <v/>
      </c>
      <c r="AH927" s="114" t="str">
        <f t="shared" si="29"/>
        <v/>
      </c>
    </row>
    <row r="928" spans="6:34" x14ac:dyDescent="0.3">
      <c r="F928" s="35"/>
      <c r="J928" s="35"/>
      <c r="K928" s="35"/>
      <c r="L928" s="35"/>
      <c r="AD928" s="73"/>
      <c r="AF928" s="112" t="str">
        <f t="shared" si="28"/>
        <v/>
      </c>
      <c r="AG928" s="113" t="str">
        <f>IF(AF928="","",COUNTIF(AF928:AF$3000,AF928))</f>
        <v/>
      </c>
      <c r="AH928" s="114" t="str">
        <f t="shared" si="29"/>
        <v/>
      </c>
    </row>
    <row r="929" spans="6:34" x14ac:dyDescent="0.3">
      <c r="F929" s="35"/>
      <c r="J929" s="35"/>
      <c r="K929" s="35"/>
      <c r="L929" s="35"/>
      <c r="AD929" s="73"/>
      <c r="AF929" s="112" t="str">
        <f t="shared" si="28"/>
        <v/>
      </c>
      <c r="AG929" s="113" t="str">
        <f>IF(AF929="","",COUNTIF(AF929:AF$3000,AF929))</f>
        <v/>
      </c>
      <c r="AH929" s="114" t="str">
        <f t="shared" si="29"/>
        <v/>
      </c>
    </row>
    <row r="930" spans="6:34" x14ac:dyDescent="0.3">
      <c r="F930" s="35"/>
      <c r="J930" s="35"/>
      <c r="K930" s="35"/>
      <c r="L930" s="35"/>
      <c r="AD930" s="73"/>
      <c r="AF930" s="112" t="str">
        <f t="shared" si="28"/>
        <v/>
      </c>
      <c r="AG930" s="113" t="str">
        <f>IF(AF930="","",COUNTIF(AF930:AF$3000,AF930))</f>
        <v/>
      </c>
      <c r="AH930" s="114" t="str">
        <f t="shared" si="29"/>
        <v/>
      </c>
    </row>
    <row r="931" spans="6:34" x14ac:dyDescent="0.3">
      <c r="F931" s="35"/>
      <c r="J931" s="35"/>
      <c r="K931" s="35"/>
      <c r="L931" s="35"/>
      <c r="AD931" s="73"/>
      <c r="AF931" s="112" t="str">
        <f t="shared" si="28"/>
        <v/>
      </c>
      <c r="AG931" s="113" t="str">
        <f>IF(AF931="","",COUNTIF(AF931:AF$3000,AF931))</f>
        <v/>
      </c>
      <c r="AH931" s="114" t="str">
        <f t="shared" si="29"/>
        <v/>
      </c>
    </row>
    <row r="932" spans="6:34" x14ac:dyDescent="0.3">
      <c r="F932" s="35"/>
      <c r="J932" s="35"/>
      <c r="K932" s="35"/>
      <c r="L932" s="35"/>
      <c r="AD932" s="73"/>
      <c r="AF932" s="112" t="str">
        <f t="shared" si="28"/>
        <v/>
      </c>
      <c r="AG932" s="113" t="str">
        <f>IF(AF932="","",COUNTIF(AF932:AF$3000,AF932))</f>
        <v/>
      </c>
      <c r="AH932" s="114" t="str">
        <f t="shared" si="29"/>
        <v/>
      </c>
    </row>
    <row r="933" spans="6:34" x14ac:dyDescent="0.3">
      <c r="F933" s="35"/>
      <c r="J933" s="35"/>
      <c r="K933" s="35"/>
      <c r="L933" s="35"/>
      <c r="AD933" s="73"/>
      <c r="AF933" s="112" t="str">
        <f t="shared" si="28"/>
        <v/>
      </c>
      <c r="AG933" s="113" t="str">
        <f>IF(AF933="","",COUNTIF(AF933:AF$3000,AF933))</f>
        <v/>
      </c>
      <c r="AH933" s="114" t="str">
        <f t="shared" si="29"/>
        <v/>
      </c>
    </row>
    <row r="934" spans="6:34" x14ac:dyDescent="0.3">
      <c r="F934" s="35"/>
      <c r="J934" s="35"/>
      <c r="K934" s="35"/>
      <c r="L934" s="35"/>
      <c r="AD934" s="73"/>
      <c r="AF934" s="112" t="str">
        <f t="shared" si="28"/>
        <v/>
      </c>
      <c r="AG934" s="113" t="str">
        <f>IF(AF934="","",COUNTIF(AF934:AF$3000,AF934))</f>
        <v/>
      </c>
      <c r="AH934" s="114" t="str">
        <f t="shared" si="29"/>
        <v/>
      </c>
    </row>
    <row r="935" spans="6:34" x14ac:dyDescent="0.3">
      <c r="F935" s="35"/>
      <c r="J935" s="35"/>
      <c r="K935" s="35"/>
      <c r="L935" s="35"/>
      <c r="AD935" s="73"/>
      <c r="AF935" s="112" t="str">
        <f t="shared" si="28"/>
        <v/>
      </c>
      <c r="AG935" s="113" t="str">
        <f>IF(AF935="","",COUNTIF(AF935:AF$3000,AF935))</f>
        <v/>
      </c>
      <c r="AH935" s="114" t="str">
        <f t="shared" si="29"/>
        <v/>
      </c>
    </row>
    <row r="936" spans="6:34" x14ac:dyDescent="0.3">
      <c r="F936" s="35"/>
      <c r="J936" s="35"/>
      <c r="K936" s="35"/>
      <c r="L936" s="35"/>
      <c r="AD936" s="73"/>
      <c r="AF936" s="112" t="str">
        <f t="shared" si="28"/>
        <v/>
      </c>
      <c r="AG936" s="113" t="str">
        <f>IF(AF936="","",COUNTIF(AF936:AF$3000,AF936))</f>
        <v/>
      </c>
      <c r="AH936" s="114" t="str">
        <f t="shared" si="29"/>
        <v/>
      </c>
    </row>
    <row r="937" spans="6:34" x14ac:dyDescent="0.3">
      <c r="F937" s="35"/>
      <c r="J937" s="35"/>
      <c r="K937" s="35"/>
      <c r="L937" s="35"/>
      <c r="AD937" s="73"/>
      <c r="AF937" s="112" t="str">
        <f t="shared" si="28"/>
        <v/>
      </c>
      <c r="AG937" s="113" t="str">
        <f>IF(AF937="","",COUNTIF(AF937:AF$3000,AF937))</f>
        <v/>
      </c>
      <c r="AH937" s="114" t="str">
        <f t="shared" si="29"/>
        <v/>
      </c>
    </row>
    <row r="938" spans="6:34" x14ac:dyDescent="0.3">
      <c r="F938" s="35"/>
      <c r="J938" s="35"/>
      <c r="K938" s="35"/>
      <c r="L938" s="35"/>
      <c r="AD938" s="73"/>
      <c r="AF938" s="112" t="str">
        <f t="shared" si="28"/>
        <v/>
      </c>
      <c r="AG938" s="113" t="str">
        <f>IF(AF938="","",COUNTIF(AF938:AF$3000,AF938))</f>
        <v/>
      </c>
      <c r="AH938" s="114" t="str">
        <f t="shared" si="29"/>
        <v/>
      </c>
    </row>
    <row r="939" spans="6:34" x14ac:dyDescent="0.3">
      <c r="F939" s="35"/>
      <c r="J939" s="35"/>
      <c r="K939" s="35"/>
      <c r="L939" s="35"/>
      <c r="AD939" s="73"/>
      <c r="AF939" s="112" t="str">
        <f t="shared" si="28"/>
        <v/>
      </c>
      <c r="AG939" s="113" t="str">
        <f>IF(AF939="","",COUNTIF(AF939:AF$3000,AF939))</f>
        <v/>
      </c>
      <c r="AH939" s="114" t="str">
        <f t="shared" si="29"/>
        <v/>
      </c>
    </row>
    <row r="940" spans="6:34" x14ac:dyDescent="0.3">
      <c r="F940" s="35"/>
      <c r="J940" s="35"/>
      <c r="K940" s="35"/>
      <c r="L940" s="35"/>
      <c r="AD940" s="73"/>
      <c r="AF940" s="112" t="str">
        <f t="shared" si="28"/>
        <v/>
      </c>
      <c r="AG940" s="113" t="str">
        <f>IF(AF940="","",COUNTIF(AF940:AF$3000,AF940))</f>
        <v/>
      </c>
      <c r="AH940" s="114" t="str">
        <f t="shared" si="29"/>
        <v/>
      </c>
    </row>
    <row r="941" spans="6:34" x14ac:dyDescent="0.3">
      <c r="F941" s="35"/>
      <c r="J941" s="35"/>
      <c r="K941" s="35"/>
      <c r="L941" s="35"/>
      <c r="AD941" s="73"/>
      <c r="AF941" s="112" t="str">
        <f t="shared" si="28"/>
        <v/>
      </c>
      <c r="AG941" s="113" t="str">
        <f>IF(AF941="","",COUNTIF(AF941:AF$3000,AF941))</f>
        <v/>
      </c>
      <c r="AH941" s="114" t="str">
        <f t="shared" si="29"/>
        <v/>
      </c>
    </row>
    <row r="942" spans="6:34" x14ac:dyDescent="0.3">
      <c r="F942" s="35"/>
      <c r="J942" s="35"/>
      <c r="K942" s="35"/>
      <c r="L942" s="35"/>
      <c r="AD942" s="73"/>
      <c r="AF942" s="112" t="str">
        <f t="shared" si="28"/>
        <v/>
      </c>
      <c r="AG942" s="113" t="str">
        <f>IF(AF942="","",COUNTIF(AF942:AF$3000,AF942))</f>
        <v/>
      </c>
      <c r="AH942" s="114" t="str">
        <f t="shared" si="29"/>
        <v/>
      </c>
    </row>
    <row r="943" spans="6:34" x14ac:dyDescent="0.3">
      <c r="F943" s="35"/>
      <c r="J943" s="35"/>
      <c r="K943" s="35"/>
      <c r="L943" s="35"/>
      <c r="AD943" s="73"/>
      <c r="AF943" s="112" t="str">
        <f t="shared" si="28"/>
        <v/>
      </c>
      <c r="AG943" s="113" t="str">
        <f>IF(AF943="","",COUNTIF(AF943:AF$3000,AF943))</f>
        <v/>
      </c>
      <c r="AH943" s="114" t="str">
        <f t="shared" si="29"/>
        <v/>
      </c>
    </row>
    <row r="944" spans="6:34" x14ac:dyDescent="0.3">
      <c r="F944" s="35"/>
      <c r="J944" s="35"/>
      <c r="K944" s="35"/>
      <c r="L944" s="35"/>
      <c r="AD944" s="73"/>
      <c r="AF944" s="112" t="str">
        <f t="shared" si="28"/>
        <v/>
      </c>
      <c r="AG944" s="113" t="str">
        <f>IF(AF944="","",COUNTIF(AF944:AF$3000,AF944))</f>
        <v/>
      </c>
      <c r="AH944" s="114" t="str">
        <f t="shared" si="29"/>
        <v/>
      </c>
    </row>
    <row r="945" spans="6:34" x14ac:dyDescent="0.3">
      <c r="F945" s="35"/>
      <c r="J945" s="35"/>
      <c r="K945" s="35"/>
      <c r="L945" s="35"/>
      <c r="AD945" s="73"/>
      <c r="AF945" s="112" t="str">
        <f t="shared" si="28"/>
        <v/>
      </c>
      <c r="AG945" s="113" t="str">
        <f>IF(AF945="","",COUNTIF(AF945:AF$3000,AF945))</f>
        <v/>
      </c>
      <c r="AH945" s="114" t="str">
        <f t="shared" si="29"/>
        <v/>
      </c>
    </row>
    <row r="946" spans="6:34" x14ac:dyDescent="0.3">
      <c r="F946" s="35"/>
      <c r="J946" s="35"/>
      <c r="K946" s="35"/>
      <c r="L946" s="35"/>
      <c r="AD946" s="73"/>
      <c r="AF946" s="112" t="str">
        <f t="shared" si="28"/>
        <v/>
      </c>
      <c r="AG946" s="113" t="str">
        <f>IF(AF946="","",COUNTIF(AF946:AF$3000,AF946))</f>
        <v/>
      </c>
      <c r="AH946" s="114" t="str">
        <f t="shared" si="29"/>
        <v/>
      </c>
    </row>
    <row r="947" spans="6:34" x14ac:dyDescent="0.3">
      <c r="F947" s="35"/>
      <c r="J947" s="35"/>
      <c r="K947" s="35"/>
      <c r="L947" s="35"/>
      <c r="AD947" s="73"/>
      <c r="AF947" s="112" t="str">
        <f t="shared" si="28"/>
        <v/>
      </c>
      <c r="AG947" s="113" t="str">
        <f>IF(AF947="","",COUNTIF(AF947:AF$3000,AF947))</f>
        <v/>
      </c>
      <c r="AH947" s="114" t="str">
        <f t="shared" si="29"/>
        <v/>
      </c>
    </row>
    <row r="948" spans="6:34" x14ac:dyDescent="0.3">
      <c r="F948" s="35"/>
      <c r="J948" s="35"/>
      <c r="K948" s="35"/>
      <c r="L948" s="35"/>
      <c r="AD948" s="73"/>
      <c r="AF948" s="112" t="str">
        <f t="shared" si="28"/>
        <v/>
      </c>
      <c r="AG948" s="113" t="str">
        <f>IF(AF948="","",COUNTIF(AF948:AF$3000,AF948))</f>
        <v/>
      </c>
      <c r="AH948" s="114" t="str">
        <f t="shared" si="29"/>
        <v/>
      </c>
    </row>
    <row r="949" spans="6:34" x14ac:dyDescent="0.3">
      <c r="F949" s="35"/>
      <c r="J949" s="35"/>
      <c r="K949" s="35"/>
      <c r="L949" s="35"/>
      <c r="AD949" s="73"/>
      <c r="AF949" s="112" t="str">
        <f t="shared" si="28"/>
        <v/>
      </c>
      <c r="AG949" s="113" t="str">
        <f>IF(AF949="","",COUNTIF(AF949:AF$3000,AF949))</f>
        <v/>
      </c>
      <c r="AH949" s="114" t="str">
        <f t="shared" si="29"/>
        <v/>
      </c>
    </row>
    <row r="950" spans="6:34" x14ac:dyDescent="0.3">
      <c r="F950" s="35"/>
      <c r="J950" s="35"/>
      <c r="K950" s="35"/>
      <c r="L950" s="35"/>
      <c r="AD950" s="73"/>
      <c r="AF950" s="112" t="str">
        <f t="shared" si="28"/>
        <v/>
      </c>
      <c r="AG950" s="113" t="str">
        <f>IF(AF950="","",COUNTIF(AF950:AF$3000,AF950))</f>
        <v/>
      </c>
      <c r="AH950" s="114" t="str">
        <f t="shared" si="29"/>
        <v/>
      </c>
    </row>
    <row r="951" spans="6:34" x14ac:dyDescent="0.3">
      <c r="F951" s="35"/>
      <c r="J951" s="35"/>
      <c r="K951" s="35"/>
      <c r="L951" s="35"/>
      <c r="AD951" s="73"/>
      <c r="AF951" s="112" t="str">
        <f t="shared" si="28"/>
        <v/>
      </c>
      <c r="AG951" s="113" t="str">
        <f>IF(AF951="","",COUNTIF(AF951:AF$3000,AF951))</f>
        <v/>
      </c>
      <c r="AH951" s="114" t="str">
        <f t="shared" si="29"/>
        <v/>
      </c>
    </row>
    <row r="952" spans="6:34" x14ac:dyDescent="0.3">
      <c r="F952" s="35"/>
      <c r="J952" s="35"/>
      <c r="K952" s="35"/>
      <c r="L952" s="35"/>
      <c r="AD952" s="73"/>
      <c r="AF952" s="112" t="str">
        <f t="shared" si="28"/>
        <v/>
      </c>
      <c r="AG952" s="113" t="str">
        <f>IF(AF952="","",COUNTIF(AF952:AF$3000,AF952))</f>
        <v/>
      </c>
      <c r="AH952" s="114" t="str">
        <f t="shared" si="29"/>
        <v/>
      </c>
    </row>
    <row r="953" spans="6:34" x14ac:dyDescent="0.3">
      <c r="F953" s="35"/>
      <c r="J953" s="35"/>
      <c r="K953" s="35"/>
      <c r="L953" s="35"/>
      <c r="AD953" s="73"/>
      <c r="AF953" s="112" t="str">
        <f t="shared" si="28"/>
        <v/>
      </c>
      <c r="AG953" s="113" t="str">
        <f>IF(AF953="","",COUNTIF(AF953:AF$3000,AF953))</f>
        <v/>
      </c>
      <c r="AH953" s="114" t="str">
        <f t="shared" si="29"/>
        <v/>
      </c>
    </row>
    <row r="954" spans="6:34" x14ac:dyDescent="0.3">
      <c r="F954" s="35"/>
      <c r="J954" s="35"/>
      <c r="K954" s="35"/>
      <c r="L954" s="35"/>
      <c r="AD954" s="73"/>
      <c r="AF954" s="112" t="str">
        <f t="shared" si="28"/>
        <v/>
      </c>
      <c r="AG954" s="113" t="str">
        <f>IF(AF954="","",COUNTIF(AF954:AF$3000,AF954))</f>
        <v/>
      </c>
      <c r="AH954" s="114" t="str">
        <f t="shared" si="29"/>
        <v/>
      </c>
    </row>
    <row r="955" spans="6:34" x14ac:dyDescent="0.3">
      <c r="F955" s="35"/>
      <c r="J955" s="35"/>
      <c r="K955" s="35"/>
      <c r="L955" s="35"/>
      <c r="AD955" s="73"/>
      <c r="AF955" s="112" t="str">
        <f t="shared" si="28"/>
        <v/>
      </c>
      <c r="AG955" s="113" t="str">
        <f>IF(AF955="","",COUNTIF(AF955:AF$3000,AF955))</f>
        <v/>
      </c>
      <c r="AH955" s="114" t="str">
        <f t="shared" si="29"/>
        <v/>
      </c>
    </row>
    <row r="956" spans="6:34" x14ac:dyDescent="0.3">
      <c r="F956" s="35"/>
      <c r="J956" s="35"/>
      <c r="K956" s="35"/>
      <c r="L956" s="35"/>
      <c r="AD956" s="73"/>
      <c r="AF956" s="112" t="str">
        <f t="shared" si="28"/>
        <v/>
      </c>
      <c r="AG956" s="113" t="str">
        <f>IF(AF956="","",COUNTIF(AF956:AF$3000,AF956))</f>
        <v/>
      </c>
      <c r="AH956" s="114" t="str">
        <f t="shared" si="29"/>
        <v/>
      </c>
    </row>
    <row r="957" spans="6:34" x14ac:dyDescent="0.3">
      <c r="F957" s="35"/>
      <c r="J957" s="35"/>
      <c r="K957" s="35"/>
      <c r="L957" s="35"/>
      <c r="AD957" s="73"/>
      <c r="AF957" s="112" t="str">
        <f t="shared" si="28"/>
        <v/>
      </c>
      <c r="AG957" s="113" t="str">
        <f>IF(AF957="","",COUNTIF(AF957:AF$3000,AF957))</f>
        <v/>
      </c>
      <c r="AH957" s="114" t="str">
        <f t="shared" si="29"/>
        <v/>
      </c>
    </row>
    <row r="958" spans="6:34" x14ac:dyDescent="0.3">
      <c r="F958" s="35"/>
      <c r="J958" s="35"/>
      <c r="K958" s="35"/>
      <c r="L958" s="35"/>
      <c r="AD958" s="73"/>
      <c r="AF958" s="112" t="str">
        <f t="shared" si="28"/>
        <v/>
      </c>
      <c r="AG958" s="113" t="str">
        <f>IF(AF958="","",COUNTIF(AF958:AF$3000,AF958))</f>
        <v/>
      </c>
      <c r="AH958" s="114" t="str">
        <f t="shared" si="29"/>
        <v/>
      </c>
    </row>
    <row r="959" spans="6:34" x14ac:dyDescent="0.3">
      <c r="F959" s="35"/>
      <c r="J959" s="35"/>
      <c r="K959" s="35"/>
      <c r="L959" s="35"/>
      <c r="AD959" s="73"/>
      <c r="AF959" s="112" t="str">
        <f t="shared" si="28"/>
        <v/>
      </c>
      <c r="AG959" s="113" t="str">
        <f>IF(AF959="","",COUNTIF(AF959:AF$3000,AF959))</f>
        <v/>
      </c>
      <c r="AH959" s="114" t="str">
        <f t="shared" si="29"/>
        <v/>
      </c>
    </row>
    <row r="960" spans="6:34" x14ac:dyDescent="0.3">
      <c r="F960" s="35"/>
      <c r="J960" s="35"/>
      <c r="K960" s="35"/>
      <c r="L960" s="35"/>
      <c r="AD960" s="73"/>
      <c r="AF960" s="112" t="str">
        <f t="shared" si="28"/>
        <v/>
      </c>
      <c r="AG960" s="113" t="str">
        <f>IF(AF960="","",COUNTIF(AF960:AF$3000,AF960))</f>
        <v/>
      </c>
      <c r="AH960" s="114" t="str">
        <f t="shared" si="29"/>
        <v/>
      </c>
    </row>
    <row r="961" spans="6:34" x14ac:dyDescent="0.3">
      <c r="F961" s="35"/>
      <c r="J961" s="35"/>
      <c r="K961" s="35"/>
      <c r="L961" s="35"/>
      <c r="AD961" s="73"/>
      <c r="AF961" s="112" t="str">
        <f t="shared" si="28"/>
        <v/>
      </c>
      <c r="AG961" s="113" t="str">
        <f>IF(AF961="","",COUNTIF(AF961:AF$3000,AF961))</f>
        <v/>
      </c>
      <c r="AH961" s="114" t="str">
        <f t="shared" si="29"/>
        <v/>
      </c>
    </row>
    <row r="962" spans="6:34" x14ac:dyDescent="0.3">
      <c r="F962" s="35"/>
      <c r="J962" s="35"/>
      <c r="K962" s="35"/>
      <c r="L962" s="35"/>
      <c r="AD962" s="73"/>
      <c r="AF962" s="112" t="str">
        <f t="shared" si="28"/>
        <v/>
      </c>
      <c r="AG962" s="113" t="str">
        <f>IF(AF962="","",COUNTIF(AF962:AF$3000,AF962))</f>
        <v/>
      </c>
      <c r="AH962" s="114" t="str">
        <f t="shared" si="29"/>
        <v/>
      </c>
    </row>
    <row r="963" spans="6:34" x14ac:dyDescent="0.3">
      <c r="F963" s="35"/>
      <c r="J963" s="35"/>
      <c r="K963" s="35"/>
      <c r="L963" s="35"/>
      <c r="AD963" s="73"/>
      <c r="AF963" s="112" t="str">
        <f t="shared" si="28"/>
        <v/>
      </c>
      <c r="AG963" s="113" t="str">
        <f>IF(AF963="","",COUNTIF(AF963:AF$3000,AF963))</f>
        <v/>
      </c>
      <c r="AH963" s="114" t="str">
        <f t="shared" si="29"/>
        <v/>
      </c>
    </row>
    <row r="964" spans="6:34" x14ac:dyDescent="0.3">
      <c r="F964" s="35"/>
      <c r="J964" s="35"/>
      <c r="K964" s="35"/>
      <c r="L964" s="35"/>
      <c r="AD964" s="73"/>
      <c r="AF964" s="112" t="str">
        <f t="shared" ref="AF964:AF1027" si="30">IF(B964="","",TEXT(J964,"DD/MM/AA")&amp;"_"&amp;S964&amp;"_"&amp;V964)</f>
        <v/>
      </c>
      <c r="AG964" s="113" t="str">
        <f>IF(AF964="","",COUNTIF(AF964:AF$3000,AF964))</f>
        <v/>
      </c>
      <c r="AH964" s="114" t="str">
        <f t="shared" ref="AH964:AH1027" si="31">IF(AA964="","",
IF(AG964&gt;1,"",
IF(SUMIF(AF$3:AF$31,AF964,H$3:H$31)/10&lt;1,1,SUMIF(AF$3:AF$31,AF964,H$3:H$31)/10)))</f>
        <v/>
      </c>
    </row>
    <row r="965" spans="6:34" x14ac:dyDescent="0.3">
      <c r="F965" s="35"/>
      <c r="J965" s="35"/>
      <c r="K965" s="35"/>
      <c r="L965" s="35"/>
      <c r="AD965" s="73"/>
      <c r="AF965" s="112" t="str">
        <f t="shared" si="30"/>
        <v/>
      </c>
      <c r="AG965" s="113" t="str">
        <f>IF(AF965="","",COUNTIF(AF965:AF$3000,AF965))</f>
        <v/>
      </c>
      <c r="AH965" s="114" t="str">
        <f t="shared" si="31"/>
        <v/>
      </c>
    </row>
    <row r="966" spans="6:34" x14ac:dyDescent="0.3">
      <c r="F966" s="35"/>
      <c r="J966" s="35"/>
      <c r="K966" s="35"/>
      <c r="L966" s="35"/>
      <c r="AD966" s="73"/>
      <c r="AF966" s="112" t="str">
        <f t="shared" si="30"/>
        <v/>
      </c>
      <c r="AG966" s="113" t="str">
        <f>IF(AF966="","",COUNTIF(AF966:AF$3000,AF966))</f>
        <v/>
      </c>
      <c r="AH966" s="114" t="str">
        <f t="shared" si="31"/>
        <v/>
      </c>
    </row>
    <row r="967" spans="6:34" x14ac:dyDescent="0.3">
      <c r="F967" s="35"/>
      <c r="J967" s="35"/>
      <c r="K967" s="35"/>
      <c r="L967" s="35"/>
      <c r="AD967" s="73"/>
      <c r="AF967" s="112" t="str">
        <f t="shared" si="30"/>
        <v/>
      </c>
      <c r="AG967" s="113" t="str">
        <f>IF(AF967="","",COUNTIF(AF967:AF$3000,AF967))</f>
        <v/>
      </c>
      <c r="AH967" s="114" t="str">
        <f t="shared" si="31"/>
        <v/>
      </c>
    </row>
    <row r="968" spans="6:34" x14ac:dyDescent="0.3">
      <c r="F968" s="35"/>
      <c r="J968" s="35"/>
      <c r="K968" s="35"/>
      <c r="L968" s="35"/>
      <c r="AD968" s="73"/>
      <c r="AF968" s="112" t="str">
        <f t="shared" si="30"/>
        <v/>
      </c>
      <c r="AG968" s="113" t="str">
        <f>IF(AF968="","",COUNTIF(AF968:AF$3000,AF968))</f>
        <v/>
      </c>
      <c r="AH968" s="114" t="str">
        <f t="shared" si="31"/>
        <v/>
      </c>
    </row>
    <row r="969" spans="6:34" x14ac:dyDescent="0.3">
      <c r="F969" s="35"/>
      <c r="J969" s="35"/>
      <c r="K969" s="35"/>
      <c r="L969" s="35"/>
      <c r="AD969" s="73"/>
      <c r="AF969" s="112" t="str">
        <f t="shared" si="30"/>
        <v/>
      </c>
      <c r="AG969" s="113" t="str">
        <f>IF(AF969="","",COUNTIF(AF969:AF$3000,AF969))</f>
        <v/>
      </c>
      <c r="AH969" s="114" t="str">
        <f t="shared" si="31"/>
        <v/>
      </c>
    </row>
    <row r="970" spans="6:34" x14ac:dyDescent="0.3">
      <c r="F970" s="35"/>
      <c r="J970" s="35"/>
      <c r="K970" s="35"/>
      <c r="L970" s="35"/>
      <c r="AD970" s="73"/>
      <c r="AF970" s="112" t="str">
        <f t="shared" si="30"/>
        <v/>
      </c>
      <c r="AG970" s="113" t="str">
        <f>IF(AF970="","",COUNTIF(AF970:AF$3000,AF970))</f>
        <v/>
      </c>
      <c r="AH970" s="114" t="str">
        <f t="shared" si="31"/>
        <v/>
      </c>
    </row>
    <row r="971" spans="6:34" x14ac:dyDescent="0.3">
      <c r="F971" s="35"/>
      <c r="J971" s="35"/>
      <c r="K971" s="35"/>
      <c r="L971" s="35"/>
      <c r="AD971" s="73"/>
      <c r="AF971" s="112" t="str">
        <f t="shared" si="30"/>
        <v/>
      </c>
      <c r="AG971" s="113" t="str">
        <f>IF(AF971="","",COUNTIF(AF971:AF$3000,AF971))</f>
        <v/>
      </c>
      <c r="AH971" s="114" t="str">
        <f t="shared" si="31"/>
        <v/>
      </c>
    </row>
    <row r="972" spans="6:34" x14ac:dyDescent="0.3">
      <c r="F972" s="35"/>
      <c r="J972" s="35"/>
      <c r="K972" s="35"/>
      <c r="L972" s="35"/>
      <c r="AD972" s="73"/>
      <c r="AF972" s="112" t="str">
        <f t="shared" si="30"/>
        <v/>
      </c>
      <c r="AG972" s="113" t="str">
        <f>IF(AF972="","",COUNTIF(AF972:AF$3000,AF972))</f>
        <v/>
      </c>
      <c r="AH972" s="114" t="str">
        <f t="shared" si="31"/>
        <v/>
      </c>
    </row>
    <row r="973" spans="6:34" x14ac:dyDescent="0.3">
      <c r="F973" s="35"/>
      <c r="J973" s="35"/>
      <c r="K973" s="35"/>
      <c r="L973" s="35"/>
      <c r="AD973" s="73"/>
      <c r="AF973" s="112" t="str">
        <f t="shared" si="30"/>
        <v/>
      </c>
      <c r="AG973" s="113" t="str">
        <f>IF(AF973="","",COUNTIF(AF973:AF$3000,AF973))</f>
        <v/>
      </c>
      <c r="AH973" s="114" t="str">
        <f t="shared" si="31"/>
        <v/>
      </c>
    </row>
    <row r="974" spans="6:34" x14ac:dyDescent="0.3">
      <c r="F974" s="35"/>
      <c r="J974" s="35"/>
      <c r="K974" s="35"/>
      <c r="L974" s="35"/>
      <c r="AD974" s="73"/>
      <c r="AF974" s="112" t="str">
        <f t="shared" si="30"/>
        <v/>
      </c>
      <c r="AG974" s="113" t="str">
        <f>IF(AF974="","",COUNTIF(AF974:AF$3000,AF974))</f>
        <v/>
      </c>
      <c r="AH974" s="114" t="str">
        <f t="shared" si="31"/>
        <v/>
      </c>
    </row>
    <row r="975" spans="6:34" x14ac:dyDescent="0.3">
      <c r="F975" s="35"/>
      <c r="J975" s="35"/>
      <c r="K975" s="35"/>
      <c r="L975" s="35"/>
      <c r="AD975" s="73"/>
      <c r="AF975" s="112" t="str">
        <f t="shared" si="30"/>
        <v/>
      </c>
      <c r="AG975" s="113" t="str">
        <f>IF(AF975="","",COUNTIF(AF975:AF$3000,AF975))</f>
        <v/>
      </c>
      <c r="AH975" s="114" t="str">
        <f t="shared" si="31"/>
        <v/>
      </c>
    </row>
    <row r="976" spans="6:34" x14ac:dyDescent="0.3">
      <c r="F976" s="35"/>
      <c r="J976" s="35"/>
      <c r="K976" s="35"/>
      <c r="L976" s="35"/>
      <c r="AD976" s="73"/>
      <c r="AF976" s="112" t="str">
        <f t="shared" si="30"/>
        <v/>
      </c>
      <c r="AG976" s="113" t="str">
        <f>IF(AF976="","",COUNTIF(AF976:AF$3000,AF976))</f>
        <v/>
      </c>
      <c r="AH976" s="114" t="str">
        <f t="shared" si="31"/>
        <v/>
      </c>
    </row>
    <row r="977" spans="6:34" x14ac:dyDescent="0.3">
      <c r="F977" s="35"/>
      <c r="J977" s="35"/>
      <c r="K977" s="35"/>
      <c r="L977" s="35"/>
      <c r="AD977" s="73"/>
      <c r="AF977" s="112" t="str">
        <f t="shared" si="30"/>
        <v/>
      </c>
      <c r="AG977" s="113" t="str">
        <f>IF(AF977="","",COUNTIF(AF977:AF$3000,AF977))</f>
        <v/>
      </c>
      <c r="AH977" s="114" t="str">
        <f t="shared" si="31"/>
        <v/>
      </c>
    </row>
    <row r="978" spans="6:34" x14ac:dyDescent="0.3">
      <c r="F978" s="35"/>
      <c r="J978" s="35"/>
      <c r="K978" s="35"/>
      <c r="L978" s="35"/>
      <c r="AD978" s="73"/>
      <c r="AF978" s="112" t="str">
        <f t="shared" si="30"/>
        <v/>
      </c>
      <c r="AG978" s="113" t="str">
        <f>IF(AF978="","",COUNTIF(AF978:AF$3000,AF978))</f>
        <v/>
      </c>
      <c r="AH978" s="114" t="str">
        <f t="shared" si="31"/>
        <v/>
      </c>
    </row>
    <row r="979" spans="6:34" x14ac:dyDescent="0.3">
      <c r="F979" s="35"/>
      <c r="J979" s="35"/>
      <c r="K979" s="35"/>
      <c r="L979" s="35"/>
      <c r="AD979" s="73"/>
      <c r="AF979" s="112" t="str">
        <f t="shared" si="30"/>
        <v/>
      </c>
      <c r="AG979" s="113" t="str">
        <f>IF(AF979="","",COUNTIF(AF979:AF$3000,AF979))</f>
        <v/>
      </c>
      <c r="AH979" s="114" t="str">
        <f t="shared" si="31"/>
        <v/>
      </c>
    </row>
    <row r="980" spans="6:34" x14ac:dyDescent="0.3">
      <c r="F980" s="35"/>
      <c r="J980" s="35"/>
      <c r="K980" s="35"/>
      <c r="L980" s="35"/>
      <c r="AD980" s="73"/>
      <c r="AF980" s="112" t="str">
        <f t="shared" si="30"/>
        <v/>
      </c>
      <c r="AG980" s="113" t="str">
        <f>IF(AF980="","",COUNTIF(AF980:AF$3000,AF980))</f>
        <v/>
      </c>
      <c r="AH980" s="114" t="str">
        <f t="shared" si="31"/>
        <v/>
      </c>
    </row>
    <row r="981" spans="6:34" x14ac:dyDescent="0.3">
      <c r="F981" s="35"/>
      <c r="J981" s="35"/>
      <c r="K981" s="35"/>
      <c r="L981" s="35"/>
      <c r="AD981" s="73"/>
      <c r="AF981" s="112" t="str">
        <f t="shared" si="30"/>
        <v/>
      </c>
      <c r="AG981" s="113" t="str">
        <f>IF(AF981="","",COUNTIF(AF981:AF$3000,AF981))</f>
        <v/>
      </c>
      <c r="AH981" s="114" t="str">
        <f t="shared" si="31"/>
        <v/>
      </c>
    </row>
    <row r="982" spans="6:34" x14ac:dyDescent="0.3">
      <c r="F982" s="35"/>
      <c r="J982" s="35"/>
      <c r="K982" s="35"/>
      <c r="L982" s="35"/>
      <c r="AD982" s="73"/>
      <c r="AF982" s="112" t="str">
        <f t="shared" si="30"/>
        <v/>
      </c>
      <c r="AG982" s="113" t="str">
        <f>IF(AF982="","",COUNTIF(AF982:AF$3000,AF982))</f>
        <v/>
      </c>
      <c r="AH982" s="114" t="str">
        <f t="shared" si="31"/>
        <v/>
      </c>
    </row>
    <row r="983" spans="6:34" x14ac:dyDescent="0.3">
      <c r="F983" s="35"/>
      <c r="J983" s="35"/>
      <c r="K983" s="35"/>
      <c r="L983" s="35"/>
      <c r="AD983" s="73"/>
      <c r="AF983" s="112" t="str">
        <f t="shared" si="30"/>
        <v/>
      </c>
      <c r="AG983" s="113" t="str">
        <f>IF(AF983="","",COUNTIF(AF983:AF$3000,AF983))</f>
        <v/>
      </c>
      <c r="AH983" s="114" t="str">
        <f t="shared" si="31"/>
        <v/>
      </c>
    </row>
    <row r="984" spans="6:34" x14ac:dyDescent="0.3">
      <c r="F984" s="35"/>
      <c r="J984" s="35"/>
      <c r="K984" s="35"/>
      <c r="L984" s="35"/>
      <c r="AD984" s="73"/>
      <c r="AF984" s="112" t="str">
        <f t="shared" si="30"/>
        <v/>
      </c>
      <c r="AG984" s="113" t="str">
        <f>IF(AF984="","",COUNTIF(AF984:AF$3000,AF984))</f>
        <v/>
      </c>
      <c r="AH984" s="114" t="str">
        <f t="shared" si="31"/>
        <v/>
      </c>
    </row>
    <row r="985" spans="6:34" x14ac:dyDescent="0.3">
      <c r="F985" s="35"/>
      <c r="J985" s="35"/>
      <c r="K985" s="35"/>
      <c r="L985" s="35"/>
      <c r="AD985" s="73"/>
      <c r="AF985" s="112" t="str">
        <f t="shared" si="30"/>
        <v/>
      </c>
      <c r="AG985" s="113" t="str">
        <f>IF(AF985="","",COUNTIF(AF985:AF$3000,AF985))</f>
        <v/>
      </c>
      <c r="AH985" s="114" t="str">
        <f t="shared" si="31"/>
        <v/>
      </c>
    </row>
    <row r="986" spans="6:34" x14ac:dyDescent="0.3">
      <c r="F986" s="35"/>
      <c r="J986" s="35"/>
      <c r="K986" s="35"/>
      <c r="L986" s="35"/>
      <c r="AD986" s="73"/>
      <c r="AF986" s="112" t="str">
        <f t="shared" si="30"/>
        <v/>
      </c>
      <c r="AG986" s="113" t="str">
        <f>IF(AF986="","",COUNTIF(AF986:AF$3000,AF986))</f>
        <v/>
      </c>
      <c r="AH986" s="114" t="str">
        <f t="shared" si="31"/>
        <v/>
      </c>
    </row>
    <row r="987" spans="6:34" x14ac:dyDescent="0.3">
      <c r="F987" s="35"/>
      <c r="J987" s="35"/>
      <c r="K987" s="35"/>
      <c r="L987" s="35"/>
      <c r="AD987" s="73"/>
      <c r="AF987" s="112" t="str">
        <f t="shared" si="30"/>
        <v/>
      </c>
      <c r="AG987" s="113" t="str">
        <f>IF(AF987="","",COUNTIF(AF987:AF$3000,AF987))</f>
        <v/>
      </c>
      <c r="AH987" s="114" t="str">
        <f t="shared" si="31"/>
        <v/>
      </c>
    </row>
    <row r="988" spans="6:34" x14ac:dyDescent="0.3">
      <c r="F988" s="35"/>
      <c r="J988" s="35"/>
      <c r="K988" s="35"/>
      <c r="L988" s="35"/>
      <c r="AD988" s="73"/>
      <c r="AF988" s="112" t="str">
        <f t="shared" si="30"/>
        <v/>
      </c>
      <c r="AG988" s="113" t="str">
        <f>IF(AF988="","",COUNTIF(AF988:AF$3000,AF988))</f>
        <v/>
      </c>
      <c r="AH988" s="114" t="str">
        <f t="shared" si="31"/>
        <v/>
      </c>
    </row>
    <row r="989" spans="6:34" x14ac:dyDescent="0.3">
      <c r="F989" s="35"/>
      <c r="J989" s="35"/>
      <c r="K989" s="35"/>
      <c r="L989" s="35"/>
      <c r="AD989" s="73"/>
      <c r="AF989" s="112" t="str">
        <f t="shared" si="30"/>
        <v/>
      </c>
      <c r="AG989" s="113" t="str">
        <f>IF(AF989="","",COUNTIF(AF989:AF$3000,AF989))</f>
        <v/>
      </c>
      <c r="AH989" s="114" t="str">
        <f t="shared" si="31"/>
        <v/>
      </c>
    </row>
    <row r="990" spans="6:34" x14ac:dyDescent="0.3">
      <c r="F990" s="35"/>
      <c r="J990" s="35"/>
      <c r="K990" s="35"/>
      <c r="L990" s="35"/>
      <c r="AD990" s="73"/>
      <c r="AF990" s="112" t="str">
        <f t="shared" si="30"/>
        <v/>
      </c>
      <c r="AG990" s="113" t="str">
        <f>IF(AF990="","",COUNTIF(AF990:AF$3000,AF990))</f>
        <v/>
      </c>
      <c r="AH990" s="114" t="str">
        <f t="shared" si="31"/>
        <v/>
      </c>
    </row>
    <row r="991" spans="6:34" x14ac:dyDescent="0.3">
      <c r="F991" s="35"/>
      <c r="J991" s="35"/>
      <c r="K991" s="35"/>
      <c r="L991" s="35"/>
      <c r="AD991" s="73"/>
      <c r="AF991" s="112" t="str">
        <f t="shared" si="30"/>
        <v/>
      </c>
      <c r="AG991" s="113" t="str">
        <f>IF(AF991="","",COUNTIF(AF991:AF$3000,AF991))</f>
        <v/>
      </c>
      <c r="AH991" s="114" t="str">
        <f t="shared" si="31"/>
        <v/>
      </c>
    </row>
    <row r="992" spans="6:34" x14ac:dyDescent="0.3">
      <c r="F992" s="35"/>
      <c r="J992" s="35"/>
      <c r="K992" s="35"/>
      <c r="L992" s="35"/>
      <c r="AD992" s="73"/>
      <c r="AF992" s="112" t="str">
        <f t="shared" si="30"/>
        <v/>
      </c>
      <c r="AG992" s="113" t="str">
        <f>IF(AF992="","",COUNTIF(AF992:AF$3000,AF992))</f>
        <v/>
      </c>
      <c r="AH992" s="114" t="str">
        <f t="shared" si="31"/>
        <v/>
      </c>
    </row>
    <row r="993" spans="6:34" x14ac:dyDescent="0.3">
      <c r="F993" s="35"/>
      <c r="J993" s="35"/>
      <c r="K993" s="35"/>
      <c r="L993" s="35"/>
      <c r="AD993" s="73"/>
      <c r="AF993" s="112" t="str">
        <f t="shared" si="30"/>
        <v/>
      </c>
      <c r="AG993" s="113" t="str">
        <f>IF(AF993="","",COUNTIF(AF993:AF$3000,AF993))</f>
        <v/>
      </c>
      <c r="AH993" s="114" t="str">
        <f t="shared" si="31"/>
        <v/>
      </c>
    </row>
    <row r="994" spans="6:34" x14ac:dyDescent="0.3">
      <c r="F994" s="35"/>
      <c r="J994" s="35"/>
      <c r="K994" s="35"/>
      <c r="L994" s="35"/>
      <c r="AD994" s="73"/>
      <c r="AF994" s="112" t="str">
        <f t="shared" si="30"/>
        <v/>
      </c>
      <c r="AG994" s="113" t="str">
        <f>IF(AF994="","",COUNTIF(AF994:AF$3000,AF994))</f>
        <v/>
      </c>
      <c r="AH994" s="114" t="str">
        <f t="shared" si="31"/>
        <v/>
      </c>
    </row>
    <row r="995" spans="6:34" x14ac:dyDescent="0.3">
      <c r="F995" s="35"/>
      <c r="J995" s="35"/>
      <c r="K995" s="35"/>
      <c r="L995" s="35"/>
      <c r="AD995" s="73"/>
      <c r="AF995" s="112" t="str">
        <f t="shared" si="30"/>
        <v/>
      </c>
      <c r="AG995" s="113" t="str">
        <f>IF(AF995="","",COUNTIF(AF995:AF$3000,AF995))</f>
        <v/>
      </c>
      <c r="AH995" s="114" t="str">
        <f t="shared" si="31"/>
        <v/>
      </c>
    </row>
    <row r="996" spans="6:34" x14ac:dyDescent="0.3">
      <c r="F996" s="35"/>
      <c r="J996" s="35"/>
      <c r="K996" s="35"/>
      <c r="L996" s="35"/>
      <c r="AD996" s="73"/>
      <c r="AF996" s="112" t="str">
        <f t="shared" si="30"/>
        <v/>
      </c>
      <c r="AG996" s="113" t="str">
        <f>IF(AF996="","",COUNTIF(AF996:AF$3000,AF996))</f>
        <v/>
      </c>
      <c r="AH996" s="114" t="str">
        <f t="shared" si="31"/>
        <v/>
      </c>
    </row>
    <row r="997" spans="6:34" x14ac:dyDescent="0.3">
      <c r="F997" s="35"/>
      <c r="J997" s="35"/>
      <c r="K997" s="35"/>
      <c r="L997" s="35"/>
      <c r="AD997" s="73"/>
      <c r="AF997" s="112" t="str">
        <f t="shared" si="30"/>
        <v/>
      </c>
      <c r="AG997" s="113" t="str">
        <f>IF(AF997="","",COUNTIF(AF997:AF$3000,AF997))</f>
        <v/>
      </c>
      <c r="AH997" s="114" t="str">
        <f t="shared" si="31"/>
        <v/>
      </c>
    </row>
    <row r="998" spans="6:34" x14ac:dyDescent="0.3">
      <c r="F998" s="35"/>
      <c r="J998" s="35"/>
      <c r="K998" s="35"/>
      <c r="L998" s="35"/>
      <c r="AD998" s="73"/>
      <c r="AF998" s="112" t="str">
        <f t="shared" si="30"/>
        <v/>
      </c>
      <c r="AG998" s="113" t="str">
        <f>IF(AF998="","",COUNTIF(AF998:AF$3000,AF998))</f>
        <v/>
      </c>
      <c r="AH998" s="114" t="str">
        <f t="shared" si="31"/>
        <v/>
      </c>
    </row>
    <row r="999" spans="6:34" x14ac:dyDescent="0.3">
      <c r="F999" s="35"/>
      <c r="J999" s="35"/>
      <c r="K999" s="35"/>
      <c r="L999" s="35"/>
      <c r="AD999" s="73"/>
      <c r="AF999" s="112" t="str">
        <f t="shared" si="30"/>
        <v/>
      </c>
      <c r="AG999" s="113" t="str">
        <f>IF(AF999="","",COUNTIF(AF999:AF$3000,AF999))</f>
        <v/>
      </c>
      <c r="AH999" s="114" t="str">
        <f t="shared" si="31"/>
        <v/>
      </c>
    </row>
    <row r="1000" spans="6:34" x14ac:dyDescent="0.3">
      <c r="F1000" s="35"/>
      <c r="J1000" s="35"/>
      <c r="K1000" s="35"/>
      <c r="L1000" s="35"/>
      <c r="AD1000" s="73"/>
      <c r="AF1000" s="112" t="str">
        <f t="shared" si="30"/>
        <v/>
      </c>
      <c r="AG1000" s="113" t="str">
        <f>IF(AF1000="","",COUNTIF(AF1000:AF$3000,AF1000))</f>
        <v/>
      </c>
      <c r="AH1000" s="114" t="str">
        <f t="shared" si="31"/>
        <v/>
      </c>
    </row>
    <row r="1001" spans="6:34" x14ac:dyDescent="0.3">
      <c r="F1001" s="35"/>
      <c r="J1001" s="35"/>
      <c r="K1001" s="35"/>
      <c r="L1001" s="35"/>
      <c r="AD1001" s="73"/>
      <c r="AF1001" s="112" t="str">
        <f t="shared" si="30"/>
        <v/>
      </c>
      <c r="AG1001" s="113" t="str">
        <f>IF(AF1001="","",COUNTIF(AF1001:AF$3000,AF1001))</f>
        <v/>
      </c>
      <c r="AH1001" s="114" t="str">
        <f t="shared" si="31"/>
        <v/>
      </c>
    </row>
    <row r="1002" spans="6:34" x14ac:dyDescent="0.3">
      <c r="F1002" s="35"/>
      <c r="J1002" s="35"/>
      <c r="K1002" s="35"/>
      <c r="L1002" s="35"/>
      <c r="AD1002" s="73"/>
      <c r="AF1002" s="112" t="str">
        <f t="shared" si="30"/>
        <v/>
      </c>
      <c r="AG1002" s="113" t="str">
        <f>IF(AF1002="","",COUNTIF(AF1002:AF$3000,AF1002))</f>
        <v/>
      </c>
      <c r="AH1002" s="114" t="str">
        <f t="shared" si="31"/>
        <v/>
      </c>
    </row>
    <row r="1003" spans="6:34" x14ac:dyDescent="0.3">
      <c r="F1003" s="35"/>
      <c r="J1003" s="35"/>
      <c r="K1003" s="35"/>
      <c r="L1003" s="35"/>
      <c r="AD1003" s="73"/>
      <c r="AF1003" s="112" t="str">
        <f t="shared" si="30"/>
        <v/>
      </c>
      <c r="AG1003" s="113" t="str">
        <f>IF(AF1003="","",COUNTIF(AF1003:AF$3000,AF1003))</f>
        <v/>
      </c>
      <c r="AH1003" s="114" t="str">
        <f t="shared" si="31"/>
        <v/>
      </c>
    </row>
    <row r="1004" spans="6:34" x14ac:dyDescent="0.3">
      <c r="F1004" s="35"/>
      <c r="J1004" s="35"/>
      <c r="K1004" s="35"/>
      <c r="L1004" s="35"/>
      <c r="AD1004" s="73"/>
      <c r="AF1004" s="112" t="str">
        <f t="shared" si="30"/>
        <v/>
      </c>
      <c r="AG1004" s="113" t="str">
        <f>IF(AF1004="","",COUNTIF(AF1004:AF$3000,AF1004))</f>
        <v/>
      </c>
      <c r="AH1004" s="114" t="str">
        <f t="shared" si="31"/>
        <v/>
      </c>
    </row>
    <row r="1005" spans="6:34" x14ac:dyDescent="0.3">
      <c r="F1005" s="35"/>
      <c r="J1005" s="35"/>
      <c r="K1005" s="35"/>
      <c r="L1005" s="35"/>
      <c r="AD1005" s="73"/>
      <c r="AF1005" s="112" t="str">
        <f t="shared" si="30"/>
        <v/>
      </c>
      <c r="AG1005" s="113" t="str">
        <f>IF(AF1005="","",COUNTIF(AF1005:AF$3000,AF1005))</f>
        <v/>
      </c>
      <c r="AH1005" s="114" t="str">
        <f t="shared" si="31"/>
        <v/>
      </c>
    </row>
    <row r="1006" spans="6:34" x14ac:dyDescent="0.3">
      <c r="F1006" s="35"/>
      <c r="J1006" s="35"/>
      <c r="K1006" s="35"/>
      <c r="L1006" s="35"/>
      <c r="AD1006" s="73"/>
      <c r="AF1006" s="112" t="str">
        <f t="shared" si="30"/>
        <v/>
      </c>
      <c r="AG1006" s="113" t="str">
        <f>IF(AF1006="","",COUNTIF(AF1006:AF$3000,AF1006))</f>
        <v/>
      </c>
      <c r="AH1006" s="114" t="str">
        <f t="shared" si="31"/>
        <v/>
      </c>
    </row>
    <row r="1007" spans="6:34" x14ac:dyDescent="0.3">
      <c r="F1007" s="35"/>
      <c r="J1007" s="35"/>
      <c r="K1007" s="35"/>
      <c r="L1007" s="35"/>
      <c r="AD1007" s="73"/>
      <c r="AF1007" s="112" t="str">
        <f t="shared" si="30"/>
        <v/>
      </c>
      <c r="AG1007" s="113" t="str">
        <f>IF(AF1007="","",COUNTIF(AF1007:AF$3000,AF1007))</f>
        <v/>
      </c>
      <c r="AH1007" s="114" t="str">
        <f t="shared" si="31"/>
        <v/>
      </c>
    </row>
    <row r="1008" spans="6:34" x14ac:dyDescent="0.3">
      <c r="F1008" s="35"/>
      <c r="J1008" s="35"/>
      <c r="K1008" s="35"/>
      <c r="L1008" s="35"/>
      <c r="AD1008" s="73"/>
      <c r="AF1008" s="112" t="str">
        <f t="shared" si="30"/>
        <v/>
      </c>
      <c r="AG1008" s="113" t="str">
        <f>IF(AF1008="","",COUNTIF(AF1008:AF$3000,AF1008))</f>
        <v/>
      </c>
      <c r="AH1008" s="114" t="str">
        <f t="shared" si="31"/>
        <v/>
      </c>
    </row>
    <row r="1009" spans="6:34" x14ac:dyDescent="0.3">
      <c r="F1009" s="35"/>
      <c r="J1009" s="35"/>
      <c r="K1009" s="35"/>
      <c r="L1009" s="35"/>
      <c r="AD1009" s="73"/>
      <c r="AF1009" s="112" t="str">
        <f t="shared" si="30"/>
        <v/>
      </c>
      <c r="AG1009" s="113" t="str">
        <f>IF(AF1009="","",COUNTIF(AF1009:AF$3000,AF1009))</f>
        <v/>
      </c>
      <c r="AH1009" s="114" t="str">
        <f t="shared" si="31"/>
        <v/>
      </c>
    </row>
    <row r="1010" spans="6:34" x14ac:dyDescent="0.3">
      <c r="F1010" s="35"/>
      <c r="J1010" s="35"/>
      <c r="K1010" s="35"/>
      <c r="L1010" s="35"/>
      <c r="AD1010" s="73"/>
      <c r="AF1010" s="112" t="str">
        <f t="shared" si="30"/>
        <v/>
      </c>
      <c r="AG1010" s="113" t="str">
        <f>IF(AF1010="","",COUNTIF(AF1010:AF$3000,AF1010))</f>
        <v/>
      </c>
      <c r="AH1010" s="114" t="str">
        <f t="shared" si="31"/>
        <v/>
      </c>
    </row>
    <row r="1011" spans="6:34" x14ac:dyDescent="0.3">
      <c r="F1011" s="35"/>
      <c r="J1011" s="35"/>
      <c r="K1011" s="35"/>
      <c r="L1011" s="35"/>
      <c r="AD1011" s="73"/>
      <c r="AF1011" s="112" t="str">
        <f t="shared" si="30"/>
        <v/>
      </c>
      <c r="AG1011" s="113" t="str">
        <f>IF(AF1011="","",COUNTIF(AF1011:AF$3000,AF1011))</f>
        <v/>
      </c>
      <c r="AH1011" s="114" t="str">
        <f t="shared" si="31"/>
        <v/>
      </c>
    </row>
    <row r="1012" spans="6:34" x14ac:dyDescent="0.3">
      <c r="F1012" s="35"/>
      <c r="J1012" s="35"/>
      <c r="K1012" s="35"/>
      <c r="L1012" s="35"/>
      <c r="AD1012" s="73"/>
      <c r="AF1012" s="112" t="str">
        <f t="shared" si="30"/>
        <v/>
      </c>
      <c r="AG1012" s="113" t="str">
        <f>IF(AF1012="","",COUNTIF(AF1012:AF$3000,AF1012))</f>
        <v/>
      </c>
      <c r="AH1012" s="114" t="str">
        <f t="shared" si="31"/>
        <v/>
      </c>
    </row>
    <row r="1013" spans="6:34" x14ac:dyDescent="0.3">
      <c r="F1013" s="35"/>
      <c r="J1013" s="35"/>
      <c r="K1013" s="35"/>
      <c r="L1013" s="35"/>
      <c r="AD1013" s="73"/>
      <c r="AF1013" s="112" t="str">
        <f t="shared" si="30"/>
        <v/>
      </c>
      <c r="AG1013" s="113" t="str">
        <f>IF(AF1013="","",COUNTIF(AF1013:AF$3000,AF1013))</f>
        <v/>
      </c>
      <c r="AH1013" s="114" t="str">
        <f t="shared" si="31"/>
        <v/>
      </c>
    </row>
    <row r="1014" spans="6:34" x14ac:dyDescent="0.3">
      <c r="F1014" s="35"/>
      <c r="J1014" s="35"/>
      <c r="K1014" s="35"/>
      <c r="L1014" s="35"/>
      <c r="AD1014" s="73"/>
      <c r="AF1014" s="112" t="str">
        <f t="shared" si="30"/>
        <v/>
      </c>
      <c r="AG1014" s="113" t="str">
        <f>IF(AF1014="","",COUNTIF(AF1014:AF$3000,AF1014))</f>
        <v/>
      </c>
      <c r="AH1014" s="114" t="str">
        <f t="shared" si="31"/>
        <v/>
      </c>
    </row>
    <row r="1015" spans="6:34" x14ac:dyDescent="0.3">
      <c r="F1015" s="35"/>
      <c r="J1015" s="35"/>
      <c r="K1015" s="35"/>
      <c r="L1015" s="35"/>
      <c r="AD1015" s="73"/>
      <c r="AF1015" s="112" t="str">
        <f t="shared" si="30"/>
        <v/>
      </c>
      <c r="AG1015" s="113" t="str">
        <f>IF(AF1015="","",COUNTIF(AF1015:AF$3000,AF1015))</f>
        <v/>
      </c>
      <c r="AH1015" s="114" t="str">
        <f t="shared" si="31"/>
        <v/>
      </c>
    </row>
    <row r="1016" spans="6:34" x14ac:dyDescent="0.3">
      <c r="F1016" s="35"/>
      <c r="J1016" s="35"/>
      <c r="K1016" s="35"/>
      <c r="L1016" s="35"/>
      <c r="AD1016" s="73"/>
      <c r="AF1016" s="112" t="str">
        <f t="shared" si="30"/>
        <v/>
      </c>
      <c r="AG1016" s="113" t="str">
        <f>IF(AF1016="","",COUNTIF(AF1016:AF$3000,AF1016))</f>
        <v/>
      </c>
      <c r="AH1016" s="114" t="str">
        <f t="shared" si="31"/>
        <v/>
      </c>
    </row>
    <row r="1017" spans="6:34" x14ac:dyDescent="0.3">
      <c r="F1017" s="35"/>
      <c r="J1017" s="35"/>
      <c r="K1017" s="35"/>
      <c r="L1017" s="35"/>
      <c r="AD1017" s="73"/>
      <c r="AF1017" s="112" t="str">
        <f t="shared" si="30"/>
        <v/>
      </c>
      <c r="AG1017" s="113" t="str">
        <f>IF(AF1017="","",COUNTIF(AF1017:AF$3000,AF1017))</f>
        <v/>
      </c>
      <c r="AH1017" s="114" t="str">
        <f t="shared" si="31"/>
        <v/>
      </c>
    </row>
    <row r="1018" spans="6:34" x14ac:dyDescent="0.3">
      <c r="F1018" s="35"/>
      <c r="J1018" s="35"/>
      <c r="K1018" s="35"/>
      <c r="L1018" s="35"/>
      <c r="AD1018" s="73"/>
      <c r="AF1018" s="112" t="str">
        <f t="shared" si="30"/>
        <v/>
      </c>
      <c r="AG1018" s="113" t="str">
        <f>IF(AF1018="","",COUNTIF(AF1018:AF$3000,AF1018))</f>
        <v/>
      </c>
      <c r="AH1018" s="114" t="str">
        <f t="shared" si="31"/>
        <v/>
      </c>
    </row>
    <row r="1019" spans="6:34" x14ac:dyDescent="0.3">
      <c r="F1019" s="35"/>
      <c r="J1019" s="35"/>
      <c r="K1019" s="35"/>
      <c r="L1019" s="35"/>
      <c r="AD1019" s="73"/>
      <c r="AF1019" s="112" t="str">
        <f t="shared" si="30"/>
        <v/>
      </c>
      <c r="AG1019" s="113" t="str">
        <f>IF(AF1019="","",COUNTIF(AF1019:AF$3000,AF1019))</f>
        <v/>
      </c>
      <c r="AH1019" s="114" t="str">
        <f t="shared" si="31"/>
        <v/>
      </c>
    </row>
    <row r="1020" spans="6:34" x14ac:dyDescent="0.3">
      <c r="F1020" s="35"/>
      <c r="J1020" s="35"/>
      <c r="K1020" s="35"/>
      <c r="L1020" s="35"/>
      <c r="AD1020" s="73"/>
      <c r="AF1020" s="112" t="str">
        <f t="shared" si="30"/>
        <v/>
      </c>
      <c r="AG1020" s="113" t="str">
        <f>IF(AF1020="","",COUNTIF(AF1020:AF$3000,AF1020))</f>
        <v/>
      </c>
      <c r="AH1020" s="114" t="str">
        <f t="shared" si="31"/>
        <v/>
      </c>
    </row>
    <row r="1021" spans="6:34" x14ac:dyDescent="0.3">
      <c r="F1021" s="35"/>
      <c r="J1021" s="35"/>
      <c r="K1021" s="35"/>
      <c r="L1021" s="35"/>
      <c r="AD1021" s="73"/>
      <c r="AF1021" s="112" t="str">
        <f t="shared" si="30"/>
        <v/>
      </c>
      <c r="AG1021" s="113" t="str">
        <f>IF(AF1021="","",COUNTIF(AF1021:AF$3000,AF1021))</f>
        <v/>
      </c>
      <c r="AH1021" s="114" t="str">
        <f t="shared" si="31"/>
        <v/>
      </c>
    </row>
    <row r="1022" spans="6:34" x14ac:dyDescent="0.3">
      <c r="F1022" s="35"/>
      <c r="J1022" s="35"/>
      <c r="K1022" s="35"/>
      <c r="L1022" s="35"/>
      <c r="AD1022" s="73"/>
      <c r="AF1022" s="112" t="str">
        <f t="shared" si="30"/>
        <v/>
      </c>
      <c r="AG1022" s="113" t="str">
        <f>IF(AF1022="","",COUNTIF(AF1022:AF$3000,AF1022))</f>
        <v/>
      </c>
      <c r="AH1022" s="114" t="str">
        <f t="shared" si="31"/>
        <v/>
      </c>
    </row>
    <row r="1023" spans="6:34" x14ac:dyDescent="0.3">
      <c r="F1023" s="35"/>
      <c r="J1023" s="35"/>
      <c r="K1023" s="35"/>
      <c r="L1023" s="35"/>
      <c r="AD1023" s="73"/>
      <c r="AF1023" s="112" t="str">
        <f t="shared" si="30"/>
        <v/>
      </c>
      <c r="AG1023" s="113" t="str">
        <f>IF(AF1023="","",COUNTIF(AF1023:AF$3000,AF1023))</f>
        <v/>
      </c>
      <c r="AH1023" s="114" t="str">
        <f t="shared" si="31"/>
        <v/>
      </c>
    </row>
    <row r="1024" spans="6:34" x14ac:dyDescent="0.3">
      <c r="F1024" s="35"/>
      <c r="J1024" s="35"/>
      <c r="K1024" s="35"/>
      <c r="L1024" s="35"/>
      <c r="AD1024" s="73"/>
      <c r="AF1024" s="112" t="str">
        <f t="shared" si="30"/>
        <v/>
      </c>
      <c r="AG1024" s="113" t="str">
        <f>IF(AF1024="","",COUNTIF(AF1024:AF$3000,AF1024))</f>
        <v/>
      </c>
      <c r="AH1024" s="114" t="str">
        <f t="shared" si="31"/>
        <v/>
      </c>
    </row>
    <row r="1025" spans="6:34" x14ac:dyDescent="0.3">
      <c r="F1025" s="35"/>
      <c r="J1025" s="35"/>
      <c r="K1025" s="35"/>
      <c r="L1025" s="35"/>
      <c r="AD1025" s="73"/>
      <c r="AF1025" s="112" t="str">
        <f t="shared" si="30"/>
        <v/>
      </c>
      <c r="AG1025" s="113" t="str">
        <f>IF(AF1025="","",COUNTIF(AF1025:AF$3000,AF1025))</f>
        <v/>
      </c>
      <c r="AH1025" s="114" t="str">
        <f t="shared" si="31"/>
        <v/>
      </c>
    </row>
    <row r="1026" spans="6:34" x14ac:dyDescent="0.3">
      <c r="F1026" s="35"/>
      <c r="J1026" s="35"/>
      <c r="K1026" s="35"/>
      <c r="L1026" s="35"/>
      <c r="AD1026" s="73"/>
      <c r="AF1026" s="112" t="str">
        <f t="shared" si="30"/>
        <v/>
      </c>
      <c r="AG1026" s="113" t="str">
        <f>IF(AF1026="","",COUNTIF(AF1026:AF$3000,AF1026))</f>
        <v/>
      </c>
      <c r="AH1026" s="114" t="str">
        <f t="shared" si="31"/>
        <v/>
      </c>
    </row>
    <row r="1027" spans="6:34" x14ac:dyDescent="0.3">
      <c r="F1027" s="35"/>
      <c r="J1027" s="35"/>
      <c r="K1027" s="35"/>
      <c r="L1027" s="35"/>
      <c r="AD1027" s="73"/>
      <c r="AF1027" s="112" t="str">
        <f t="shared" si="30"/>
        <v/>
      </c>
      <c r="AG1027" s="113" t="str">
        <f>IF(AF1027="","",COUNTIF(AF1027:AF$3000,AF1027))</f>
        <v/>
      </c>
      <c r="AH1027" s="114" t="str">
        <f t="shared" si="31"/>
        <v/>
      </c>
    </row>
    <row r="1028" spans="6:34" x14ac:dyDescent="0.3">
      <c r="F1028" s="35"/>
      <c r="J1028" s="35"/>
      <c r="K1028" s="35"/>
      <c r="L1028" s="35"/>
      <c r="AD1028" s="73"/>
      <c r="AF1028" s="112" t="str">
        <f t="shared" ref="AF1028:AF1091" si="32">IF(B1028="","",TEXT(J1028,"DD/MM/AA")&amp;"_"&amp;S1028&amp;"_"&amp;V1028)</f>
        <v/>
      </c>
      <c r="AG1028" s="113" t="str">
        <f>IF(AF1028="","",COUNTIF(AF1028:AF$3000,AF1028))</f>
        <v/>
      </c>
      <c r="AH1028" s="114" t="str">
        <f t="shared" ref="AH1028:AH1091" si="33">IF(AA1028="","",
IF(AG1028&gt;1,"",
IF(SUMIF(AF$3:AF$31,AF1028,H$3:H$31)/10&lt;1,1,SUMIF(AF$3:AF$31,AF1028,H$3:H$31)/10)))</f>
        <v/>
      </c>
    </row>
    <row r="1029" spans="6:34" x14ac:dyDescent="0.3">
      <c r="F1029" s="35"/>
      <c r="J1029" s="35"/>
      <c r="K1029" s="35"/>
      <c r="L1029" s="35"/>
      <c r="AD1029" s="73"/>
      <c r="AF1029" s="112" t="str">
        <f t="shared" si="32"/>
        <v/>
      </c>
      <c r="AG1029" s="113" t="str">
        <f>IF(AF1029="","",COUNTIF(AF1029:AF$3000,AF1029))</f>
        <v/>
      </c>
      <c r="AH1029" s="114" t="str">
        <f t="shared" si="33"/>
        <v/>
      </c>
    </row>
    <row r="1030" spans="6:34" x14ac:dyDescent="0.3">
      <c r="F1030" s="35"/>
      <c r="J1030" s="35"/>
      <c r="K1030" s="35"/>
      <c r="L1030" s="35"/>
      <c r="AD1030" s="73"/>
      <c r="AF1030" s="112" t="str">
        <f t="shared" si="32"/>
        <v/>
      </c>
      <c r="AG1030" s="113" t="str">
        <f>IF(AF1030="","",COUNTIF(AF1030:AF$3000,AF1030))</f>
        <v/>
      </c>
      <c r="AH1030" s="114" t="str">
        <f t="shared" si="33"/>
        <v/>
      </c>
    </row>
    <row r="1031" spans="6:34" x14ac:dyDescent="0.3">
      <c r="F1031" s="35"/>
      <c r="J1031" s="35"/>
      <c r="K1031" s="35"/>
      <c r="L1031" s="35"/>
      <c r="AD1031" s="73"/>
      <c r="AF1031" s="112" t="str">
        <f t="shared" si="32"/>
        <v/>
      </c>
      <c r="AG1031" s="113" t="str">
        <f>IF(AF1031="","",COUNTIF(AF1031:AF$3000,AF1031))</f>
        <v/>
      </c>
      <c r="AH1031" s="114" t="str">
        <f t="shared" si="33"/>
        <v/>
      </c>
    </row>
    <row r="1032" spans="6:34" x14ac:dyDescent="0.3">
      <c r="F1032" s="35"/>
      <c r="J1032" s="35"/>
      <c r="K1032" s="35"/>
      <c r="L1032" s="35"/>
      <c r="AD1032" s="73"/>
      <c r="AF1032" s="112" t="str">
        <f t="shared" si="32"/>
        <v/>
      </c>
      <c r="AG1032" s="113" t="str">
        <f>IF(AF1032="","",COUNTIF(AF1032:AF$3000,AF1032))</f>
        <v/>
      </c>
      <c r="AH1032" s="114" t="str">
        <f t="shared" si="33"/>
        <v/>
      </c>
    </row>
    <row r="1033" spans="6:34" x14ac:dyDescent="0.3">
      <c r="F1033" s="35"/>
      <c r="J1033" s="35"/>
      <c r="K1033" s="35"/>
      <c r="L1033" s="35"/>
      <c r="AD1033" s="73"/>
      <c r="AF1033" s="112" t="str">
        <f t="shared" si="32"/>
        <v/>
      </c>
      <c r="AG1033" s="113" t="str">
        <f>IF(AF1033="","",COUNTIF(AF1033:AF$3000,AF1033))</f>
        <v/>
      </c>
      <c r="AH1033" s="114" t="str">
        <f t="shared" si="33"/>
        <v/>
      </c>
    </row>
    <row r="1034" spans="6:34" x14ac:dyDescent="0.3">
      <c r="F1034" s="35"/>
      <c r="J1034" s="35"/>
      <c r="K1034" s="35"/>
      <c r="L1034" s="35"/>
      <c r="AD1034" s="73"/>
      <c r="AF1034" s="112" t="str">
        <f t="shared" si="32"/>
        <v/>
      </c>
      <c r="AG1034" s="113" t="str">
        <f>IF(AF1034="","",COUNTIF(AF1034:AF$3000,AF1034))</f>
        <v/>
      </c>
      <c r="AH1034" s="114" t="str">
        <f t="shared" si="33"/>
        <v/>
      </c>
    </row>
    <row r="1035" spans="6:34" x14ac:dyDescent="0.3">
      <c r="F1035" s="35"/>
      <c r="J1035" s="35"/>
      <c r="K1035" s="35"/>
      <c r="L1035" s="35"/>
      <c r="AD1035" s="73"/>
      <c r="AF1035" s="112" t="str">
        <f t="shared" si="32"/>
        <v/>
      </c>
      <c r="AG1035" s="113" t="str">
        <f>IF(AF1035="","",COUNTIF(AF1035:AF$3000,AF1035))</f>
        <v/>
      </c>
      <c r="AH1035" s="114" t="str">
        <f t="shared" si="33"/>
        <v/>
      </c>
    </row>
    <row r="1036" spans="6:34" x14ac:dyDescent="0.3">
      <c r="F1036" s="35"/>
      <c r="J1036" s="35"/>
      <c r="K1036" s="35"/>
      <c r="L1036" s="35"/>
      <c r="AD1036" s="73"/>
      <c r="AF1036" s="112" t="str">
        <f t="shared" si="32"/>
        <v/>
      </c>
      <c r="AG1036" s="113" t="str">
        <f>IF(AF1036="","",COUNTIF(AF1036:AF$3000,AF1036))</f>
        <v/>
      </c>
      <c r="AH1036" s="114" t="str">
        <f t="shared" si="33"/>
        <v/>
      </c>
    </row>
    <row r="1037" spans="6:34" x14ac:dyDescent="0.3">
      <c r="F1037" s="35"/>
      <c r="J1037" s="35"/>
      <c r="K1037" s="35"/>
      <c r="L1037" s="35"/>
      <c r="AD1037" s="73"/>
      <c r="AF1037" s="112" t="str">
        <f t="shared" si="32"/>
        <v/>
      </c>
      <c r="AG1037" s="113" t="str">
        <f>IF(AF1037="","",COUNTIF(AF1037:AF$3000,AF1037))</f>
        <v/>
      </c>
      <c r="AH1037" s="114" t="str">
        <f t="shared" si="33"/>
        <v/>
      </c>
    </row>
    <row r="1038" spans="6:34" x14ac:dyDescent="0.3">
      <c r="F1038" s="35"/>
      <c r="J1038" s="35"/>
      <c r="K1038" s="35"/>
      <c r="L1038" s="35"/>
      <c r="AD1038" s="73"/>
      <c r="AF1038" s="112" t="str">
        <f t="shared" si="32"/>
        <v/>
      </c>
      <c r="AG1038" s="113" t="str">
        <f>IF(AF1038="","",COUNTIF(AF1038:AF$3000,AF1038))</f>
        <v/>
      </c>
      <c r="AH1038" s="114" t="str">
        <f t="shared" si="33"/>
        <v/>
      </c>
    </row>
    <row r="1039" spans="6:34" x14ac:dyDescent="0.3">
      <c r="F1039" s="35"/>
      <c r="J1039" s="35"/>
      <c r="K1039" s="35"/>
      <c r="L1039" s="35"/>
      <c r="AD1039" s="73"/>
      <c r="AF1039" s="112" t="str">
        <f t="shared" si="32"/>
        <v/>
      </c>
      <c r="AG1039" s="113" t="str">
        <f>IF(AF1039="","",COUNTIF(AF1039:AF$3000,AF1039))</f>
        <v/>
      </c>
      <c r="AH1039" s="114" t="str">
        <f t="shared" si="33"/>
        <v/>
      </c>
    </row>
    <row r="1040" spans="6:34" x14ac:dyDescent="0.3">
      <c r="F1040" s="35"/>
      <c r="J1040" s="35"/>
      <c r="K1040" s="35"/>
      <c r="L1040" s="35"/>
      <c r="AD1040" s="73"/>
      <c r="AF1040" s="112" t="str">
        <f t="shared" si="32"/>
        <v/>
      </c>
      <c r="AG1040" s="113" t="str">
        <f>IF(AF1040="","",COUNTIF(AF1040:AF$3000,AF1040))</f>
        <v/>
      </c>
      <c r="AH1040" s="114" t="str">
        <f t="shared" si="33"/>
        <v/>
      </c>
    </row>
    <row r="1041" spans="6:34" x14ac:dyDescent="0.3">
      <c r="F1041" s="35"/>
      <c r="J1041" s="35"/>
      <c r="K1041" s="35"/>
      <c r="L1041" s="35"/>
      <c r="AD1041" s="73"/>
      <c r="AF1041" s="112" t="str">
        <f t="shared" si="32"/>
        <v/>
      </c>
      <c r="AG1041" s="113" t="str">
        <f>IF(AF1041="","",COUNTIF(AF1041:AF$3000,AF1041))</f>
        <v/>
      </c>
      <c r="AH1041" s="114" t="str">
        <f t="shared" si="33"/>
        <v/>
      </c>
    </row>
    <row r="1042" spans="6:34" x14ac:dyDescent="0.3">
      <c r="F1042" s="35"/>
      <c r="J1042" s="35"/>
      <c r="K1042" s="35"/>
      <c r="L1042" s="35"/>
      <c r="AD1042" s="73"/>
      <c r="AF1042" s="112" t="str">
        <f t="shared" si="32"/>
        <v/>
      </c>
      <c r="AG1042" s="113" t="str">
        <f>IF(AF1042="","",COUNTIF(AF1042:AF$3000,AF1042))</f>
        <v/>
      </c>
      <c r="AH1042" s="114" t="str">
        <f t="shared" si="33"/>
        <v/>
      </c>
    </row>
    <row r="1043" spans="6:34" x14ac:dyDescent="0.3">
      <c r="F1043" s="35"/>
      <c r="J1043" s="35"/>
      <c r="K1043" s="35"/>
      <c r="L1043" s="35"/>
      <c r="AD1043" s="73"/>
      <c r="AF1043" s="112" t="str">
        <f t="shared" si="32"/>
        <v/>
      </c>
      <c r="AG1043" s="113" t="str">
        <f>IF(AF1043="","",COUNTIF(AF1043:AF$3000,AF1043))</f>
        <v/>
      </c>
      <c r="AH1043" s="114" t="str">
        <f t="shared" si="33"/>
        <v/>
      </c>
    </row>
    <row r="1044" spans="6:34" x14ac:dyDescent="0.3">
      <c r="F1044" s="35"/>
      <c r="J1044" s="35"/>
      <c r="K1044" s="35"/>
      <c r="L1044" s="35"/>
      <c r="AD1044" s="73"/>
      <c r="AF1044" s="112" t="str">
        <f t="shared" si="32"/>
        <v/>
      </c>
      <c r="AG1044" s="113" t="str">
        <f>IF(AF1044="","",COUNTIF(AF1044:AF$3000,AF1044))</f>
        <v/>
      </c>
      <c r="AH1044" s="114" t="str">
        <f t="shared" si="33"/>
        <v/>
      </c>
    </row>
    <row r="1045" spans="6:34" x14ac:dyDescent="0.3">
      <c r="F1045" s="35"/>
      <c r="J1045" s="35"/>
      <c r="K1045" s="35"/>
      <c r="L1045" s="35"/>
      <c r="AD1045" s="73"/>
      <c r="AF1045" s="112" t="str">
        <f t="shared" si="32"/>
        <v/>
      </c>
      <c r="AG1045" s="113" t="str">
        <f>IF(AF1045="","",COUNTIF(AF1045:AF$3000,AF1045))</f>
        <v/>
      </c>
      <c r="AH1045" s="114" t="str">
        <f t="shared" si="33"/>
        <v/>
      </c>
    </row>
    <row r="1046" spans="6:34" x14ac:dyDescent="0.3">
      <c r="F1046" s="35"/>
      <c r="J1046" s="35"/>
      <c r="K1046" s="35"/>
      <c r="L1046" s="35"/>
      <c r="AD1046" s="73"/>
      <c r="AF1046" s="112" t="str">
        <f t="shared" si="32"/>
        <v/>
      </c>
      <c r="AG1046" s="113" t="str">
        <f>IF(AF1046="","",COUNTIF(AF1046:AF$3000,AF1046))</f>
        <v/>
      </c>
      <c r="AH1046" s="114" t="str">
        <f t="shared" si="33"/>
        <v/>
      </c>
    </row>
    <row r="1047" spans="6:34" x14ac:dyDescent="0.3">
      <c r="F1047" s="35"/>
      <c r="J1047" s="35"/>
      <c r="K1047" s="35"/>
      <c r="L1047" s="35"/>
      <c r="AD1047" s="73"/>
      <c r="AF1047" s="112" t="str">
        <f t="shared" si="32"/>
        <v/>
      </c>
      <c r="AG1047" s="113" t="str">
        <f>IF(AF1047="","",COUNTIF(AF1047:AF$3000,AF1047))</f>
        <v/>
      </c>
      <c r="AH1047" s="114" t="str">
        <f t="shared" si="33"/>
        <v/>
      </c>
    </row>
    <row r="1048" spans="6:34" x14ac:dyDescent="0.3">
      <c r="F1048" s="35"/>
      <c r="J1048" s="35"/>
      <c r="K1048" s="35"/>
      <c r="L1048" s="35"/>
      <c r="AD1048" s="73"/>
      <c r="AF1048" s="112" t="str">
        <f t="shared" si="32"/>
        <v/>
      </c>
      <c r="AG1048" s="113" t="str">
        <f>IF(AF1048="","",COUNTIF(AF1048:AF$3000,AF1048))</f>
        <v/>
      </c>
      <c r="AH1048" s="114" t="str">
        <f t="shared" si="33"/>
        <v/>
      </c>
    </row>
    <row r="1049" spans="6:34" x14ac:dyDescent="0.3">
      <c r="F1049" s="35"/>
      <c r="J1049" s="35"/>
      <c r="K1049" s="35"/>
      <c r="L1049" s="35"/>
      <c r="AD1049" s="73"/>
      <c r="AF1049" s="112" t="str">
        <f t="shared" si="32"/>
        <v/>
      </c>
      <c r="AG1049" s="113" t="str">
        <f>IF(AF1049="","",COUNTIF(AF1049:AF$3000,AF1049))</f>
        <v/>
      </c>
      <c r="AH1049" s="114" t="str">
        <f t="shared" si="33"/>
        <v/>
      </c>
    </row>
    <row r="1050" spans="6:34" x14ac:dyDescent="0.3">
      <c r="F1050" s="35"/>
      <c r="J1050" s="35"/>
      <c r="K1050" s="35"/>
      <c r="L1050" s="35"/>
      <c r="AD1050" s="73"/>
      <c r="AF1050" s="112" t="str">
        <f t="shared" si="32"/>
        <v/>
      </c>
      <c r="AG1050" s="113" t="str">
        <f>IF(AF1050="","",COUNTIF(AF1050:AF$3000,AF1050))</f>
        <v/>
      </c>
      <c r="AH1050" s="114" t="str">
        <f t="shared" si="33"/>
        <v/>
      </c>
    </row>
    <row r="1051" spans="6:34" x14ac:dyDescent="0.3">
      <c r="F1051" s="35"/>
      <c r="J1051" s="35"/>
      <c r="K1051" s="35"/>
      <c r="L1051" s="35"/>
      <c r="AD1051" s="73"/>
      <c r="AF1051" s="112" t="str">
        <f t="shared" si="32"/>
        <v/>
      </c>
      <c r="AG1051" s="113" t="str">
        <f>IF(AF1051="","",COUNTIF(AF1051:AF$3000,AF1051))</f>
        <v/>
      </c>
      <c r="AH1051" s="114" t="str">
        <f t="shared" si="33"/>
        <v/>
      </c>
    </row>
    <row r="1052" spans="6:34" x14ac:dyDescent="0.3">
      <c r="F1052" s="35"/>
      <c r="J1052" s="35"/>
      <c r="K1052" s="35"/>
      <c r="L1052" s="35"/>
      <c r="AD1052" s="73"/>
      <c r="AF1052" s="112" t="str">
        <f t="shared" si="32"/>
        <v/>
      </c>
      <c r="AG1052" s="113" t="str">
        <f>IF(AF1052="","",COUNTIF(AF1052:AF$3000,AF1052))</f>
        <v/>
      </c>
      <c r="AH1052" s="114" t="str">
        <f t="shared" si="33"/>
        <v/>
      </c>
    </row>
    <row r="1053" spans="6:34" x14ac:dyDescent="0.3">
      <c r="F1053" s="35"/>
      <c r="J1053" s="35"/>
      <c r="K1053" s="35"/>
      <c r="L1053" s="35"/>
      <c r="AD1053" s="73"/>
      <c r="AF1053" s="112" t="str">
        <f t="shared" si="32"/>
        <v/>
      </c>
      <c r="AG1053" s="113" t="str">
        <f>IF(AF1053="","",COUNTIF(AF1053:AF$3000,AF1053))</f>
        <v/>
      </c>
      <c r="AH1053" s="114" t="str">
        <f t="shared" si="33"/>
        <v/>
      </c>
    </row>
    <row r="1054" spans="6:34" x14ac:dyDescent="0.3">
      <c r="F1054" s="35"/>
      <c r="J1054" s="35"/>
      <c r="K1054" s="35"/>
      <c r="L1054" s="35"/>
      <c r="AD1054" s="73"/>
      <c r="AF1054" s="112" t="str">
        <f t="shared" si="32"/>
        <v/>
      </c>
      <c r="AG1054" s="113" t="str">
        <f>IF(AF1054="","",COUNTIF(AF1054:AF$3000,AF1054))</f>
        <v/>
      </c>
      <c r="AH1054" s="114" t="str">
        <f t="shared" si="33"/>
        <v/>
      </c>
    </row>
    <row r="1055" spans="6:34" x14ac:dyDescent="0.3">
      <c r="F1055" s="35"/>
      <c r="J1055" s="35"/>
      <c r="K1055" s="35"/>
      <c r="L1055" s="35"/>
      <c r="AD1055" s="73"/>
      <c r="AF1055" s="112" t="str">
        <f t="shared" si="32"/>
        <v/>
      </c>
      <c r="AG1055" s="113" t="str">
        <f>IF(AF1055="","",COUNTIF(AF1055:AF$3000,AF1055))</f>
        <v/>
      </c>
      <c r="AH1055" s="114" t="str">
        <f t="shared" si="33"/>
        <v/>
      </c>
    </row>
    <row r="1056" spans="6:34" x14ac:dyDescent="0.3">
      <c r="F1056" s="35"/>
      <c r="J1056" s="35"/>
      <c r="K1056" s="35"/>
      <c r="L1056" s="35"/>
      <c r="AD1056" s="73"/>
      <c r="AF1056" s="112" t="str">
        <f t="shared" si="32"/>
        <v/>
      </c>
      <c r="AG1056" s="113" t="str">
        <f>IF(AF1056="","",COUNTIF(AF1056:AF$3000,AF1056))</f>
        <v/>
      </c>
      <c r="AH1056" s="114" t="str">
        <f t="shared" si="33"/>
        <v/>
      </c>
    </row>
    <row r="1057" spans="6:34" x14ac:dyDescent="0.3">
      <c r="F1057" s="35"/>
      <c r="J1057" s="35"/>
      <c r="K1057" s="35"/>
      <c r="L1057" s="35"/>
      <c r="AD1057" s="73"/>
      <c r="AF1057" s="112" t="str">
        <f t="shared" si="32"/>
        <v/>
      </c>
      <c r="AG1057" s="113" t="str">
        <f>IF(AF1057="","",COUNTIF(AF1057:AF$3000,AF1057))</f>
        <v/>
      </c>
      <c r="AH1057" s="114" t="str">
        <f t="shared" si="33"/>
        <v/>
      </c>
    </row>
    <row r="1058" spans="6:34" x14ac:dyDescent="0.3">
      <c r="F1058" s="35"/>
      <c r="J1058" s="35"/>
      <c r="K1058" s="35"/>
      <c r="L1058" s="35"/>
      <c r="AD1058" s="73"/>
      <c r="AF1058" s="112" t="str">
        <f t="shared" si="32"/>
        <v/>
      </c>
      <c r="AG1058" s="113" t="str">
        <f>IF(AF1058="","",COUNTIF(AF1058:AF$3000,AF1058))</f>
        <v/>
      </c>
      <c r="AH1058" s="114" t="str">
        <f t="shared" si="33"/>
        <v/>
      </c>
    </row>
    <row r="1059" spans="6:34" x14ac:dyDescent="0.3">
      <c r="F1059" s="35"/>
      <c r="J1059" s="35"/>
      <c r="K1059" s="35"/>
      <c r="L1059" s="35"/>
      <c r="AD1059" s="73"/>
      <c r="AF1059" s="112" t="str">
        <f t="shared" si="32"/>
        <v/>
      </c>
      <c r="AG1059" s="113" t="str">
        <f>IF(AF1059="","",COUNTIF(AF1059:AF$3000,AF1059))</f>
        <v/>
      </c>
      <c r="AH1059" s="114" t="str">
        <f t="shared" si="33"/>
        <v/>
      </c>
    </row>
    <row r="1060" spans="6:34" x14ac:dyDescent="0.3">
      <c r="F1060" s="35"/>
      <c r="J1060" s="35"/>
      <c r="K1060" s="35"/>
      <c r="L1060" s="35"/>
      <c r="AD1060" s="73"/>
      <c r="AF1060" s="112" t="str">
        <f t="shared" si="32"/>
        <v/>
      </c>
      <c r="AG1060" s="113" t="str">
        <f>IF(AF1060="","",COUNTIF(AF1060:AF$3000,AF1060))</f>
        <v/>
      </c>
      <c r="AH1060" s="114" t="str">
        <f t="shared" si="33"/>
        <v/>
      </c>
    </row>
    <row r="1061" spans="6:34" x14ac:dyDescent="0.3">
      <c r="F1061" s="35"/>
      <c r="J1061" s="35"/>
      <c r="K1061" s="35"/>
      <c r="L1061" s="35"/>
      <c r="AD1061" s="73"/>
      <c r="AF1061" s="112" t="str">
        <f t="shared" si="32"/>
        <v/>
      </c>
      <c r="AG1061" s="113" t="str">
        <f>IF(AF1061="","",COUNTIF(AF1061:AF$3000,AF1061))</f>
        <v/>
      </c>
      <c r="AH1061" s="114" t="str">
        <f t="shared" si="33"/>
        <v/>
      </c>
    </row>
    <row r="1062" spans="6:34" x14ac:dyDescent="0.3">
      <c r="F1062" s="35"/>
      <c r="J1062" s="35"/>
      <c r="K1062" s="35"/>
      <c r="L1062" s="35"/>
      <c r="AD1062" s="73"/>
      <c r="AF1062" s="112" t="str">
        <f t="shared" si="32"/>
        <v/>
      </c>
      <c r="AG1062" s="113" t="str">
        <f>IF(AF1062="","",COUNTIF(AF1062:AF$3000,AF1062))</f>
        <v/>
      </c>
      <c r="AH1062" s="114" t="str">
        <f t="shared" si="33"/>
        <v/>
      </c>
    </row>
    <row r="1063" spans="6:34" x14ac:dyDescent="0.3">
      <c r="F1063" s="35"/>
      <c r="J1063" s="35"/>
      <c r="K1063" s="35"/>
      <c r="L1063" s="35"/>
      <c r="AD1063" s="73"/>
      <c r="AF1063" s="112" t="str">
        <f t="shared" si="32"/>
        <v/>
      </c>
      <c r="AG1063" s="113" t="str">
        <f>IF(AF1063="","",COUNTIF(AF1063:AF$3000,AF1063))</f>
        <v/>
      </c>
      <c r="AH1063" s="114" t="str">
        <f t="shared" si="33"/>
        <v/>
      </c>
    </row>
    <row r="1064" spans="6:34" x14ac:dyDescent="0.3">
      <c r="F1064" s="35"/>
      <c r="J1064" s="35"/>
      <c r="K1064" s="35"/>
      <c r="L1064" s="35"/>
      <c r="AD1064" s="73"/>
      <c r="AF1064" s="112" t="str">
        <f t="shared" si="32"/>
        <v/>
      </c>
      <c r="AG1064" s="113" t="str">
        <f>IF(AF1064="","",COUNTIF(AF1064:AF$3000,AF1064))</f>
        <v/>
      </c>
      <c r="AH1064" s="114" t="str">
        <f t="shared" si="33"/>
        <v/>
      </c>
    </row>
    <row r="1065" spans="6:34" x14ac:dyDescent="0.3">
      <c r="F1065" s="35"/>
      <c r="J1065" s="35"/>
      <c r="K1065" s="35"/>
      <c r="L1065" s="35"/>
      <c r="AD1065" s="73"/>
      <c r="AF1065" s="112" t="str">
        <f t="shared" si="32"/>
        <v/>
      </c>
      <c r="AG1065" s="113" t="str">
        <f>IF(AF1065="","",COUNTIF(AF1065:AF$3000,AF1065))</f>
        <v/>
      </c>
      <c r="AH1065" s="114" t="str">
        <f t="shared" si="33"/>
        <v/>
      </c>
    </row>
    <row r="1066" spans="6:34" x14ac:dyDescent="0.3">
      <c r="F1066" s="35"/>
      <c r="J1066" s="35"/>
      <c r="K1066" s="35"/>
      <c r="L1066" s="35"/>
      <c r="AD1066" s="73"/>
      <c r="AF1066" s="112" t="str">
        <f t="shared" si="32"/>
        <v/>
      </c>
      <c r="AG1066" s="113" t="str">
        <f>IF(AF1066="","",COUNTIF(AF1066:AF$3000,AF1066))</f>
        <v/>
      </c>
      <c r="AH1066" s="114" t="str">
        <f t="shared" si="33"/>
        <v/>
      </c>
    </row>
    <row r="1067" spans="6:34" x14ac:dyDescent="0.3">
      <c r="F1067" s="35"/>
      <c r="J1067" s="35"/>
      <c r="K1067" s="35"/>
      <c r="L1067" s="35"/>
      <c r="AD1067" s="73"/>
      <c r="AF1067" s="112" t="str">
        <f t="shared" si="32"/>
        <v/>
      </c>
      <c r="AG1067" s="113" t="str">
        <f>IF(AF1067="","",COUNTIF(AF1067:AF$3000,AF1067))</f>
        <v/>
      </c>
      <c r="AH1067" s="114" t="str">
        <f t="shared" si="33"/>
        <v/>
      </c>
    </row>
    <row r="1068" spans="6:34" x14ac:dyDescent="0.3">
      <c r="F1068" s="35"/>
      <c r="J1068" s="35"/>
      <c r="K1068" s="35"/>
      <c r="L1068" s="35"/>
      <c r="AD1068" s="73"/>
      <c r="AF1068" s="112" t="str">
        <f t="shared" si="32"/>
        <v/>
      </c>
      <c r="AG1068" s="113" t="str">
        <f>IF(AF1068="","",COUNTIF(AF1068:AF$3000,AF1068))</f>
        <v/>
      </c>
      <c r="AH1068" s="114" t="str">
        <f t="shared" si="33"/>
        <v/>
      </c>
    </row>
    <row r="1069" spans="6:34" x14ac:dyDescent="0.3">
      <c r="F1069" s="35"/>
      <c r="J1069" s="35"/>
      <c r="K1069" s="35"/>
      <c r="L1069" s="35"/>
      <c r="AD1069" s="73"/>
      <c r="AF1069" s="112" t="str">
        <f t="shared" si="32"/>
        <v/>
      </c>
      <c r="AG1069" s="113" t="str">
        <f>IF(AF1069="","",COUNTIF(AF1069:AF$3000,AF1069))</f>
        <v/>
      </c>
      <c r="AH1069" s="114" t="str">
        <f t="shared" si="33"/>
        <v/>
      </c>
    </row>
    <row r="1070" spans="6:34" x14ac:dyDescent="0.3">
      <c r="F1070" s="35"/>
      <c r="J1070" s="35"/>
      <c r="K1070" s="35"/>
      <c r="L1070" s="35"/>
      <c r="AD1070" s="73"/>
      <c r="AF1070" s="112" t="str">
        <f t="shared" si="32"/>
        <v/>
      </c>
      <c r="AG1070" s="113" t="str">
        <f>IF(AF1070="","",COUNTIF(AF1070:AF$3000,AF1070))</f>
        <v/>
      </c>
      <c r="AH1070" s="114" t="str">
        <f t="shared" si="33"/>
        <v/>
      </c>
    </row>
    <row r="1071" spans="6:34" x14ac:dyDescent="0.3">
      <c r="F1071" s="35"/>
      <c r="J1071" s="35"/>
      <c r="K1071" s="35"/>
      <c r="L1071" s="35"/>
      <c r="AD1071" s="73"/>
      <c r="AF1071" s="112" t="str">
        <f t="shared" si="32"/>
        <v/>
      </c>
      <c r="AG1071" s="113" t="str">
        <f>IF(AF1071="","",COUNTIF(AF1071:AF$3000,AF1071))</f>
        <v/>
      </c>
      <c r="AH1071" s="114" t="str">
        <f t="shared" si="33"/>
        <v/>
      </c>
    </row>
    <row r="1072" spans="6:34" x14ac:dyDescent="0.3">
      <c r="F1072" s="35"/>
      <c r="J1072" s="35"/>
      <c r="K1072" s="35"/>
      <c r="L1072" s="35"/>
      <c r="AD1072" s="73"/>
      <c r="AF1072" s="112" t="str">
        <f t="shared" si="32"/>
        <v/>
      </c>
      <c r="AG1072" s="113" t="str">
        <f>IF(AF1072="","",COUNTIF(AF1072:AF$3000,AF1072))</f>
        <v/>
      </c>
      <c r="AH1072" s="114" t="str">
        <f t="shared" si="33"/>
        <v/>
      </c>
    </row>
    <row r="1073" spans="6:34" x14ac:dyDescent="0.3">
      <c r="F1073" s="35"/>
      <c r="J1073" s="35"/>
      <c r="K1073" s="35"/>
      <c r="L1073" s="35"/>
      <c r="AD1073" s="73"/>
      <c r="AF1073" s="112" t="str">
        <f t="shared" si="32"/>
        <v/>
      </c>
      <c r="AG1073" s="113" t="str">
        <f>IF(AF1073="","",COUNTIF(AF1073:AF$3000,AF1073))</f>
        <v/>
      </c>
      <c r="AH1073" s="114" t="str">
        <f t="shared" si="33"/>
        <v/>
      </c>
    </row>
    <row r="1074" spans="6:34" x14ac:dyDescent="0.3">
      <c r="F1074" s="35"/>
      <c r="J1074" s="35"/>
      <c r="K1074" s="35"/>
      <c r="L1074" s="35"/>
      <c r="AD1074" s="73"/>
      <c r="AF1074" s="112" t="str">
        <f t="shared" si="32"/>
        <v/>
      </c>
      <c r="AG1074" s="113" t="str">
        <f>IF(AF1074="","",COUNTIF(AF1074:AF$3000,AF1074))</f>
        <v/>
      </c>
      <c r="AH1074" s="114" t="str">
        <f t="shared" si="33"/>
        <v/>
      </c>
    </row>
    <row r="1075" spans="6:34" x14ac:dyDescent="0.3">
      <c r="F1075" s="35"/>
      <c r="J1075" s="35"/>
      <c r="K1075" s="35"/>
      <c r="L1075" s="35"/>
      <c r="AD1075" s="73"/>
      <c r="AF1075" s="112" t="str">
        <f t="shared" si="32"/>
        <v/>
      </c>
      <c r="AG1075" s="113" t="str">
        <f>IF(AF1075="","",COUNTIF(AF1075:AF$3000,AF1075))</f>
        <v/>
      </c>
      <c r="AH1075" s="114" t="str">
        <f t="shared" si="33"/>
        <v/>
      </c>
    </row>
    <row r="1076" spans="6:34" x14ac:dyDescent="0.3">
      <c r="F1076" s="35"/>
      <c r="J1076" s="35"/>
      <c r="K1076" s="35"/>
      <c r="L1076" s="35"/>
      <c r="AD1076" s="73"/>
      <c r="AF1076" s="112" t="str">
        <f t="shared" si="32"/>
        <v/>
      </c>
      <c r="AG1076" s="113" t="str">
        <f>IF(AF1076="","",COUNTIF(AF1076:AF$3000,AF1076))</f>
        <v/>
      </c>
      <c r="AH1076" s="114" t="str">
        <f t="shared" si="33"/>
        <v/>
      </c>
    </row>
    <row r="1077" spans="6:34" x14ac:dyDescent="0.3">
      <c r="F1077" s="35"/>
      <c r="J1077" s="35"/>
      <c r="K1077" s="35"/>
      <c r="L1077" s="35"/>
      <c r="AD1077" s="73"/>
      <c r="AF1077" s="112" t="str">
        <f t="shared" si="32"/>
        <v/>
      </c>
      <c r="AG1077" s="113" t="str">
        <f>IF(AF1077="","",COUNTIF(AF1077:AF$3000,AF1077))</f>
        <v/>
      </c>
      <c r="AH1077" s="114" t="str">
        <f t="shared" si="33"/>
        <v/>
      </c>
    </row>
    <row r="1078" spans="6:34" x14ac:dyDescent="0.3">
      <c r="F1078" s="35"/>
      <c r="J1078" s="35"/>
      <c r="K1078" s="35"/>
      <c r="L1078" s="35"/>
      <c r="AD1078" s="73"/>
      <c r="AF1078" s="112" t="str">
        <f t="shared" si="32"/>
        <v/>
      </c>
      <c r="AG1078" s="113" t="str">
        <f>IF(AF1078="","",COUNTIF(AF1078:AF$3000,AF1078))</f>
        <v/>
      </c>
      <c r="AH1078" s="114" t="str">
        <f t="shared" si="33"/>
        <v/>
      </c>
    </row>
    <row r="1079" spans="6:34" x14ac:dyDescent="0.3">
      <c r="F1079" s="35"/>
      <c r="J1079" s="35"/>
      <c r="K1079" s="35"/>
      <c r="L1079" s="35"/>
      <c r="AD1079" s="73"/>
      <c r="AF1079" s="112" t="str">
        <f t="shared" si="32"/>
        <v/>
      </c>
      <c r="AG1079" s="113" t="str">
        <f>IF(AF1079="","",COUNTIF(AF1079:AF$3000,AF1079))</f>
        <v/>
      </c>
      <c r="AH1079" s="114" t="str">
        <f t="shared" si="33"/>
        <v/>
      </c>
    </row>
    <row r="1080" spans="6:34" x14ac:dyDescent="0.3">
      <c r="F1080" s="35"/>
      <c r="J1080" s="35"/>
      <c r="K1080" s="35"/>
      <c r="L1080" s="35"/>
      <c r="AD1080" s="73"/>
      <c r="AF1080" s="112" t="str">
        <f t="shared" si="32"/>
        <v/>
      </c>
      <c r="AG1080" s="113" t="str">
        <f>IF(AF1080="","",COUNTIF(AF1080:AF$3000,AF1080))</f>
        <v/>
      </c>
      <c r="AH1080" s="114" t="str">
        <f t="shared" si="33"/>
        <v/>
      </c>
    </row>
    <row r="1081" spans="6:34" x14ac:dyDescent="0.3">
      <c r="F1081" s="35"/>
      <c r="J1081" s="35"/>
      <c r="K1081" s="35"/>
      <c r="L1081" s="35"/>
      <c r="AD1081" s="73"/>
      <c r="AF1081" s="112" t="str">
        <f t="shared" si="32"/>
        <v/>
      </c>
      <c r="AG1081" s="113" t="str">
        <f>IF(AF1081="","",COUNTIF(AF1081:AF$3000,AF1081))</f>
        <v/>
      </c>
      <c r="AH1081" s="114" t="str">
        <f t="shared" si="33"/>
        <v/>
      </c>
    </row>
    <row r="1082" spans="6:34" x14ac:dyDescent="0.3">
      <c r="F1082" s="35"/>
      <c r="J1082" s="35"/>
      <c r="K1082" s="35"/>
      <c r="L1082" s="35"/>
      <c r="AD1082" s="73"/>
      <c r="AF1082" s="112" t="str">
        <f t="shared" si="32"/>
        <v/>
      </c>
      <c r="AG1082" s="113" t="str">
        <f>IF(AF1082="","",COUNTIF(AF1082:AF$3000,AF1082))</f>
        <v/>
      </c>
      <c r="AH1082" s="114" t="str">
        <f t="shared" si="33"/>
        <v/>
      </c>
    </row>
    <row r="1083" spans="6:34" x14ac:dyDescent="0.3">
      <c r="F1083" s="35"/>
      <c r="J1083" s="35"/>
      <c r="K1083" s="35"/>
      <c r="L1083" s="35"/>
      <c r="AD1083" s="73"/>
      <c r="AF1083" s="112" t="str">
        <f t="shared" si="32"/>
        <v/>
      </c>
      <c r="AG1083" s="113" t="str">
        <f>IF(AF1083="","",COUNTIF(AF1083:AF$3000,AF1083))</f>
        <v/>
      </c>
      <c r="AH1083" s="114" t="str">
        <f t="shared" si="33"/>
        <v/>
      </c>
    </row>
    <row r="1084" spans="6:34" x14ac:dyDescent="0.3">
      <c r="F1084" s="35"/>
      <c r="J1084" s="35"/>
      <c r="K1084" s="35"/>
      <c r="L1084" s="35"/>
      <c r="AD1084" s="73"/>
      <c r="AF1084" s="112" t="str">
        <f t="shared" si="32"/>
        <v/>
      </c>
      <c r="AG1084" s="113" t="str">
        <f>IF(AF1084="","",COUNTIF(AF1084:AF$3000,AF1084))</f>
        <v/>
      </c>
      <c r="AH1084" s="114" t="str">
        <f t="shared" si="33"/>
        <v/>
      </c>
    </row>
    <row r="1085" spans="6:34" x14ac:dyDescent="0.3">
      <c r="F1085" s="35"/>
      <c r="J1085" s="35"/>
      <c r="K1085" s="35"/>
      <c r="L1085" s="35"/>
      <c r="AD1085" s="73"/>
      <c r="AF1085" s="112" t="str">
        <f t="shared" si="32"/>
        <v/>
      </c>
      <c r="AG1085" s="113" t="str">
        <f>IF(AF1085="","",COUNTIF(AF1085:AF$3000,AF1085))</f>
        <v/>
      </c>
      <c r="AH1085" s="114" t="str">
        <f t="shared" si="33"/>
        <v/>
      </c>
    </row>
    <row r="1086" spans="6:34" x14ac:dyDescent="0.3">
      <c r="F1086" s="35"/>
      <c r="J1086" s="35"/>
      <c r="K1086" s="35"/>
      <c r="L1086" s="35"/>
      <c r="AD1086" s="73"/>
      <c r="AF1086" s="112" t="str">
        <f t="shared" si="32"/>
        <v/>
      </c>
      <c r="AG1086" s="113" t="str">
        <f>IF(AF1086="","",COUNTIF(AF1086:AF$3000,AF1086))</f>
        <v/>
      </c>
      <c r="AH1086" s="114" t="str">
        <f t="shared" si="33"/>
        <v/>
      </c>
    </row>
    <row r="1087" spans="6:34" x14ac:dyDescent="0.3">
      <c r="F1087" s="35"/>
      <c r="J1087" s="35"/>
      <c r="K1087" s="35"/>
      <c r="L1087" s="35"/>
      <c r="AD1087" s="73"/>
      <c r="AF1087" s="112" t="str">
        <f t="shared" si="32"/>
        <v/>
      </c>
      <c r="AG1087" s="113" t="str">
        <f>IF(AF1087="","",COUNTIF(AF1087:AF$3000,AF1087))</f>
        <v/>
      </c>
      <c r="AH1087" s="114" t="str">
        <f t="shared" si="33"/>
        <v/>
      </c>
    </row>
    <row r="1088" spans="6:34" x14ac:dyDescent="0.3">
      <c r="F1088" s="35"/>
      <c r="J1088" s="35"/>
      <c r="K1088" s="35"/>
      <c r="L1088" s="35"/>
      <c r="AD1088" s="73"/>
      <c r="AF1088" s="112" t="str">
        <f t="shared" si="32"/>
        <v/>
      </c>
      <c r="AG1088" s="113" t="str">
        <f>IF(AF1088="","",COUNTIF(AF1088:AF$3000,AF1088))</f>
        <v/>
      </c>
      <c r="AH1088" s="114" t="str">
        <f t="shared" si="33"/>
        <v/>
      </c>
    </row>
    <row r="1089" spans="6:34" x14ac:dyDescent="0.3">
      <c r="F1089" s="35"/>
      <c r="J1089" s="35"/>
      <c r="K1089" s="35"/>
      <c r="L1089" s="35"/>
      <c r="AD1089" s="73"/>
      <c r="AF1089" s="112" t="str">
        <f t="shared" si="32"/>
        <v/>
      </c>
      <c r="AG1089" s="113" t="str">
        <f>IF(AF1089="","",COUNTIF(AF1089:AF$3000,AF1089))</f>
        <v/>
      </c>
      <c r="AH1089" s="114" t="str">
        <f t="shared" si="33"/>
        <v/>
      </c>
    </row>
    <row r="1090" spans="6:34" x14ac:dyDescent="0.3">
      <c r="F1090" s="35"/>
      <c r="J1090" s="35"/>
      <c r="K1090" s="35"/>
      <c r="L1090" s="35"/>
      <c r="AD1090" s="73"/>
      <c r="AF1090" s="112" t="str">
        <f t="shared" si="32"/>
        <v/>
      </c>
      <c r="AG1090" s="113" t="str">
        <f>IF(AF1090="","",COUNTIF(AF1090:AF$3000,AF1090))</f>
        <v/>
      </c>
      <c r="AH1090" s="114" t="str">
        <f t="shared" si="33"/>
        <v/>
      </c>
    </row>
    <row r="1091" spans="6:34" x14ac:dyDescent="0.3">
      <c r="F1091" s="35"/>
      <c r="J1091" s="35"/>
      <c r="K1091" s="35"/>
      <c r="L1091" s="35"/>
      <c r="AD1091" s="73"/>
      <c r="AF1091" s="112" t="str">
        <f t="shared" si="32"/>
        <v/>
      </c>
      <c r="AG1091" s="113" t="str">
        <f>IF(AF1091="","",COUNTIF(AF1091:AF$3000,AF1091))</f>
        <v/>
      </c>
      <c r="AH1091" s="114" t="str">
        <f t="shared" si="33"/>
        <v/>
      </c>
    </row>
    <row r="1092" spans="6:34" x14ac:dyDescent="0.3">
      <c r="F1092" s="35"/>
      <c r="J1092" s="35"/>
      <c r="K1092" s="35"/>
      <c r="L1092" s="35"/>
      <c r="AD1092" s="73"/>
      <c r="AF1092" s="112" t="str">
        <f t="shared" ref="AF1092:AF1155" si="34">IF(B1092="","",TEXT(J1092,"DD/MM/AA")&amp;"_"&amp;S1092&amp;"_"&amp;V1092)</f>
        <v/>
      </c>
      <c r="AG1092" s="113" t="str">
        <f>IF(AF1092="","",COUNTIF(AF1092:AF$3000,AF1092))</f>
        <v/>
      </c>
      <c r="AH1092" s="114" t="str">
        <f t="shared" ref="AH1092:AH1155" si="35">IF(AA1092="","",
IF(AG1092&gt;1,"",
IF(SUMIF(AF$3:AF$31,AF1092,H$3:H$31)/10&lt;1,1,SUMIF(AF$3:AF$31,AF1092,H$3:H$31)/10)))</f>
        <v/>
      </c>
    </row>
    <row r="1093" spans="6:34" x14ac:dyDescent="0.3">
      <c r="F1093" s="35"/>
      <c r="J1093" s="35"/>
      <c r="K1093" s="35"/>
      <c r="L1093" s="35"/>
      <c r="AD1093" s="73"/>
      <c r="AF1093" s="112" t="str">
        <f t="shared" si="34"/>
        <v/>
      </c>
      <c r="AG1093" s="113" t="str">
        <f>IF(AF1093="","",COUNTIF(AF1093:AF$3000,AF1093))</f>
        <v/>
      </c>
      <c r="AH1093" s="114" t="str">
        <f t="shared" si="35"/>
        <v/>
      </c>
    </row>
    <row r="1094" spans="6:34" x14ac:dyDescent="0.3">
      <c r="F1094" s="35"/>
      <c r="J1094" s="35"/>
      <c r="K1094" s="35"/>
      <c r="L1094" s="35"/>
      <c r="AD1094" s="73"/>
      <c r="AF1094" s="112" t="str">
        <f t="shared" si="34"/>
        <v/>
      </c>
      <c r="AG1094" s="113" t="str">
        <f>IF(AF1094="","",COUNTIF(AF1094:AF$3000,AF1094))</f>
        <v/>
      </c>
      <c r="AH1094" s="114" t="str">
        <f t="shared" si="35"/>
        <v/>
      </c>
    </row>
    <row r="1095" spans="6:34" x14ac:dyDescent="0.3">
      <c r="F1095" s="35"/>
      <c r="J1095" s="35"/>
      <c r="K1095" s="35"/>
      <c r="L1095" s="35"/>
      <c r="AD1095" s="73"/>
      <c r="AF1095" s="112" t="str">
        <f t="shared" si="34"/>
        <v/>
      </c>
      <c r="AG1095" s="113" t="str">
        <f>IF(AF1095="","",COUNTIF(AF1095:AF$3000,AF1095))</f>
        <v/>
      </c>
      <c r="AH1095" s="114" t="str">
        <f t="shared" si="35"/>
        <v/>
      </c>
    </row>
    <row r="1096" spans="6:34" x14ac:dyDescent="0.3">
      <c r="F1096" s="35"/>
      <c r="J1096" s="35"/>
      <c r="K1096" s="35"/>
      <c r="L1096" s="35"/>
      <c r="AD1096" s="73"/>
      <c r="AF1096" s="112" t="str">
        <f t="shared" si="34"/>
        <v/>
      </c>
      <c r="AG1096" s="113" t="str">
        <f>IF(AF1096="","",COUNTIF(AF1096:AF$3000,AF1096))</f>
        <v/>
      </c>
      <c r="AH1096" s="114" t="str">
        <f t="shared" si="35"/>
        <v/>
      </c>
    </row>
    <row r="1097" spans="6:34" x14ac:dyDescent="0.3">
      <c r="F1097" s="35"/>
      <c r="J1097" s="35"/>
      <c r="K1097" s="35"/>
      <c r="L1097" s="35"/>
      <c r="AD1097" s="73"/>
      <c r="AF1097" s="112" t="str">
        <f t="shared" si="34"/>
        <v/>
      </c>
      <c r="AG1097" s="113" t="str">
        <f>IF(AF1097="","",COUNTIF(AF1097:AF$3000,AF1097))</f>
        <v/>
      </c>
      <c r="AH1097" s="114" t="str">
        <f t="shared" si="35"/>
        <v/>
      </c>
    </row>
    <row r="1098" spans="6:34" x14ac:dyDescent="0.3">
      <c r="F1098" s="35"/>
      <c r="J1098" s="35"/>
      <c r="K1098" s="35"/>
      <c r="L1098" s="35"/>
      <c r="AD1098" s="73"/>
      <c r="AF1098" s="112" t="str">
        <f t="shared" si="34"/>
        <v/>
      </c>
      <c r="AG1098" s="113" t="str">
        <f>IF(AF1098="","",COUNTIF(AF1098:AF$3000,AF1098))</f>
        <v/>
      </c>
      <c r="AH1098" s="114" t="str">
        <f t="shared" si="35"/>
        <v/>
      </c>
    </row>
    <row r="1099" spans="6:34" x14ac:dyDescent="0.3">
      <c r="F1099" s="35"/>
      <c r="J1099" s="35"/>
      <c r="K1099" s="35"/>
      <c r="L1099" s="35"/>
      <c r="AD1099" s="73"/>
      <c r="AF1099" s="112" t="str">
        <f t="shared" si="34"/>
        <v/>
      </c>
      <c r="AG1099" s="113" t="str">
        <f>IF(AF1099="","",COUNTIF(AF1099:AF$3000,AF1099))</f>
        <v/>
      </c>
      <c r="AH1099" s="114" t="str">
        <f t="shared" si="35"/>
        <v/>
      </c>
    </row>
    <row r="1100" spans="6:34" x14ac:dyDescent="0.3">
      <c r="F1100" s="35"/>
      <c r="J1100" s="35"/>
      <c r="K1100" s="35"/>
      <c r="L1100" s="35"/>
      <c r="AD1100" s="73"/>
      <c r="AF1100" s="112" t="str">
        <f t="shared" si="34"/>
        <v/>
      </c>
      <c r="AG1100" s="113" t="str">
        <f>IF(AF1100="","",COUNTIF(AF1100:AF$3000,AF1100))</f>
        <v/>
      </c>
      <c r="AH1100" s="114" t="str">
        <f t="shared" si="35"/>
        <v/>
      </c>
    </row>
    <row r="1101" spans="6:34" x14ac:dyDescent="0.3">
      <c r="F1101" s="35"/>
      <c r="J1101" s="35"/>
      <c r="K1101" s="35"/>
      <c r="L1101" s="35"/>
      <c r="AD1101" s="73"/>
      <c r="AF1101" s="112" t="str">
        <f t="shared" si="34"/>
        <v/>
      </c>
      <c r="AG1101" s="113" t="str">
        <f>IF(AF1101="","",COUNTIF(AF1101:AF$3000,AF1101))</f>
        <v/>
      </c>
      <c r="AH1101" s="114" t="str">
        <f t="shared" si="35"/>
        <v/>
      </c>
    </row>
    <row r="1102" spans="6:34" x14ac:dyDescent="0.3">
      <c r="F1102" s="35"/>
      <c r="J1102" s="35"/>
      <c r="K1102" s="35"/>
      <c r="L1102" s="35"/>
      <c r="AD1102" s="73"/>
      <c r="AF1102" s="112" t="str">
        <f t="shared" si="34"/>
        <v/>
      </c>
      <c r="AG1102" s="113" t="str">
        <f>IF(AF1102="","",COUNTIF(AF1102:AF$3000,AF1102))</f>
        <v/>
      </c>
      <c r="AH1102" s="114" t="str">
        <f t="shared" si="35"/>
        <v/>
      </c>
    </row>
    <row r="1103" spans="6:34" x14ac:dyDescent="0.3">
      <c r="F1103" s="35"/>
      <c r="J1103" s="35"/>
      <c r="K1103" s="35"/>
      <c r="L1103" s="35"/>
      <c r="AD1103" s="73"/>
      <c r="AF1103" s="112" t="str">
        <f t="shared" si="34"/>
        <v/>
      </c>
      <c r="AG1103" s="113" t="str">
        <f>IF(AF1103="","",COUNTIF(AF1103:AF$3000,AF1103))</f>
        <v/>
      </c>
      <c r="AH1103" s="114" t="str">
        <f t="shared" si="35"/>
        <v/>
      </c>
    </row>
    <row r="1104" spans="6:34" x14ac:dyDescent="0.3">
      <c r="F1104" s="35"/>
      <c r="J1104" s="35"/>
      <c r="K1104" s="35"/>
      <c r="L1104" s="35"/>
      <c r="AD1104" s="73"/>
      <c r="AF1104" s="112" t="str">
        <f t="shared" si="34"/>
        <v/>
      </c>
      <c r="AG1104" s="113" t="str">
        <f>IF(AF1104="","",COUNTIF(AF1104:AF$3000,AF1104))</f>
        <v/>
      </c>
      <c r="AH1104" s="114" t="str">
        <f t="shared" si="35"/>
        <v/>
      </c>
    </row>
    <row r="1105" spans="6:34" x14ac:dyDescent="0.3">
      <c r="F1105" s="35"/>
      <c r="J1105" s="35"/>
      <c r="K1105" s="35"/>
      <c r="L1105" s="35"/>
      <c r="AD1105" s="73"/>
      <c r="AF1105" s="112" t="str">
        <f t="shared" si="34"/>
        <v/>
      </c>
      <c r="AG1105" s="113" t="str">
        <f>IF(AF1105="","",COUNTIF(AF1105:AF$3000,AF1105))</f>
        <v/>
      </c>
      <c r="AH1105" s="114" t="str">
        <f t="shared" si="35"/>
        <v/>
      </c>
    </row>
    <row r="1106" spans="6:34" x14ac:dyDescent="0.3">
      <c r="F1106" s="35"/>
      <c r="J1106" s="35"/>
      <c r="K1106" s="35"/>
      <c r="L1106" s="35"/>
      <c r="AD1106" s="73"/>
      <c r="AF1106" s="112" t="str">
        <f t="shared" si="34"/>
        <v/>
      </c>
      <c r="AG1106" s="113" t="str">
        <f>IF(AF1106="","",COUNTIF(AF1106:AF$3000,AF1106))</f>
        <v/>
      </c>
      <c r="AH1106" s="114" t="str">
        <f t="shared" si="35"/>
        <v/>
      </c>
    </row>
    <row r="1107" spans="6:34" x14ac:dyDescent="0.3">
      <c r="F1107" s="35"/>
      <c r="J1107" s="35"/>
      <c r="K1107" s="35"/>
      <c r="L1107" s="35"/>
      <c r="AD1107" s="73"/>
      <c r="AF1107" s="112" t="str">
        <f t="shared" si="34"/>
        <v/>
      </c>
      <c r="AG1107" s="113" t="str">
        <f>IF(AF1107="","",COUNTIF(AF1107:AF$3000,AF1107))</f>
        <v/>
      </c>
      <c r="AH1107" s="114" t="str">
        <f t="shared" si="35"/>
        <v/>
      </c>
    </row>
    <row r="1108" spans="6:34" x14ac:dyDescent="0.3">
      <c r="F1108" s="35"/>
      <c r="J1108" s="35"/>
      <c r="K1108" s="35"/>
      <c r="L1108" s="35"/>
      <c r="AD1108" s="73"/>
      <c r="AF1108" s="112" t="str">
        <f t="shared" si="34"/>
        <v/>
      </c>
      <c r="AG1108" s="113" t="str">
        <f>IF(AF1108="","",COUNTIF(AF1108:AF$3000,AF1108))</f>
        <v/>
      </c>
      <c r="AH1108" s="114" t="str">
        <f t="shared" si="35"/>
        <v/>
      </c>
    </row>
    <row r="1109" spans="6:34" x14ac:dyDescent="0.3">
      <c r="F1109" s="35"/>
      <c r="J1109" s="35"/>
      <c r="K1109" s="35"/>
      <c r="L1109" s="35"/>
      <c r="AD1109" s="73"/>
      <c r="AF1109" s="112" t="str">
        <f t="shared" si="34"/>
        <v/>
      </c>
      <c r="AG1109" s="113" t="str">
        <f>IF(AF1109="","",COUNTIF(AF1109:AF$3000,AF1109))</f>
        <v/>
      </c>
      <c r="AH1109" s="114" t="str">
        <f t="shared" si="35"/>
        <v/>
      </c>
    </row>
    <row r="1110" spans="6:34" x14ac:dyDescent="0.3">
      <c r="F1110" s="35"/>
      <c r="J1110" s="35"/>
      <c r="K1110" s="35"/>
      <c r="L1110" s="35"/>
      <c r="AD1110" s="73"/>
      <c r="AF1110" s="112" t="str">
        <f t="shared" si="34"/>
        <v/>
      </c>
      <c r="AG1110" s="113" t="str">
        <f>IF(AF1110="","",COUNTIF(AF1110:AF$3000,AF1110))</f>
        <v/>
      </c>
      <c r="AH1110" s="114" t="str">
        <f t="shared" si="35"/>
        <v/>
      </c>
    </row>
    <row r="1111" spans="6:34" x14ac:dyDescent="0.3">
      <c r="F1111" s="35"/>
      <c r="J1111" s="35"/>
      <c r="K1111" s="35"/>
      <c r="L1111" s="35"/>
      <c r="AD1111" s="73"/>
      <c r="AF1111" s="112" t="str">
        <f t="shared" si="34"/>
        <v/>
      </c>
      <c r="AG1111" s="113" t="str">
        <f>IF(AF1111="","",COUNTIF(AF1111:AF$3000,AF1111))</f>
        <v/>
      </c>
      <c r="AH1111" s="114" t="str">
        <f t="shared" si="35"/>
        <v/>
      </c>
    </row>
    <row r="1112" spans="6:34" x14ac:dyDescent="0.3">
      <c r="F1112" s="35"/>
      <c r="J1112" s="35"/>
      <c r="K1112" s="35"/>
      <c r="L1112" s="35"/>
      <c r="AD1112" s="73"/>
      <c r="AF1112" s="112" t="str">
        <f t="shared" si="34"/>
        <v/>
      </c>
      <c r="AG1112" s="113" t="str">
        <f>IF(AF1112="","",COUNTIF(AF1112:AF$3000,AF1112))</f>
        <v/>
      </c>
      <c r="AH1112" s="114" t="str">
        <f t="shared" si="35"/>
        <v/>
      </c>
    </row>
    <row r="1113" spans="6:34" x14ac:dyDescent="0.3">
      <c r="F1113" s="35"/>
      <c r="J1113" s="35"/>
      <c r="K1113" s="35"/>
      <c r="L1113" s="35"/>
      <c r="AD1113" s="73"/>
      <c r="AF1113" s="112" t="str">
        <f t="shared" si="34"/>
        <v/>
      </c>
      <c r="AG1113" s="113" t="str">
        <f>IF(AF1113="","",COUNTIF(AF1113:AF$3000,AF1113))</f>
        <v/>
      </c>
      <c r="AH1113" s="114" t="str">
        <f t="shared" si="35"/>
        <v/>
      </c>
    </row>
    <row r="1114" spans="6:34" x14ac:dyDescent="0.3">
      <c r="F1114" s="35"/>
      <c r="J1114" s="35"/>
      <c r="K1114" s="35"/>
      <c r="L1114" s="35"/>
      <c r="AD1114" s="73"/>
      <c r="AF1114" s="112" t="str">
        <f t="shared" si="34"/>
        <v/>
      </c>
      <c r="AG1114" s="113" t="str">
        <f>IF(AF1114="","",COUNTIF(AF1114:AF$3000,AF1114))</f>
        <v/>
      </c>
      <c r="AH1114" s="114" t="str">
        <f t="shared" si="35"/>
        <v/>
      </c>
    </row>
    <row r="1115" spans="6:34" x14ac:dyDescent="0.3">
      <c r="F1115" s="35"/>
      <c r="J1115" s="35"/>
      <c r="K1115" s="35"/>
      <c r="L1115" s="35"/>
      <c r="AD1115" s="73"/>
      <c r="AF1115" s="112" t="str">
        <f t="shared" si="34"/>
        <v/>
      </c>
      <c r="AG1115" s="113" t="str">
        <f>IF(AF1115="","",COUNTIF(AF1115:AF$3000,AF1115))</f>
        <v/>
      </c>
      <c r="AH1115" s="114" t="str">
        <f t="shared" si="35"/>
        <v/>
      </c>
    </row>
    <row r="1116" spans="6:34" x14ac:dyDescent="0.3">
      <c r="F1116" s="35"/>
      <c r="J1116" s="35"/>
      <c r="K1116" s="35"/>
      <c r="L1116" s="35"/>
      <c r="AD1116" s="73"/>
      <c r="AF1116" s="112" t="str">
        <f t="shared" si="34"/>
        <v/>
      </c>
      <c r="AG1116" s="113" t="str">
        <f>IF(AF1116="","",COUNTIF(AF1116:AF$3000,AF1116))</f>
        <v/>
      </c>
      <c r="AH1116" s="114" t="str">
        <f t="shared" si="35"/>
        <v/>
      </c>
    </row>
    <row r="1117" spans="6:34" x14ac:dyDescent="0.3">
      <c r="F1117" s="35"/>
      <c r="J1117" s="35"/>
      <c r="K1117" s="35"/>
      <c r="L1117" s="35"/>
      <c r="AD1117" s="73"/>
      <c r="AF1117" s="112" t="str">
        <f t="shared" si="34"/>
        <v/>
      </c>
      <c r="AG1117" s="113" t="str">
        <f>IF(AF1117="","",COUNTIF(AF1117:AF$3000,AF1117))</f>
        <v/>
      </c>
      <c r="AH1117" s="114" t="str">
        <f t="shared" si="35"/>
        <v/>
      </c>
    </row>
    <row r="1118" spans="6:34" x14ac:dyDescent="0.3">
      <c r="F1118" s="35"/>
      <c r="J1118" s="35"/>
      <c r="K1118" s="35"/>
      <c r="L1118" s="35"/>
      <c r="AD1118" s="73"/>
      <c r="AF1118" s="112" t="str">
        <f t="shared" si="34"/>
        <v/>
      </c>
      <c r="AG1118" s="113" t="str">
        <f>IF(AF1118="","",COUNTIF(AF1118:AF$3000,AF1118))</f>
        <v/>
      </c>
      <c r="AH1118" s="114" t="str">
        <f t="shared" si="35"/>
        <v/>
      </c>
    </row>
    <row r="1119" spans="6:34" x14ac:dyDescent="0.3">
      <c r="F1119" s="35"/>
      <c r="J1119" s="35"/>
      <c r="K1119" s="35"/>
      <c r="L1119" s="35"/>
      <c r="AD1119" s="73"/>
      <c r="AF1119" s="112" t="str">
        <f t="shared" si="34"/>
        <v/>
      </c>
      <c r="AG1119" s="113" t="str">
        <f>IF(AF1119="","",COUNTIF(AF1119:AF$3000,AF1119))</f>
        <v/>
      </c>
      <c r="AH1119" s="114" t="str">
        <f t="shared" si="35"/>
        <v/>
      </c>
    </row>
    <row r="1120" spans="6:34" x14ac:dyDescent="0.3">
      <c r="F1120" s="35"/>
      <c r="J1120" s="35"/>
      <c r="K1120" s="35"/>
      <c r="L1120" s="35"/>
      <c r="AD1120" s="73"/>
      <c r="AF1120" s="112" t="str">
        <f t="shared" si="34"/>
        <v/>
      </c>
      <c r="AG1120" s="113" t="str">
        <f>IF(AF1120="","",COUNTIF(AF1120:AF$3000,AF1120))</f>
        <v/>
      </c>
      <c r="AH1120" s="114" t="str">
        <f t="shared" si="35"/>
        <v/>
      </c>
    </row>
    <row r="1121" spans="6:34" x14ac:dyDescent="0.3">
      <c r="F1121" s="35"/>
      <c r="J1121" s="35"/>
      <c r="K1121" s="35"/>
      <c r="L1121" s="35"/>
      <c r="AD1121" s="73"/>
      <c r="AF1121" s="112" t="str">
        <f t="shared" si="34"/>
        <v/>
      </c>
      <c r="AG1121" s="113" t="str">
        <f>IF(AF1121="","",COUNTIF(AF1121:AF$3000,AF1121))</f>
        <v/>
      </c>
      <c r="AH1121" s="114" t="str">
        <f t="shared" si="35"/>
        <v/>
      </c>
    </row>
    <row r="1122" spans="6:34" x14ac:dyDescent="0.3">
      <c r="F1122" s="35"/>
      <c r="J1122" s="35"/>
      <c r="K1122" s="35"/>
      <c r="L1122" s="35"/>
      <c r="AD1122" s="73"/>
      <c r="AF1122" s="112" t="str">
        <f t="shared" si="34"/>
        <v/>
      </c>
      <c r="AG1122" s="113" t="str">
        <f>IF(AF1122="","",COUNTIF(AF1122:AF$3000,AF1122))</f>
        <v/>
      </c>
      <c r="AH1122" s="114" t="str">
        <f t="shared" si="35"/>
        <v/>
      </c>
    </row>
    <row r="1123" spans="6:34" x14ac:dyDescent="0.3">
      <c r="F1123" s="35"/>
      <c r="J1123" s="35"/>
      <c r="K1123" s="35"/>
      <c r="L1123" s="35"/>
      <c r="AD1123" s="73"/>
      <c r="AF1123" s="112" t="str">
        <f t="shared" si="34"/>
        <v/>
      </c>
      <c r="AG1123" s="113" t="str">
        <f>IF(AF1123="","",COUNTIF(AF1123:AF$3000,AF1123))</f>
        <v/>
      </c>
      <c r="AH1123" s="114" t="str">
        <f t="shared" si="35"/>
        <v/>
      </c>
    </row>
    <row r="1124" spans="6:34" x14ac:dyDescent="0.3">
      <c r="F1124" s="35"/>
      <c r="J1124" s="35"/>
      <c r="K1124" s="35"/>
      <c r="L1124" s="35"/>
      <c r="AD1124" s="73"/>
      <c r="AF1124" s="112" t="str">
        <f t="shared" si="34"/>
        <v/>
      </c>
      <c r="AG1124" s="113" t="str">
        <f>IF(AF1124="","",COUNTIF(AF1124:AF$3000,AF1124))</f>
        <v/>
      </c>
      <c r="AH1124" s="114" t="str">
        <f t="shared" si="35"/>
        <v/>
      </c>
    </row>
    <row r="1125" spans="6:34" x14ac:dyDescent="0.3">
      <c r="F1125" s="35"/>
      <c r="J1125" s="35"/>
      <c r="K1125" s="35"/>
      <c r="L1125" s="35"/>
      <c r="AD1125" s="73"/>
      <c r="AF1125" s="112" t="str">
        <f t="shared" si="34"/>
        <v/>
      </c>
      <c r="AG1125" s="113" t="str">
        <f>IF(AF1125="","",COUNTIF(AF1125:AF$3000,AF1125))</f>
        <v/>
      </c>
      <c r="AH1125" s="114" t="str">
        <f t="shared" si="35"/>
        <v/>
      </c>
    </row>
    <row r="1126" spans="6:34" x14ac:dyDescent="0.3">
      <c r="F1126" s="35"/>
      <c r="J1126" s="35"/>
      <c r="K1126" s="35"/>
      <c r="L1126" s="35"/>
      <c r="AD1126" s="73"/>
      <c r="AF1126" s="112" t="str">
        <f t="shared" si="34"/>
        <v/>
      </c>
      <c r="AG1126" s="113" t="str">
        <f>IF(AF1126="","",COUNTIF(AF1126:AF$3000,AF1126))</f>
        <v/>
      </c>
      <c r="AH1126" s="114" t="str">
        <f t="shared" si="35"/>
        <v/>
      </c>
    </row>
    <row r="1127" spans="6:34" x14ac:dyDescent="0.3">
      <c r="F1127" s="35"/>
      <c r="J1127" s="35"/>
      <c r="K1127" s="35"/>
      <c r="L1127" s="35"/>
      <c r="AD1127" s="73"/>
      <c r="AF1127" s="112" t="str">
        <f t="shared" si="34"/>
        <v/>
      </c>
      <c r="AG1127" s="113" t="str">
        <f>IF(AF1127="","",COUNTIF(AF1127:AF$3000,AF1127))</f>
        <v/>
      </c>
      <c r="AH1127" s="114" t="str">
        <f t="shared" si="35"/>
        <v/>
      </c>
    </row>
    <row r="1128" spans="6:34" x14ac:dyDescent="0.3">
      <c r="F1128" s="35"/>
      <c r="J1128" s="35"/>
      <c r="K1128" s="35"/>
      <c r="L1128" s="35"/>
      <c r="AD1128" s="73"/>
      <c r="AF1128" s="112" t="str">
        <f t="shared" si="34"/>
        <v/>
      </c>
      <c r="AG1128" s="113" t="str">
        <f>IF(AF1128="","",COUNTIF(AF1128:AF$3000,AF1128))</f>
        <v/>
      </c>
      <c r="AH1128" s="114" t="str">
        <f t="shared" si="35"/>
        <v/>
      </c>
    </row>
    <row r="1129" spans="6:34" x14ac:dyDescent="0.3">
      <c r="F1129" s="35"/>
      <c r="J1129" s="35"/>
      <c r="K1129" s="35"/>
      <c r="L1129" s="35"/>
      <c r="AD1129" s="73"/>
      <c r="AF1129" s="112" t="str">
        <f t="shared" si="34"/>
        <v/>
      </c>
      <c r="AG1129" s="113" t="str">
        <f>IF(AF1129="","",COUNTIF(AF1129:AF$3000,AF1129))</f>
        <v/>
      </c>
      <c r="AH1129" s="114" t="str">
        <f t="shared" si="35"/>
        <v/>
      </c>
    </row>
    <row r="1130" spans="6:34" x14ac:dyDescent="0.3">
      <c r="F1130" s="35"/>
      <c r="J1130" s="35"/>
      <c r="K1130" s="35"/>
      <c r="L1130" s="35"/>
      <c r="AD1130" s="73"/>
      <c r="AF1130" s="112" t="str">
        <f t="shared" si="34"/>
        <v/>
      </c>
      <c r="AG1130" s="113" t="str">
        <f>IF(AF1130="","",COUNTIF(AF1130:AF$3000,AF1130))</f>
        <v/>
      </c>
      <c r="AH1130" s="114" t="str">
        <f t="shared" si="35"/>
        <v/>
      </c>
    </row>
    <row r="1131" spans="6:34" x14ac:dyDescent="0.3">
      <c r="F1131" s="35"/>
      <c r="J1131" s="35"/>
      <c r="K1131" s="35"/>
      <c r="L1131" s="35"/>
      <c r="AD1131" s="73"/>
      <c r="AF1131" s="112" t="str">
        <f t="shared" si="34"/>
        <v/>
      </c>
      <c r="AG1131" s="113" t="str">
        <f>IF(AF1131="","",COUNTIF(AF1131:AF$3000,AF1131))</f>
        <v/>
      </c>
      <c r="AH1131" s="114" t="str">
        <f t="shared" si="35"/>
        <v/>
      </c>
    </row>
    <row r="1132" spans="6:34" x14ac:dyDescent="0.3">
      <c r="F1132" s="35"/>
      <c r="J1132" s="35"/>
      <c r="K1132" s="35"/>
      <c r="L1132" s="35"/>
      <c r="AD1132" s="73"/>
      <c r="AF1132" s="112" t="str">
        <f t="shared" si="34"/>
        <v/>
      </c>
      <c r="AG1132" s="113" t="str">
        <f>IF(AF1132="","",COUNTIF(AF1132:AF$3000,AF1132))</f>
        <v/>
      </c>
      <c r="AH1132" s="114" t="str">
        <f t="shared" si="35"/>
        <v/>
      </c>
    </row>
    <row r="1133" spans="6:34" x14ac:dyDescent="0.3">
      <c r="F1133" s="35"/>
      <c r="J1133" s="35"/>
      <c r="K1133" s="35"/>
      <c r="L1133" s="35"/>
      <c r="AD1133" s="73"/>
      <c r="AF1133" s="112" t="str">
        <f t="shared" si="34"/>
        <v/>
      </c>
      <c r="AG1133" s="113" t="str">
        <f>IF(AF1133="","",COUNTIF(AF1133:AF$3000,AF1133))</f>
        <v/>
      </c>
      <c r="AH1133" s="114" t="str">
        <f t="shared" si="35"/>
        <v/>
      </c>
    </row>
    <row r="1134" spans="6:34" x14ac:dyDescent="0.3">
      <c r="F1134" s="35"/>
      <c r="J1134" s="35"/>
      <c r="K1134" s="35"/>
      <c r="L1134" s="35"/>
      <c r="AD1134" s="73"/>
      <c r="AF1134" s="112" t="str">
        <f t="shared" si="34"/>
        <v/>
      </c>
      <c r="AG1134" s="113" t="str">
        <f>IF(AF1134="","",COUNTIF(AF1134:AF$3000,AF1134))</f>
        <v/>
      </c>
      <c r="AH1134" s="114" t="str">
        <f t="shared" si="35"/>
        <v/>
      </c>
    </row>
    <row r="1135" spans="6:34" x14ac:dyDescent="0.3">
      <c r="F1135" s="35"/>
      <c r="J1135" s="35"/>
      <c r="K1135" s="35"/>
      <c r="L1135" s="35"/>
      <c r="AD1135" s="73"/>
      <c r="AF1135" s="112" t="str">
        <f t="shared" si="34"/>
        <v/>
      </c>
      <c r="AG1135" s="113" t="str">
        <f>IF(AF1135="","",COUNTIF(AF1135:AF$3000,AF1135))</f>
        <v/>
      </c>
      <c r="AH1135" s="114" t="str">
        <f t="shared" si="35"/>
        <v/>
      </c>
    </row>
    <row r="1136" spans="6:34" x14ac:dyDescent="0.3">
      <c r="F1136" s="35"/>
      <c r="J1136" s="35"/>
      <c r="K1136" s="35"/>
      <c r="L1136" s="35"/>
      <c r="AD1136" s="73"/>
      <c r="AF1136" s="112" t="str">
        <f t="shared" si="34"/>
        <v/>
      </c>
      <c r="AG1136" s="113" t="str">
        <f>IF(AF1136="","",COUNTIF(AF1136:AF$3000,AF1136))</f>
        <v/>
      </c>
      <c r="AH1136" s="114" t="str">
        <f t="shared" si="35"/>
        <v/>
      </c>
    </row>
    <row r="1137" spans="6:34" x14ac:dyDescent="0.3">
      <c r="F1137" s="35"/>
      <c r="J1137" s="35"/>
      <c r="K1137" s="35"/>
      <c r="L1137" s="35"/>
      <c r="AD1137" s="73"/>
      <c r="AF1137" s="112" t="str">
        <f t="shared" si="34"/>
        <v/>
      </c>
      <c r="AG1137" s="113" t="str">
        <f>IF(AF1137="","",COUNTIF(AF1137:AF$3000,AF1137))</f>
        <v/>
      </c>
      <c r="AH1137" s="114" t="str">
        <f t="shared" si="35"/>
        <v/>
      </c>
    </row>
    <row r="1138" spans="6:34" x14ac:dyDescent="0.3">
      <c r="F1138" s="35"/>
      <c r="J1138" s="35"/>
      <c r="K1138" s="35"/>
      <c r="L1138" s="35"/>
      <c r="AD1138" s="73"/>
      <c r="AF1138" s="112" t="str">
        <f t="shared" si="34"/>
        <v/>
      </c>
      <c r="AG1138" s="113" t="str">
        <f>IF(AF1138="","",COUNTIF(AF1138:AF$3000,AF1138))</f>
        <v/>
      </c>
      <c r="AH1138" s="114" t="str">
        <f t="shared" si="35"/>
        <v/>
      </c>
    </row>
    <row r="1139" spans="6:34" x14ac:dyDescent="0.3">
      <c r="F1139" s="35"/>
      <c r="J1139" s="35"/>
      <c r="K1139" s="35"/>
      <c r="L1139" s="35"/>
      <c r="AD1139" s="73"/>
      <c r="AF1139" s="112" t="str">
        <f t="shared" si="34"/>
        <v/>
      </c>
      <c r="AG1139" s="113" t="str">
        <f>IF(AF1139="","",COUNTIF(AF1139:AF$3000,AF1139))</f>
        <v/>
      </c>
      <c r="AH1139" s="114" t="str">
        <f t="shared" si="35"/>
        <v/>
      </c>
    </row>
    <row r="1140" spans="6:34" x14ac:dyDescent="0.3">
      <c r="F1140" s="35"/>
      <c r="J1140" s="35"/>
      <c r="K1140" s="35"/>
      <c r="L1140" s="35"/>
      <c r="AD1140" s="73"/>
      <c r="AF1140" s="112" t="str">
        <f t="shared" si="34"/>
        <v/>
      </c>
      <c r="AG1140" s="113" t="str">
        <f>IF(AF1140="","",COUNTIF(AF1140:AF$3000,AF1140))</f>
        <v/>
      </c>
      <c r="AH1140" s="114" t="str">
        <f t="shared" si="35"/>
        <v/>
      </c>
    </row>
    <row r="1141" spans="6:34" x14ac:dyDescent="0.3">
      <c r="F1141" s="35"/>
      <c r="J1141" s="35"/>
      <c r="K1141" s="35"/>
      <c r="L1141" s="35"/>
      <c r="AD1141" s="73"/>
      <c r="AF1141" s="112" t="str">
        <f t="shared" si="34"/>
        <v/>
      </c>
      <c r="AG1141" s="113" t="str">
        <f>IF(AF1141="","",COUNTIF(AF1141:AF$3000,AF1141))</f>
        <v/>
      </c>
      <c r="AH1141" s="114" t="str">
        <f t="shared" si="35"/>
        <v/>
      </c>
    </row>
    <row r="1142" spans="6:34" x14ac:dyDescent="0.3">
      <c r="F1142" s="35"/>
      <c r="J1142" s="35"/>
      <c r="K1142" s="35"/>
      <c r="L1142" s="35"/>
      <c r="AD1142" s="73"/>
      <c r="AF1142" s="112" t="str">
        <f t="shared" si="34"/>
        <v/>
      </c>
      <c r="AG1142" s="113" t="str">
        <f>IF(AF1142="","",COUNTIF(AF1142:AF$3000,AF1142))</f>
        <v/>
      </c>
      <c r="AH1142" s="114" t="str">
        <f t="shared" si="35"/>
        <v/>
      </c>
    </row>
    <row r="1143" spans="6:34" x14ac:dyDescent="0.3">
      <c r="F1143" s="35"/>
      <c r="J1143" s="35"/>
      <c r="K1143" s="35"/>
      <c r="L1143" s="35"/>
      <c r="AD1143" s="73"/>
      <c r="AF1143" s="112" t="str">
        <f t="shared" si="34"/>
        <v/>
      </c>
      <c r="AG1143" s="113" t="str">
        <f>IF(AF1143="","",COUNTIF(AF1143:AF$3000,AF1143))</f>
        <v/>
      </c>
      <c r="AH1143" s="114" t="str">
        <f t="shared" si="35"/>
        <v/>
      </c>
    </row>
    <row r="1144" spans="6:34" x14ac:dyDescent="0.3">
      <c r="F1144" s="35"/>
      <c r="J1144" s="35"/>
      <c r="K1144" s="35"/>
      <c r="L1144" s="35"/>
      <c r="AD1144" s="73"/>
      <c r="AF1144" s="112" t="str">
        <f t="shared" si="34"/>
        <v/>
      </c>
      <c r="AG1144" s="113" t="str">
        <f>IF(AF1144="","",COUNTIF(AF1144:AF$3000,AF1144))</f>
        <v/>
      </c>
      <c r="AH1144" s="114" t="str">
        <f t="shared" si="35"/>
        <v/>
      </c>
    </row>
    <row r="1145" spans="6:34" x14ac:dyDescent="0.3">
      <c r="F1145" s="35"/>
      <c r="J1145" s="35"/>
      <c r="K1145" s="35"/>
      <c r="L1145" s="35"/>
      <c r="AD1145" s="73"/>
      <c r="AF1145" s="112" t="str">
        <f t="shared" si="34"/>
        <v/>
      </c>
      <c r="AG1145" s="113" t="str">
        <f>IF(AF1145="","",COUNTIF(AF1145:AF$3000,AF1145))</f>
        <v/>
      </c>
      <c r="AH1145" s="114" t="str">
        <f t="shared" si="35"/>
        <v/>
      </c>
    </row>
    <row r="1146" spans="6:34" x14ac:dyDescent="0.3">
      <c r="F1146" s="35"/>
      <c r="J1146" s="35"/>
      <c r="K1146" s="35"/>
      <c r="L1146" s="35"/>
      <c r="AD1146" s="73"/>
      <c r="AF1146" s="112" t="str">
        <f t="shared" si="34"/>
        <v/>
      </c>
      <c r="AG1146" s="113" t="str">
        <f>IF(AF1146="","",COUNTIF(AF1146:AF$3000,AF1146))</f>
        <v/>
      </c>
      <c r="AH1146" s="114" t="str">
        <f t="shared" si="35"/>
        <v/>
      </c>
    </row>
    <row r="1147" spans="6:34" x14ac:dyDescent="0.3">
      <c r="F1147" s="35"/>
      <c r="J1147" s="35"/>
      <c r="K1147" s="35"/>
      <c r="L1147" s="35"/>
      <c r="AD1147" s="73"/>
      <c r="AF1147" s="112" t="str">
        <f t="shared" si="34"/>
        <v/>
      </c>
      <c r="AG1147" s="113" t="str">
        <f>IF(AF1147="","",COUNTIF(AF1147:AF$3000,AF1147))</f>
        <v/>
      </c>
      <c r="AH1147" s="114" t="str">
        <f t="shared" si="35"/>
        <v/>
      </c>
    </row>
    <row r="1148" spans="6:34" x14ac:dyDescent="0.3">
      <c r="F1148" s="35"/>
      <c r="J1148" s="35"/>
      <c r="K1148" s="35"/>
      <c r="L1148" s="35"/>
      <c r="AD1148" s="73"/>
      <c r="AF1148" s="112" t="str">
        <f t="shared" si="34"/>
        <v/>
      </c>
      <c r="AG1148" s="113" t="str">
        <f>IF(AF1148="","",COUNTIF(AF1148:AF$3000,AF1148))</f>
        <v/>
      </c>
      <c r="AH1148" s="114" t="str">
        <f t="shared" si="35"/>
        <v/>
      </c>
    </row>
    <row r="1149" spans="6:34" x14ac:dyDescent="0.3">
      <c r="F1149" s="35"/>
      <c r="J1149" s="35"/>
      <c r="K1149" s="35"/>
      <c r="L1149" s="35"/>
      <c r="AD1149" s="73"/>
      <c r="AF1149" s="112" t="str">
        <f t="shared" si="34"/>
        <v/>
      </c>
      <c r="AG1149" s="113" t="str">
        <f>IF(AF1149="","",COUNTIF(AF1149:AF$3000,AF1149))</f>
        <v/>
      </c>
      <c r="AH1149" s="114" t="str">
        <f t="shared" si="35"/>
        <v/>
      </c>
    </row>
    <row r="1150" spans="6:34" x14ac:dyDescent="0.3">
      <c r="F1150" s="35"/>
      <c r="J1150" s="35"/>
      <c r="K1150" s="35"/>
      <c r="L1150" s="35"/>
      <c r="AD1150" s="73"/>
      <c r="AF1150" s="112" t="str">
        <f t="shared" si="34"/>
        <v/>
      </c>
      <c r="AG1150" s="113" t="str">
        <f>IF(AF1150="","",COUNTIF(AF1150:AF$3000,AF1150))</f>
        <v/>
      </c>
      <c r="AH1150" s="114" t="str">
        <f t="shared" si="35"/>
        <v/>
      </c>
    </row>
    <row r="1151" spans="6:34" x14ac:dyDescent="0.3">
      <c r="F1151" s="35"/>
      <c r="J1151" s="35"/>
      <c r="K1151" s="35"/>
      <c r="L1151" s="35"/>
      <c r="AD1151" s="73"/>
      <c r="AF1151" s="112" t="str">
        <f t="shared" si="34"/>
        <v/>
      </c>
      <c r="AG1151" s="113" t="str">
        <f>IF(AF1151="","",COUNTIF(AF1151:AF$3000,AF1151))</f>
        <v/>
      </c>
      <c r="AH1151" s="114" t="str">
        <f t="shared" si="35"/>
        <v/>
      </c>
    </row>
    <row r="1152" spans="6:34" x14ac:dyDescent="0.3">
      <c r="F1152" s="35"/>
      <c r="J1152" s="35"/>
      <c r="K1152" s="35"/>
      <c r="L1152" s="35"/>
      <c r="AD1152" s="73"/>
      <c r="AF1152" s="112" t="str">
        <f t="shared" si="34"/>
        <v/>
      </c>
      <c r="AG1152" s="113" t="str">
        <f>IF(AF1152="","",COUNTIF(AF1152:AF$3000,AF1152))</f>
        <v/>
      </c>
      <c r="AH1152" s="114" t="str">
        <f t="shared" si="35"/>
        <v/>
      </c>
    </row>
    <row r="1153" spans="6:34" x14ac:dyDescent="0.3">
      <c r="F1153" s="35"/>
      <c r="J1153" s="35"/>
      <c r="K1153" s="35"/>
      <c r="L1153" s="35"/>
      <c r="AD1153" s="73"/>
      <c r="AF1153" s="112" t="str">
        <f t="shared" si="34"/>
        <v/>
      </c>
      <c r="AG1153" s="113" t="str">
        <f>IF(AF1153="","",COUNTIF(AF1153:AF$3000,AF1153))</f>
        <v/>
      </c>
      <c r="AH1153" s="114" t="str">
        <f t="shared" si="35"/>
        <v/>
      </c>
    </row>
    <row r="1154" spans="6:34" x14ac:dyDescent="0.3">
      <c r="F1154" s="35"/>
      <c r="J1154" s="35"/>
      <c r="K1154" s="35"/>
      <c r="L1154" s="35"/>
      <c r="AD1154" s="73"/>
      <c r="AF1154" s="112" t="str">
        <f t="shared" si="34"/>
        <v/>
      </c>
      <c r="AG1154" s="113" t="str">
        <f>IF(AF1154="","",COUNTIF(AF1154:AF$3000,AF1154))</f>
        <v/>
      </c>
      <c r="AH1154" s="114" t="str">
        <f t="shared" si="35"/>
        <v/>
      </c>
    </row>
    <row r="1155" spans="6:34" x14ac:dyDescent="0.3">
      <c r="F1155" s="35"/>
      <c r="J1155" s="35"/>
      <c r="K1155" s="35"/>
      <c r="L1155" s="35"/>
      <c r="AD1155" s="73"/>
      <c r="AF1155" s="112" t="str">
        <f t="shared" si="34"/>
        <v/>
      </c>
      <c r="AG1155" s="113" t="str">
        <f>IF(AF1155="","",COUNTIF(AF1155:AF$3000,AF1155))</f>
        <v/>
      </c>
      <c r="AH1155" s="114" t="str">
        <f t="shared" si="35"/>
        <v/>
      </c>
    </row>
    <row r="1156" spans="6:34" x14ac:dyDescent="0.3">
      <c r="F1156" s="35"/>
      <c r="J1156" s="35"/>
      <c r="K1156" s="35"/>
      <c r="L1156" s="35"/>
      <c r="AD1156" s="73"/>
      <c r="AF1156" s="112" t="str">
        <f t="shared" ref="AF1156:AF1219" si="36">IF(B1156="","",TEXT(J1156,"DD/MM/AA")&amp;"_"&amp;S1156&amp;"_"&amp;V1156)</f>
        <v/>
      </c>
      <c r="AG1156" s="113" t="str">
        <f>IF(AF1156="","",COUNTIF(AF1156:AF$3000,AF1156))</f>
        <v/>
      </c>
      <c r="AH1156" s="114" t="str">
        <f t="shared" ref="AH1156:AH1219" si="37">IF(AA1156="","",
IF(AG1156&gt;1,"",
IF(SUMIF(AF$3:AF$31,AF1156,H$3:H$31)/10&lt;1,1,SUMIF(AF$3:AF$31,AF1156,H$3:H$31)/10)))</f>
        <v/>
      </c>
    </row>
    <row r="1157" spans="6:34" x14ac:dyDescent="0.3">
      <c r="F1157" s="35"/>
      <c r="J1157" s="35"/>
      <c r="K1157" s="35"/>
      <c r="L1157" s="35"/>
      <c r="AD1157" s="73"/>
      <c r="AF1157" s="112" t="str">
        <f t="shared" si="36"/>
        <v/>
      </c>
      <c r="AG1157" s="113" t="str">
        <f>IF(AF1157="","",COUNTIF(AF1157:AF$3000,AF1157))</f>
        <v/>
      </c>
      <c r="AH1157" s="114" t="str">
        <f t="shared" si="37"/>
        <v/>
      </c>
    </row>
    <row r="1158" spans="6:34" x14ac:dyDescent="0.3">
      <c r="F1158" s="35"/>
      <c r="J1158" s="35"/>
      <c r="K1158" s="35"/>
      <c r="L1158" s="35"/>
      <c r="AD1158" s="73"/>
      <c r="AF1158" s="112" t="str">
        <f t="shared" si="36"/>
        <v/>
      </c>
      <c r="AG1158" s="113" t="str">
        <f>IF(AF1158="","",COUNTIF(AF1158:AF$3000,AF1158))</f>
        <v/>
      </c>
      <c r="AH1158" s="114" t="str">
        <f t="shared" si="37"/>
        <v/>
      </c>
    </row>
    <row r="1159" spans="6:34" x14ac:dyDescent="0.3">
      <c r="F1159" s="35"/>
      <c r="J1159" s="35"/>
      <c r="K1159" s="35"/>
      <c r="L1159" s="35"/>
      <c r="AD1159" s="73"/>
      <c r="AF1159" s="112" t="str">
        <f t="shared" si="36"/>
        <v/>
      </c>
      <c r="AG1159" s="113" t="str">
        <f>IF(AF1159="","",COUNTIF(AF1159:AF$3000,AF1159))</f>
        <v/>
      </c>
      <c r="AH1159" s="114" t="str">
        <f t="shared" si="37"/>
        <v/>
      </c>
    </row>
    <row r="1160" spans="6:34" x14ac:dyDescent="0.3">
      <c r="F1160" s="35"/>
      <c r="J1160" s="35"/>
      <c r="K1160" s="35"/>
      <c r="L1160" s="35"/>
      <c r="AD1160" s="73"/>
      <c r="AF1160" s="112" t="str">
        <f t="shared" si="36"/>
        <v/>
      </c>
      <c r="AG1160" s="113" t="str">
        <f>IF(AF1160="","",COUNTIF(AF1160:AF$3000,AF1160))</f>
        <v/>
      </c>
      <c r="AH1160" s="114" t="str">
        <f t="shared" si="37"/>
        <v/>
      </c>
    </row>
    <row r="1161" spans="6:34" x14ac:dyDescent="0.3">
      <c r="F1161" s="35"/>
      <c r="J1161" s="35"/>
      <c r="K1161" s="35"/>
      <c r="L1161" s="35"/>
      <c r="AD1161" s="73"/>
      <c r="AF1161" s="112" t="str">
        <f t="shared" si="36"/>
        <v/>
      </c>
      <c r="AG1161" s="113" t="str">
        <f>IF(AF1161="","",COUNTIF(AF1161:AF$3000,AF1161))</f>
        <v/>
      </c>
      <c r="AH1161" s="114" t="str">
        <f t="shared" si="37"/>
        <v/>
      </c>
    </row>
    <row r="1162" spans="6:34" x14ac:dyDescent="0.3">
      <c r="F1162" s="35"/>
      <c r="J1162" s="35"/>
      <c r="K1162" s="35"/>
      <c r="L1162" s="35"/>
      <c r="AD1162" s="73"/>
      <c r="AF1162" s="112" t="str">
        <f t="shared" si="36"/>
        <v/>
      </c>
      <c r="AG1162" s="113" t="str">
        <f>IF(AF1162="","",COUNTIF(AF1162:AF$3000,AF1162))</f>
        <v/>
      </c>
      <c r="AH1162" s="114" t="str">
        <f t="shared" si="37"/>
        <v/>
      </c>
    </row>
    <row r="1163" spans="6:34" x14ac:dyDescent="0.3">
      <c r="F1163" s="35"/>
      <c r="J1163" s="35"/>
      <c r="K1163" s="35"/>
      <c r="L1163" s="35"/>
      <c r="AD1163" s="73"/>
      <c r="AF1163" s="112" t="str">
        <f t="shared" si="36"/>
        <v/>
      </c>
      <c r="AG1163" s="113" t="str">
        <f>IF(AF1163="","",COUNTIF(AF1163:AF$3000,AF1163))</f>
        <v/>
      </c>
      <c r="AH1163" s="114" t="str">
        <f t="shared" si="37"/>
        <v/>
      </c>
    </row>
    <row r="1164" spans="6:34" x14ac:dyDescent="0.3">
      <c r="F1164" s="35"/>
      <c r="J1164" s="35"/>
      <c r="K1164" s="35"/>
      <c r="L1164" s="35"/>
      <c r="AD1164" s="73"/>
      <c r="AF1164" s="112" t="str">
        <f t="shared" si="36"/>
        <v/>
      </c>
      <c r="AG1164" s="113" t="str">
        <f>IF(AF1164="","",COUNTIF(AF1164:AF$3000,AF1164))</f>
        <v/>
      </c>
      <c r="AH1164" s="114" t="str">
        <f t="shared" si="37"/>
        <v/>
      </c>
    </row>
    <row r="1165" spans="6:34" x14ac:dyDescent="0.3">
      <c r="F1165" s="35"/>
      <c r="J1165" s="35"/>
      <c r="K1165" s="35"/>
      <c r="L1165" s="35"/>
      <c r="AD1165" s="73"/>
      <c r="AF1165" s="112" t="str">
        <f t="shared" si="36"/>
        <v/>
      </c>
      <c r="AG1165" s="113" t="str">
        <f>IF(AF1165="","",COUNTIF(AF1165:AF$3000,AF1165))</f>
        <v/>
      </c>
      <c r="AH1165" s="114" t="str">
        <f t="shared" si="37"/>
        <v/>
      </c>
    </row>
    <row r="1166" spans="6:34" x14ac:dyDescent="0.3">
      <c r="F1166" s="35"/>
      <c r="J1166" s="35"/>
      <c r="K1166" s="35"/>
      <c r="L1166" s="35"/>
      <c r="AD1166" s="73"/>
      <c r="AF1166" s="112" t="str">
        <f t="shared" si="36"/>
        <v/>
      </c>
      <c r="AG1166" s="113" t="str">
        <f>IF(AF1166="","",COUNTIF(AF1166:AF$3000,AF1166))</f>
        <v/>
      </c>
      <c r="AH1166" s="114" t="str">
        <f t="shared" si="37"/>
        <v/>
      </c>
    </row>
    <row r="1167" spans="6:34" x14ac:dyDescent="0.3">
      <c r="F1167" s="35"/>
      <c r="J1167" s="35"/>
      <c r="K1167" s="35"/>
      <c r="L1167" s="35"/>
      <c r="AD1167" s="73"/>
      <c r="AF1167" s="112" t="str">
        <f t="shared" si="36"/>
        <v/>
      </c>
      <c r="AG1167" s="113" t="str">
        <f>IF(AF1167="","",COUNTIF(AF1167:AF$3000,AF1167))</f>
        <v/>
      </c>
      <c r="AH1167" s="114" t="str">
        <f t="shared" si="37"/>
        <v/>
      </c>
    </row>
    <row r="1168" spans="6:34" x14ac:dyDescent="0.3">
      <c r="F1168" s="35"/>
      <c r="J1168" s="35"/>
      <c r="K1168" s="35"/>
      <c r="L1168" s="35"/>
      <c r="AD1168" s="73"/>
      <c r="AF1168" s="112" t="str">
        <f t="shared" si="36"/>
        <v/>
      </c>
      <c r="AG1168" s="113" t="str">
        <f>IF(AF1168="","",COUNTIF(AF1168:AF$3000,AF1168))</f>
        <v/>
      </c>
      <c r="AH1168" s="114" t="str">
        <f t="shared" si="37"/>
        <v/>
      </c>
    </row>
    <row r="1169" spans="6:34" x14ac:dyDescent="0.3">
      <c r="F1169" s="35"/>
      <c r="J1169" s="35"/>
      <c r="K1169" s="35"/>
      <c r="L1169" s="35"/>
      <c r="AD1169" s="73"/>
      <c r="AF1169" s="112" t="str">
        <f t="shared" si="36"/>
        <v/>
      </c>
      <c r="AG1169" s="113" t="str">
        <f>IF(AF1169="","",COUNTIF(AF1169:AF$3000,AF1169))</f>
        <v/>
      </c>
      <c r="AH1169" s="114" t="str">
        <f t="shared" si="37"/>
        <v/>
      </c>
    </row>
    <row r="1170" spans="6:34" x14ac:dyDescent="0.3">
      <c r="F1170" s="35"/>
      <c r="J1170" s="35"/>
      <c r="K1170" s="35"/>
      <c r="L1170" s="35"/>
      <c r="AD1170" s="73"/>
      <c r="AF1170" s="112" t="str">
        <f t="shared" si="36"/>
        <v/>
      </c>
      <c r="AG1170" s="113" t="str">
        <f>IF(AF1170="","",COUNTIF(AF1170:AF$3000,AF1170))</f>
        <v/>
      </c>
      <c r="AH1170" s="114" t="str">
        <f t="shared" si="37"/>
        <v/>
      </c>
    </row>
    <row r="1171" spans="6:34" x14ac:dyDescent="0.3">
      <c r="F1171" s="35"/>
      <c r="J1171" s="35"/>
      <c r="K1171" s="35"/>
      <c r="L1171" s="35"/>
      <c r="AD1171" s="73"/>
      <c r="AF1171" s="112" t="str">
        <f t="shared" si="36"/>
        <v/>
      </c>
      <c r="AG1171" s="113" t="str">
        <f>IF(AF1171="","",COUNTIF(AF1171:AF$3000,AF1171))</f>
        <v/>
      </c>
      <c r="AH1171" s="114" t="str">
        <f t="shared" si="37"/>
        <v/>
      </c>
    </row>
    <row r="1172" spans="6:34" x14ac:dyDescent="0.3">
      <c r="F1172" s="35"/>
      <c r="J1172" s="35"/>
      <c r="K1172" s="35"/>
      <c r="L1172" s="35"/>
      <c r="AD1172" s="73"/>
      <c r="AF1172" s="112" t="str">
        <f t="shared" si="36"/>
        <v/>
      </c>
      <c r="AG1172" s="113" t="str">
        <f>IF(AF1172="","",COUNTIF(AF1172:AF$3000,AF1172))</f>
        <v/>
      </c>
      <c r="AH1172" s="114" t="str">
        <f t="shared" si="37"/>
        <v/>
      </c>
    </row>
    <row r="1173" spans="6:34" x14ac:dyDescent="0.3">
      <c r="F1173" s="35"/>
      <c r="J1173" s="35"/>
      <c r="K1173" s="35"/>
      <c r="L1173" s="35"/>
      <c r="AD1173" s="73"/>
      <c r="AF1173" s="112" t="str">
        <f t="shared" si="36"/>
        <v/>
      </c>
      <c r="AG1173" s="113" t="str">
        <f>IF(AF1173="","",COUNTIF(AF1173:AF$3000,AF1173))</f>
        <v/>
      </c>
      <c r="AH1173" s="114" t="str">
        <f t="shared" si="37"/>
        <v/>
      </c>
    </row>
    <row r="1174" spans="6:34" x14ac:dyDescent="0.3">
      <c r="F1174" s="35"/>
      <c r="J1174" s="35"/>
      <c r="K1174" s="35"/>
      <c r="L1174" s="35"/>
      <c r="AD1174" s="73"/>
      <c r="AF1174" s="112" t="str">
        <f t="shared" si="36"/>
        <v/>
      </c>
      <c r="AG1174" s="113" t="str">
        <f>IF(AF1174="","",COUNTIF(AF1174:AF$3000,AF1174))</f>
        <v/>
      </c>
      <c r="AH1174" s="114" t="str">
        <f t="shared" si="37"/>
        <v/>
      </c>
    </row>
    <row r="1175" spans="6:34" x14ac:dyDescent="0.3">
      <c r="F1175" s="35"/>
      <c r="J1175" s="35"/>
      <c r="K1175" s="35"/>
      <c r="L1175" s="35"/>
      <c r="AD1175" s="73"/>
      <c r="AF1175" s="112" t="str">
        <f t="shared" si="36"/>
        <v/>
      </c>
      <c r="AG1175" s="113" t="str">
        <f>IF(AF1175="","",COUNTIF(AF1175:AF$3000,AF1175))</f>
        <v/>
      </c>
      <c r="AH1175" s="114" t="str">
        <f t="shared" si="37"/>
        <v/>
      </c>
    </row>
    <row r="1176" spans="6:34" x14ac:dyDescent="0.3">
      <c r="F1176" s="35"/>
      <c r="J1176" s="35"/>
      <c r="K1176" s="35"/>
      <c r="L1176" s="35"/>
      <c r="AD1176" s="73"/>
      <c r="AF1176" s="112" t="str">
        <f t="shared" si="36"/>
        <v/>
      </c>
      <c r="AG1176" s="113" t="str">
        <f>IF(AF1176="","",COUNTIF(AF1176:AF$3000,AF1176))</f>
        <v/>
      </c>
      <c r="AH1176" s="114" t="str">
        <f t="shared" si="37"/>
        <v/>
      </c>
    </row>
    <row r="1177" spans="6:34" x14ac:dyDescent="0.3">
      <c r="F1177" s="35"/>
      <c r="J1177" s="35"/>
      <c r="K1177" s="35"/>
      <c r="L1177" s="35"/>
      <c r="AD1177" s="73"/>
      <c r="AF1177" s="112" t="str">
        <f t="shared" si="36"/>
        <v/>
      </c>
      <c r="AG1177" s="113" t="str">
        <f>IF(AF1177="","",COUNTIF(AF1177:AF$3000,AF1177))</f>
        <v/>
      </c>
      <c r="AH1177" s="114" t="str">
        <f t="shared" si="37"/>
        <v/>
      </c>
    </row>
    <row r="1178" spans="6:34" x14ac:dyDescent="0.3">
      <c r="F1178" s="35"/>
      <c r="J1178" s="35"/>
      <c r="K1178" s="35"/>
      <c r="L1178" s="35"/>
      <c r="AD1178" s="73"/>
      <c r="AF1178" s="112" t="str">
        <f t="shared" si="36"/>
        <v/>
      </c>
      <c r="AG1178" s="113" t="str">
        <f>IF(AF1178="","",COUNTIF(AF1178:AF$3000,AF1178))</f>
        <v/>
      </c>
      <c r="AH1178" s="114" t="str">
        <f t="shared" si="37"/>
        <v/>
      </c>
    </row>
    <row r="1179" spans="6:34" x14ac:dyDescent="0.3">
      <c r="F1179" s="35"/>
      <c r="J1179" s="35"/>
      <c r="K1179" s="35"/>
      <c r="L1179" s="35"/>
      <c r="AD1179" s="73"/>
      <c r="AF1179" s="112" t="str">
        <f t="shared" si="36"/>
        <v/>
      </c>
      <c r="AG1179" s="113" t="str">
        <f>IF(AF1179="","",COUNTIF(AF1179:AF$3000,AF1179))</f>
        <v/>
      </c>
      <c r="AH1179" s="114" t="str">
        <f t="shared" si="37"/>
        <v/>
      </c>
    </row>
    <row r="1180" spans="6:34" x14ac:dyDescent="0.3">
      <c r="F1180" s="35"/>
      <c r="J1180" s="35"/>
      <c r="K1180" s="35"/>
      <c r="L1180" s="35"/>
      <c r="AD1180" s="73"/>
      <c r="AF1180" s="112" t="str">
        <f t="shared" si="36"/>
        <v/>
      </c>
      <c r="AG1180" s="113" t="str">
        <f>IF(AF1180="","",COUNTIF(AF1180:AF$3000,AF1180))</f>
        <v/>
      </c>
      <c r="AH1180" s="114" t="str">
        <f t="shared" si="37"/>
        <v/>
      </c>
    </row>
    <row r="1181" spans="6:34" x14ac:dyDescent="0.3">
      <c r="F1181" s="35"/>
      <c r="J1181" s="35"/>
      <c r="K1181" s="35"/>
      <c r="L1181" s="35"/>
      <c r="AD1181" s="73"/>
      <c r="AF1181" s="112" t="str">
        <f t="shared" si="36"/>
        <v/>
      </c>
      <c r="AG1181" s="113" t="str">
        <f>IF(AF1181="","",COUNTIF(AF1181:AF$3000,AF1181))</f>
        <v/>
      </c>
      <c r="AH1181" s="114" t="str">
        <f t="shared" si="37"/>
        <v/>
      </c>
    </row>
    <row r="1182" spans="6:34" x14ac:dyDescent="0.3">
      <c r="F1182" s="35"/>
      <c r="J1182" s="35"/>
      <c r="K1182" s="35"/>
      <c r="L1182" s="35"/>
      <c r="AD1182" s="73"/>
      <c r="AF1182" s="112" t="str">
        <f t="shared" si="36"/>
        <v/>
      </c>
      <c r="AG1182" s="113" t="str">
        <f>IF(AF1182="","",COUNTIF(AF1182:AF$3000,AF1182))</f>
        <v/>
      </c>
      <c r="AH1182" s="114" t="str">
        <f t="shared" si="37"/>
        <v/>
      </c>
    </row>
    <row r="1183" spans="6:34" x14ac:dyDescent="0.3">
      <c r="F1183" s="35"/>
      <c r="J1183" s="35"/>
      <c r="K1183" s="35"/>
      <c r="L1183" s="35"/>
      <c r="AD1183" s="73"/>
      <c r="AF1183" s="112" t="str">
        <f t="shared" si="36"/>
        <v/>
      </c>
      <c r="AG1183" s="113" t="str">
        <f>IF(AF1183="","",COUNTIF(AF1183:AF$3000,AF1183))</f>
        <v/>
      </c>
      <c r="AH1183" s="114" t="str">
        <f t="shared" si="37"/>
        <v/>
      </c>
    </row>
    <row r="1184" spans="6:34" x14ac:dyDescent="0.3">
      <c r="F1184" s="35"/>
      <c r="J1184" s="35"/>
      <c r="K1184" s="35"/>
      <c r="L1184" s="35"/>
      <c r="AD1184" s="73"/>
      <c r="AF1184" s="112" t="str">
        <f t="shared" si="36"/>
        <v/>
      </c>
      <c r="AG1184" s="113" t="str">
        <f>IF(AF1184="","",COUNTIF(AF1184:AF$3000,AF1184))</f>
        <v/>
      </c>
      <c r="AH1184" s="114" t="str">
        <f t="shared" si="37"/>
        <v/>
      </c>
    </row>
    <row r="1185" spans="6:34" x14ac:dyDescent="0.3">
      <c r="F1185" s="35"/>
      <c r="J1185" s="35"/>
      <c r="K1185" s="35"/>
      <c r="L1185" s="35"/>
      <c r="AD1185" s="73"/>
      <c r="AF1185" s="112" t="str">
        <f t="shared" si="36"/>
        <v/>
      </c>
      <c r="AG1185" s="113" t="str">
        <f>IF(AF1185="","",COUNTIF(AF1185:AF$3000,AF1185))</f>
        <v/>
      </c>
      <c r="AH1185" s="114" t="str">
        <f t="shared" si="37"/>
        <v/>
      </c>
    </row>
    <row r="1186" spans="6:34" x14ac:dyDescent="0.3">
      <c r="F1186" s="35"/>
      <c r="J1186" s="35"/>
      <c r="K1186" s="35"/>
      <c r="L1186" s="35"/>
      <c r="AD1186" s="73"/>
      <c r="AF1186" s="112" t="str">
        <f t="shared" si="36"/>
        <v/>
      </c>
      <c r="AG1186" s="113" t="str">
        <f>IF(AF1186="","",COUNTIF(AF1186:AF$3000,AF1186))</f>
        <v/>
      </c>
      <c r="AH1186" s="114" t="str">
        <f t="shared" si="37"/>
        <v/>
      </c>
    </row>
    <row r="1187" spans="6:34" x14ac:dyDescent="0.3">
      <c r="F1187" s="35"/>
      <c r="J1187" s="35"/>
      <c r="K1187" s="35"/>
      <c r="L1187" s="35"/>
      <c r="AD1187" s="73"/>
      <c r="AF1187" s="112" t="str">
        <f t="shared" si="36"/>
        <v/>
      </c>
      <c r="AG1187" s="113" t="str">
        <f>IF(AF1187="","",COUNTIF(AF1187:AF$3000,AF1187))</f>
        <v/>
      </c>
      <c r="AH1187" s="114" t="str">
        <f t="shared" si="37"/>
        <v/>
      </c>
    </row>
    <row r="1188" spans="6:34" x14ac:dyDescent="0.3">
      <c r="F1188" s="35"/>
      <c r="J1188" s="35"/>
      <c r="K1188" s="35"/>
      <c r="L1188" s="35"/>
      <c r="AD1188" s="73"/>
      <c r="AF1188" s="112" t="str">
        <f t="shared" si="36"/>
        <v/>
      </c>
      <c r="AG1188" s="113" t="str">
        <f>IF(AF1188="","",COUNTIF(AF1188:AF$3000,AF1188))</f>
        <v/>
      </c>
      <c r="AH1188" s="114" t="str">
        <f t="shared" si="37"/>
        <v/>
      </c>
    </row>
    <row r="1189" spans="6:34" x14ac:dyDescent="0.3">
      <c r="F1189" s="35"/>
      <c r="J1189" s="35"/>
      <c r="K1189" s="35"/>
      <c r="L1189" s="35"/>
      <c r="AD1189" s="73"/>
      <c r="AF1189" s="112" t="str">
        <f t="shared" si="36"/>
        <v/>
      </c>
      <c r="AG1189" s="113" t="str">
        <f>IF(AF1189="","",COUNTIF(AF1189:AF$3000,AF1189))</f>
        <v/>
      </c>
      <c r="AH1189" s="114" t="str">
        <f t="shared" si="37"/>
        <v/>
      </c>
    </row>
    <row r="1190" spans="6:34" x14ac:dyDescent="0.3">
      <c r="F1190" s="35"/>
      <c r="J1190" s="35"/>
      <c r="K1190" s="35"/>
      <c r="L1190" s="35"/>
      <c r="AD1190" s="73"/>
      <c r="AF1190" s="112" t="str">
        <f t="shared" si="36"/>
        <v/>
      </c>
      <c r="AG1190" s="113" t="str">
        <f>IF(AF1190="","",COUNTIF(AF1190:AF$3000,AF1190))</f>
        <v/>
      </c>
      <c r="AH1190" s="114" t="str">
        <f t="shared" si="37"/>
        <v/>
      </c>
    </row>
    <row r="1191" spans="6:34" x14ac:dyDescent="0.3">
      <c r="F1191" s="35"/>
      <c r="J1191" s="35"/>
      <c r="K1191" s="35"/>
      <c r="L1191" s="35"/>
      <c r="AD1191" s="73"/>
      <c r="AF1191" s="112" t="str">
        <f t="shared" si="36"/>
        <v/>
      </c>
      <c r="AG1191" s="113" t="str">
        <f>IF(AF1191="","",COUNTIF(AF1191:AF$3000,AF1191))</f>
        <v/>
      </c>
      <c r="AH1191" s="114" t="str">
        <f t="shared" si="37"/>
        <v/>
      </c>
    </row>
    <row r="1192" spans="6:34" x14ac:dyDescent="0.3">
      <c r="F1192" s="35"/>
      <c r="J1192" s="35"/>
      <c r="K1192" s="35"/>
      <c r="L1192" s="35"/>
      <c r="AD1192" s="73"/>
      <c r="AF1192" s="112" t="str">
        <f t="shared" si="36"/>
        <v/>
      </c>
      <c r="AG1192" s="113" t="str">
        <f>IF(AF1192="","",COUNTIF(AF1192:AF$3000,AF1192))</f>
        <v/>
      </c>
      <c r="AH1192" s="114" t="str">
        <f t="shared" si="37"/>
        <v/>
      </c>
    </row>
    <row r="1193" spans="6:34" x14ac:dyDescent="0.3">
      <c r="F1193" s="35"/>
      <c r="J1193" s="35"/>
      <c r="K1193" s="35"/>
      <c r="L1193" s="35"/>
      <c r="AD1193" s="73"/>
      <c r="AF1193" s="112" t="str">
        <f t="shared" si="36"/>
        <v/>
      </c>
      <c r="AG1193" s="113" t="str">
        <f>IF(AF1193="","",COUNTIF(AF1193:AF$3000,AF1193))</f>
        <v/>
      </c>
      <c r="AH1193" s="114" t="str">
        <f t="shared" si="37"/>
        <v/>
      </c>
    </row>
    <row r="1194" spans="6:34" x14ac:dyDescent="0.3">
      <c r="F1194" s="35"/>
      <c r="J1194" s="35"/>
      <c r="K1194" s="35"/>
      <c r="L1194" s="35"/>
      <c r="AD1194" s="73"/>
      <c r="AF1194" s="112" t="str">
        <f t="shared" si="36"/>
        <v/>
      </c>
      <c r="AG1194" s="113" t="str">
        <f>IF(AF1194="","",COUNTIF(AF1194:AF$3000,AF1194))</f>
        <v/>
      </c>
      <c r="AH1194" s="114" t="str">
        <f t="shared" si="37"/>
        <v/>
      </c>
    </row>
    <row r="1195" spans="6:34" x14ac:dyDescent="0.3">
      <c r="F1195" s="35"/>
      <c r="J1195" s="35"/>
      <c r="K1195" s="35"/>
      <c r="L1195" s="35"/>
      <c r="AD1195" s="73"/>
      <c r="AF1195" s="112" t="str">
        <f t="shared" si="36"/>
        <v/>
      </c>
      <c r="AG1195" s="113" t="str">
        <f>IF(AF1195="","",COUNTIF(AF1195:AF$3000,AF1195))</f>
        <v/>
      </c>
      <c r="AH1195" s="114" t="str">
        <f t="shared" si="37"/>
        <v/>
      </c>
    </row>
    <row r="1196" spans="6:34" x14ac:dyDescent="0.3">
      <c r="F1196" s="35"/>
      <c r="J1196" s="35"/>
      <c r="K1196" s="35"/>
      <c r="L1196" s="35"/>
      <c r="AD1196" s="73"/>
      <c r="AF1196" s="112" t="str">
        <f t="shared" si="36"/>
        <v/>
      </c>
      <c r="AG1196" s="113" t="str">
        <f>IF(AF1196="","",COUNTIF(AF1196:AF$3000,AF1196))</f>
        <v/>
      </c>
      <c r="AH1196" s="114" t="str">
        <f t="shared" si="37"/>
        <v/>
      </c>
    </row>
    <row r="1197" spans="6:34" x14ac:dyDescent="0.3">
      <c r="F1197" s="35"/>
      <c r="J1197" s="35"/>
      <c r="K1197" s="35"/>
      <c r="L1197" s="35"/>
      <c r="AD1197" s="73"/>
      <c r="AF1197" s="112" t="str">
        <f t="shared" si="36"/>
        <v/>
      </c>
      <c r="AG1197" s="113" t="str">
        <f>IF(AF1197="","",COUNTIF(AF1197:AF$3000,AF1197))</f>
        <v/>
      </c>
      <c r="AH1197" s="114" t="str">
        <f t="shared" si="37"/>
        <v/>
      </c>
    </row>
    <row r="1198" spans="6:34" x14ac:dyDescent="0.3">
      <c r="F1198" s="35"/>
      <c r="J1198" s="35"/>
      <c r="K1198" s="35"/>
      <c r="L1198" s="35"/>
      <c r="AD1198" s="73"/>
      <c r="AF1198" s="112" t="str">
        <f t="shared" si="36"/>
        <v/>
      </c>
      <c r="AG1198" s="113" t="str">
        <f>IF(AF1198="","",COUNTIF(AF1198:AF$3000,AF1198))</f>
        <v/>
      </c>
      <c r="AH1198" s="114" t="str">
        <f t="shared" si="37"/>
        <v/>
      </c>
    </row>
    <row r="1199" spans="6:34" x14ac:dyDescent="0.3">
      <c r="F1199" s="35"/>
      <c r="J1199" s="35"/>
      <c r="K1199" s="35"/>
      <c r="L1199" s="35"/>
      <c r="AD1199" s="73"/>
      <c r="AF1199" s="112" t="str">
        <f t="shared" si="36"/>
        <v/>
      </c>
      <c r="AG1199" s="113" t="str">
        <f>IF(AF1199="","",COUNTIF(AF1199:AF$3000,AF1199))</f>
        <v/>
      </c>
      <c r="AH1199" s="114" t="str">
        <f t="shared" si="37"/>
        <v/>
      </c>
    </row>
    <row r="1200" spans="6:34" x14ac:dyDescent="0.3">
      <c r="F1200" s="35"/>
      <c r="J1200" s="35"/>
      <c r="K1200" s="35"/>
      <c r="L1200" s="35"/>
      <c r="AD1200" s="73"/>
      <c r="AF1200" s="112" t="str">
        <f t="shared" si="36"/>
        <v/>
      </c>
      <c r="AG1200" s="113" t="str">
        <f>IF(AF1200="","",COUNTIF(AF1200:AF$3000,AF1200))</f>
        <v/>
      </c>
      <c r="AH1200" s="114" t="str">
        <f t="shared" si="37"/>
        <v/>
      </c>
    </row>
    <row r="1201" spans="6:34" x14ac:dyDescent="0.3">
      <c r="F1201" s="35"/>
      <c r="J1201" s="35"/>
      <c r="K1201" s="35"/>
      <c r="L1201" s="35"/>
      <c r="AD1201" s="73"/>
      <c r="AF1201" s="112" t="str">
        <f t="shared" si="36"/>
        <v/>
      </c>
      <c r="AG1201" s="113" t="str">
        <f>IF(AF1201="","",COUNTIF(AF1201:AF$3000,AF1201))</f>
        <v/>
      </c>
      <c r="AH1201" s="114" t="str">
        <f t="shared" si="37"/>
        <v/>
      </c>
    </row>
    <row r="1202" spans="6:34" x14ac:dyDescent="0.3">
      <c r="F1202" s="35"/>
      <c r="J1202" s="35"/>
      <c r="K1202" s="35"/>
      <c r="L1202" s="35"/>
      <c r="AD1202" s="73"/>
      <c r="AF1202" s="112" t="str">
        <f t="shared" si="36"/>
        <v/>
      </c>
      <c r="AG1202" s="113" t="str">
        <f>IF(AF1202="","",COUNTIF(AF1202:AF$3000,AF1202))</f>
        <v/>
      </c>
      <c r="AH1202" s="114" t="str">
        <f t="shared" si="37"/>
        <v/>
      </c>
    </row>
    <row r="1203" spans="6:34" x14ac:dyDescent="0.3">
      <c r="F1203" s="35"/>
      <c r="J1203" s="35"/>
      <c r="K1203" s="35"/>
      <c r="L1203" s="35"/>
      <c r="AD1203" s="73"/>
      <c r="AF1203" s="112" t="str">
        <f t="shared" si="36"/>
        <v/>
      </c>
      <c r="AG1203" s="113" t="str">
        <f>IF(AF1203="","",COUNTIF(AF1203:AF$3000,AF1203))</f>
        <v/>
      </c>
      <c r="AH1203" s="114" t="str">
        <f t="shared" si="37"/>
        <v/>
      </c>
    </row>
    <row r="1204" spans="6:34" x14ac:dyDescent="0.3">
      <c r="F1204" s="35"/>
      <c r="J1204" s="35"/>
      <c r="K1204" s="35"/>
      <c r="L1204" s="35"/>
      <c r="AD1204" s="73"/>
      <c r="AF1204" s="112" t="str">
        <f t="shared" si="36"/>
        <v/>
      </c>
      <c r="AG1204" s="113" t="str">
        <f>IF(AF1204="","",COUNTIF(AF1204:AF$3000,AF1204))</f>
        <v/>
      </c>
      <c r="AH1204" s="114" t="str">
        <f t="shared" si="37"/>
        <v/>
      </c>
    </row>
    <row r="1205" spans="6:34" x14ac:dyDescent="0.3">
      <c r="F1205" s="35"/>
      <c r="J1205" s="35"/>
      <c r="K1205" s="35"/>
      <c r="L1205" s="35"/>
      <c r="AD1205" s="73"/>
      <c r="AF1205" s="112" t="str">
        <f t="shared" si="36"/>
        <v/>
      </c>
      <c r="AG1205" s="113" t="str">
        <f>IF(AF1205="","",COUNTIF(AF1205:AF$3000,AF1205))</f>
        <v/>
      </c>
      <c r="AH1205" s="114" t="str">
        <f t="shared" si="37"/>
        <v/>
      </c>
    </row>
    <row r="1206" spans="6:34" x14ac:dyDescent="0.3">
      <c r="F1206" s="35"/>
      <c r="J1206" s="35"/>
      <c r="K1206" s="35"/>
      <c r="L1206" s="35"/>
      <c r="AD1206" s="73"/>
      <c r="AF1206" s="112" t="str">
        <f t="shared" si="36"/>
        <v/>
      </c>
      <c r="AG1206" s="113" t="str">
        <f>IF(AF1206="","",COUNTIF(AF1206:AF$3000,AF1206))</f>
        <v/>
      </c>
      <c r="AH1206" s="114" t="str">
        <f t="shared" si="37"/>
        <v/>
      </c>
    </row>
    <row r="1207" spans="6:34" x14ac:dyDescent="0.3">
      <c r="F1207" s="35"/>
      <c r="J1207" s="35"/>
      <c r="K1207" s="35"/>
      <c r="L1207" s="35"/>
      <c r="AD1207" s="73"/>
      <c r="AF1207" s="112" t="str">
        <f t="shared" si="36"/>
        <v/>
      </c>
      <c r="AG1207" s="113" t="str">
        <f>IF(AF1207="","",COUNTIF(AF1207:AF$3000,AF1207))</f>
        <v/>
      </c>
      <c r="AH1207" s="114" t="str">
        <f t="shared" si="37"/>
        <v/>
      </c>
    </row>
    <row r="1208" spans="6:34" x14ac:dyDescent="0.3">
      <c r="F1208" s="35"/>
      <c r="J1208" s="35"/>
      <c r="K1208" s="35"/>
      <c r="L1208" s="35"/>
      <c r="AD1208" s="73"/>
      <c r="AF1208" s="112" t="str">
        <f t="shared" si="36"/>
        <v/>
      </c>
      <c r="AG1208" s="113" t="str">
        <f>IF(AF1208="","",COUNTIF(AF1208:AF$3000,AF1208))</f>
        <v/>
      </c>
      <c r="AH1208" s="114" t="str">
        <f t="shared" si="37"/>
        <v/>
      </c>
    </row>
    <row r="1209" spans="6:34" x14ac:dyDescent="0.3">
      <c r="F1209" s="35"/>
      <c r="J1209" s="35"/>
      <c r="K1209" s="35"/>
      <c r="L1209" s="35"/>
      <c r="AD1209" s="73"/>
      <c r="AF1209" s="112" t="str">
        <f t="shared" si="36"/>
        <v/>
      </c>
      <c r="AG1209" s="113" t="str">
        <f>IF(AF1209="","",COUNTIF(AF1209:AF$3000,AF1209))</f>
        <v/>
      </c>
      <c r="AH1209" s="114" t="str">
        <f t="shared" si="37"/>
        <v/>
      </c>
    </row>
    <row r="1210" spans="6:34" x14ac:dyDescent="0.3">
      <c r="F1210" s="35"/>
      <c r="J1210" s="35"/>
      <c r="K1210" s="35"/>
      <c r="L1210" s="35"/>
      <c r="AD1210" s="73"/>
      <c r="AF1210" s="112" t="str">
        <f t="shared" si="36"/>
        <v/>
      </c>
      <c r="AG1210" s="113" t="str">
        <f>IF(AF1210="","",COUNTIF(AF1210:AF$3000,AF1210))</f>
        <v/>
      </c>
      <c r="AH1210" s="114" t="str">
        <f t="shared" si="37"/>
        <v/>
      </c>
    </row>
    <row r="1211" spans="6:34" x14ac:dyDescent="0.3">
      <c r="F1211" s="35"/>
      <c r="J1211" s="35"/>
      <c r="K1211" s="35"/>
      <c r="L1211" s="35"/>
      <c r="AD1211" s="73"/>
      <c r="AF1211" s="112" t="str">
        <f t="shared" si="36"/>
        <v/>
      </c>
      <c r="AG1211" s="113" t="str">
        <f>IF(AF1211="","",COUNTIF(AF1211:AF$3000,AF1211))</f>
        <v/>
      </c>
      <c r="AH1211" s="114" t="str">
        <f t="shared" si="37"/>
        <v/>
      </c>
    </row>
    <row r="1212" spans="6:34" x14ac:dyDescent="0.3">
      <c r="F1212" s="35"/>
      <c r="J1212" s="35"/>
      <c r="K1212" s="35"/>
      <c r="L1212" s="35"/>
      <c r="AD1212" s="73"/>
      <c r="AF1212" s="112" t="str">
        <f t="shared" si="36"/>
        <v/>
      </c>
      <c r="AG1212" s="113" t="str">
        <f>IF(AF1212="","",COUNTIF(AF1212:AF$3000,AF1212))</f>
        <v/>
      </c>
      <c r="AH1212" s="114" t="str">
        <f t="shared" si="37"/>
        <v/>
      </c>
    </row>
    <row r="1213" spans="6:34" x14ac:dyDescent="0.3">
      <c r="F1213" s="35"/>
      <c r="J1213" s="35"/>
      <c r="K1213" s="35"/>
      <c r="L1213" s="35"/>
      <c r="AD1213" s="73"/>
      <c r="AF1213" s="112" t="str">
        <f t="shared" si="36"/>
        <v/>
      </c>
      <c r="AG1213" s="113" t="str">
        <f>IF(AF1213="","",COUNTIF(AF1213:AF$3000,AF1213))</f>
        <v/>
      </c>
      <c r="AH1213" s="114" t="str">
        <f t="shared" si="37"/>
        <v/>
      </c>
    </row>
    <row r="1214" spans="6:34" x14ac:dyDescent="0.3">
      <c r="F1214" s="35"/>
      <c r="J1214" s="35"/>
      <c r="K1214" s="35"/>
      <c r="L1214" s="35"/>
      <c r="AD1214" s="73"/>
      <c r="AF1214" s="112" t="str">
        <f t="shared" si="36"/>
        <v/>
      </c>
      <c r="AG1214" s="113" t="str">
        <f>IF(AF1214="","",COUNTIF(AF1214:AF$3000,AF1214))</f>
        <v/>
      </c>
      <c r="AH1214" s="114" t="str">
        <f t="shared" si="37"/>
        <v/>
      </c>
    </row>
    <row r="1215" spans="6:34" x14ac:dyDescent="0.3">
      <c r="F1215" s="35"/>
      <c r="J1215" s="35"/>
      <c r="K1215" s="35"/>
      <c r="L1215" s="35"/>
      <c r="AD1215" s="73"/>
      <c r="AF1215" s="112" t="str">
        <f t="shared" si="36"/>
        <v/>
      </c>
      <c r="AG1215" s="113" t="str">
        <f>IF(AF1215="","",COUNTIF(AF1215:AF$3000,AF1215))</f>
        <v/>
      </c>
      <c r="AH1215" s="114" t="str">
        <f t="shared" si="37"/>
        <v/>
      </c>
    </row>
    <row r="1216" spans="6:34" x14ac:dyDescent="0.3">
      <c r="F1216" s="35"/>
      <c r="J1216" s="35"/>
      <c r="K1216" s="35"/>
      <c r="L1216" s="35"/>
      <c r="AD1216" s="73"/>
      <c r="AF1216" s="112" t="str">
        <f t="shared" si="36"/>
        <v/>
      </c>
      <c r="AG1216" s="113" t="str">
        <f>IF(AF1216="","",COUNTIF(AF1216:AF$3000,AF1216))</f>
        <v/>
      </c>
      <c r="AH1216" s="114" t="str">
        <f t="shared" si="37"/>
        <v/>
      </c>
    </row>
    <row r="1217" spans="6:34" x14ac:dyDescent="0.3">
      <c r="F1217" s="35"/>
      <c r="J1217" s="35"/>
      <c r="K1217" s="35"/>
      <c r="L1217" s="35"/>
      <c r="AD1217" s="73"/>
      <c r="AF1217" s="112" t="str">
        <f t="shared" si="36"/>
        <v/>
      </c>
      <c r="AG1217" s="113" t="str">
        <f>IF(AF1217="","",COUNTIF(AF1217:AF$3000,AF1217))</f>
        <v/>
      </c>
      <c r="AH1217" s="114" t="str">
        <f t="shared" si="37"/>
        <v/>
      </c>
    </row>
    <row r="1218" spans="6:34" x14ac:dyDescent="0.3">
      <c r="F1218" s="35"/>
      <c r="J1218" s="35"/>
      <c r="K1218" s="35"/>
      <c r="L1218" s="35"/>
      <c r="AD1218" s="73"/>
      <c r="AF1218" s="112" t="str">
        <f t="shared" si="36"/>
        <v/>
      </c>
      <c r="AG1218" s="113" t="str">
        <f>IF(AF1218="","",COUNTIF(AF1218:AF$3000,AF1218))</f>
        <v/>
      </c>
      <c r="AH1218" s="114" t="str">
        <f t="shared" si="37"/>
        <v/>
      </c>
    </row>
    <row r="1219" spans="6:34" x14ac:dyDescent="0.3">
      <c r="F1219" s="35"/>
      <c r="J1219" s="35"/>
      <c r="K1219" s="35"/>
      <c r="L1219" s="35"/>
      <c r="AD1219" s="73"/>
      <c r="AF1219" s="112" t="str">
        <f t="shared" si="36"/>
        <v/>
      </c>
      <c r="AG1219" s="113" t="str">
        <f>IF(AF1219="","",COUNTIF(AF1219:AF$3000,AF1219))</f>
        <v/>
      </c>
      <c r="AH1219" s="114" t="str">
        <f t="shared" si="37"/>
        <v/>
      </c>
    </row>
    <row r="1220" spans="6:34" x14ac:dyDescent="0.3">
      <c r="F1220" s="35"/>
      <c r="J1220" s="35"/>
      <c r="K1220" s="35"/>
      <c r="L1220" s="35"/>
      <c r="AD1220" s="73"/>
      <c r="AF1220" s="112" t="str">
        <f t="shared" ref="AF1220:AF1283" si="38">IF(B1220="","",TEXT(J1220,"DD/MM/AA")&amp;"_"&amp;S1220&amp;"_"&amp;V1220)</f>
        <v/>
      </c>
      <c r="AG1220" s="113" t="str">
        <f>IF(AF1220="","",COUNTIF(AF1220:AF$3000,AF1220))</f>
        <v/>
      </c>
      <c r="AH1220" s="114" t="str">
        <f t="shared" ref="AH1220:AH1283" si="39">IF(AA1220="","",
IF(AG1220&gt;1,"",
IF(SUMIF(AF$3:AF$31,AF1220,H$3:H$31)/10&lt;1,1,SUMIF(AF$3:AF$31,AF1220,H$3:H$31)/10)))</f>
        <v/>
      </c>
    </row>
    <row r="1221" spans="6:34" x14ac:dyDescent="0.3">
      <c r="F1221" s="35"/>
      <c r="J1221" s="35"/>
      <c r="K1221" s="35"/>
      <c r="L1221" s="35"/>
      <c r="AD1221" s="73"/>
      <c r="AF1221" s="112" t="str">
        <f t="shared" si="38"/>
        <v/>
      </c>
      <c r="AG1221" s="113" t="str">
        <f>IF(AF1221="","",COUNTIF(AF1221:AF$3000,AF1221))</f>
        <v/>
      </c>
      <c r="AH1221" s="114" t="str">
        <f t="shared" si="39"/>
        <v/>
      </c>
    </row>
    <row r="1222" spans="6:34" x14ac:dyDescent="0.3">
      <c r="F1222" s="35"/>
      <c r="J1222" s="35"/>
      <c r="K1222" s="35"/>
      <c r="L1222" s="35"/>
      <c r="AD1222" s="73"/>
      <c r="AF1222" s="112" t="str">
        <f t="shared" si="38"/>
        <v/>
      </c>
      <c r="AG1222" s="113" t="str">
        <f>IF(AF1222="","",COUNTIF(AF1222:AF$3000,AF1222))</f>
        <v/>
      </c>
      <c r="AH1222" s="114" t="str">
        <f t="shared" si="39"/>
        <v/>
      </c>
    </row>
    <row r="1223" spans="6:34" x14ac:dyDescent="0.3">
      <c r="F1223" s="35"/>
      <c r="J1223" s="35"/>
      <c r="K1223" s="35"/>
      <c r="L1223" s="35"/>
      <c r="AD1223" s="73"/>
      <c r="AF1223" s="112" t="str">
        <f t="shared" si="38"/>
        <v/>
      </c>
      <c r="AG1223" s="113" t="str">
        <f>IF(AF1223="","",COUNTIF(AF1223:AF$3000,AF1223))</f>
        <v/>
      </c>
      <c r="AH1223" s="114" t="str">
        <f t="shared" si="39"/>
        <v/>
      </c>
    </row>
    <row r="1224" spans="6:34" x14ac:dyDescent="0.3">
      <c r="F1224" s="35"/>
      <c r="J1224" s="35"/>
      <c r="K1224" s="35"/>
      <c r="L1224" s="35"/>
      <c r="AD1224" s="73"/>
      <c r="AF1224" s="112" t="str">
        <f t="shared" si="38"/>
        <v/>
      </c>
      <c r="AG1224" s="113" t="str">
        <f>IF(AF1224="","",COUNTIF(AF1224:AF$3000,AF1224))</f>
        <v/>
      </c>
      <c r="AH1224" s="114" t="str">
        <f t="shared" si="39"/>
        <v/>
      </c>
    </row>
    <row r="1225" spans="6:34" x14ac:dyDescent="0.3">
      <c r="F1225" s="35"/>
      <c r="J1225" s="35"/>
      <c r="K1225" s="35"/>
      <c r="L1225" s="35"/>
      <c r="AD1225" s="73"/>
      <c r="AF1225" s="112" t="str">
        <f t="shared" si="38"/>
        <v/>
      </c>
      <c r="AG1225" s="113" t="str">
        <f>IF(AF1225="","",COUNTIF(AF1225:AF$3000,AF1225))</f>
        <v/>
      </c>
      <c r="AH1225" s="114" t="str">
        <f t="shared" si="39"/>
        <v/>
      </c>
    </row>
    <row r="1226" spans="6:34" x14ac:dyDescent="0.3">
      <c r="F1226" s="35"/>
      <c r="J1226" s="35"/>
      <c r="K1226" s="35"/>
      <c r="L1226" s="35"/>
      <c r="AD1226" s="73"/>
      <c r="AF1226" s="112" t="str">
        <f t="shared" si="38"/>
        <v/>
      </c>
      <c r="AG1226" s="113" t="str">
        <f>IF(AF1226="","",COUNTIF(AF1226:AF$3000,AF1226))</f>
        <v/>
      </c>
      <c r="AH1226" s="114" t="str">
        <f t="shared" si="39"/>
        <v/>
      </c>
    </row>
    <row r="1227" spans="6:34" x14ac:dyDescent="0.3">
      <c r="F1227" s="35"/>
      <c r="J1227" s="35"/>
      <c r="K1227" s="35"/>
      <c r="L1227" s="35"/>
      <c r="AD1227" s="73"/>
      <c r="AF1227" s="112" t="str">
        <f t="shared" si="38"/>
        <v/>
      </c>
      <c r="AG1227" s="113" t="str">
        <f>IF(AF1227="","",COUNTIF(AF1227:AF$3000,AF1227))</f>
        <v/>
      </c>
      <c r="AH1227" s="114" t="str">
        <f t="shared" si="39"/>
        <v/>
      </c>
    </row>
    <row r="1228" spans="6:34" x14ac:dyDescent="0.3">
      <c r="F1228" s="35"/>
      <c r="J1228" s="35"/>
      <c r="K1228" s="35"/>
      <c r="L1228" s="35"/>
      <c r="AD1228" s="73"/>
      <c r="AF1228" s="112" t="str">
        <f t="shared" si="38"/>
        <v/>
      </c>
      <c r="AG1228" s="113" t="str">
        <f>IF(AF1228="","",COUNTIF(AF1228:AF$3000,AF1228))</f>
        <v/>
      </c>
      <c r="AH1228" s="114" t="str">
        <f t="shared" si="39"/>
        <v/>
      </c>
    </row>
    <row r="1229" spans="6:34" x14ac:dyDescent="0.3">
      <c r="F1229" s="35"/>
      <c r="J1229" s="35"/>
      <c r="K1229" s="35"/>
      <c r="L1229" s="35"/>
      <c r="AD1229" s="73"/>
      <c r="AF1229" s="112" t="str">
        <f t="shared" si="38"/>
        <v/>
      </c>
      <c r="AG1229" s="113" t="str">
        <f>IF(AF1229="","",COUNTIF(AF1229:AF$3000,AF1229))</f>
        <v/>
      </c>
      <c r="AH1229" s="114" t="str">
        <f t="shared" si="39"/>
        <v/>
      </c>
    </row>
    <row r="1230" spans="6:34" x14ac:dyDescent="0.3">
      <c r="F1230" s="35"/>
      <c r="J1230" s="35"/>
      <c r="K1230" s="35"/>
      <c r="L1230" s="35"/>
      <c r="AD1230" s="73"/>
      <c r="AF1230" s="112" t="str">
        <f t="shared" si="38"/>
        <v/>
      </c>
      <c r="AG1230" s="113" t="str">
        <f>IF(AF1230="","",COUNTIF(AF1230:AF$3000,AF1230))</f>
        <v/>
      </c>
      <c r="AH1230" s="114" t="str">
        <f t="shared" si="39"/>
        <v/>
      </c>
    </row>
    <row r="1231" spans="6:34" x14ac:dyDescent="0.3">
      <c r="F1231" s="35"/>
      <c r="J1231" s="35"/>
      <c r="K1231" s="35"/>
      <c r="L1231" s="35"/>
      <c r="AD1231" s="73"/>
      <c r="AF1231" s="112" t="str">
        <f t="shared" si="38"/>
        <v/>
      </c>
      <c r="AG1231" s="113" t="str">
        <f>IF(AF1231="","",COUNTIF(AF1231:AF$3000,AF1231))</f>
        <v/>
      </c>
      <c r="AH1231" s="114" t="str">
        <f t="shared" si="39"/>
        <v/>
      </c>
    </row>
    <row r="1232" spans="6:34" x14ac:dyDescent="0.3">
      <c r="F1232" s="35"/>
      <c r="J1232" s="35"/>
      <c r="K1232" s="35"/>
      <c r="L1232" s="35"/>
      <c r="AD1232" s="73"/>
      <c r="AF1232" s="112" t="str">
        <f t="shared" si="38"/>
        <v/>
      </c>
      <c r="AG1232" s="113" t="str">
        <f>IF(AF1232="","",COUNTIF(AF1232:AF$3000,AF1232))</f>
        <v/>
      </c>
      <c r="AH1232" s="114" t="str">
        <f t="shared" si="39"/>
        <v/>
      </c>
    </row>
    <row r="1233" spans="6:34" x14ac:dyDescent="0.3">
      <c r="F1233" s="35"/>
      <c r="J1233" s="35"/>
      <c r="K1233" s="35"/>
      <c r="L1233" s="35"/>
      <c r="AD1233" s="73"/>
      <c r="AF1233" s="112" t="str">
        <f t="shared" si="38"/>
        <v/>
      </c>
      <c r="AG1233" s="113" t="str">
        <f>IF(AF1233="","",COUNTIF(AF1233:AF$3000,AF1233))</f>
        <v/>
      </c>
      <c r="AH1233" s="114" t="str">
        <f t="shared" si="39"/>
        <v/>
      </c>
    </row>
    <row r="1234" spans="6:34" x14ac:dyDescent="0.3">
      <c r="F1234" s="35"/>
      <c r="J1234" s="35"/>
      <c r="K1234" s="35"/>
      <c r="L1234" s="35"/>
      <c r="AD1234" s="73"/>
      <c r="AF1234" s="112" t="str">
        <f t="shared" si="38"/>
        <v/>
      </c>
      <c r="AG1234" s="113" t="str">
        <f>IF(AF1234="","",COUNTIF(AF1234:AF$3000,AF1234))</f>
        <v/>
      </c>
      <c r="AH1234" s="114" t="str">
        <f t="shared" si="39"/>
        <v/>
      </c>
    </row>
    <row r="1235" spans="6:34" x14ac:dyDescent="0.3">
      <c r="F1235" s="35"/>
      <c r="J1235" s="35"/>
      <c r="K1235" s="35"/>
      <c r="L1235" s="35"/>
      <c r="AD1235" s="73"/>
      <c r="AF1235" s="112" t="str">
        <f t="shared" si="38"/>
        <v/>
      </c>
      <c r="AG1235" s="113" t="str">
        <f>IF(AF1235="","",COUNTIF(AF1235:AF$3000,AF1235))</f>
        <v/>
      </c>
      <c r="AH1235" s="114" t="str">
        <f t="shared" si="39"/>
        <v/>
      </c>
    </row>
    <row r="1236" spans="6:34" x14ac:dyDescent="0.3">
      <c r="F1236" s="35"/>
      <c r="J1236" s="35"/>
      <c r="K1236" s="35"/>
      <c r="L1236" s="35"/>
      <c r="AD1236" s="73"/>
      <c r="AF1236" s="112" t="str">
        <f t="shared" si="38"/>
        <v/>
      </c>
      <c r="AG1236" s="113" t="str">
        <f>IF(AF1236="","",COUNTIF(AF1236:AF$3000,AF1236))</f>
        <v/>
      </c>
      <c r="AH1236" s="114" t="str">
        <f t="shared" si="39"/>
        <v/>
      </c>
    </row>
    <row r="1237" spans="6:34" x14ac:dyDescent="0.3">
      <c r="F1237" s="35"/>
      <c r="J1237" s="35"/>
      <c r="K1237" s="35"/>
      <c r="L1237" s="35"/>
      <c r="AD1237" s="73"/>
      <c r="AF1237" s="112" t="str">
        <f t="shared" si="38"/>
        <v/>
      </c>
      <c r="AG1237" s="113" t="str">
        <f>IF(AF1237="","",COUNTIF(AF1237:AF$3000,AF1237))</f>
        <v/>
      </c>
      <c r="AH1237" s="114" t="str">
        <f t="shared" si="39"/>
        <v/>
      </c>
    </row>
    <row r="1238" spans="6:34" x14ac:dyDescent="0.3">
      <c r="F1238" s="35"/>
      <c r="J1238" s="35"/>
      <c r="K1238" s="35"/>
      <c r="L1238" s="35"/>
      <c r="AD1238" s="73"/>
      <c r="AF1238" s="112" t="str">
        <f t="shared" si="38"/>
        <v/>
      </c>
      <c r="AG1238" s="113" t="str">
        <f>IF(AF1238="","",COUNTIF(AF1238:AF$3000,AF1238))</f>
        <v/>
      </c>
      <c r="AH1238" s="114" t="str">
        <f t="shared" si="39"/>
        <v/>
      </c>
    </row>
    <row r="1239" spans="6:34" x14ac:dyDescent="0.3">
      <c r="F1239" s="35"/>
      <c r="J1239" s="35"/>
      <c r="K1239" s="35"/>
      <c r="L1239" s="35"/>
      <c r="AD1239" s="73"/>
      <c r="AF1239" s="112" t="str">
        <f t="shared" si="38"/>
        <v/>
      </c>
      <c r="AG1239" s="113" t="str">
        <f>IF(AF1239="","",COUNTIF(AF1239:AF$3000,AF1239))</f>
        <v/>
      </c>
      <c r="AH1239" s="114" t="str">
        <f t="shared" si="39"/>
        <v/>
      </c>
    </row>
    <row r="1240" spans="6:34" x14ac:dyDescent="0.3">
      <c r="F1240" s="35"/>
      <c r="J1240" s="35"/>
      <c r="K1240" s="35"/>
      <c r="L1240" s="35"/>
      <c r="AD1240" s="73"/>
      <c r="AF1240" s="112" t="str">
        <f t="shared" si="38"/>
        <v/>
      </c>
      <c r="AG1240" s="113" t="str">
        <f>IF(AF1240="","",COUNTIF(AF1240:AF$3000,AF1240))</f>
        <v/>
      </c>
      <c r="AH1240" s="114" t="str">
        <f t="shared" si="39"/>
        <v/>
      </c>
    </row>
    <row r="1241" spans="6:34" x14ac:dyDescent="0.3">
      <c r="F1241" s="35"/>
      <c r="J1241" s="35"/>
      <c r="K1241" s="35"/>
      <c r="L1241" s="35"/>
      <c r="AD1241" s="73"/>
      <c r="AF1241" s="112" t="str">
        <f t="shared" si="38"/>
        <v/>
      </c>
      <c r="AG1241" s="113" t="str">
        <f>IF(AF1241="","",COUNTIF(AF1241:AF$3000,AF1241))</f>
        <v/>
      </c>
      <c r="AH1241" s="114" t="str">
        <f t="shared" si="39"/>
        <v/>
      </c>
    </row>
    <row r="1242" spans="6:34" x14ac:dyDescent="0.3">
      <c r="F1242" s="35"/>
      <c r="J1242" s="35"/>
      <c r="K1242" s="35"/>
      <c r="L1242" s="35"/>
      <c r="AD1242" s="73"/>
      <c r="AF1242" s="112" t="str">
        <f t="shared" si="38"/>
        <v/>
      </c>
      <c r="AG1242" s="113" t="str">
        <f>IF(AF1242="","",COUNTIF(AF1242:AF$3000,AF1242))</f>
        <v/>
      </c>
      <c r="AH1242" s="114" t="str">
        <f t="shared" si="39"/>
        <v/>
      </c>
    </row>
    <row r="1243" spans="6:34" x14ac:dyDescent="0.3">
      <c r="F1243" s="35"/>
      <c r="J1243" s="35"/>
      <c r="K1243" s="35"/>
      <c r="L1243" s="35"/>
      <c r="AD1243" s="73"/>
      <c r="AF1243" s="112" t="str">
        <f t="shared" si="38"/>
        <v/>
      </c>
      <c r="AG1243" s="113" t="str">
        <f>IF(AF1243="","",COUNTIF(AF1243:AF$3000,AF1243))</f>
        <v/>
      </c>
      <c r="AH1243" s="114" t="str">
        <f t="shared" si="39"/>
        <v/>
      </c>
    </row>
    <row r="1244" spans="6:34" x14ac:dyDescent="0.3">
      <c r="F1244" s="35"/>
      <c r="J1244" s="35"/>
      <c r="K1244" s="35"/>
      <c r="L1244" s="35"/>
      <c r="AD1244" s="73"/>
      <c r="AF1244" s="112" t="str">
        <f t="shared" si="38"/>
        <v/>
      </c>
      <c r="AG1244" s="113" t="str">
        <f>IF(AF1244="","",COUNTIF(AF1244:AF$3000,AF1244))</f>
        <v/>
      </c>
      <c r="AH1244" s="114" t="str">
        <f t="shared" si="39"/>
        <v/>
      </c>
    </row>
    <row r="1245" spans="6:34" x14ac:dyDescent="0.3">
      <c r="F1245" s="35"/>
      <c r="J1245" s="35"/>
      <c r="K1245" s="35"/>
      <c r="L1245" s="35"/>
      <c r="AD1245" s="73"/>
      <c r="AF1245" s="112" t="str">
        <f t="shared" si="38"/>
        <v/>
      </c>
      <c r="AG1245" s="113" t="str">
        <f>IF(AF1245="","",COUNTIF(AF1245:AF$3000,AF1245))</f>
        <v/>
      </c>
      <c r="AH1245" s="114" t="str">
        <f t="shared" si="39"/>
        <v/>
      </c>
    </row>
    <row r="1246" spans="6:34" x14ac:dyDescent="0.3">
      <c r="F1246" s="35"/>
      <c r="J1246" s="35"/>
      <c r="K1246" s="35"/>
      <c r="L1246" s="35"/>
      <c r="AD1246" s="73"/>
      <c r="AF1246" s="112" t="str">
        <f t="shared" si="38"/>
        <v/>
      </c>
      <c r="AG1246" s="113" t="str">
        <f>IF(AF1246="","",COUNTIF(AF1246:AF$3000,AF1246))</f>
        <v/>
      </c>
      <c r="AH1246" s="114" t="str">
        <f t="shared" si="39"/>
        <v/>
      </c>
    </row>
    <row r="1247" spans="6:34" x14ac:dyDescent="0.3">
      <c r="F1247" s="35"/>
      <c r="J1247" s="35"/>
      <c r="K1247" s="35"/>
      <c r="L1247" s="35"/>
      <c r="AD1247" s="73"/>
      <c r="AF1247" s="112" t="str">
        <f t="shared" si="38"/>
        <v/>
      </c>
      <c r="AG1247" s="113" t="str">
        <f>IF(AF1247="","",COUNTIF(AF1247:AF$3000,AF1247))</f>
        <v/>
      </c>
      <c r="AH1247" s="114" t="str">
        <f t="shared" si="39"/>
        <v/>
      </c>
    </row>
    <row r="1248" spans="6:34" x14ac:dyDescent="0.3">
      <c r="F1248" s="35"/>
      <c r="J1248" s="35"/>
      <c r="K1248" s="35"/>
      <c r="L1248" s="35"/>
      <c r="AD1248" s="73"/>
      <c r="AF1248" s="112" t="str">
        <f t="shared" si="38"/>
        <v/>
      </c>
      <c r="AG1248" s="113" t="str">
        <f>IF(AF1248="","",COUNTIF(AF1248:AF$3000,AF1248))</f>
        <v/>
      </c>
      <c r="AH1248" s="114" t="str">
        <f t="shared" si="39"/>
        <v/>
      </c>
    </row>
    <row r="1249" spans="6:34" x14ac:dyDescent="0.3">
      <c r="F1249" s="35"/>
      <c r="J1249" s="35"/>
      <c r="K1249" s="35"/>
      <c r="L1249" s="35"/>
      <c r="AD1249" s="73"/>
      <c r="AF1249" s="112" t="str">
        <f t="shared" si="38"/>
        <v/>
      </c>
      <c r="AG1249" s="113" t="str">
        <f>IF(AF1249="","",COUNTIF(AF1249:AF$3000,AF1249))</f>
        <v/>
      </c>
      <c r="AH1249" s="114" t="str">
        <f t="shared" si="39"/>
        <v/>
      </c>
    </row>
    <row r="1250" spans="6:34" x14ac:dyDescent="0.3">
      <c r="F1250" s="35"/>
      <c r="J1250" s="35"/>
      <c r="K1250" s="35"/>
      <c r="L1250" s="35"/>
      <c r="AD1250" s="73"/>
      <c r="AF1250" s="112" t="str">
        <f t="shared" si="38"/>
        <v/>
      </c>
      <c r="AG1250" s="113" t="str">
        <f>IF(AF1250="","",COUNTIF(AF1250:AF$3000,AF1250))</f>
        <v/>
      </c>
      <c r="AH1250" s="114" t="str">
        <f t="shared" si="39"/>
        <v/>
      </c>
    </row>
    <row r="1251" spans="6:34" x14ac:dyDescent="0.3">
      <c r="F1251" s="35"/>
      <c r="J1251" s="35"/>
      <c r="K1251" s="35"/>
      <c r="L1251" s="35"/>
      <c r="AD1251" s="73"/>
      <c r="AF1251" s="112" t="str">
        <f t="shared" si="38"/>
        <v/>
      </c>
      <c r="AG1251" s="113" t="str">
        <f>IF(AF1251="","",COUNTIF(AF1251:AF$3000,AF1251))</f>
        <v/>
      </c>
      <c r="AH1251" s="114" t="str">
        <f t="shared" si="39"/>
        <v/>
      </c>
    </row>
    <row r="1252" spans="6:34" x14ac:dyDescent="0.3">
      <c r="F1252" s="35"/>
      <c r="J1252" s="35"/>
      <c r="K1252" s="35"/>
      <c r="L1252" s="35"/>
      <c r="AD1252" s="73"/>
      <c r="AF1252" s="112" t="str">
        <f t="shared" si="38"/>
        <v/>
      </c>
      <c r="AG1252" s="113" t="str">
        <f>IF(AF1252="","",COUNTIF(AF1252:AF$3000,AF1252))</f>
        <v/>
      </c>
      <c r="AH1252" s="114" t="str">
        <f t="shared" si="39"/>
        <v/>
      </c>
    </row>
    <row r="1253" spans="6:34" x14ac:dyDescent="0.3">
      <c r="F1253" s="35"/>
      <c r="J1253" s="35"/>
      <c r="K1253" s="35"/>
      <c r="L1253" s="35"/>
      <c r="AD1253" s="73"/>
      <c r="AF1253" s="112" t="str">
        <f t="shared" si="38"/>
        <v/>
      </c>
      <c r="AG1253" s="113" t="str">
        <f>IF(AF1253="","",COUNTIF(AF1253:AF$3000,AF1253))</f>
        <v/>
      </c>
      <c r="AH1253" s="114" t="str">
        <f t="shared" si="39"/>
        <v/>
      </c>
    </row>
    <row r="1254" spans="6:34" x14ac:dyDescent="0.3">
      <c r="F1254" s="35"/>
      <c r="J1254" s="35"/>
      <c r="K1254" s="35"/>
      <c r="L1254" s="35"/>
      <c r="AD1254" s="73"/>
      <c r="AF1254" s="112" t="str">
        <f t="shared" si="38"/>
        <v/>
      </c>
      <c r="AG1254" s="113" t="str">
        <f>IF(AF1254="","",COUNTIF(AF1254:AF$3000,AF1254))</f>
        <v/>
      </c>
      <c r="AH1254" s="114" t="str">
        <f t="shared" si="39"/>
        <v/>
      </c>
    </row>
    <row r="1255" spans="6:34" x14ac:dyDescent="0.3">
      <c r="F1255" s="35"/>
      <c r="J1255" s="35"/>
      <c r="K1255" s="35"/>
      <c r="L1255" s="35"/>
      <c r="AD1255" s="73"/>
      <c r="AF1255" s="112" t="str">
        <f t="shared" si="38"/>
        <v/>
      </c>
      <c r="AG1255" s="113" t="str">
        <f>IF(AF1255="","",COUNTIF(AF1255:AF$3000,AF1255))</f>
        <v/>
      </c>
      <c r="AH1255" s="114" t="str">
        <f t="shared" si="39"/>
        <v/>
      </c>
    </row>
    <row r="1256" spans="6:34" x14ac:dyDescent="0.3">
      <c r="F1256" s="35"/>
      <c r="J1256" s="35"/>
      <c r="K1256" s="35"/>
      <c r="L1256" s="35"/>
      <c r="AD1256" s="73"/>
      <c r="AF1256" s="112" t="str">
        <f t="shared" si="38"/>
        <v/>
      </c>
      <c r="AG1256" s="113" t="str">
        <f>IF(AF1256="","",COUNTIF(AF1256:AF$3000,AF1256))</f>
        <v/>
      </c>
      <c r="AH1256" s="114" t="str">
        <f t="shared" si="39"/>
        <v/>
      </c>
    </row>
    <row r="1257" spans="6:34" x14ac:dyDescent="0.3">
      <c r="F1257" s="35"/>
      <c r="J1257" s="35"/>
      <c r="K1257" s="35"/>
      <c r="L1257" s="35"/>
      <c r="AD1257" s="73"/>
      <c r="AF1257" s="112" t="str">
        <f t="shared" si="38"/>
        <v/>
      </c>
      <c r="AG1257" s="113" t="str">
        <f>IF(AF1257="","",COUNTIF(AF1257:AF$3000,AF1257))</f>
        <v/>
      </c>
      <c r="AH1257" s="114" t="str">
        <f t="shared" si="39"/>
        <v/>
      </c>
    </row>
    <row r="1258" spans="6:34" x14ac:dyDescent="0.3">
      <c r="F1258" s="35"/>
      <c r="J1258" s="35"/>
      <c r="K1258" s="35"/>
      <c r="L1258" s="35"/>
      <c r="AD1258" s="73"/>
      <c r="AF1258" s="112" t="str">
        <f t="shared" si="38"/>
        <v/>
      </c>
      <c r="AG1258" s="113" t="str">
        <f>IF(AF1258="","",COUNTIF(AF1258:AF$3000,AF1258))</f>
        <v/>
      </c>
      <c r="AH1258" s="114" t="str">
        <f t="shared" si="39"/>
        <v/>
      </c>
    </row>
    <row r="1259" spans="6:34" x14ac:dyDescent="0.3">
      <c r="F1259" s="35"/>
      <c r="J1259" s="35"/>
      <c r="K1259" s="35"/>
      <c r="L1259" s="35"/>
      <c r="AD1259" s="73"/>
      <c r="AF1259" s="112" t="str">
        <f t="shared" si="38"/>
        <v/>
      </c>
      <c r="AG1259" s="113" t="str">
        <f>IF(AF1259="","",COUNTIF(AF1259:AF$3000,AF1259))</f>
        <v/>
      </c>
      <c r="AH1259" s="114" t="str">
        <f t="shared" si="39"/>
        <v/>
      </c>
    </row>
    <row r="1260" spans="6:34" x14ac:dyDescent="0.3">
      <c r="F1260" s="35"/>
      <c r="J1260" s="35"/>
      <c r="K1260" s="35"/>
      <c r="L1260" s="35"/>
      <c r="AD1260" s="73"/>
      <c r="AF1260" s="112" t="str">
        <f t="shared" si="38"/>
        <v/>
      </c>
      <c r="AG1260" s="113" t="str">
        <f>IF(AF1260="","",COUNTIF(AF1260:AF$3000,AF1260))</f>
        <v/>
      </c>
      <c r="AH1260" s="114" t="str">
        <f t="shared" si="39"/>
        <v/>
      </c>
    </row>
    <row r="1261" spans="6:34" x14ac:dyDescent="0.3">
      <c r="F1261" s="35"/>
      <c r="J1261" s="35"/>
      <c r="K1261" s="35"/>
      <c r="L1261" s="35"/>
      <c r="AD1261" s="73"/>
      <c r="AF1261" s="112" t="str">
        <f t="shared" si="38"/>
        <v/>
      </c>
      <c r="AG1261" s="113" t="str">
        <f>IF(AF1261="","",COUNTIF(AF1261:AF$3000,AF1261))</f>
        <v/>
      </c>
      <c r="AH1261" s="114" t="str">
        <f t="shared" si="39"/>
        <v/>
      </c>
    </row>
    <row r="1262" spans="6:34" x14ac:dyDescent="0.3">
      <c r="F1262" s="35"/>
      <c r="J1262" s="35"/>
      <c r="K1262" s="35"/>
      <c r="L1262" s="35"/>
      <c r="AD1262" s="73"/>
      <c r="AF1262" s="112" t="str">
        <f t="shared" si="38"/>
        <v/>
      </c>
      <c r="AG1262" s="113" t="str">
        <f>IF(AF1262="","",COUNTIF(AF1262:AF$3000,AF1262))</f>
        <v/>
      </c>
      <c r="AH1262" s="114" t="str">
        <f t="shared" si="39"/>
        <v/>
      </c>
    </row>
    <row r="1263" spans="6:34" x14ac:dyDescent="0.3">
      <c r="F1263" s="35"/>
      <c r="J1263" s="35"/>
      <c r="K1263" s="35"/>
      <c r="L1263" s="35"/>
      <c r="AD1263" s="73"/>
      <c r="AF1263" s="112" t="str">
        <f t="shared" si="38"/>
        <v/>
      </c>
      <c r="AG1263" s="113" t="str">
        <f>IF(AF1263="","",COUNTIF(AF1263:AF$3000,AF1263))</f>
        <v/>
      </c>
      <c r="AH1263" s="114" t="str">
        <f t="shared" si="39"/>
        <v/>
      </c>
    </row>
    <row r="1264" spans="6:34" x14ac:dyDescent="0.3">
      <c r="F1264" s="35"/>
      <c r="J1264" s="35"/>
      <c r="K1264" s="35"/>
      <c r="L1264" s="35"/>
      <c r="AD1264" s="73"/>
      <c r="AF1264" s="112" t="str">
        <f t="shared" si="38"/>
        <v/>
      </c>
      <c r="AG1264" s="113" t="str">
        <f>IF(AF1264="","",COUNTIF(AF1264:AF$3000,AF1264))</f>
        <v/>
      </c>
      <c r="AH1264" s="114" t="str">
        <f t="shared" si="39"/>
        <v/>
      </c>
    </row>
    <row r="1265" spans="6:34" x14ac:dyDescent="0.3">
      <c r="F1265" s="35"/>
      <c r="J1265" s="35"/>
      <c r="K1265" s="35"/>
      <c r="L1265" s="35"/>
      <c r="AD1265" s="73"/>
      <c r="AF1265" s="112" t="str">
        <f t="shared" si="38"/>
        <v/>
      </c>
      <c r="AG1265" s="113" t="str">
        <f>IF(AF1265="","",COUNTIF(AF1265:AF$3000,AF1265))</f>
        <v/>
      </c>
      <c r="AH1265" s="114" t="str">
        <f t="shared" si="39"/>
        <v/>
      </c>
    </row>
    <row r="1266" spans="6:34" x14ac:dyDescent="0.3">
      <c r="F1266" s="35"/>
      <c r="J1266" s="35"/>
      <c r="K1266" s="35"/>
      <c r="L1266" s="35"/>
      <c r="AD1266" s="73"/>
      <c r="AF1266" s="112" t="str">
        <f t="shared" si="38"/>
        <v/>
      </c>
      <c r="AG1266" s="113" t="str">
        <f>IF(AF1266="","",COUNTIF(AF1266:AF$3000,AF1266))</f>
        <v/>
      </c>
      <c r="AH1266" s="114" t="str">
        <f t="shared" si="39"/>
        <v/>
      </c>
    </row>
    <row r="1267" spans="6:34" x14ac:dyDescent="0.3">
      <c r="F1267" s="35"/>
      <c r="J1267" s="35"/>
      <c r="K1267" s="35"/>
      <c r="L1267" s="35"/>
      <c r="AD1267" s="73"/>
      <c r="AF1267" s="112" t="str">
        <f t="shared" si="38"/>
        <v/>
      </c>
      <c r="AG1267" s="113" t="str">
        <f>IF(AF1267="","",COUNTIF(AF1267:AF$3000,AF1267))</f>
        <v/>
      </c>
      <c r="AH1267" s="114" t="str">
        <f t="shared" si="39"/>
        <v/>
      </c>
    </row>
    <row r="1268" spans="6:34" x14ac:dyDescent="0.3">
      <c r="F1268" s="35"/>
      <c r="J1268" s="35"/>
      <c r="K1268" s="35"/>
      <c r="L1268" s="35"/>
      <c r="AD1268" s="73"/>
      <c r="AF1268" s="112" t="str">
        <f t="shared" si="38"/>
        <v/>
      </c>
      <c r="AG1268" s="113" t="str">
        <f>IF(AF1268="","",COUNTIF(AF1268:AF$3000,AF1268))</f>
        <v/>
      </c>
      <c r="AH1268" s="114" t="str">
        <f t="shared" si="39"/>
        <v/>
      </c>
    </row>
    <row r="1269" spans="6:34" x14ac:dyDescent="0.3">
      <c r="F1269" s="35"/>
      <c r="J1269" s="35"/>
      <c r="K1269" s="35"/>
      <c r="L1269" s="35"/>
      <c r="AD1269" s="73"/>
      <c r="AF1269" s="112" t="str">
        <f t="shared" si="38"/>
        <v/>
      </c>
      <c r="AG1269" s="113" t="str">
        <f>IF(AF1269="","",COUNTIF(AF1269:AF$3000,AF1269))</f>
        <v/>
      </c>
      <c r="AH1269" s="114" t="str">
        <f t="shared" si="39"/>
        <v/>
      </c>
    </row>
    <row r="1270" spans="6:34" x14ac:dyDescent="0.3">
      <c r="F1270" s="35"/>
      <c r="J1270" s="35"/>
      <c r="K1270" s="35"/>
      <c r="L1270" s="35"/>
      <c r="AD1270" s="73"/>
      <c r="AF1270" s="112" t="str">
        <f t="shared" si="38"/>
        <v/>
      </c>
      <c r="AG1270" s="113" t="str">
        <f>IF(AF1270="","",COUNTIF(AF1270:AF$3000,AF1270))</f>
        <v/>
      </c>
      <c r="AH1270" s="114" t="str">
        <f t="shared" si="39"/>
        <v/>
      </c>
    </row>
    <row r="1271" spans="6:34" x14ac:dyDescent="0.3">
      <c r="F1271" s="35"/>
      <c r="J1271" s="35"/>
      <c r="K1271" s="35"/>
      <c r="L1271" s="35"/>
      <c r="AD1271" s="73"/>
      <c r="AF1271" s="112" t="str">
        <f t="shared" si="38"/>
        <v/>
      </c>
      <c r="AG1271" s="113" t="str">
        <f>IF(AF1271="","",COUNTIF(AF1271:AF$3000,AF1271))</f>
        <v/>
      </c>
      <c r="AH1271" s="114" t="str">
        <f t="shared" si="39"/>
        <v/>
      </c>
    </row>
    <row r="1272" spans="6:34" x14ac:dyDescent="0.3">
      <c r="F1272" s="35"/>
      <c r="J1272" s="35"/>
      <c r="K1272" s="35"/>
      <c r="L1272" s="35"/>
      <c r="AD1272" s="73"/>
      <c r="AF1272" s="112" t="str">
        <f t="shared" si="38"/>
        <v/>
      </c>
      <c r="AG1272" s="113" t="str">
        <f>IF(AF1272="","",COUNTIF(AF1272:AF$3000,AF1272))</f>
        <v/>
      </c>
      <c r="AH1272" s="114" t="str">
        <f t="shared" si="39"/>
        <v/>
      </c>
    </row>
    <row r="1273" spans="6:34" x14ac:dyDescent="0.3">
      <c r="F1273" s="35"/>
      <c r="J1273" s="35"/>
      <c r="K1273" s="35"/>
      <c r="L1273" s="35"/>
      <c r="AD1273" s="73"/>
      <c r="AF1273" s="112" t="str">
        <f t="shared" si="38"/>
        <v/>
      </c>
      <c r="AG1273" s="113" t="str">
        <f>IF(AF1273="","",COUNTIF(AF1273:AF$3000,AF1273))</f>
        <v/>
      </c>
      <c r="AH1273" s="114" t="str">
        <f t="shared" si="39"/>
        <v/>
      </c>
    </row>
    <row r="1274" spans="6:34" x14ac:dyDescent="0.3">
      <c r="F1274" s="35"/>
      <c r="J1274" s="35"/>
      <c r="K1274" s="35"/>
      <c r="L1274" s="35"/>
      <c r="AD1274" s="73"/>
      <c r="AF1274" s="112" t="str">
        <f t="shared" si="38"/>
        <v/>
      </c>
      <c r="AG1274" s="113" t="str">
        <f>IF(AF1274="","",COUNTIF(AF1274:AF$3000,AF1274))</f>
        <v/>
      </c>
      <c r="AH1274" s="114" t="str">
        <f t="shared" si="39"/>
        <v/>
      </c>
    </row>
    <row r="1275" spans="6:34" x14ac:dyDescent="0.3">
      <c r="F1275" s="35"/>
      <c r="J1275" s="35"/>
      <c r="K1275" s="35"/>
      <c r="L1275" s="35"/>
      <c r="AD1275" s="73"/>
      <c r="AF1275" s="112" t="str">
        <f t="shared" si="38"/>
        <v/>
      </c>
      <c r="AG1275" s="113" t="str">
        <f>IF(AF1275="","",COUNTIF(AF1275:AF$3000,AF1275))</f>
        <v/>
      </c>
      <c r="AH1275" s="114" t="str">
        <f t="shared" si="39"/>
        <v/>
      </c>
    </row>
    <row r="1276" spans="6:34" x14ac:dyDescent="0.3">
      <c r="F1276" s="35"/>
      <c r="J1276" s="35"/>
      <c r="K1276" s="35"/>
      <c r="L1276" s="35"/>
      <c r="AD1276" s="73"/>
      <c r="AF1276" s="112" t="str">
        <f t="shared" si="38"/>
        <v/>
      </c>
      <c r="AG1276" s="113" t="str">
        <f>IF(AF1276="","",COUNTIF(AF1276:AF$3000,AF1276))</f>
        <v/>
      </c>
      <c r="AH1276" s="114" t="str">
        <f t="shared" si="39"/>
        <v/>
      </c>
    </row>
    <row r="1277" spans="6:34" x14ac:dyDescent="0.3">
      <c r="F1277" s="35"/>
      <c r="J1277" s="35"/>
      <c r="K1277" s="35"/>
      <c r="L1277" s="35"/>
      <c r="AD1277" s="73"/>
      <c r="AF1277" s="112" t="str">
        <f t="shared" si="38"/>
        <v/>
      </c>
      <c r="AG1277" s="113" t="str">
        <f>IF(AF1277="","",COUNTIF(AF1277:AF$3000,AF1277))</f>
        <v/>
      </c>
      <c r="AH1277" s="114" t="str">
        <f t="shared" si="39"/>
        <v/>
      </c>
    </row>
    <row r="1278" spans="6:34" x14ac:dyDescent="0.3">
      <c r="F1278" s="35"/>
      <c r="J1278" s="35"/>
      <c r="K1278" s="35"/>
      <c r="L1278" s="35"/>
      <c r="AD1278" s="73"/>
      <c r="AF1278" s="112" t="str">
        <f t="shared" si="38"/>
        <v/>
      </c>
      <c r="AG1278" s="113" t="str">
        <f>IF(AF1278="","",COUNTIF(AF1278:AF$3000,AF1278))</f>
        <v/>
      </c>
      <c r="AH1278" s="114" t="str">
        <f t="shared" si="39"/>
        <v/>
      </c>
    </row>
    <row r="1279" spans="6:34" x14ac:dyDescent="0.3">
      <c r="F1279" s="35"/>
      <c r="J1279" s="35"/>
      <c r="K1279" s="35"/>
      <c r="L1279" s="35"/>
      <c r="AD1279" s="73"/>
      <c r="AF1279" s="112" t="str">
        <f t="shared" si="38"/>
        <v/>
      </c>
      <c r="AG1279" s="113" t="str">
        <f>IF(AF1279="","",COUNTIF(AF1279:AF$3000,AF1279))</f>
        <v/>
      </c>
      <c r="AH1279" s="114" t="str">
        <f t="shared" si="39"/>
        <v/>
      </c>
    </row>
    <row r="1280" spans="6:34" x14ac:dyDescent="0.3">
      <c r="F1280" s="35"/>
      <c r="J1280" s="35"/>
      <c r="K1280" s="35"/>
      <c r="L1280" s="35"/>
      <c r="AD1280" s="73"/>
      <c r="AF1280" s="112" t="str">
        <f t="shared" si="38"/>
        <v/>
      </c>
      <c r="AG1280" s="113" t="str">
        <f>IF(AF1280="","",COUNTIF(AF1280:AF$3000,AF1280))</f>
        <v/>
      </c>
      <c r="AH1280" s="114" t="str">
        <f t="shared" si="39"/>
        <v/>
      </c>
    </row>
    <row r="1281" spans="6:34" x14ac:dyDescent="0.3">
      <c r="F1281" s="35"/>
      <c r="J1281" s="35"/>
      <c r="K1281" s="35"/>
      <c r="L1281" s="35"/>
      <c r="AD1281" s="73"/>
      <c r="AF1281" s="112" t="str">
        <f t="shared" si="38"/>
        <v/>
      </c>
      <c r="AG1281" s="113" t="str">
        <f>IF(AF1281="","",COUNTIF(AF1281:AF$3000,AF1281))</f>
        <v/>
      </c>
      <c r="AH1281" s="114" t="str">
        <f t="shared" si="39"/>
        <v/>
      </c>
    </row>
    <row r="1282" spans="6:34" x14ac:dyDescent="0.3">
      <c r="F1282" s="35"/>
      <c r="J1282" s="35"/>
      <c r="K1282" s="35"/>
      <c r="L1282" s="35"/>
      <c r="AD1282" s="73"/>
      <c r="AF1282" s="112" t="str">
        <f t="shared" si="38"/>
        <v/>
      </c>
      <c r="AG1282" s="113" t="str">
        <f>IF(AF1282="","",COUNTIF(AF1282:AF$3000,AF1282))</f>
        <v/>
      </c>
      <c r="AH1282" s="114" t="str">
        <f t="shared" si="39"/>
        <v/>
      </c>
    </row>
    <row r="1283" spans="6:34" x14ac:dyDescent="0.3">
      <c r="F1283" s="35"/>
      <c r="J1283" s="35"/>
      <c r="K1283" s="35"/>
      <c r="L1283" s="35"/>
      <c r="AD1283" s="73"/>
      <c r="AF1283" s="112" t="str">
        <f t="shared" si="38"/>
        <v/>
      </c>
      <c r="AG1283" s="113" t="str">
        <f>IF(AF1283="","",COUNTIF(AF1283:AF$3000,AF1283))</f>
        <v/>
      </c>
      <c r="AH1283" s="114" t="str">
        <f t="shared" si="39"/>
        <v/>
      </c>
    </row>
    <row r="1284" spans="6:34" x14ac:dyDescent="0.3">
      <c r="F1284" s="35"/>
      <c r="J1284" s="35"/>
      <c r="K1284" s="35"/>
      <c r="L1284" s="35"/>
      <c r="AD1284" s="73"/>
      <c r="AF1284" s="112" t="str">
        <f t="shared" ref="AF1284:AF1347" si="40">IF(B1284="","",TEXT(J1284,"DD/MM/AA")&amp;"_"&amp;S1284&amp;"_"&amp;V1284)</f>
        <v/>
      </c>
      <c r="AG1284" s="113" t="str">
        <f>IF(AF1284="","",COUNTIF(AF1284:AF$3000,AF1284))</f>
        <v/>
      </c>
      <c r="AH1284" s="114" t="str">
        <f t="shared" ref="AH1284:AH1347" si="41">IF(AA1284="","",
IF(AG1284&gt;1,"",
IF(SUMIF(AF$3:AF$31,AF1284,H$3:H$31)/10&lt;1,1,SUMIF(AF$3:AF$31,AF1284,H$3:H$31)/10)))</f>
        <v/>
      </c>
    </row>
    <row r="1285" spans="6:34" x14ac:dyDescent="0.3">
      <c r="F1285" s="35"/>
      <c r="J1285" s="35"/>
      <c r="K1285" s="35"/>
      <c r="L1285" s="35"/>
      <c r="AD1285" s="73"/>
      <c r="AF1285" s="112" t="str">
        <f t="shared" si="40"/>
        <v/>
      </c>
      <c r="AG1285" s="113" t="str">
        <f>IF(AF1285="","",COUNTIF(AF1285:AF$3000,AF1285))</f>
        <v/>
      </c>
      <c r="AH1285" s="114" t="str">
        <f t="shared" si="41"/>
        <v/>
      </c>
    </row>
    <row r="1286" spans="6:34" x14ac:dyDescent="0.3">
      <c r="F1286" s="35"/>
      <c r="J1286" s="35"/>
      <c r="K1286" s="35"/>
      <c r="L1286" s="35"/>
      <c r="AD1286" s="73"/>
      <c r="AF1286" s="112" t="str">
        <f t="shared" si="40"/>
        <v/>
      </c>
      <c r="AG1286" s="113" t="str">
        <f>IF(AF1286="","",COUNTIF(AF1286:AF$3000,AF1286))</f>
        <v/>
      </c>
      <c r="AH1286" s="114" t="str">
        <f t="shared" si="41"/>
        <v/>
      </c>
    </row>
    <row r="1287" spans="6:34" x14ac:dyDescent="0.3">
      <c r="F1287" s="35"/>
      <c r="J1287" s="35"/>
      <c r="K1287" s="35"/>
      <c r="L1287" s="35"/>
      <c r="AD1287" s="73"/>
      <c r="AF1287" s="112" t="str">
        <f t="shared" si="40"/>
        <v/>
      </c>
      <c r="AG1287" s="113" t="str">
        <f>IF(AF1287="","",COUNTIF(AF1287:AF$3000,AF1287))</f>
        <v/>
      </c>
      <c r="AH1287" s="114" t="str">
        <f t="shared" si="41"/>
        <v/>
      </c>
    </row>
    <row r="1288" spans="6:34" x14ac:dyDescent="0.3">
      <c r="F1288" s="35"/>
      <c r="J1288" s="35"/>
      <c r="K1288" s="35"/>
      <c r="L1288" s="35"/>
      <c r="AD1288" s="73"/>
      <c r="AF1288" s="112" t="str">
        <f t="shared" si="40"/>
        <v/>
      </c>
      <c r="AG1288" s="113" t="str">
        <f>IF(AF1288="","",COUNTIF(AF1288:AF$3000,AF1288))</f>
        <v/>
      </c>
      <c r="AH1288" s="114" t="str">
        <f t="shared" si="41"/>
        <v/>
      </c>
    </row>
    <row r="1289" spans="6:34" x14ac:dyDescent="0.3">
      <c r="F1289" s="35"/>
      <c r="J1289" s="35"/>
      <c r="K1289" s="35"/>
      <c r="L1289" s="35"/>
      <c r="AD1289" s="73"/>
      <c r="AF1289" s="112" t="str">
        <f t="shared" si="40"/>
        <v/>
      </c>
      <c r="AG1289" s="113" t="str">
        <f>IF(AF1289="","",COUNTIF(AF1289:AF$3000,AF1289))</f>
        <v/>
      </c>
      <c r="AH1289" s="114" t="str">
        <f t="shared" si="41"/>
        <v/>
      </c>
    </row>
    <row r="1290" spans="6:34" x14ac:dyDescent="0.3">
      <c r="F1290" s="35"/>
      <c r="J1290" s="35"/>
      <c r="K1290" s="35"/>
      <c r="L1290" s="35"/>
      <c r="AD1290" s="73"/>
      <c r="AF1290" s="112" t="str">
        <f t="shared" si="40"/>
        <v/>
      </c>
      <c r="AG1290" s="113" t="str">
        <f>IF(AF1290="","",COUNTIF(AF1290:AF$3000,AF1290))</f>
        <v/>
      </c>
      <c r="AH1290" s="114" t="str">
        <f t="shared" si="41"/>
        <v/>
      </c>
    </row>
    <row r="1291" spans="6:34" x14ac:dyDescent="0.3">
      <c r="F1291" s="35"/>
      <c r="J1291" s="35"/>
      <c r="K1291" s="35"/>
      <c r="L1291" s="35"/>
      <c r="AD1291" s="73"/>
      <c r="AF1291" s="112" t="str">
        <f t="shared" si="40"/>
        <v/>
      </c>
      <c r="AG1291" s="113" t="str">
        <f>IF(AF1291="","",COUNTIF(AF1291:AF$3000,AF1291))</f>
        <v/>
      </c>
      <c r="AH1291" s="114" t="str">
        <f t="shared" si="41"/>
        <v/>
      </c>
    </row>
    <row r="1292" spans="6:34" x14ac:dyDescent="0.3">
      <c r="F1292" s="35"/>
      <c r="J1292" s="35"/>
      <c r="K1292" s="35"/>
      <c r="L1292" s="35"/>
      <c r="AD1292" s="73"/>
      <c r="AF1292" s="112" t="str">
        <f t="shared" si="40"/>
        <v/>
      </c>
      <c r="AG1292" s="113" t="str">
        <f>IF(AF1292="","",COUNTIF(AF1292:AF$3000,AF1292))</f>
        <v/>
      </c>
      <c r="AH1292" s="114" t="str">
        <f t="shared" si="41"/>
        <v/>
      </c>
    </row>
    <row r="1293" spans="6:34" x14ac:dyDescent="0.3">
      <c r="F1293" s="35"/>
      <c r="J1293" s="35"/>
      <c r="K1293" s="35"/>
      <c r="L1293" s="35"/>
      <c r="AD1293" s="73"/>
      <c r="AF1293" s="112" t="str">
        <f t="shared" si="40"/>
        <v/>
      </c>
      <c r="AG1293" s="113" t="str">
        <f>IF(AF1293="","",COUNTIF(AF1293:AF$3000,AF1293))</f>
        <v/>
      </c>
      <c r="AH1293" s="114" t="str">
        <f t="shared" si="41"/>
        <v/>
      </c>
    </row>
    <row r="1294" spans="6:34" x14ac:dyDescent="0.3">
      <c r="F1294" s="35"/>
      <c r="J1294" s="35"/>
      <c r="K1294" s="35"/>
      <c r="L1294" s="35"/>
      <c r="AD1294" s="73"/>
      <c r="AF1294" s="112" t="str">
        <f t="shared" si="40"/>
        <v/>
      </c>
      <c r="AG1294" s="113" t="str">
        <f>IF(AF1294="","",COUNTIF(AF1294:AF$3000,AF1294))</f>
        <v/>
      </c>
      <c r="AH1294" s="114" t="str">
        <f t="shared" si="41"/>
        <v/>
      </c>
    </row>
    <row r="1295" spans="6:34" x14ac:dyDescent="0.3">
      <c r="F1295" s="35"/>
      <c r="J1295" s="35"/>
      <c r="K1295" s="35"/>
      <c r="L1295" s="35"/>
      <c r="AD1295" s="73"/>
      <c r="AF1295" s="112" t="str">
        <f t="shared" si="40"/>
        <v/>
      </c>
      <c r="AG1295" s="113" t="str">
        <f>IF(AF1295="","",COUNTIF(AF1295:AF$3000,AF1295))</f>
        <v/>
      </c>
      <c r="AH1295" s="114" t="str">
        <f t="shared" si="41"/>
        <v/>
      </c>
    </row>
    <row r="1296" spans="6:34" x14ac:dyDescent="0.3">
      <c r="F1296" s="35"/>
      <c r="J1296" s="35"/>
      <c r="K1296" s="35"/>
      <c r="L1296" s="35"/>
      <c r="AD1296" s="73"/>
      <c r="AF1296" s="112" t="str">
        <f t="shared" si="40"/>
        <v/>
      </c>
      <c r="AG1296" s="113" t="str">
        <f>IF(AF1296="","",COUNTIF(AF1296:AF$3000,AF1296))</f>
        <v/>
      </c>
      <c r="AH1296" s="114" t="str">
        <f t="shared" si="41"/>
        <v/>
      </c>
    </row>
    <row r="1297" spans="6:34" x14ac:dyDescent="0.3">
      <c r="F1297" s="35"/>
      <c r="J1297" s="35"/>
      <c r="K1297" s="35"/>
      <c r="L1297" s="35"/>
      <c r="AD1297" s="73"/>
      <c r="AF1297" s="112" t="str">
        <f t="shared" si="40"/>
        <v/>
      </c>
      <c r="AG1297" s="113" t="str">
        <f>IF(AF1297="","",COUNTIF(AF1297:AF$3000,AF1297))</f>
        <v/>
      </c>
      <c r="AH1297" s="114" t="str">
        <f t="shared" si="41"/>
        <v/>
      </c>
    </row>
    <row r="1298" spans="6:34" x14ac:dyDescent="0.3">
      <c r="F1298" s="35"/>
      <c r="J1298" s="35"/>
      <c r="K1298" s="35"/>
      <c r="L1298" s="35"/>
      <c r="AD1298" s="73"/>
      <c r="AF1298" s="112" t="str">
        <f t="shared" si="40"/>
        <v/>
      </c>
      <c r="AG1298" s="113" t="str">
        <f>IF(AF1298="","",COUNTIF(AF1298:AF$3000,AF1298))</f>
        <v/>
      </c>
      <c r="AH1298" s="114" t="str">
        <f t="shared" si="41"/>
        <v/>
      </c>
    </row>
    <row r="1299" spans="6:34" x14ac:dyDescent="0.3">
      <c r="F1299" s="35"/>
      <c r="J1299" s="35"/>
      <c r="K1299" s="35"/>
      <c r="L1299" s="35"/>
      <c r="AD1299" s="73"/>
      <c r="AF1299" s="112" t="str">
        <f t="shared" si="40"/>
        <v/>
      </c>
      <c r="AG1299" s="113" t="str">
        <f>IF(AF1299="","",COUNTIF(AF1299:AF$3000,AF1299))</f>
        <v/>
      </c>
      <c r="AH1299" s="114" t="str">
        <f t="shared" si="41"/>
        <v/>
      </c>
    </row>
    <row r="1300" spans="6:34" x14ac:dyDescent="0.3">
      <c r="F1300" s="35"/>
      <c r="J1300" s="35"/>
      <c r="K1300" s="35"/>
      <c r="L1300" s="35"/>
      <c r="AD1300" s="73"/>
      <c r="AF1300" s="112" t="str">
        <f t="shared" si="40"/>
        <v/>
      </c>
      <c r="AG1300" s="113" t="str">
        <f>IF(AF1300="","",COUNTIF(AF1300:AF$3000,AF1300))</f>
        <v/>
      </c>
      <c r="AH1300" s="114" t="str">
        <f t="shared" si="41"/>
        <v/>
      </c>
    </row>
    <row r="1301" spans="6:34" x14ac:dyDescent="0.3">
      <c r="F1301" s="35"/>
      <c r="J1301" s="35"/>
      <c r="K1301" s="35"/>
      <c r="L1301" s="35"/>
      <c r="AD1301" s="73"/>
      <c r="AF1301" s="112" t="str">
        <f t="shared" si="40"/>
        <v/>
      </c>
      <c r="AG1301" s="113" t="str">
        <f>IF(AF1301="","",COUNTIF(AF1301:AF$3000,AF1301))</f>
        <v/>
      </c>
      <c r="AH1301" s="114" t="str">
        <f t="shared" si="41"/>
        <v/>
      </c>
    </row>
    <row r="1302" spans="6:34" x14ac:dyDescent="0.3">
      <c r="F1302" s="35"/>
      <c r="J1302" s="35"/>
      <c r="K1302" s="35"/>
      <c r="L1302" s="35"/>
      <c r="AD1302" s="73"/>
      <c r="AF1302" s="112" t="str">
        <f t="shared" si="40"/>
        <v/>
      </c>
      <c r="AG1302" s="113" t="str">
        <f>IF(AF1302="","",COUNTIF(AF1302:AF$3000,AF1302))</f>
        <v/>
      </c>
      <c r="AH1302" s="114" t="str">
        <f t="shared" si="41"/>
        <v/>
      </c>
    </row>
    <row r="1303" spans="6:34" x14ac:dyDescent="0.3">
      <c r="F1303" s="35"/>
      <c r="J1303" s="35"/>
      <c r="K1303" s="35"/>
      <c r="L1303" s="35"/>
      <c r="AD1303" s="73"/>
      <c r="AF1303" s="112" t="str">
        <f t="shared" si="40"/>
        <v/>
      </c>
      <c r="AG1303" s="113" t="str">
        <f>IF(AF1303="","",COUNTIF(AF1303:AF$3000,AF1303))</f>
        <v/>
      </c>
      <c r="AH1303" s="114" t="str">
        <f t="shared" si="41"/>
        <v/>
      </c>
    </row>
    <row r="1304" spans="6:34" x14ac:dyDescent="0.3">
      <c r="F1304" s="35"/>
      <c r="J1304" s="35"/>
      <c r="K1304" s="35"/>
      <c r="L1304" s="35"/>
      <c r="AD1304" s="73"/>
      <c r="AF1304" s="112" t="str">
        <f t="shared" si="40"/>
        <v/>
      </c>
      <c r="AG1304" s="113" t="str">
        <f>IF(AF1304="","",COUNTIF(AF1304:AF$3000,AF1304))</f>
        <v/>
      </c>
      <c r="AH1304" s="114" t="str">
        <f t="shared" si="41"/>
        <v/>
      </c>
    </row>
    <row r="1305" spans="6:34" x14ac:dyDescent="0.3">
      <c r="F1305" s="35"/>
      <c r="J1305" s="35"/>
      <c r="K1305" s="35"/>
      <c r="L1305" s="35"/>
      <c r="AD1305" s="73"/>
      <c r="AF1305" s="112" t="str">
        <f t="shared" si="40"/>
        <v/>
      </c>
      <c r="AG1305" s="113" t="str">
        <f>IF(AF1305="","",COUNTIF(AF1305:AF$3000,AF1305))</f>
        <v/>
      </c>
      <c r="AH1305" s="114" t="str">
        <f t="shared" si="41"/>
        <v/>
      </c>
    </row>
    <row r="1306" spans="6:34" x14ac:dyDescent="0.3">
      <c r="F1306" s="35"/>
      <c r="J1306" s="35"/>
      <c r="K1306" s="35"/>
      <c r="L1306" s="35"/>
      <c r="AD1306" s="73"/>
      <c r="AF1306" s="112" t="str">
        <f t="shared" si="40"/>
        <v/>
      </c>
      <c r="AG1306" s="113" t="str">
        <f>IF(AF1306="","",COUNTIF(AF1306:AF$3000,AF1306))</f>
        <v/>
      </c>
      <c r="AH1306" s="114" t="str">
        <f t="shared" si="41"/>
        <v/>
      </c>
    </row>
    <row r="1307" spans="6:34" x14ac:dyDescent="0.3">
      <c r="F1307" s="35"/>
      <c r="J1307" s="35"/>
      <c r="K1307" s="35"/>
      <c r="L1307" s="35"/>
      <c r="AD1307" s="73"/>
      <c r="AF1307" s="112" t="str">
        <f t="shared" si="40"/>
        <v/>
      </c>
      <c r="AG1307" s="113" t="str">
        <f>IF(AF1307="","",COUNTIF(AF1307:AF$3000,AF1307))</f>
        <v/>
      </c>
      <c r="AH1307" s="114" t="str">
        <f t="shared" si="41"/>
        <v/>
      </c>
    </row>
    <row r="1308" spans="6:34" x14ac:dyDescent="0.3">
      <c r="F1308" s="35"/>
      <c r="J1308" s="35"/>
      <c r="K1308" s="35"/>
      <c r="L1308" s="35"/>
      <c r="AD1308" s="73"/>
      <c r="AF1308" s="112" t="str">
        <f t="shared" si="40"/>
        <v/>
      </c>
      <c r="AG1308" s="113" t="str">
        <f>IF(AF1308="","",COUNTIF(AF1308:AF$3000,AF1308))</f>
        <v/>
      </c>
      <c r="AH1308" s="114" t="str">
        <f t="shared" si="41"/>
        <v/>
      </c>
    </row>
    <row r="1309" spans="6:34" x14ac:dyDescent="0.3">
      <c r="F1309" s="35"/>
      <c r="J1309" s="35"/>
      <c r="K1309" s="35"/>
      <c r="L1309" s="35"/>
      <c r="AD1309" s="73"/>
      <c r="AF1309" s="112" t="str">
        <f t="shared" si="40"/>
        <v/>
      </c>
      <c r="AG1309" s="113" t="str">
        <f>IF(AF1309="","",COUNTIF(AF1309:AF$3000,AF1309))</f>
        <v/>
      </c>
      <c r="AH1309" s="114" t="str">
        <f t="shared" si="41"/>
        <v/>
      </c>
    </row>
    <row r="1310" spans="6:34" x14ac:dyDescent="0.3">
      <c r="F1310" s="35"/>
      <c r="J1310" s="35"/>
      <c r="K1310" s="35"/>
      <c r="L1310" s="35"/>
      <c r="AD1310" s="73"/>
      <c r="AF1310" s="112" t="str">
        <f t="shared" si="40"/>
        <v/>
      </c>
      <c r="AG1310" s="113" t="str">
        <f>IF(AF1310="","",COUNTIF(AF1310:AF$3000,AF1310))</f>
        <v/>
      </c>
      <c r="AH1310" s="114" t="str">
        <f t="shared" si="41"/>
        <v/>
      </c>
    </row>
    <row r="1311" spans="6:34" x14ac:dyDescent="0.3">
      <c r="F1311" s="35"/>
      <c r="J1311" s="35"/>
      <c r="K1311" s="35"/>
      <c r="L1311" s="35"/>
      <c r="AD1311" s="73"/>
      <c r="AF1311" s="112" t="str">
        <f t="shared" si="40"/>
        <v/>
      </c>
      <c r="AG1311" s="113" t="str">
        <f>IF(AF1311="","",COUNTIF(AF1311:AF$3000,AF1311))</f>
        <v/>
      </c>
      <c r="AH1311" s="114" t="str">
        <f t="shared" si="41"/>
        <v/>
      </c>
    </row>
    <row r="1312" spans="6:34" x14ac:dyDescent="0.3">
      <c r="F1312" s="35"/>
      <c r="J1312" s="35"/>
      <c r="K1312" s="35"/>
      <c r="L1312" s="35"/>
      <c r="AD1312" s="73"/>
      <c r="AF1312" s="112" t="str">
        <f t="shared" si="40"/>
        <v/>
      </c>
      <c r="AG1312" s="113" t="str">
        <f>IF(AF1312="","",COUNTIF(AF1312:AF$3000,AF1312))</f>
        <v/>
      </c>
      <c r="AH1312" s="114" t="str">
        <f t="shared" si="41"/>
        <v/>
      </c>
    </row>
    <row r="1313" spans="6:34" x14ac:dyDescent="0.3">
      <c r="F1313" s="35"/>
      <c r="J1313" s="35"/>
      <c r="K1313" s="35"/>
      <c r="L1313" s="35"/>
      <c r="AD1313" s="73"/>
      <c r="AF1313" s="112" t="str">
        <f t="shared" si="40"/>
        <v/>
      </c>
      <c r="AG1313" s="113" t="str">
        <f>IF(AF1313="","",COUNTIF(AF1313:AF$3000,AF1313))</f>
        <v/>
      </c>
      <c r="AH1313" s="114" t="str">
        <f t="shared" si="41"/>
        <v/>
      </c>
    </row>
    <row r="1314" spans="6:34" x14ac:dyDescent="0.3">
      <c r="F1314" s="35"/>
      <c r="J1314" s="35"/>
      <c r="K1314" s="35"/>
      <c r="L1314" s="35"/>
      <c r="AD1314" s="73"/>
      <c r="AF1314" s="112" t="str">
        <f t="shared" si="40"/>
        <v/>
      </c>
      <c r="AG1314" s="113" t="str">
        <f>IF(AF1314="","",COUNTIF(AF1314:AF$3000,AF1314))</f>
        <v/>
      </c>
      <c r="AH1314" s="114" t="str">
        <f t="shared" si="41"/>
        <v/>
      </c>
    </row>
    <row r="1315" spans="6:34" x14ac:dyDescent="0.3">
      <c r="F1315" s="35"/>
      <c r="J1315" s="35"/>
      <c r="K1315" s="35"/>
      <c r="L1315" s="35"/>
      <c r="AD1315" s="73"/>
      <c r="AF1315" s="112" t="str">
        <f t="shared" si="40"/>
        <v/>
      </c>
      <c r="AG1315" s="113" t="str">
        <f>IF(AF1315="","",COUNTIF(AF1315:AF$3000,AF1315))</f>
        <v/>
      </c>
      <c r="AH1315" s="114" t="str">
        <f t="shared" si="41"/>
        <v/>
      </c>
    </row>
    <row r="1316" spans="6:34" x14ac:dyDescent="0.3">
      <c r="F1316" s="35"/>
      <c r="J1316" s="35"/>
      <c r="K1316" s="35"/>
      <c r="L1316" s="35"/>
      <c r="AD1316" s="73"/>
      <c r="AF1316" s="112" t="str">
        <f t="shared" si="40"/>
        <v/>
      </c>
      <c r="AG1316" s="113" t="str">
        <f>IF(AF1316="","",COUNTIF(AF1316:AF$3000,AF1316))</f>
        <v/>
      </c>
      <c r="AH1316" s="114" t="str">
        <f t="shared" si="41"/>
        <v/>
      </c>
    </row>
    <row r="1317" spans="6:34" x14ac:dyDescent="0.3">
      <c r="F1317" s="35"/>
      <c r="J1317" s="35"/>
      <c r="K1317" s="35"/>
      <c r="L1317" s="35"/>
      <c r="AD1317" s="73"/>
      <c r="AF1317" s="112" t="str">
        <f t="shared" si="40"/>
        <v/>
      </c>
      <c r="AG1317" s="113" t="str">
        <f>IF(AF1317="","",COUNTIF(AF1317:AF$3000,AF1317))</f>
        <v/>
      </c>
      <c r="AH1317" s="114" t="str">
        <f t="shared" si="41"/>
        <v/>
      </c>
    </row>
    <row r="1318" spans="6:34" x14ac:dyDescent="0.3">
      <c r="F1318" s="35"/>
      <c r="J1318" s="35"/>
      <c r="K1318" s="35"/>
      <c r="L1318" s="35"/>
      <c r="AD1318" s="73"/>
      <c r="AF1318" s="112" t="str">
        <f t="shared" si="40"/>
        <v/>
      </c>
      <c r="AG1318" s="113" t="str">
        <f>IF(AF1318="","",COUNTIF(AF1318:AF$3000,AF1318))</f>
        <v/>
      </c>
      <c r="AH1318" s="114" t="str">
        <f t="shared" si="41"/>
        <v/>
      </c>
    </row>
    <row r="1319" spans="6:34" x14ac:dyDescent="0.3">
      <c r="F1319" s="35"/>
      <c r="J1319" s="35"/>
      <c r="K1319" s="35"/>
      <c r="L1319" s="35"/>
      <c r="AD1319" s="73"/>
      <c r="AF1319" s="112" t="str">
        <f t="shared" si="40"/>
        <v/>
      </c>
      <c r="AG1319" s="113" t="str">
        <f>IF(AF1319="","",COUNTIF(AF1319:AF$3000,AF1319))</f>
        <v/>
      </c>
      <c r="AH1319" s="114" t="str">
        <f t="shared" si="41"/>
        <v/>
      </c>
    </row>
    <row r="1320" spans="6:34" x14ac:dyDescent="0.3">
      <c r="F1320" s="35"/>
      <c r="J1320" s="35"/>
      <c r="K1320" s="35"/>
      <c r="L1320" s="35"/>
      <c r="AD1320" s="73"/>
      <c r="AF1320" s="112" t="str">
        <f t="shared" si="40"/>
        <v/>
      </c>
      <c r="AG1320" s="113" t="str">
        <f>IF(AF1320="","",COUNTIF(AF1320:AF$3000,AF1320))</f>
        <v/>
      </c>
      <c r="AH1320" s="114" t="str">
        <f t="shared" si="41"/>
        <v/>
      </c>
    </row>
    <row r="1321" spans="6:34" x14ac:dyDescent="0.3">
      <c r="F1321" s="35"/>
      <c r="J1321" s="35"/>
      <c r="K1321" s="35"/>
      <c r="L1321" s="35"/>
      <c r="AD1321" s="73"/>
      <c r="AF1321" s="112" t="str">
        <f t="shared" si="40"/>
        <v/>
      </c>
      <c r="AG1321" s="113" t="str">
        <f>IF(AF1321="","",COUNTIF(AF1321:AF$3000,AF1321))</f>
        <v/>
      </c>
      <c r="AH1321" s="114" t="str">
        <f t="shared" si="41"/>
        <v/>
      </c>
    </row>
    <row r="1322" spans="6:34" x14ac:dyDescent="0.3">
      <c r="F1322" s="35"/>
      <c r="J1322" s="35"/>
      <c r="K1322" s="35"/>
      <c r="L1322" s="35"/>
      <c r="AD1322" s="73"/>
      <c r="AF1322" s="112" t="str">
        <f t="shared" si="40"/>
        <v/>
      </c>
      <c r="AG1322" s="113" t="str">
        <f>IF(AF1322="","",COUNTIF(AF1322:AF$3000,AF1322))</f>
        <v/>
      </c>
      <c r="AH1322" s="114" t="str">
        <f t="shared" si="41"/>
        <v/>
      </c>
    </row>
    <row r="1323" spans="6:34" x14ac:dyDescent="0.3">
      <c r="F1323" s="35"/>
      <c r="J1323" s="35"/>
      <c r="K1323" s="35"/>
      <c r="L1323" s="35"/>
      <c r="AD1323" s="73"/>
      <c r="AF1323" s="112" t="str">
        <f t="shared" si="40"/>
        <v/>
      </c>
      <c r="AG1323" s="113" t="str">
        <f>IF(AF1323="","",COUNTIF(AF1323:AF$3000,AF1323))</f>
        <v/>
      </c>
      <c r="AH1323" s="114" t="str">
        <f t="shared" si="41"/>
        <v/>
      </c>
    </row>
    <row r="1324" spans="6:34" x14ac:dyDescent="0.3">
      <c r="F1324" s="35"/>
      <c r="J1324" s="35"/>
      <c r="K1324" s="35"/>
      <c r="L1324" s="35"/>
      <c r="AD1324" s="73"/>
      <c r="AF1324" s="112" t="str">
        <f t="shared" si="40"/>
        <v/>
      </c>
      <c r="AG1324" s="113" t="str">
        <f>IF(AF1324="","",COUNTIF(AF1324:AF$3000,AF1324))</f>
        <v/>
      </c>
      <c r="AH1324" s="114" t="str">
        <f t="shared" si="41"/>
        <v/>
      </c>
    </row>
    <row r="1325" spans="6:34" x14ac:dyDescent="0.3">
      <c r="F1325" s="35"/>
      <c r="J1325" s="35"/>
      <c r="K1325" s="35"/>
      <c r="L1325" s="35"/>
      <c r="AD1325" s="73"/>
      <c r="AF1325" s="112" t="str">
        <f t="shared" si="40"/>
        <v/>
      </c>
      <c r="AG1325" s="113" t="str">
        <f>IF(AF1325="","",COUNTIF(AF1325:AF$3000,AF1325))</f>
        <v/>
      </c>
      <c r="AH1325" s="114" t="str">
        <f t="shared" si="41"/>
        <v/>
      </c>
    </row>
    <row r="1326" spans="6:34" x14ac:dyDescent="0.3">
      <c r="F1326" s="35"/>
      <c r="J1326" s="35"/>
      <c r="K1326" s="35"/>
      <c r="L1326" s="35"/>
      <c r="AD1326" s="73"/>
      <c r="AF1326" s="112" t="str">
        <f t="shared" si="40"/>
        <v/>
      </c>
      <c r="AG1326" s="113" t="str">
        <f>IF(AF1326="","",COUNTIF(AF1326:AF$3000,AF1326))</f>
        <v/>
      </c>
      <c r="AH1326" s="114" t="str">
        <f t="shared" si="41"/>
        <v/>
      </c>
    </row>
    <row r="1327" spans="6:34" x14ac:dyDescent="0.3">
      <c r="F1327" s="35"/>
      <c r="J1327" s="35"/>
      <c r="K1327" s="35"/>
      <c r="L1327" s="35"/>
      <c r="AD1327" s="73"/>
      <c r="AF1327" s="112" t="str">
        <f t="shared" si="40"/>
        <v/>
      </c>
      <c r="AG1327" s="113" t="str">
        <f>IF(AF1327="","",COUNTIF(AF1327:AF$3000,AF1327))</f>
        <v/>
      </c>
      <c r="AH1327" s="114" t="str">
        <f t="shared" si="41"/>
        <v/>
      </c>
    </row>
    <row r="1328" spans="6:34" x14ac:dyDescent="0.3">
      <c r="F1328" s="35"/>
      <c r="J1328" s="35"/>
      <c r="K1328" s="35"/>
      <c r="L1328" s="35"/>
      <c r="AD1328" s="73"/>
      <c r="AF1328" s="112" t="str">
        <f t="shared" si="40"/>
        <v/>
      </c>
      <c r="AG1328" s="113" t="str">
        <f>IF(AF1328="","",COUNTIF(AF1328:AF$3000,AF1328))</f>
        <v/>
      </c>
      <c r="AH1328" s="114" t="str">
        <f t="shared" si="41"/>
        <v/>
      </c>
    </row>
    <row r="1329" spans="6:34" x14ac:dyDescent="0.3">
      <c r="F1329" s="35"/>
      <c r="J1329" s="35"/>
      <c r="K1329" s="35"/>
      <c r="L1329" s="35"/>
      <c r="AD1329" s="73"/>
      <c r="AF1329" s="112" t="str">
        <f t="shared" si="40"/>
        <v/>
      </c>
      <c r="AG1329" s="113" t="str">
        <f>IF(AF1329="","",COUNTIF(AF1329:AF$3000,AF1329))</f>
        <v/>
      </c>
      <c r="AH1329" s="114" t="str">
        <f t="shared" si="41"/>
        <v/>
      </c>
    </row>
    <row r="1330" spans="6:34" x14ac:dyDescent="0.3">
      <c r="F1330" s="35"/>
      <c r="J1330" s="35"/>
      <c r="K1330" s="35"/>
      <c r="L1330" s="35"/>
      <c r="AD1330" s="73"/>
      <c r="AF1330" s="112" t="str">
        <f t="shared" si="40"/>
        <v/>
      </c>
      <c r="AG1330" s="113" t="str">
        <f>IF(AF1330="","",COUNTIF(AF1330:AF$3000,AF1330))</f>
        <v/>
      </c>
      <c r="AH1330" s="114" t="str">
        <f t="shared" si="41"/>
        <v/>
      </c>
    </row>
    <row r="1331" spans="6:34" x14ac:dyDescent="0.3">
      <c r="F1331" s="35"/>
      <c r="J1331" s="35"/>
      <c r="K1331" s="35"/>
      <c r="L1331" s="35"/>
      <c r="AD1331" s="73"/>
      <c r="AF1331" s="112" t="str">
        <f t="shared" si="40"/>
        <v/>
      </c>
      <c r="AG1331" s="113" t="str">
        <f>IF(AF1331="","",COUNTIF(AF1331:AF$3000,AF1331))</f>
        <v/>
      </c>
      <c r="AH1331" s="114" t="str">
        <f t="shared" si="41"/>
        <v/>
      </c>
    </row>
    <row r="1332" spans="6:34" x14ac:dyDescent="0.3">
      <c r="F1332" s="35"/>
      <c r="J1332" s="35"/>
      <c r="K1332" s="35"/>
      <c r="L1332" s="35"/>
      <c r="AD1332" s="73"/>
      <c r="AF1332" s="112" t="str">
        <f t="shared" si="40"/>
        <v/>
      </c>
      <c r="AG1332" s="113" t="str">
        <f>IF(AF1332="","",COUNTIF(AF1332:AF$3000,AF1332))</f>
        <v/>
      </c>
      <c r="AH1332" s="114" t="str">
        <f t="shared" si="41"/>
        <v/>
      </c>
    </row>
    <row r="1333" spans="6:34" x14ac:dyDescent="0.3">
      <c r="F1333" s="35"/>
      <c r="J1333" s="35"/>
      <c r="K1333" s="35"/>
      <c r="L1333" s="35"/>
      <c r="AD1333" s="73"/>
      <c r="AF1333" s="112" t="str">
        <f t="shared" si="40"/>
        <v/>
      </c>
      <c r="AG1333" s="113" t="str">
        <f>IF(AF1333="","",COUNTIF(AF1333:AF$3000,AF1333))</f>
        <v/>
      </c>
      <c r="AH1333" s="114" t="str">
        <f t="shared" si="41"/>
        <v/>
      </c>
    </row>
    <row r="1334" spans="6:34" x14ac:dyDescent="0.3">
      <c r="F1334" s="35"/>
      <c r="J1334" s="35"/>
      <c r="K1334" s="35"/>
      <c r="L1334" s="35"/>
      <c r="AD1334" s="73"/>
      <c r="AF1334" s="112" t="str">
        <f t="shared" si="40"/>
        <v/>
      </c>
      <c r="AG1334" s="113" t="str">
        <f>IF(AF1334="","",COUNTIF(AF1334:AF$3000,AF1334))</f>
        <v/>
      </c>
      <c r="AH1334" s="114" t="str">
        <f t="shared" si="41"/>
        <v/>
      </c>
    </row>
    <row r="1335" spans="6:34" x14ac:dyDescent="0.3">
      <c r="F1335" s="35"/>
      <c r="J1335" s="35"/>
      <c r="K1335" s="35"/>
      <c r="L1335" s="35"/>
      <c r="AD1335" s="73"/>
      <c r="AF1335" s="112" t="str">
        <f t="shared" si="40"/>
        <v/>
      </c>
      <c r="AG1335" s="113" t="str">
        <f>IF(AF1335="","",COUNTIF(AF1335:AF$3000,AF1335))</f>
        <v/>
      </c>
      <c r="AH1335" s="114" t="str">
        <f t="shared" si="41"/>
        <v/>
      </c>
    </row>
    <row r="1336" spans="6:34" x14ac:dyDescent="0.3">
      <c r="F1336" s="35"/>
      <c r="J1336" s="35"/>
      <c r="K1336" s="35"/>
      <c r="L1336" s="35"/>
      <c r="AD1336" s="73"/>
      <c r="AF1336" s="112" t="str">
        <f t="shared" si="40"/>
        <v/>
      </c>
      <c r="AG1336" s="113" t="str">
        <f>IF(AF1336="","",COUNTIF(AF1336:AF$3000,AF1336))</f>
        <v/>
      </c>
      <c r="AH1336" s="114" t="str">
        <f t="shared" si="41"/>
        <v/>
      </c>
    </row>
    <row r="1337" spans="6:34" x14ac:dyDescent="0.3">
      <c r="F1337" s="35"/>
      <c r="J1337" s="35"/>
      <c r="K1337" s="35"/>
      <c r="L1337" s="35"/>
      <c r="AD1337" s="73"/>
      <c r="AF1337" s="112" t="str">
        <f t="shared" si="40"/>
        <v/>
      </c>
      <c r="AG1337" s="113" t="str">
        <f>IF(AF1337="","",COUNTIF(AF1337:AF$3000,AF1337))</f>
        <v/>
      </c>
      <c r="AH1337" s="114" t="str">
        <f t="shared" si="41"/>
        <v/>
      </c>
    </row>
    <row r="1338" spans="6:34" x14ac:dyDescent="0.3">
      <c r="F1338" s="35"/>
      <c r="J1338" s="35"/>
      <c r="K1338" s="35"/>
      <c r="L1338" s="35"/>
      <c r="AD1338" s="73"/>
      <c r="AF1338" s="112" t="str">
        <f t="shared" si="40"/>
        <v/>
      </c>
      <c r="AG1338" s="113" t="str">
        <f>IF(AF1338="","",COUNTIF(AF1338:AF$3000,AF1338))</f>
        <v/>
      </c>
      <c r="AH1338" s="114" t="str">
        <f t="shared" si="41"/>
        <v/>
      </c>
    </row>
    <row r="1339" spans="6:34" x14ac:dyDescent="0.3">
      <c r="F1339" s="35"/>
      <c r="J1339" s="35"/>
      <c r="K1339" s="35"/>
      <c r="L1339" s="35"/>
      <c r="AD1339" s="73"/>
      <c r="AF1339" s="112" t="str">
        <f t="shared" si="40"/>
        <v/>
      </c>
      <c r="AG1339" s="113" t="str">
        <f>IF(AF1339="","",COUNTIF(AF1339:AF$3000,AF1339))</f>
        <v/>
      </c>
      <c r="AH1339" s="114" t="str">
        <f t="shared" si="41"/>
        <v/>
      </c>
    </row>
    <row r="1340" spans="6:34" x14ac:dyDescent="0.3">
      <c r="F1340" s="35"/>
      <c r="J1340" s="35"/>
      <c r="K1340" s="35"/>
      <c r="L1340" s="35"/>
      <c r="AD1340" s="73"/>
      <c r="AF1340" s="112" t="str">
        <f t="shared" si="40"/>
        <v/>
      </c>
      <c r="AG1340" s="113" t="str">
        <f>IF(AF1340="","",COUNTIF(AF1340:AF$3000,AF1340))</f>
        <v/>
      </c>
      <c r="AH1340" s="114" t="str">
        <f t="shared" si="41"/>
        <v/>
      </c>
    </row>
    <row r="1341" spans="6:34" x14ac:dyDescent="0.3">
      <c r="F1341" s="35"/>
      <c r="J1341" s="35"/>
      <c r="K1341" s="35"/>
      <c r="L1341" s="35"/>
      <c r="AD1341" s="73"/>
      <c r="AF1341" s="112" t="str">
        <f t="shared" si="40"/>
        <v/>
      </c>
      <c r="AG1341" s="113" t="str">
        <f>IF(AF1341="","",COUNTIF(AF1341:AF$3000,AF1341))</f>
        <v/>
      </c>
      <c r="AH1341" s="114" t="str">
        <f t="shared" si="41"/>
        <v/>
      </c>
    </row>
    <row r="1342" spans="6:34" x14ac:dyDescent="0.3">
      <c r="F1342" s="35"/>
      <c r="J1342" s="35"/>
      <c r="K1342" s="35"/>
      <c r="L1342" s="35"/>
      <c r="AD1342" s="73"/>
      <c r="AF1342" s="112" t="str">
        <f t="shared" si="40"/>
        <v/>
      </c>
      <c r="AG1342" s="113" t="str">
        <f>IF(AF1342="","",COUNTIF(AF1342:AF$3000,AF1342))</f>
        <v/>
      </c>
      <c r="AH1342" s="114" t="str">
        <f t="shared" si="41"/>
        <v/>
      </c>
    </row>
    <row r="1343" spans="6:34" x14ac:dyDescent="0.3">
      <c r="F1343" s="35"/>
      <c r="J1343" s="35"/>
      <c r="K1343" s="35"/>
      <c r="L1343" s="35"/>
      <c r="AD1343" s="73"/>
      <c r="AF1343" s="112" t="str">
        <f t="shared" si="40"/>
        <v/>
      </c>
      <c r="AG1343" s="113" t="str">
        <f>IF(AF1343="","",COUNTIF(AF1343:AF$3000,AF1343))</f>
        <v/>
      </c>
      <c r="AH1343" s="114" t="str">
        <f t="shared" si="41"/>
        <v/>
      </c>
    </row>
    <row r="1344" spans="6:34" x14ac:dyDescent="0.3">
      <c r="F1344" s="35"/>
      <c r="J1344" s="35"/>
      <c r="K1344" s="35"/>
      <c r="L1344" s="35"/>
      <c r="AD1344" s="73"/>
      <c r="AF1344" s="112" t="str">
        <f t="shared" si="40"/>
        <v/>
      </c>
      <c r="AG1344" s="113" t="str">
        <f>IF(AF1344="","",COUNTIF(AF1344:AF$3000,AF1344))</f>
        <v/>
      </c>
      <c r="AH1344" s="114" t="str">
        <f t="shared" si="41"/>
        <v/>
      </c>
    </row>
    <row r="1345" spans="6:34" x14ac:dyDescent="0.3">
      <c r="F1345" s="35"/>
      <c r="J1345" s="35"/>
      <c r="K1345" s="35"/>
      <c r="L1345" s="35"/>
      <c r="AD1345" s="73"/>
      <c r="AF1345" s="112" t="str">
        <f t="shared" si="40"/>
        <v/>
      </c>
      <c r="AG1345" s="113" t="str">
        <f>IF(AF1345="","",COUNTIF(AF1345:AF$3000,AF1345))</f>
        <v/>
      </c>
      <c r="AH1345" s="114" t="str">
        <f t="shared" si="41"/>
        <v/>
      </c>
    </row>
    <row r="1346" spans="6:34" x14ac:dyDescent="0.3">
      <c r="F1346" s="35"/>
      <c r="J1346" s="35"/>
      <c r="K1346" s="35"/>
      <c r="L1346" s="35"/>
      <c r="AD1346" s="73"/>
      <c r="AF1346" s="112" t="str">
        <f t="shared" si="40"/>
        <v/>
      </c>
      <c r="AG1346" s="113" t="str">
        <f>IF(AF1346="","",COUNTIF(AF1346:AF$3000,AF1346))</f>
        <v/>
      </c>
      <c r="AH1346" s="114" t="str">
        <f t="shared" si="41"/>
        <v/>
      </c>
    </row>
    <row r="1347" spans="6:34" x14ac:dyDescent="0.3">
      <c r="F1347" s="35"/>
      <c r="J1347" s="35"/>
      <c r="K1347" s="35"/>
      <c r="L1347" s="35"/>
      <c r="AD1347" s="73"/>
      <c r="AF1347" s="112" t="str">
        <f t="shared" si="40"/>
        <v/>
      </c>
      <c r="AG1347" s="113" t="str">
        <f>IF(AF1347="","",COUNTIF(AF1347:AF$3000,AF1347))</f>
        <v/>
      </c>
      <c r="AH1347" s="114" t="str">
        <f t="shared" si="41"/>
        <v/>
      </c>
    </row>
    <row r="1348" spans="6:34" x14ac:dyDescent="0.3">
      <c r="F1348" s="35"/>
      <c r="J1348" s="35"/>
      <c r="K1348" s="35"/>
      <c r="L1348" s="35"/>
      <c r="AD1348" s="73"/>
      <c r="AF1348" s="112" t="str">
        <f t="shared" ref="AF1348:AF1411" si="42">IF(B1348="","",TEXT(J1348,"DD/MM/AA")&amp;"_"&amp;S1348&amp;"_"&amp;V1348)</f>
        <v/>
      </c>
      <c r="AG1348" s="113" t="str">
        <f>IF(AF1348="","",COUNTIF(AF1348:AF$3000,AF1348))</f>
        <v/>
      </c>
      <c r="AH1348" s="114" t="str">
        <f t="shared" ref="AH1348:AH1411" si="43">IF(AA1348="","",
IF(AG1348&gt;1,"",
IF(SUMIF(AF$3:AF$31,AF1348,H$3:H$31)/10&lt;1,1,SUMIF(AF$3:AF$31,AF1348,H$3:H$31)/10)))</f>
        <v/>
      </c>
    </row>
    <row r="1349" spans="6:34" x14ac:dyDescent="0.3">
      <c r="F1349" s="35"/>
      <c r="J1349" s="35"/>
      <c r="K1349" s="35"/>
      <c r="L1349" s="35"/>
      <c r="AD1349" s="73"/>
      <c r="AF1349" s="112" t="str">
        <f t="shared" si="42"/>
        <v/>
      </c>
      <c r="AG1349" s="113" t="str">
        <f>IF(AF1349="","",COUNTIF(AF1349:AF$3000,AF1349))</f>
        <v/>
      </c>
      <c r="AH1349" s="114" t="str">
        <f t="shared" si="43"/>
        <v/>
      </c>
    </row>
    <row r="1350" spans="6:34" x14ac:dyDescent="0.3">
      <c r="F1350" s="35"/>
      <c r="J1350" s="35"/>
      <c r="K1350" s="35"/>
      <c r="L1350" s="35"/>
      <c r="AD1350" s="73"/>
      <c r="AF1350" s="112" t="str">
        <f t="shared" si="42"/>
        <v/>
      </c>
      <c r="AG1350" s="113" t="str">
        <f>IF(AF1350="","",COUNTIF(AF1350:AF$3000,AF1350))</f>
        <v/>
      </c>
      <c r="AH1350" s="114" t="str">
        <f t="shared" si="43"/>
        <v/>
      </c>
    </row>
    <row r="1351" spans="6:34" x14ac:dyDescent="0.3">
      <c r="F1351" s="35"/>
      <c r="J1351" s="35"/>
      <c r="K1351" s="35"/>
      <c r="L1351" s="35"/>
      <c r="AD1351" s="73"/>
      <c r="AF1351" s="112" t="str">
        <f t="shared" si="42"/>
        <v/>
      </c>
      <c r="AG1351" s="113" t="str">
        <f>IF(AF1351="","",COUNTIF(AF1351:AF$3000,AF1351))</f>
        <v/>
      </c>
      <c r="AH1351" s="114" t="str">
        <f t="shared" si="43"/>
        <v/>
      </c>
    </row>
    <row r="1352" spans="6:34" x14ac:dyDescent="0.3">
      <c r="F1352" s="35"/>
      <c r="J1352" s="35"/>
      <c r="K1352" s="35"/>
      <c r="L1352" s="35"/>
      <c r="AD1352" s="73"/>
      <c r="AF1352" s="112" t="str">
        <f t="shared" si="42"/>
        <v/>
      </c>
      <c r="AG1352" s="113" t="str">
        <f>IF(AF1352="","",COUNTIF(AF1352:AF$3000,AF1352))</f>
        <v/>
      </c>
      <c r="AH1352" s="114" t="str">
        <f t="shared" si="43"/>
        <v/>
      </c>
    </row>
    <row r="1353" spans="6:34" x14ac:dyDescent="0.3">
      <c r="F1353" s="35"/>
      <c r="J1353" s="35"/>
      <c r="K1353" s="35"/>
      <c r="L1353" s="35"/>
      <c r="AD1353" s="73"/>
      <c r="AF1353" s="112" t="str">
        <f t="shared" si="42"/>
        <v/>
      </c>
      <c r="AG1353" s="113" t="str">
        <f>IF(AF1353="","",COUNTIF(AF1353:AF$3000,AF1353))</f>
        <v/>
      </c>
      <c r="AH1353" s="114" t="str">
        <f t="shared" si="43"/>
        <v/>
      </c>
    </row>
    <row r="1354" spans="6:34" x14ac:dyDescent="0.3">
      <c r="F1354" s="35"/>
      <c r="J1354" s="35"/>
      <c r="K1354" s="35"/>
      <c r="L1354" s="35"/>
      <c r="AD1354" s="73"/>
      <c r="AF1354" s="112" t="str">
        <f t="shared" si="42"/>
        <v/>
      </c>
      <c r="AG1354" s="113" t="str">
        <f>IF(AF1354="","",COUNTIF(AF1354:AF$3000,AF1354))</f>
        <v/>
      </c>
      <c r="AH1354" s="114" t="str">
        <f t="shared" si="43"/>
        <v/>
      </c>
    </row>
    <row r="1355" spans="6:34" x14ac:dyDescent="0.3">
      <c r="F1355" s="35"/>
      <c r="J1355" s="35"/>
      <c r="K1355" s="35"/>
      <c r="L1355" s="35"/>
      <c r="AD1355" s="73"/>
      <c r="AF1355" s="112" t="str">
        <f t="shared" si="42"/>
        <v/>
      </c>
      <c r="AG1355" s="113" t="str">
        <f>IF(AF1355="","",COUNTIF(AF1355:AF$3000,AF1355))</f>
        <v/>
      </c>
      <c r="AH1355" s="114" t="str">
        <f t="shared" si="43"/>
        <v/>
      </c>
    </row>
    <row r="1356" spans="6:34" x14ac:dyDescent="0.3">
      <c r="F1356" s="35"/>
      <c r="J1356" s="35"/>
      <c r="K1356" s="35"/>
      <c r="L1356" s="35"/>
      <c r="AD1356" s="73"/>
      <c r="AF1356" s="112" t="str">
        <f t="shared" si="42"/>
        <v/>
      </c>
      <c r="AG1356" s="113" t="str">
        <f>IF(AF1356="","",COUNTIF(AF1356:AF$3000,AF1356))</f>
        <v/>
      </c>
      <c r="AH1356" s="114" t="str">
        <f t="shared" si="43"/>
        <v/>
      </c>
    </row>
    <row r="1357" spans="6:34" x14ac:dyDescent="0.3">
      <c r="F1357" s="35"/>
      <c r="J1357" s="35"/>
      <c r="K1357" s="35"/>
      <c r="L1357" s="35"/>
      <c r="AD1357" s="73"/>
      <c r="AF1357" s="112" t="str">
        <f t="shared" si="42"/>
        <v/>
      </c>
      <c r="AG1357" s="113" t="str">
        <f>IF(AF1357="","",COUNTIF(AF1357:AF$3000,AF1357))</f>
        <v/>
      </c>
      <c r="AH1357" s="114" t="str">
        <f t="shared" si="43"/>
        <v/>
      </c>
    </row>
    <row r="1358" spans="6:34" x14ac:dyDescent="0.3">
      <c r="F1358" s="35"/>
      <c r="J1358" s="35"/>
      <c r="K1358" s="35"/>
      <c r="L1358" s="35"/>
      <c r="AD1358" s="73"/>
      <c r="AF1358" s="112" t="str">
        <f t="shared" si="42"/>
        <v/>
      </c>
      <c r="AG1358" s="113" t="str">
        <f>IF(AF1358="","",COUNTIF(AF1358:AF$3000,AF1358))</f>
        <v/>
      </c>
      <c r="AH1358" s="114" t="str">
        <f t="shared" si="43"/>
        <v/>
      </c>
    </row>
    <row r="1359" spans="6:34" x14ac:dyDescent="0.3">
      <c r="F1359" s="35"/>
      <c r="J1359" s="35"/>
      <c r="K1359" s="35"/>
      <c r="L1359" s="35"/>
      <c r="AD1359" s="73"/>
      <c r="AF1359" s="112" t="str">
        <f t="shared" si="42"/>
        <v/>
      </c>
      <c r="AG1359" s="113" t="str">
        <f>IF(AF1359="","",COUNTIF(AF1359:AF$3000,AF1359))</f>
        <v/>
      </c>
      <c r="AH1359" s="114" t="str">
        <f t="shared" si="43"/>
        <v/>
      </c>
    </row>
    <row r="1360" spans="6:34" x14ac:dyDescent="0.3">
      <c r="F1360" s="35"/>
      <c r="J1360" s="35"/>
      <c r="K1360" s="35"/>
      <c r="L1360" s="35"/>
      <c r="AD1360" s="73"/>
      <c r="AF1360" s="112" t="str">
        <f t="shared" si="42"/>
        <v/>
      </c>
      <c r="AG1360" s="113" t="str">
        <f>IF(AF1360="","",COUNTIF(AF1360:AF$3000,AF1360))</f>
        <v/>
      </c>
      <c r="AH1360" s="114" t="str">
        <f t="shared" si="43"/>
        <v/>
      </c>
    </row>
    <row r="1361" spans="6:34" x14ac:dyDescent="0.3">
      <c r="F1361" s="35"/>
      <c r="J1361" s="35"/>
      <c r="K1361" s="35"/>
      <c r="L1361" s="35"/>
      <c r="AD1361" s="73"/>
      <c r="AF1361" s="112" t="str">
        <f t="shared" si="42"/>
        <v/>
      </c>
      <c r="AG1361" s="113" t="str">
        <f>IF(AF1361="","",COUNTIF(AF1361:AF$3000,AF1361))</f>
        <v/>
      </c>
      <c r="AH1361" s="114" t="str">
        <f t="shared" si="43"/>
        <v/>
      </c>
    </row>
    <row r="1362" spans="6:34" x14ac:dyDescent="0.3">
      <c r="F1362" s="35"/>
      <c r="J1362" s="35"/>
      <c r="K1362" s="35"/>
      <c r="L1362" s="35"/>
      <c r="AD1362" s="73"/>
      <c r="AF1362" s="112" t="str">
        <f t="shared" si="42"/>
        <v/>
      </c>
      <c r="AG1362" s="113" t="str">
        <f>IF(AF1362="","",COUNTIF(AF1362:AF$3000,AF1362))</f>
        <v/>
      </c>
      <c r="AH1362" s="114" t="str">
        <f t="shared" si="43"/>
        <v/>
      </c>
    </row>
    <row r="1363" spans="6:34" x14ac:dyDescent="0.3">
      <c r="F1363" s="35"/>
      <c r="J1363" s="35"/>
      <c r="K1363" s="35"/>
      <c r="L1363" s="35"/>
      <c r="AD1363" s="73"/>
      <c r="AF1363" s="112" t="str">
        <f t="shared" si="42"/>
        <v/>
      </c>
      <c r="AG1363" s="113" t="str">
        <f>IF(AF1363="","",COUNTIF(AF1363:AF$3000,AF1363))</f>
        <v/>
      </c>
      <c r="AH1363" s="114" t="str">
        <f t="shared" si="43"/>
        <v/>
      </c>
    </row>
    <row r="1364" spans="6:34" x14ac:dyDescent="0.3">
      <c r="F1364" s="35"/>
      <c r="J1364" s="35"/>
      <c r="K1364" s="35"/>
      <c r="L1364" s="35"/>
      <c r="AD1364" s="73"/>
      <c r="AF1364" s="112" t="str">
        <f t="shared" si="42"/>
        <v/>
      </c>
      <c r="AG1364" s="113" t="str">
        <f>IF(AF1364="","",COUNTIF(AF1364:AF$3000,AF1364))</f>
        <v/>
      </c>
      <c r="AH1364" s="114" t="str">
        <f t="shared" si="43"/>
        <v/>
      </c>
    </row>
    <row r="1365" spans="6:34" x14ac:dyDescent="0.3">
      <c r="F1365" s="35"/>
      <c r="J1365" s="35"/>
      <c r="K1365" s="35"/>
      <c r="L1365" s="35"/>
      <c r="AD1365" s="73"/>
      <c r="AF1365" s="112" t="str">
        <f t="shared" si="42"/>
        <v/>
      </c>
      <c r="AG1365" s="113" t="str">
        <f>IF(AF1365="","",COUNTIF(AF1365:AF$3000,AF1365))</f>
        <v/>
      </c>
      <c r="AH1365" s="114" t="str">
        <f t="shared" si="43"/>
        <v/>
      </c>
    </row>
    <row r="1366" spans="6:34" x14ac:dyDescent="0.3">
      <c r="F1366" s="35"/>
      <c r="J1366" s="35"/>
      <c r="K1366" s="35"/>
      <c r="L1366" s="35"/>
      <c r="AD1366" s="73"/>
      <c r="AF1366" s="112" t="str">
        <f t="shared" si="42"/>
        <v/>
      </c>
      <c r="AG1366" s="113" t="str">
        <f>IF(AF1366="","",COUNTIF(AF1366:AF$3000,AF1366))</f>
        <v/>
      </c>
      <c r="AH1366" s="114" t="str">
        <f t="shared" si="43"/>
        <v/>
      </c>
    </row>
    <row r="1367" spans="6:34" x14ac:dyDescent="0.3">
      <c r="F1367" s="35"/>
      <c r="J1367" s="35"/>
      <c r="K1367" s="35"/>
      <c r="L1367" s="35"/>
      <c r="AD1367" s="73"/>
      <c r="AF1367" s="112" t="str">
        <f t="shared" si="42"/>
        <v/>
      </c>
      <c r="AG1367" s="113" t="str">
        <f>IF(AF1367="","",COUNTIF(AF1367:AF$3000,AF1367))</f>
        <v/>
      </c>
      <c r="AH1367" s="114" t="str">
        <f t="shared" si="43"/>
        <v/>
      </c>
    </row>
    <row r="1368" spans="6:34" x14ac:dyDescent="0.3">
      <c r="F1368" s="35"/>
      <c r="J1368" s="35"/>
      <c r="K1368" s="35"/>
      <c r="L1368" s="35"/>
      <c r="AD1368" s="73"/>
      <c r="AF1368" s="112" t="str">
        <f t="shared" si="42"/>
        <v/>
      </c>
      <c r="AG1368" s="113" t="str">
        <f>IF(AF1368="","",COUNTIF(AF1368:AF$3000,AF1368))</f>
        <v/>
      </c>
      <c r="AH1368" s="114" t="str">
        <f t="shared" si="43"/>
        <v/>
      </c>
    </row>
    <row r="1369" spans="6:34" x14ac:dyDescent="0.3">
      <c r="F1369" s="35"/>
      <c r="J1369" s="35"/>
      <c r="K1369" s="35"/>
      <c r="L1369" s="35"/>
      <c r="AD1369" s="73"/>
      <c r="AF1369" s="112" t="str">
        <f t="shared" si="42"/>
        <v/>
      </c>
      <c r="AG1369" s="113" t="str">
        <f>IF(AF1369="","",COUNTIF(AF1369:AF$3000,AF1369))</f>
        <v/>
      </c>
      <c r="AH1369" s="114" t="str">
        <f t="shared" si="43"/>
        <v/>
      </c>
    </row>
    <row r="1370" spans="6:34" x14ac:dyDescent="0.3">
      <c r="F1370" s="35"/>
      <c r="J1370" s="35"/>
      <c r="K1370" s="35"/>
      <c r="L1370" s="35"/>
      <c r="AD1370" s="73"/>
      <c r="AF1370" s="112" t="str">
        <f t="shared" si="42"/>
        <v/>
      </c>
      <c r="AG1370" s="113" t="str">
        <f>IF(AF1370="","",COUNTIF(AF1370:AF$3000,AF1370))</f>
        <v/>
      </c>
      <c r="AH1370" s="114" t="str">
        <f t="shared" si="43"/>
        <v/>
      </c>
    </row>
    <row r="1371" spans="6:34" x14ac:dyDescent="0.3">
      <c r="F1371" s="35"/>
      <c r="J1371" s="35"/>
      <c r="K1371" s="35"/>
      <c r="L1371" s="35"/>
      <c r="AD1371" s="73"/>
      <c r="AF1371" s="112" t="str">
        <f t="shared" si="42"/>
        <v/>
      </c>
      <c r="AG1371" s="113" t="str">
        <f>IF(AF1371="","",COUNTIF(AF1371:AF$3000,AF1371))</f>
        <v/>
      </c>
      <c r="AH1371" s="114" t="str">
        <f t="shared" si="43"/>
        <v/>
      </c>
    </row>
    <row r="1372" spans="6:34" x14ac:dyDescent="0.3">
      <c r="F1372" s="35"/>
      <c r="J1372" s="35"/>
      <c r="K1372" s="35"/>
      <c r="L1372" s="35"/>
      <c r="AD1372" s="73"/>
      <c r="AF1372" s="112" t="str">
        <f t="shared" si="42"/>
        <v/>
      </c>
      <c r="AG1372" s="113" t="str">
        <f>IF(AF1372="","",COUNTIF(AF1372:AF$3000,AF1372))</f>
        <v/>
      </c>
      <c r="AH1372" s="114" t="str">
        <f t="shared" si="43"/>
        <v/>
      </c>
    </row>
    <row r="1373" spans="6:34" x14ac:dyDescent="0.3">
      <c r="F1373" s="35"/>
      <c r="J1373" s="35"/>
      <c r="K1373" s="35"/>
      <c r="L1373" s="35"/>
      <c r="AD1373" s="73"/>
      <c r="AF1373" s="112" t="str">
        <f t="shared" si="42"/>
        <v/>
      </c>
      <c r="AG1373" s="113" t="str">
        <f>IF(AF1373="","",COUNTIF(AF1373:AF$3000,AF1373))</f>
        <v/>
      </c>
      <c r="AH1373" s="114" t="str">
        <f t="shared" si="43"/>
        <v/>
      </c>
    </row>
    <row r="1374" spans="6:34" x14ac:dyDescent="0.3">
      <c r="F1374" s="35"/>
      <c r="J1374" s="35"/>
      <c r="K1374" s="35"/>
      <c r="L1374" s="35"/>
      <c r="AD1374" s="73"/>
      <c r="AF1374" s="112" t="str">
        <f t="shared" si="42"/>
        <v/>
      </c>
      <c r="AG1374" s="113" t="str">
        <f>IF(AF1374="","",COUNTIF(AF1374:AF$3000,AF1374))</f>
        <v/>
      </c>
      <c r="AH1374" s="114" t="str">
        <f t="shared" si="43"/>
        <v/>
      </c>
    </row>
    <row r="1375" spans="6:34" x14ac:dyDescent="0.3">
      <c r="F1375" s="35"/>
      <c r="J1375" s="35"/>
      <c r="K1375" s="35"/>
      <c r="L1375" s="35"/>
      <c r="AD1375" s="73"/>
      <c r="AF1375" s="112" t="str">
        <f t="shared" si="42"/>
        <v/>
      </c>
      <c r="AG1375" s="113" t="str">
        <f>IF(AF1375="","",COUNTIF(AF1375:AF$3000,AF1375))</f>
        <v/>
      </c>
      <c r="AH1375" s="114" t="str">
        <f t="shared" si="43"/>
        <v/>
      </c>
    </row>
    <row r="1376" spans="6:34" x14ac:dyDescent="0.3">
      <c r="F1376" s="35"/>
      <c r="J1376" s="35"/>
      <c r="K1376" s="35"/>
      <c r="L1376" s="35"/>
      <c r="AD1376" s="73"/>
      <c r="AF1376" s="112" t="str">
        <f t="shared" si="42"/>
        <v/>
      </c>
      <c r="AG1376" s="113" t="str">
        <f>IF(AF1376="","",COUNTIF(AF1376:AF$3000,AF1376))</f>
        <v/>
      </c>
      <c r="AH1376" s="114" t="str">
        <f t="shared" si="43"/>
        <v/>
      </c>
    </row>
    <row r="1377" spans="6:34" x14ac:dyDescent="0.3">
      <c r="F1377" s="35"/>
      <c r="J1377" s="35"/>
      <c r="K1377" s="35"/>
      <c r="L1377" s="35"/>
      <c r="AD1377" s="73"/>
      <c r="AF1377" s="112" t="str">
        <f t="shared" si="42"/>
        <v/>
      </c>
      <c r="AG1377" s="113" t="str">
        <f>IF(AF1377="","",COUNTIF(AF1377:AF$3000,AF1377))</f>
        <v/>
      </c>
      <c r="AH1377" s="114" t="str">
        <f t="shared" si="43"/>
        <v/>
      </c>
    </row>
    <row r="1378" spans="6:34" x14ac:dyDescent="0.3">
      <c r="F1378" s="35"/>
      <c r="J1378" s="35"/>
      <c r="K1378" s="35"/>
      <c r="L1378" s="35"/>
      <c r="AD1378" s="73"/>
      <c r="AF1378" s="112" t="str">
        <f t="shared" si="42"/>
        <v/>
      </c>
      <c r="AG1378" s="113" t="str">
        <f>IF(AF1378="","",COUNTIF(AF1378:AF$3000,AF1378))</f>
        <v/>
      </c>
      <c r="AH1378" s="114" t="str">
        <f t="shared" si="43"/>
        <v/>
      </c>
    </row>
    <row r="1379" spans="6:34" x14ac:dyDescent="0.3">
      <c r="F1379" s="35"/>
      <c r="J1379" s="35"/>
      <c r="K1379" s="35"/>
      <c r="L1379" s="35"/>
      <c r="AD1379" s="73"/>
      <c r="AF1379" s="112" t="str">
        <f t="shared" si="42"/>
        <v/>
      </c>
      <c r="AG1379" s="113" t="str">
        <f>IF(AF1379="","",COUNTIF(AF1379:AF$3000,AF1379))</f>
        <v/>
      </c>
      <c r="AH1379" s="114" t="str">
        <f t="shared" si="43"/>
        <v/>
      </c>
    </row>
    <row r="1380" spans="6:34" x14ac:dyDescent="0.3">
      <c r="F1380" s="35"/>
      <c r="J1380" s="35"/>
      <c r="K1380" s="35"/>
      <c r="L1380" s="35"/>
      <c r="AD1380" s="73"/>
      <c r="AF1380" s="112" t="str">
        <f t="shared" si="42"/>
        <v/>
      </c>
      <c r="AG1380" s="113" t="str">
        <f>IF(AF1380="","",COUNTIF(AF1380:AF$3000,AF1380))</f>
        <v/>
      </c>
      <c r="AH1380" s="114" t="str">
        <f t="shared" si="43"/>
        <v/>
      </c>
    </row>
    <row r="1381" spans="6:34" x14ac:dyDescent="0.3">
      <c r="F1381" s="35"/>
      <c r="J1381" s="35"/>
      <c r="K1381" s="35"/>
      <c r="L1381" s="35"/>
      <c r="AD1381" s="73"/>
      <c r="AF1381" s="112" t="str">
        <f t="shared" si="42"/>
        <v/>
      </c>
      <c r="AG1381" s="113" t="str">
        <f>IF(AF1381="","",COUNTIF(AF1381:AF$3000,AF1381))</f>
        <v/>
      </c>
      <c r="AH1381" s="114" t="str">
        <f t="shared" si="43"/>
        <v/>
      </c>
    </row>
    <row r="1382" spans="6:34" x14ac:dyDescent="0.3">
      <c r="F1382" s="35"/>
      <c r="J1382" s="35"/>
      <c r="K1382" s="35"/>
      <c r="L1382" s="35"/>
      <c r="AD1382" s="73"/>
      <c r="AF1382" s="112" t="str">
        <f t="shared" si="42"/>
        <v/>
      </c>
      <c r="AG1382" s="113" t="str">
        <f>IF(AF1382="","",COUNTIF(AF1382:AF$3000,AF1382))</f>
        <v/>
      </c>
      <c r="AH1382" s="114" t="str">
        <f t="shared" si="43"/>
        <v/>
      </c>
    </row>
    <row r="1383" spans="6:34" x14ac:dyDescent="0.3">
      <c r="F1383" s="35"/>
      <c r="J1383" s="35"/>
      <c r="K1383" s="35"/>
      <c r="L1383" s="35"/>
      <c r="AD1383" s="73"/>
      <c r="AF1383" s="112" t="str">
        <f t="shared" si="42"/>
        <v/>
      </c>
      <c r="AG1383" s="113" t="str">
        <f>IF(AF1383="","",COUNTIF(AF1383:AF$3000,AF1383))</f>
        <v/>
      </c>
      <c r="AH1383" s="114" t="str">
        <f t="shared" si="43"/>
        <v/>
      </c>
    </row>
    <row r="1384" spans="6:34" x14ac:dyDescent="0.3">
      <c r="F1384" s="35"/>
      <c r="J1384" s="35"/>
      <c r="K1384" s="35"/>
      <c r="L1384" s="35"/>
      <c r="AD1384" s="73"/>
      <c r="AF1384" s="112" t="str">
        <f t="shared" si="42"/>
        <v/>
      </c>
      <c r="AG1384" s="113" t="str">
        <f>IF(AF1384="","",COUNTIF(AF1384:AF$3000,AF1384))</f>
        <v/>
      </c>
      <c r="AH1384" s="114" t="str">
        <f t="shared" si="43"/>
        <v/>
      </c>
    </row>
    <row r="1385" spans="6:34" x14ac:dyDescent="0.3">
      <c r="F1385" s="35"/>
      <c r="J1385" s="35"/>
      <c r="K1385" s="35"/>
      <c r="L1385" s="35"/>
      <c r="AD1385" s="73"/>
      <c r="AF1385" s="112" t="str">
        <f t="shared" si="42"/>
        <v/>
      </c>
      <c r="AG1385" s="113" t="str">
        <f>IF(AF1385="","",COUNTIF(AF1385:AF$3000,AF1385))</f>
        <v/>
      </c>
      <c r="AH1385" s="114" t="str">
        <f t="shared" si="43"/>
        <v/>
      </c>
    </row>
    <row r="1386" spans="6:34" x14ac:dyDescent="0.3">
      <c r="F1386" s="35"/>
      <c r="J1386" s="35"/>
      <c r="K1386" s="35"/>
      <c r="L1386" s="35"/>
      <c r="AD1386" s="73"/>
      <c r="AF1386" s="112" t="str">
        <f t="shared" si="42"/>
        <v/>
      </c>
      <c r="AG1386" s="113" t="str">
        <f>IF(AF1386="","",COUNTIF(AF1386:AF$3000,AF1386))</f>
        <v/>
      </c>
      <c r="AH1386" s="114" t="str">
        <f t="shared" si="43"/>
        <v/>
      </c>
    </row>
    <row r="1387" spans="6:34" x14ac:dyDescent="0.3">
      <c r="F1387" s="35"/>
      <c r="J1387" s="35"/>
      <c r="K1387" s="35"/>
      <c r="L1387" s="35"/>
      <c r="AD1387" s="73"/>
      <c r="AF1387" s="112" t="str">
        <f t="shared" si="42"/>
        <v/>
      </c>
      <c r="AG1387" s="113" t="str">
        <f>IF(AF1387="","",COUNTIF(AF1387:AF$3000,AF1387))</f>
        <v/>
      </c>
      <c r="AH1387" s="114" t="str">
        <f t="shared" si="43"/>
        <v/>
      </c>
    </row>
    <row r="1388" spans="6:34" x14ac:dyDescent="0.3">
      <c r="F1388" s="35"/>
      <c r="J1388" s="35"/>
      <c r="K1388" s="35"/>
      <c r="L1388" s="35"/>
      <c r="AD1388" s="73"/>
      <c r="AF1388" s="112" t="str">
        <f t="shared" si="42"/>
        <v/>
      </c>
      <c r="AG1388" s="113" t="str">
        <f>IF(AF1388="","",COUNTIF(AF1388:AF$3000,AF1388))</f>
        <v/>
      </c>
      <c r="AH1388" s="114" t="str">
        <f t="shared" si="43"/>
        <v/>
      </c>
    </row>
    <row r="1389" spans="6:34" x14ac:dyDescent="0.3">
      <c r="F1389" s="35"/>
      <c r="J1389" s="35"/>
      <c r="K1389" s="35"/>
      <c r="L1389" s="35"/>
      <c r="AD1389" s="73"/>
      <c r="AF1389" s="112" t="str">
        <f t="shared" si="42"/>
        <v/>
      </c>
      <c r="AG1389" s="113" t="str">
        <f>IF(AF1389="","",COUNTIF(AF1389:AF$3000,AF1389))</f>
        <v/>
      </c>
      <c r="AH1389" s="114" t="str">
        <f t="shared" si="43"/>
        <v/>
      </c>
    </row>
    <row r="1390" spans="6:34" x14ac:dyDescent="0.3">
      <c r="F1390" s="35"/>
      <c r="J1390" s="35"/>
      <c r="K1390" s="35"/>
      <c r="L1390" s="35"/>
      <c r="AD1390" s="73"/>
      <c r="AF1390" s="112" t="str">
        <f t="shared" si="42"/>
        <v/>
      </c>
      <c r="AG1390" s="113" t="str">
        <f>IF(AF1390="","",COUNTIF(AF1390:AF$3000,AF1390))</f>
        <v/>
      </c>
      <c r="AH1390" s="114" t="str">
        <f t="shared" si="43"/>
        <v/>
      </c>
    </row>
    <row r="1391" spans="6:34" x14ac:dyDescent="0.3">
      <c r="F1391" s="35"/>
      <c r="J1391" s="35"/>
      <c r="K1391" s="35"/>
      <c r="L1391" s="35"/>
      <c r="AD1391" s="73"/>
      <c r="AF1391" s="112" t="str">
        <f t="shared" si="42"/>
        <v/>
      </c>
      <c r="AG1391" s="113" t="str">
        <f>IF(AF1391="","",COUNTIF(AF1391:AF$3000,AF1391))</f>
        <v/>
      </c>
      <c r="AH1391" s="114" t="str">
        <f t="shared" si="43"/>
        <v/>
      </c>
    </row>
    <row r="1392" spans="6:34" x14ac:dyDescent="0.3">
      <c r="F1392" s="35"/>
      <c r="J1392" s="35"/>
      <c r="K1392" s="35"/>
      <c r="L1392" s="35"/>
      <c r="AD1392" s="73"/>
      <c r="AF1392" s="112" t="str">
        <f t="shared" si="42"/>
        <v/>
      </c>
      <c r="AG1392" s="113" t="str">
        <f>IF(AF1392="","",COUNTIF(AF1392:AF$3000,AF1392))</f>
        <v/>
      </c>
      <c r="AH1392" s="114" t="str">
        <f t="shared" si="43"/>
        <v/>
      </c>
    </row>
    <row r="1393" spans="6:34" x14ac:dyDescent="0.3">
      <c r="F1393" s="35"/>
      <c r="J1393" s="35"/>
      <c r="K1393" s="35"/>
      <c r="L1393" s="35"/>
      <c r="AD1393" s="73"/>
      <c r="AF1393" s="112" t="str">
        <f t="shared" si="42"/>
        <v/>
      </c>
      <c r="AG1393" s="113" t="str">
        <f>IF(AF1393="","",COUNTIF(AF1393:AF$3000,AF1393))</f>
        <v/>
      </c>
      <c r="AH1393" s="114" t="str">
        <f t="shared" si="43"/>
        <v/>
      </c>
    </row>
    <row r="1394" spans="6:34" x14ac:dyDescent="0.3">
      <c r="F1394" s="35"/>
      <c r="J1394" s="35"/>
      <c r="K1394" s="35"/>
      <c r="L1394" s="35"/>
      <c r="AD1394" s="73"/>
      <c r="AF1394" s="112" t="str">
        <f t="shared" si="42"/>
        <v/>
      </c>
      <c r="AG1394" s="113" t="str">
        <f>IF(AF1394="","",COUNTIF(AF1394:AF$3000,AF1394))</f>
        <v/>
      </c>
      <c r="AH1394" s="114" t="str">
        <f t="shared" si="43"/>
        <v/>
      </c>
    </row>
    <row r="1395" spans="6:34" x14ac:dyDescent="0.3">
      <c r="F1395" s="35"/>
      <c r="J1395" s="35"/>
      <c r="K1395" s="35"/>
      <c r="L1395" s="35"/>
      <c r="AD1395" s="73"/>
      <c r="AF1395" s="112" t="str">
        <f t="shared" si="42"/>
        <v/>
      </c>
      <c r="AG1395" s="113" t="str">
        <f>IF(AF1395="","",COUNTIF(AF1395:AF$3000,AF1395))</f>
        <v/>
      </c>
      <c r="AH1395" s="114" t="str">
        <f t="shared" si="43"/>
        <v/>
      </c>
    </row>
    <row r="1396" spans="6:34" x14ac:dyDescent="0.3">
      <c r="F1396" s="35"/>
      <c r="J1396" s="35"/>
      <c r="K1396" s="35"/>
      <c r="L1396" s="35"/>
      <c r="AD1396" s="73"/>
      <c r="AF1396" s="112" t="str">
        <f t="shared" si="42"/>
        <v/>
      </c>
      <c r="AG1396" s="113" t="str">
        <f>IF(AF1396="","",COUNTIF(AF1396:AF$3000,AF1396))</f>
        <v/>
      </c>
      <c r="AH1396" s="114" t="str">
        <f t="shared" si="43"/>
        <v/>
      </c>
    </row>
    <row r="1397" spans="6:34" x14ac:dyDescent="0.3">
      <c r="F1397" s="35"/>
      <c r="J1397" s="35"/>
      <c r="K1397" s="35"/>
      <c r="L1397" s="35"/>
      <c r="AD1397" s="73"/>
      <c r="AF1397" s="112" t="str">
        <f t="shared" si="42"/>
        <v/>
      </c>
      <c r="AG1397" s="113" t="str">
        <f>IF(AF1397="","",COUNTIF(AF1397:AF$3000,AF1397))</f>
        <v/>
      </c>
      <c r="AH1397" s="114" t="str">
        <f t="shared" si="43"/>
        <v/>
      </c>
    </row>
    <row r="1398" spans="6:34" x14ac:dyDescent="0.3">
      <c r="F1398" s="35"/>
      <c r="J1398" s="35"/>
      <c r="K1398" s="35"/>
      <c r="L1398" s="35"/>
      <c r="AD1398" s="73"/>
      <c r="AF1398" s="112" t="str">
        <f t="shared" si="42"/>
        <v/>
      </c>
      <c r="AG1398" s="113" t="str">
        <f>IF(AF1398="","",COUNTIF(AF1398:AF$3000,AF1398))</f>
        <v/>
      </c>
      <c r="AH1398" s="114" t="str">
        <f t="shared" si="43"/>
        <v/>
      </c>
    </row>
    <row r="1399" spans="6:34" x14ac:dyDescent="0.3">
      <c r="F1399" s="35"/>
      <c r="J1399" s="35"/>
      <c r="K1399" s="35"/>
      <c r="L1399" s="35"/>
      <c r="AD1399" s="73"/>
      <c r="AF1399" s="112" t="str">
        <f t="shared" si="42"/>
        <v/>
      </c>
      <c r="AG1399" s="113" t="str">
        <f>IF(AF1399="","",COUNTIF(AF1399:AF$3000,AF1399))</f>
        <v/>
      </c>
      <c r="AH1399" s="114" t="str">
        <f t="shared" si="43"/>
        <v/>
      </c>
    </row>
    <row r="1400" spans="6:34" x14ac:dyDescent="0.3">
      <c r="F1400" s="35"/>
      <c r="J1400" s="35"/>
      <c r="K1400" s="35"/>
      <c r="L1400" s="35"/>
      <c r="AD1400" s="73"/>
      <c r="AF1400" s="112" t="str">
        <f t="shared" si="42"/>
        <v/>
      </c>
      <c r="AG1400" s="113" t="str">
        <f>IF(AF1400="","",COUNTIF(AF1400:AF$3000,AF1400))</f>
        <v/>
      </c>
      <c r="AH1400" s="114" t="str">
        <f t="shared" si="43"/>
        <v/>
      </c>
    </row>
    <row r="1401" spans="6:34" x14ac:dyDescent="0.3">
      <c r="F1401" s="35"/>
      <c r="J1401" s="35"/>
      <c r="K1401" s="35"/>
      <c r="L1401" s="35"/>
      <c r="AD1401" s="73"/>
      <c r="AF1401" s="112" t="str">
        <f t="shared" si="42"/>
        <v/>
      </c>
      <c r="AG1401" s="113" t="str">
        <f>IF(AF1401="","",COUNTIF(AF1401:AF$3000,AF1401))</f>
        <v/>
      </c>
      <c r="AH1401" s="114" t="str">
        <f t="shared" si="43"/>
        <v/>
      </c>
    </row>
    <row r="1402" spans="6:34" x14ac:dyDescent="0.3">
      <c r="F1402" s="35"/>
      <c r="J1402" s="35"/>
      <c r="K1402" s="35"/>
      <c r="L1402" s="35"/>
      <c r="AD1402" s="73"/>
      <c r="AF1402" s="112" t="str">
        <f t="shared" si="42"/>
        <v/>
      </c>
      <c r="AG1402" s="113" t="str">
        <f>IF(AF1402="","",COUNTIF(AF1402:AF$3000,AF1402))</f>
        <v/>
      </c>
      <c r="AH1402" s="114" t="str">
        <f t="shared" si="43"/>
        <v/>
      </c>
    </row>
    <row r="1403" spans="6:34" x14ac:dyDescent="0.3">
      <c r="F1403" s="35"/>
      <c r="J1403" s="35"/>
      <c r="K1403" s="35"/>
      <c r="L1403" s="35"/>
      <c r="AD1403" s="73"/>
      <c r="AF1403" s="112" t="str">
        <f t="shared" si="42"/>
        <v/>
      </c>
      <c r="AG1403" s="113" t="str">
        <f>IF(AF1403="","",COUNTIF(AF1403:AF$3000,AF1403))</f>
        <v/>
      </c>
      <c r="AH1403" s="114" t="str">
        <f t="shared" si="43"/>
        <v/>
      </c>
    </row>
    <row r="1404" spans="6:34" x14ac:dyDescent="0.3">
      <c r="F1404" s="35"/>
      <c r="J1404" s="35"/>
      <c r="K1404" s="35"/>
      <c r="L1404" s="35"/>
      <c r="AD1404" s="73"/>
      <c r="AF1404" s="112" t="str">
        <f t="shared" si="42"/>
        <v/>
      </c>
      <c r="AG1404" s="113" t="str">
        <f>IF(AF1404="","",COUNTIF(AF1404:AF$3000,AF1404))</f>
        <v/>
      </c>
      <c r="AH1404" s="114" t="str">
        <f t="shared" si="43"/>
        <v/>
      </c>
    </row>
    <row r="1405" spans="6:34" x14ac:dyDescent="0.3">
      <c r="F1405" s="35"/>
      <c r="J1405" s="35"/>
      <c r="K1405" s="35"/>
      <c r="L1405" s="35"/>
      <c r="AD1405" s="73"/>
      <c r="AF1405" s="112" t="str">
        <f t="shared" si="42"/>
        <v/>
      </c>
      <c r="AG1405" s="113" t="str">
        <f>IF(AF1405="","",COUNTIF(AF1405:AF$3000,AF1405))</f>
        <v/>
      </c>
      <c r="AH1405" s="114" t="str">
        <f t="shared" si="43"/>
        <v/>
      </c>
    </row>
    <row r="1406" spans="6:34" x14ac:dyDescent="0.3">
      <c r="F1406" s="35"/>
      <c r="J1406" s="35"/>
      <c r="K1406" s="35"/>
      <c r="L1406" s="35"/>
      <c r="AD1406" s="73"/>
      <c r="AF1406" s="112" t="str">
        <f t="shared" si="42"/>
        <v/>
      </c>
      <c r="AG1406" s="113" t="str">
        <f>IF(AF1406="","",COUNTIF(AF1406:AF$3000,AF1406))</f>
        <v/>
      </c>
      <c r="AH1406" s="114" t="str">
        <f t="shared" si="43"/>
        <v/>
      </c>
    </row>
    <row r="1407" spans="6:34" x14ac:dyDescent="0.3">
      <c r="F1407" s="35"/>
      <c r="J1407" s="35"/>
      <c r="K1407" s="35"/>
      <c r="L1407" s="35"/>
      <c r="AD1407" s="73"/>
      <c r="AF1407" s="112" t="str">
        <f t="shared" si="42"/>
        <v/>
      </c>
      <c r="AG1407" s="113" t="str">
        <f>IF(AF1407="","",COUNTIF(AF1407:AF$3000,AF1407))</f>
        <v/>
      </c>
      <c r="AH1407" s="114" t="str">
        <f t="shared" si="43"/>
        <v/>
      </c>
    </row>
    <row r="1408" spans="6:34" x14ac:dyDescent="0.3">
      <c r="F1408" s="35"/>
      <c r="J1408" s="35"/>
      <c r="K1408" s="35"/>
      <c r="L1408" s="35"/>
      <c r="AD1408" s="73"/>
      <c r="AF1408" s="112" t="str">
        <f t="shared" si="42"/>
        <v/>
      </c>
      <c r="AG1408" s="113" t="str">
        <f>IF(AF1408="","",COUNTIF(AF1408:AF$3000,AF1408))</f>
        <v/>
      </c>
      <c r="AH1408" s="114" t="str">
        <f t="shared" si="43"/>
        <v/>
      </c>
    </row>
    <row r="1409" spans="6:34" x14ac:dyDescent="0.3">
      <c r="F1409" s="35"/>
      <c r="J1409" s="35"/>
      <c r="K1409" s="35"/>
      <c r="L1409" s="35"/>
      <c r="AD1409" s="73"/>
      <c r="AF1409" s="112" t="str">
        <f t="shared" si="42"/>
        <v/>
      </c>
      <c r="AG1409" s="113" t="str">
        <f>IF(AF1409="","",COUNTIF(AF1409:AF$3000,AF1409))</f>
        <v/>
      </c>
      <c r="AH1409" s="114" t="str">
        <f t="shared" si="43"/>
        <v/>
      </c>
    </row>
    <row r="1410" spans="6:34" x14ac:dyDescent="0.3">
      <c r="F1410" s="35"/>
      <c r="J1410" s="35"/>
      <c r="K1410" s="35"/>
      <c r="L1410" s="35"/>
      <c r="AD1410" s="73"/>
      <c r="AF1410" s="112" t="str">
        <f t="shared" si="42"/>
        <v/>
      </c>
      <c r="AG1410" s="113" t="str">
        <f>IF(AF1410="","",COUNTIF(AF1410:AF$3000,AF1410))</f>
        <v/>
      </c>
      <c r="AH1410" s="114" t="str">
        <f t="shared" si="43"/>
        <v/>
      </c>
    </row>
    <row r="1411" spans="6:34" x14ac:dyDescent="0.3">
      <c r="F1411" s="35"/>
      <c r="J1411" s="35"/>
      <c r="K1411" s="35"/>
      <c r="L1411" s="35"/>
      <c r="AD1411" s="73"/>
      <c r="AF1411" s="112" t="str">
        <f t="shared" si="42"/>
        <v/>
      </c>
      <c r="AG1411" s="113" t="str">
        <f>IF(AF1411="","",COUNTIF(AF1411:AF$3000,AF1411))</f>
        <v/>
      </c>
      <c r="AH1411" s="114" t="str">
        <f t="shared" si="43"/>
        <v/>
      </c>
    </row>
    <row r="1412" spans="6:34" x14ac:dyDescent="0.3">
      <c r="F1412" s="35"/>
      <c r="J1412" s="35"/>
      <c r="K1412" s="35"/>
      <c r="L1412" s="35"/>
      <c r="AD1412" s="73"/>
      <c r="AF1412" s="112" t="str">
        <f t="shared" ref="AF1412:AF1475" si="44">IF(B1412="","",TEXT(J1412,"DD/MM/AA")&amp;"_"&amp;S1412&amp;"_"&amp;V1412)</f>
        <v/>
      </c>
      <c r="AG1412" s="113" t="str">
        <f>IF(AF1412="","",COUNTIF(AF1412:AF$3000,AF1412))</f>
        <v/>
      </c>
      <c r="AH1412" s="114" t="str">
        <f t="shared" ref="AH1412:AH1475" si="45">IF(AA1412="","",
IF(AG1412&gt;1,"",
IF(SUMIF(AF$3:AF$31,AF1412,H$3:H$31)/10&lt;1,1,SUMIF(AF$3:AF$31,AF1412,H$3:H$31)/10)))</f>
        <v/>
      </c>
    </row>
    <row r="1413" spans="6:34" x14ac:dyDescent="0.3">
      <c r="F1413" s="35"/>
      <c r="J1413" s="35"/>
      <c r="K1413" s="35"/>
      <c r="L1413" s="35"/>
      <c r="AD1413" s="73"/>
      <c r="AF1413" s="112" t="str">
        <f t="shared" si="44"/>
        <v/>
      </c>
      <c r="AG1413" s="113" t="str">
        <f>IF(AF1413="","",COUNTIF(AF1413:AF$3000,AF1413))</f>
        <v/>
      </c>
      <c r="AH1413" s="114" t="str">
        <f t="shared" si="45"/>
        <v/>
      </c>
    </row>
    <row r="1414" spans="6:34" x14ac:dyDescent="0.3">
      <c r="F1414" s="35"/>
      <c r="J1414" s="35"/>
      <c r="K1414" s="35"/>
      <c r="L1414" s="35"/>
      <c r="AD1414" s="73"/>
      <c r="AF1414" s="112" t="str">
        <f t="shared" si="44"/>
        <v/>
      </c>
      <c r="AG1414" s="113" t="str">
        <f>IF(AF1414="","",COUNTIF(AF1414:AF$3000,AF1414))</f>
        <v/>
      </c>
      <c r="AH1414" s="114" t="str">
        <f t="shared" si="45"/>
        <v/>
      </c>
    </row>
    <row r="1415" spans="6:34" x14ac:dyDescent="0.3">
      <c r="F1415" s="35"/>
      <c r="J1415" s="35"/>
      <c r="K1415" s="35"/>
      <c r="L1415" s="35"/>
      <c r="AD1415" s="73"/>
      <c r="AF1415" s="112" t="str">
        <f t="shared" si="44"/>
        <v/>
      </c>
      <c r="AG1415" s="113" t="str">
        <f>IF(AF1415="","",COUNTIF(AF1415:AF$3000,AF1415))</f>
        <v/>
      </c>
      <c r="AH1415" s="114" t="str">
        <f t="shared" si="45"/>
        <v/>
      </c>
    </row>
    <row r="1416" spans="6:34" x14ac:dyDescent="0.3">
      <c r="F1416" s="35"/>
      <c r="J1416" s="35"/>
      <c r="K1416" s="35"/>
      <c r="L1416" s="35"/>
      <c r="AD1416" s="73"/>
      <c r="AF1416" s="112" t="str">
        <f t="shared" si="44"/>
        <v/>
      </c>
      <c r="AG1416" s="113" t="str">
        <f>IF(AF1416="","",COUNTIF(AF1416:AF$3000,AF1416))</f>
        <v/>
      </c>
      <c r="AH1416" s="114" t="str">
        <f t="shared" si="45"/>
        <v/>
      </c>
    </row>
    <row r="1417" spans="6:34" x14ac:dyDescent="0.3">
      <c r="F1417" s="35"/>
      <c r="J1417" s="35"/>
      <c r="K1417" s="35"/>
      <c r="L1417" s="35"/>
      <c r="AD1417" s="73"/>
      <c r="AF1417" s="112" t="str">
        <f t="shared" si="44"/>
        <v/>
      </c>
      <c r="AG1417" s="113" t="str">
        <f>IF(AF1417="","",COUNTIF(AF1417:AF$3000,AF1417))</f>
        <v/>
      </c>
      <c r="AH1417" s="114" t="str">
        <f t="shared" si="45"/>
        <v/>
      </c>
    </row>
    <row r="1418" spans="6:34" x14ac:dyDescent="0.3">
      <c r="F1418" s="35"/>
      <c r="J1418" s="35"/>
      <c r="K1418" s="35"/>
      <c r="L1418" s="35"/>
      <c r="AD1418" s="73"/>
      <c r="AF1418" s="112" t="str">
        <f t="shared" si="44"/>
        <v/>
      </c>
      <c r="AG1418" s="113" t="str">
        <f>IF(AF1418="","",COUNTIF(AF1418:AF$3000,AF1418))</f>
        <v/>
      </c>
      <c r="AH1418" s="114" t="str">
        <f t="shared" si="45"/>
        <v/>
      </c>
    </row>
    <row r="1419" spans="6:34" x14ac:dyDescent="0.3">
      <c r="F1419" s="35"/>
      <c r="J1419" s="35"/>
      <c r="K1419" s="35"/>
      <c r="L1419" s="35"/>
      <c r="AD1419" s="73"/>
      <c r="AF1419" s="112" t="str">
        <f t="shared" si="44"/>
        <v/>
      </c>
      <c r="AG1419" s="113" t="str">
        <f>IF(AF1419="","",COUNTIF(AF1419:AF$3000,AF1419))</f>
        <v/>
      </c>
      <c r="AH1419" s="114" t="str">
        <f t="shared" si="45"/>
        <v/>
      </c>
    </row>
    <row r="1420" spans="6:34" x14ac:dyDescent="0.3">
      <c r="F1420" s="35"/>
      <c r="J1420" s="35"/>
      <c r="K1420" s="35"/>
      <c r="L1420" s="35"/>
      <c r="AD1420" s="73"/>
      <c r="AF1420" s="112" t="str">
        <f t="shared" si="44"/>
        <v/>
      </c>
      <c r="AG1420" s="113" t="str">
        <f>IF(AF1420="","",COUNTIF(AF1420:AF$3000,AF1420))</f>
        <v/>
      </c>
      <c r="AH1420" s="114" t="str">
        <f t="shared" si="45"/>
        <v/>
      </c>
    </row>
    <row r="1421" spans="6:34" x14ac:dyDescent="0.3">
      <c r="F1421" s="35"/>
      <c r="J1421" s="35"/>
      <c r="K1421" s="35"/>
      <c r="L1421" s="35"/>
      <c r="AD1421" s="73"/>
      <c r="AF1421" s="112" t="str">
        <f t="shared" si="44"/>
        <v/>
      </c>
      <c r="AG1421" s="113" t="str">
        <f>IF(AF1421="","",COUNTIF(AF1421:AF$3000,AF1421))</f>
        <v/>
      </c>
      <c r="AH1421" s="114" t="str">
        <f t="shared" si="45"/>
        <v/>
      </c>
    </row>
    <row r="1422" spans="6:34" x14ac:dyDescent="0.3">
      <c r="F1422" s="35"/>
      <c r="J1422" s="35"/>
      <c r="K1422" s="35"/>
      <c r="L1422" s="35"/>
      <c r="AD1422" s="73"/>
      <c r="AF1422" s="112" t="str">
        <f t="shared" si="44"/>
        <v/>
      </c>
      <c r="AG1422" s="113" t="str">
        <f>IF(AF1422="","",COUNTIF(AF1422:AF$3000,AF1422))</f>
        <v/>
      </c>
      <c r="AH1422" s="114" t="str">
        <f t="shared" si="45"/>
        <v/>
      </c>
    </row>
    <row r="1423" spans="6:34" x14ac:dyDescent="0.3">
      <c r="F1423" s="35"/>
      <c r="J1423" s="35"/>
      <c r="K1423" s="35"/>
      <c r="L1423" s="35"/>
      <c r="AD1423" s="73"/>
      <c r="AF1423" s="112" t="str">
        <f t="shared" si="44"/>
        <v/>
      </c>
      <c r="AG1423" s="113" t="str">
        <f>IF(AF1423="","",COUNTIF(AF1423:AF$3000,AF1423))</f>
        <v/>
      </c>
      <c r="AH1423" s="114" t="str">
        <f t="shared" si="45"/>
        <v/>
      </c>
    </row>
    <row r="1424" spans="6:34" x14ac:dyDescent="0.3">
      <c r="F1424" s="35"/>
      <c r="J1424" s="35"/>
      <c r="K1424" s="35"/>
      <c r="L1424" s="35"/>
      <c r="AD1424" s="73"/>
      <c r="AF1424" s="112" t="str">
        <f t="shared" si="44"/>
        <v/>
      </c>
      <c r="AG1424" s="113" t="str">
        <f>IF(AF1424="","",COUNTIF(AF1424:AF$3000,AF1424))</f>
        <v/>
      </c>
      <c r="AH1424" s="114" t="str">
        <f t="shared" si="45"/>
        <v/>
      </c>
    </row>
    <row r="1425" spans="6:34" x14ac:dyDescent="0.3">
      <c r="F1425" s="35"/>
      <c r="J1425" s="35"/>
      <c r="K1425" s="35"/>
      <c r="L1425" s="35"/>
      <c r="AD1425" s="73"/>
      <c r="AF1425" s="112" t="str">
        <f t="shared" si="44"/>
        <v/>
      </c>
      <c r="AG1425" s="113" t="str">
        <f>IF(AF1425="","",COUNTIF(AF1425:AF$3000,AF1425))</f>
        <v/>
      </c>
      <c r="AH1425" s="114" t="str">
        <f t="shared" si="45"/>
        <v/>
      </c>
    </row>
    <row r="1426" spans="6:34" x14ac:dyDescent="0.3">
      <c r="F1426" s="35"/>
      <c r="J1426" s="35"/>
      <c r="K1426" s="35"/>
      <c r="L1426" s="35"/>
      <c r="AD1426" s="73"/>
      <c r="AF1426" s="112" t="str">
        <f t="shared" si="44"/>
        <v/>
      </c>
      <c r="AG1426" s="113" t="str">
        <f>IF(AF1426="","",COUNTIF(AF1426:AF$3000,AF1426))</f>
        <v/>
      </c>
      <c r="AH1426" s="114" t="str">
        <f t="shared" si="45"/>
        <v/>
      </c>
    </row>
    <row r="1427" spans="6:34" x14ac:dyDescent="0.3">
      <c r="F1427" s="35"/>
      <c r="J1427" s="35"/>
      <c r="K1427" s="35"/>
      <c r="L1427" s="35"/>
      <c r="AD1427" s="73"/>
      <c r="AF1427" s="112" t="str">
        <f t="shared" si="44"/>
        <v/>
      </c>
      <c r="AG1427" s="113" t="str">
        <f>IF(AF1427="","",COUNTIF(AF1427:AF$3000,AF1427))</f>
        <v/>
      </c>
      <c r="AH1427" s="114" t="str">
        <f t="shared" si="45"/>
        <v/>
      </c>
    </row>
    <row r="1428" spans="6:34" x14ac:dyDescent="0.3">
      <c r="F1428" s="35"/>
      <c r="J1428" s="35"/>
      <c r="K1428" s="35"/>
      <c r="L1428" s="35"/>
      <c r="AD1428" s="73"/>
      <c r="AF1428" s="112" t="str">
        <f t="shared" si="44"/>
        <v/>
      </c>
      <c r="AG1428" s="113" t="str">
        <f>IF(AF1428="","",COUNTIF(AF1428:AF$3000,AF1428))</f>
        <v/>
      </c>
      <c r="AH1428" s="114" t="str">
        <f t="shared" si="45"/>
        <v/>
      </c>
    </row>
    <row r="1429" spans="6:34" x14ac:dyDescent="0.3">
      <c r="F1429" s="35"/>
      <c r="J1429" s="35"/>
      <c r="K1429" s="35"/>
      <c r="L1429" s="35"/>
      <c r="AD1429" s="73"/>
      <c r="AF1429" s="112" t="str">
        <f t="shared" si="44"/>
        <v/>
      </c>
      <c r="AG1429" s="113" t="str">
        <f>IF(AF1429="","",COUNTIF(AF1429:AF$3000,AF1429))</f>
        <v/>
      </c>
      <c r="AH1429" s="114" t="str">
        <f t="shared" si="45"/>
        <v/>
      </c>
    </row>
    <row r="1430" spans="6:34" x14ac:dyDescent="0.3">
      <c r="F1430" s="35"/>
      <c r="J1430" s="35"/>
      <c r="K1430" s="35"/>
      <c r="L1430" s="35"/>
      <c r="AD1430" s="73"/>
      <c r="AF1430" s="112" t="str">
        <f t="shared" si="44"/>
        <v/>
      </c>
      <c r="AG1430" s="113" t="str">
        <f>IF(AF1430="","",COUNTIF(AF1430:AF$3000,AF1430))</f>
        <v/>
      </c>
      <c r="AH1430" s="114" t="str">
        <f t="shared" si="45"/>
        <v/>
      </c>
    </row>
    <row r="1431" spans="6:34" x14ac:dyDescent="0.3">
      <c r="F1431" s="35"/>
      <c r="J1431" s="35"/>
      <c r="K1431" s="35"/>
      <c r="L1431" s="35"/>
      <c r="AD1431" s="73"/>
      <c r="AF1431" s="112" t="str">
        <f t="shared" si="44"/>
        <v/>
      </c>
      <c r="AG1431" s="113" t="str">
        <f>IF(AF1431="","",COUNTIF(AF1431:AF$3000,AF1431))</f>
        <v/>
      </c>
      <c r="AH1431" s="114" t="str">
        <f t="shared" si="45"/>
        <v/>
      </c>
    </row>
    <row r="1432" spans="6:34" x14ac:dyDescent="0.3">
      <c r="F1432" s="35"/>
      <c r="J1432" s="35"/>
      <c r="K1432" s="35"/>
      <c r="L1432" s="35"/>
      <c r="AD1432" s="73"/>
      <c r="AF1432" s="112" t="str">
        <f t="shared" si="44"/>
        <v/>
      </c>
      <c r="AG1432" s="113" t="str">
        <f>IF(AF1432="","",COUNTIF(AF1432:AF$3000,AF1432))</f>
        <v/>
      </c>
      <c r="AH1432" s="114" t="str">
        <f t="shared" si="45"/>
        <v/>
      </c>
    </row>
    <row r="1433" spans="6:34" x14ac:dyDescent="0.3">
      <c r="F1433" s="35"/>
      <c r="J1433" s="35"/>
      <c r="K1433" s="35"/>
      <c r="L1433" s="35"/>
      <c r="AD1433" s="73"/>
      <c r="AF1433" s="112" t="str">
        <f t="shared" si="44"/>
        <v/>
      </c>
      <c r="AG1433" s="113" t="str">
        <f>IF(AF1433="","",COUNTIF(AF1433:AF$3000,AF1433))</f>
        <v/>
      </c>
      <c r="AH1433" s="114" t="str">
        <f t="shared" si="45"/>
        <v/>
      </c>
    </row>
    <row r="1434" spans="6:34" x14ac:dyDescent="0.3">
      <c r="F1434" s="35"/>
      <c r="J1434" s="35"/>
      <c r="K1434" s="35"/>
      <c r="L1434" s="35"/>
      <c r="AD1434" s="73"/>
      <c r="AF1434" s="112" t="str">
        <f t="shared" si="44"/>
        <v/>
      </c>
      <c r="AG1434" s="113" t="str">
        <f>IF(AF1434="","",COUNTIF(AF1434:AF$3000,AF1434))</f>
        <v/>
      </c>
      <c r="AH1434" s="114" t="str">
        <f t="shared" si="45"/>
        <v/>
      </c>
    </row>
    <row r="1435" spans="6:34" x14ac:dyDescent="0.3">
      <c r="F1435" s="35"/>
      <c r="J1435" s="35"/>
      <c r="K1435" s="35"/>
      <c r="L1435" s="35"/>
      <c r="AD1435" s="73"/>
      <c r="AF1435" s="112" t="str">
        <f t="shared" si="44"/>
        <v/>
      </c>
      <c r="AG1435" s="113" t="str">
        <f>IF(AF1435="","",COUNTIF(AF1435:AF$3000,AF1435))</f>
        <v/>
      </c>
      <c r="AH1435" s="114" t="str">
        <f t="shared" si="45"/>
        <v/>
      </c>
    </row>
    <row r="1436" spans="6:34" x14ac:dyDescent="0.3">
      <c r="F1436" s="35"/>
      <c r="J1436" s="35"/>
      <c r="K1436" s="35"/>
      <c r="L1436" s="35"/>
      <c r="AD1436" s="73"/>
      <c r="AF1436" s="112" t="str">
        <f t="shared" si="44"/>
        <v/>
      </c>
      <c r="AG1436" s="113" t="str">
        <f>IF(AF1436="","",COUNTIF(AF1436:AF$3000,AF1436))</f>
        <v/>
      </c>
      <c r="AH1436" s="114" t="str">
        <f t="shared" si="45"/>
        <v/>
      </c>
    </row>
    <row r="1437" spans="6:34" x14ac:dyDescent="0.3">
      <c r="F1437" s="35"/>
      <c r="J1437" s="35"/>
      <c r="K1437" s="35"/>
      <c r="L1437" s="35"/>
      <c r="AD1437" s="73"/>
      <c r="AF1437" s="112" t="str">
        <f t="shared" si="44"/>
        <v/>
      </c>
      <c r="AG1437" s="113" t="str">
        <f>IF(AF1437="","",COUNTIF(AF1437:AF$3000,AF1437))</f>
        <v/>
      </c>
      <c r="AH1437" s="114" t="str">
        <f t="shared" si="45"/>
        <v/>
      </c>
    </row>
    <row r="1438" spans="6:34" x14ac:dyDescent="0.3">
      <c r="F1438" s="35"/>
      <c r="J1438" s="35"/>
      <c r="K1438" s="35"/>
      <c r="L1438" s="35"/>
      <c r="AD1438" s="73"/>
      <c r="AF1438" s="112" t="str">
        <f t="shared" si="44"/>
        <v/>
      </c>
      <c r="AG1438" s="113" t="str">
        <f>IF(AF1438="","",COUNTIF(AF1438:AF$3000,AF1438))</f>
        <v/>
      </c>
      <c r="AH1438" s="114" t="str">
        <f t="shared" si="45"/>
        <v/>
      </c>
    </row>
    <row r="1439" spans="6:34" x14ac:dyDescent="0.3">
      <c r="F1439" s="35"/>
      <c r="J1439" s="35"/>
      <c r="K1439" s="35"/>
      <c r="L1439" s="35"/>
      <c r="AD1439" s="73"/>
      <c r="AF1439" s="112" t="str">
        <f t="shared" si="44"/>
        <v/>
      </c>
      <c r="AG1439" s="113" t="str">
        <f>IF(AF1439="","",COUNTIF(AF1439:AF$3000,AF1439))</f>
        <v/>
      </c>
      <c r="AH1439" s="114" t="str">
        <f t="shared" si="45"/>
        <v/>
      </c>
    </row>
    <row r="1440" spans="6:34" x14ac:dyDescent="0.3">
      <c r="F1440" s="35"/>
      <c r="J1440" s="35"/>
      <c r="K1440" s="35"/>
      <c r="L1440" s="35"/>
      <c r="AD1440" s="73"/>
      <c r="AF1440" s="112" t="str">
        <f t="shared" si="44"/>
        <v/>
      </c>
      <c r="AG1440" s="113" t="str">
        <f>IF(AF1440="","",COUNTIF(AF1440:AF$3000,AF1440))</f>
        <v/>
      </c>
      <c r="AH1440" s="114" t="str">
        <f t="shared" si="45"/>
        <v/>
      </c>
    </row>
    <row r="1441" spans="6:34" x14ac:dyDescent="0.3">
      <c r="F1441" s="35"/>
      <c r="J1441" s="35"/>
      <c r="K1441" s="35"/>
      <c r="L1441" s="35"/>
      <c r="AD1441" s="73"/>
      <c r="AF1441" s="112" t="str">
        <f t="shared" si="44"/>
        <v/>
      </c>
      <c r="AG1441" s="113" t="str">
        <f>IF(AF1441="","",COUNTIF(AF1441:AF$3000,AF1441))</f>
        <v/>
      </c>
      <c r="AH1441" s="114" t="str">
        <f t="shared" si="45"/>
        <v/>
      </c>
    </row>
    <row r="1442" spans="6:34" x14ac:dyDescent="0.3">
      <c r="F1442" s="35"/>
      <c r="J1442" s="35"/>
      <c r="K1442" s="35"/>
      <c r="L1442" s="35"/>
      <c r="AD1442" s="73"/>
      <c r="AF1442" s="112" t="str">
        <f t="shared" si="44"/>
        <v/>
      </c>
      <c r="AG1442" s="113" t="str">
        <f>IF(AF1442="","",COUNTIF(AF1442:AF$3000,AF1442))</f>
        <v/>
      </c>
      <c r="AH1442" s="114" t="str">
        <f t="shared" si="45"/>
        <v/>
      </c>
    </row>
    <row r="1443" spans="6:34" x14ac:dyDescent="0.3">
      <c r="F1443" s="35"/>
      <c r="J1443" s="35"/>
      <c r="K1443" s="35"/>
      <c r="L1443" s="35"/>
      <c r="AD1443" s="73"/>
      <c r="AF1443" s="112" t="str">
        <f t="shared" si="44"/>
        <v/>
      </c>
      <c r="AG1443" s="113" t="str">
        <f>IF(AF1443="","",COUNTIF(AF1443:AF$3000,AF1443))</f>
        <v/>
      </c>
      <c r="AH1443" s="114" t="str">
        <f t="shared" si="45"/>
        <v/>
      </c>
    </row>
    <row r="1444" spans="6:34" x14ac:dyDescent="0.3">
      <c r="F1444" s="35"/>
      <c r="J1444" s="35"/>
      <c r="K1444" s="35"/>
      <c r="L1444" s="35"/>
      <c r="AD1444" s="73"/>
      <c r="AF1444" s="112" t="str">
        <f t="shared" si="44"/>
        <v/>
      </c>
      <c r="AG1444" s="113" t="str">
        <f>IF(AF1444="","",COUNTIF(AF1444:AF$3000,AF1444))</f>
        <v/>
      </c>
      <c r="AH1444" s="114" t="str">
        <f t="shared" si="45"/>
        <v/>
      </c>
    </row>
    <row r="1445" spans="6:34" x14ac:dyDescent="0.3">
      <c r="F1445" s="35"/>
      <c r="J1445" s="35"/>
      <c r="K1445" s="35"/>
      <c r="L1445" s="35"/>
      <c r="AD1445" s="73"/>
      <c r="AF1445" s="112" t="str">
        <f t="shared" si="44"/>
        <v/>
      </c>
      <c r="AG1445" s="113" t="str">
        <f>IF(AF1445="","",COUNTIF(AF1445:AF$3000,AF1445))</f>
        <v/>
      </c>
      <c r="AH1445" s="114" t="str">
        <f t="shared" si="45"/>
        <v/>
      </c>
    </row>
    <row r="1446" spans="6:34" x14ac:dyDescent="0.3">
      <c r="F1446" s="35"/>
      <c r="J1446" s="35"/>
      <c r="K1446" s="35"/>
      <c r="L1446" s="35"/>
      <c r="AD1446" s="73"/>
      <c r="AF1446" s="112" t="str">
        <f t="shared" si="44"/>
        <v/>
      </c>
      <c r="AG1446" s="113" t="str">
        <f>IF(AF1446="","",COUNTIF(AF1446:AF$3000,AF1446))</f>
        <v/>
      </c>
      <c r="AH1446" s="114" t="str">
        <f t="shared" si="45"/>
        <v/>
      </c>
    </row>
    <row r="1447" spans="6:34" x14ac:dyDescent="0.3">
      <c r="F1447" s="35"/>
      <c r="J1447" s="35"/>
      <c r="K1447" s="35"/>
      <c r="L1447" s="35"/>
      <c r="AD1447" s="73"/>
      <c r="AF1447" s="112" t="str">
        <f t="shared" si="44"/>
        <v/>
      </c>
      <c r="AG1447" s="113" t="str">
        <f>IF(AF1447="","",COUNTIF(AF1447:AF$3000,AF1447))</f>
        <v/>
      </c>
      <c r="AH1447" s="114" t="str">
        <f t="shared" si="45"/>
        <v/>
      </c>
    </row>
    <row r="1448" spans="6:34" x14ac:dyDescent="0.3">
      <c r="F1448" s="35"/>
      <c r="J1448" s="35"/>
      <c r="K1448" s="35"/>
      <c r="L1448" s="35"/>
      <c r="AD1448" s="73"/>
      <c r="AF1448" s="112" t="str">
        <f t="shared" si="44"/>
        <v/>
      </c>
      <c r="AG1448" s="113" t="str">
        <f>IF(AF1448="","",COUNTIF(AF1448:AF$3000,AF1448))</f>
        <v/>
      </c>
      <c r="AH1448" s="114" t="str">
        <f t="shared" si="45"/>
        <v/>
      </c>
    </row>
    <row r="1449" spans="6:34" x14ac:dyDescent="0.3">
      <c r="F1449" s="35"/>
      <c r="J1449" s="35"/>
      <c r="K1449" s="35"/>
      <c r="L1449" s="35"/>
      <c r="AD1449" s="73"/>
      <c r="AF1449" s="112" t="str">
        <f t="shared" si="44"/>
        <v/>
      </c>
      <c r="AG1449" s="113" t="str">
        <f>IF(AF1449="","",COUNTIF(AF1449:AF$3000,AF1449))</f>
        <v/>
      </c>
      <c r="AH1449" s="114" t="str">
        <f t="shared" si="45"/>
        <v/>
      </c>
    </row>
    <row r="1450" spans="6:34" x14ac:dyDescent="0.3">
      <c r="F1450" s="35"/>
      <c r="J1450" s="35"/>
      <c r="K1450" s="35"/>
      <c r="L1450" s="35"/>
      <c r="AD1450" s="73"/>
      <c r="AF1450" s="112" t="str">
        <f t="shared" si="44"/>
        <v/>
      </c>
      <c r="AG1450" s="113" t="str">
        <f>IF(AF1450="","",COUNTIF(AF1450:AF$3000,AF1450))</f>
        <v/>
      </c>
      <c r="AH1450" s="114" t="str">
        <f t="shared" si="45"/>
        <v/>
      </c>
    </row>
    <row r="1451" spans="6:34" x14ac:dyDescent="0.3">
      <c r="F1451" s="35"/>
      <c r="J1451" s="35"/>
      <c r="K1451" s="35"/>
      <c r="L1451" s="35"/>
      <c r="AD1451" s="73"/>
      <c r="AF1451" s="112" t="str">
        <f t="shared" si="44"/>
        <v/>
      </c>
      <c r="AG1451" s="113" t="str">
        <f>IF(AF1451="","",COUNTIF(AF1451:AF$3000,AF1451))</f>
        <v/>
      </c>
      <c r="AH1451" s="114" t="str">
        <f t="shared" si="45"/>
        <v/>
      </c>
    </row>
    <row r="1452" spans="6:34" x14ac:dyDescent="0.3">
      <c r="F1452" s="35"/>
      <c r="J1452" s="35"/>
      <c r="K1452" s="35"/>
      <c r="L1452" s="35"/>
      <c r="AD1452" s="73"/>
      <c r="AF1452" s="112" t="str">
        <f t="shared" si="44"/>
        <v/>
      </c>
      <c r="AG1452" s="113" t="str">
        <f>IF(AF1452="","",COUNTIF(AF1452:AF$3000,AF1452))</f>
        <v/>
      </c>
      <c r="AH1452" s="114" t="str">
        <f t="shared" si="45"/>
        <v/>
      </c>
    </row>
    <row r="1453" spans="6:34" x14ac:dyDescent="0.3">
      <c r="F1453" s="35"/>
      <c r="J1453" s="35"/>
      <c r="K1453" s="35"/>
      <c r="L1453" s="35"/>
      <c r="AD1453" s="73"/>
      <c r="AF1453" s="112" t="str">
        <f t="shared" si="44"/>
        <v/>
      </c>
      <c r="AG1453" s="113" t="str">
        <f>IF(AF1453="","",COUNTIF(AF1453:AF$3000,AF1453))</f>
        <v/>
      </c>
      <c r="AH1453" s="114" t="str">
        <f t="shared" si="45"/>
        <v/>
      </c>
    </row>
    <row r="1454" spans="6:34" x14ac:dyDescent="0.3">
      <c r="F1454" s="35"/>
      <c r="J1454" s="35"/>
      <c r="K1454" s="35"/>
      <c r="L1454" s="35"/>
      <c r="AD1454" s="73"/>
      <c r="AF1454" s="112" t="str">
        <f t="shared" si="44"/>
        <v/>
      </c>
      <c r="AG1454" s="113" t="str">
        <f>IF(AF1454="","",COUNTIF(AF1454:AF$3000,AF1454))</f>
        <v/>
      </c>
      <c r="AH1454" s="114" t="str">
        <f t="shared" si="45"/>
        <v/>
      </c>
    </row>
    <row r="1455" spans="6:34" x14ac:dyDescent="0.3">
      <c r="F1455" s="35"/>
      <c r="J1455" s="35"/>
      <c r="K1455" s="35"/>
      <c r="L1455" s="35"/>
      <c r="AD1455" s="73"/>
      <c r="AF1455" s="112" t="str">
        <f t="shared" si="44"/>
        <v/>
      </c>
      <c r="AG1455" s="113" t="str">
        <f>IF(AF1455="","",COUNTIF(AF1455:AF$3000,AF1455))</f>
        <v/>
      </c>
      <c r="AH1455" s="114" t="str">
        <f t="shared" si="45"/>
        <v/>
      </c>
    </row>
    <row r="1456" spans="6:34" x14ac:dyDescent="0.3">
      <c r="F1456" s="35"/>
      <c r="J1456" s="35"/>
      <c r="K1456" s="35"/>
      <c r="L1456" s="35"/>
      <c r="AD1456" s="73"/>
      <c r="AF1456" s="112" t="str">
        <f t="shared" si="44"/>
        <v/>
      </c>
      <c r="AG1456" s="113" t="str">
        <f>IF(AF1456="","",COUNTIF(AF1456:AF$3000,AF1456))</f>
        <v/>
      </c>
      <c r="AH1456" s="114" t="str">
        <f t="shared" si="45"/>
        <v/>
      </c>
    </row>
    <row r="1457" spans="6:34" x14ac:dyDescent="0.3">
      <c r="F1457" s="35"/>
      <c r="J1457" s="35"/>
      <c r="K1457" s="35"/>
      <c r="L1457" s="35"/>
      <c r="AD1457" s="73"/>
      <c r="AF1457" s="112" t="str">
        <f t="shared" si="44"/>
        <v/>
      </c>
      <c r="AG1457" s="113" t="str">
        <f>IF(AF1457="","",COUNTIF(AF1457:AF$3000,AF1457))</f>
        <v/>
      </c>
      <c r="AH1457" s="114" t="str">
        <f t="shared" si="45"/>
        <v/>
      </c>
    </row>
    <row r="1458" spans="6:34" x14ac:dyDescent="0.3">
      <c r="F1458" s="35"/>
      <c r="J1458" s="35"/>
      <c r="K1458" s="35"/>
      <c r="L1458" s="35"/>
      <c r="AD1458" s="73"/>
      <c r="AF1458" s="112" t="str">
        <f t="shared" si="44"/>
        <v/>
      </c>
      <c r="AG1458" s="113" t="str">
        <f>IF(AF1458="","",COUNTIF(AF1458:AF$3000,AF1458))</f>
        <v/>
      </c>
      <c r="AH1458" s="114" t="str">
        <f t="shared" si="45"/>
        <v/>
      </c>
    </row>
    <row r="1459" spans="6:34" x14ac:dyDescent="0.3">
      <c r="F1459" s="35"/>
      <c r="J1459" s="35"/>
      <c r="K1459" s="35"/>
      <c r="L1459" s="35"/>
      <c r="AD1459" s="73"/>
      <c r="AF1459" s="112" t="str">
        <f t="shared" si="44"/>
        <v/>
      </c>
      <c r="AG1459" s="113" t="str">
        <f>IF(AF1459="","",COUNTIF(AF1459:AF$3000,AF1459))</f>
        <v/>
      </c>
      <c r="AH1459" s="114" t="str">
        <f t="shared" si="45"/>
        <v/>
      </c>
    </row>
    <row r="1460" spans="6:34" x14ac:dyDescent="0.3">
      <c r="F1460" s="35"/>
      <c r="J1460" s="35"/>
      <c r="K1460" s="35"/>
      <c r="L1460" s="35"/>
      <c r="AD1460" s="73"/>
      <c r="AF1460" s="112" t="str">
        <f t="shared" si="44"/>
        <v/>
      </c>
      <c r="AG1460" s="113" t="str">
        <f>IF(AF1460="","",COUNTIF(AF1460:AF$3000,AF1460))</f>
        <v/>
      </c>
      <c r="AH1460" s="114" t="str">
        <f t="shared" si="45"/>
        <v/>
      </c>
    </row>
    <row r="1461" spans="6:34" x14ac:dyDescent="0.3">
      <c r="F1461" s="35"/>
      <c r="J1461" s="35"/>
      <c r="K1461" s="35"/>
      <c r="L1461" s="35"/>
      <c r="AD1461" s="73"/>
      <c r="AF1461" s="112" t="str">
        <f t="shared" si="44"/>
        <v/>
      </c>
      <c r="AG1461" s="113" t="str">
        <f>IF(AF1461="","",COUNTIF(AF1461:AF$3000,AF1461))</f>
        <v/>
      </c>
      <c r="AH1461" s="114" t="str">
        <f t="shared" si="45"/>
        <v/>
      </c>
    </row>
    <row r="1462" spans="6:34" x14ac:dyDescent="0.3">
      <c r="F1462" s="35"/>
      <c r="J1462" s="35"/>
      <c r="K1462" s="35"/>
      <c r="L1462" s="35"/>
      <c r="AD1462" s="73"/>
      <c r="AF1462" s="112" t="str">
        <f t="shared" si="44"/>
        <v/>
      </c>
      <c r="AG1462" s="113" t="str">
        <f>IF(AF1462="","",COUNTIF(AF1462:AF$3000,AF1462))</f>
        <v/>
      </c>
      <c r="AH1462" s="114" t="str">
        <f t="shared" si="45"/>
        <v/>
      </c>
    </row>
    <row r="1463" spans="6:34" x14ac:dyDescent="0.3">
      <c r="F1463" s="35"/>
      <c r="J1463" s="35"/>
      <c r="K1463" s="35"/>
      <c r="L1463" s="35"/>
      <c r="AD1463" s="73"/>
      <c r="AF1463" s="112" t="str">
        <f t="shared" si="44"/>
        <v/>
      </c>
      <c r="AG1463" s="113" t="str">
        <f>IF(AF1463="","",COUNTIF(AF1463:AF$3000,AF1463))</f>
        <v/>
      </c>
      <c r="AH1463" s="114" t="str">
        <f t="shared" si="45"/>
        <v/>
      </c>
    </row>
    <row r="1464" spans="6:34" x14ac:dyDescent="0.3">
      <c r="F1464" s="35"/>
      <c r="J1464" s="35"/>
      <c r="K1464" s="35"/>
      <c r="L1464" s="35"/>
      <c r="AD1464" s="73"/>
      <c r="AF1464" s="112" t="str">
        <f t="shared" si="44"/>
        <v/>
      </c>
      <c r="AG1464" s="113" t="str">
        <f>IF(AF1464="","",COUNTIF(AF1464:AF$3000,AF1464))</f>
        <v/>
      </c>
      <c r="AH1464" s="114" t="str">
        <f t="shared" si="45"/>
        <v/>
      </c>
    </row>
    <row r="1465" spans="6:34" x14ac:dyDescent="0.3">
      <c r="F1465" s="35"/>
      <c r="J1465" s="35"/>
      <c r="K1465" s="35"/>
      <c r="L1465" s="35"/>
      <c r="AD1465" s="73"/>
      <c r="AF1465" s="112" t="str">
        <f t="shared" si="44"/>
        <v/>
      </c>
      <c r="AG1465" s="113" t="str">
        <f>IF(AF1465="","",COUNTIF(AF1465:AF$3000,AF1465))</f>
        <v/>
      </c>
      <c r="AH1465" s="114" t="str">
        <f t="shared" si="45"/>
        <v/>
      </c>
    </row>
    <row r="1466" spans="6:34" x14ac:dyDescent="0.3">
      <c r="F1466" s="35"/>
      <c r="J1466" s="35"/>
      <c r="K1466" s="35"/>
      <c r="L1466" s="35"/>
      <c r="AD1466" s="73"/>
      <c r="AF1466" s="112" t="str">
        <f t="shared" si="44"/>
        <v/>
      </c>
      <c r="AG1466" s="113" t="str">
        <f>IF(AF1466="","",COUNTIF(AF1466:AF$3000,AF1466))</f>
        <v/>
      </c>
      <c r="AH1466" s="114" t="str">
        <f t="shared" si="45"/>
        <v/>
      </c>
    </row>
    <row r="1467" spans="6:34" x14ac:dyDescent="0.3">
      <c r="F1467" s="35"/>
      <c r="J1467" s="35"/>
      <c r="K1467" s="35"/>
      <c r="L1467" s="35"/>
      <c r="AD1467" s="73"/>
      <c r="AF1467" s="112" t="str">
        <f t="shared" si="44"/>
        <v/>
      </c>
      <c r="AG1467" s="113" t="str">
        <f>IF(AF1467="","",COUNTIF(AF1467:AF$3000,AF1467))</f>
        <v/>
      </c>
      <c r="AH1467" s="114" t="str">
        <f t="shared" si="45"/>
        <v/>
      </c>
    </row>
    <row r="1468" spans="6:34" x14ac:dyDescent="0.3">
      <c r="F1468" s="35"/>
      <c r="J1468" s="35"/>
      <c r="K1468" s="35"/>
      <c r="L1468" s="35"/>
      <c r="AD1468" s="73"/>
      <c r="AF1468" s="112" t="str">
        <f t="shared" si="44"/>
        <v/>
      </c>
      <c r="AG1468" s="113" t="str">
        <f>IF(AF1468="","",COUNTIF(AF1468:AF$3000,AF1468))</f>
        <v/>
      </c>
      <c r="AH1468" s="114" t="str">
        <f t="shared" si="45"/>
        <v/>
      </c>
    </row>
    <row r="1469" spans="6:34" x14ac:dyDescent="0.3">
      <c r="F1469" s="35"/>
      <c r="J1469" s="35"/>
      <c r="K1469" s="35"/>
      <c r="L1469" s="35"/>
      <c r="AD1469" s="73"/>
      <c r="AF1469" s="112" t="str">
        <f t="shared" si="44"/>
        <v/>
      </c>
      <c r="AG1469" s="113" t="str">
        <f>IF(AF1469="","",COUNTIF(AF1469:AF$3000,AF1469))</f>
        <v/>
      </c>
      <c r="AH1469" s="114" t="str">
        <f t="shared" si="45"/>
        <v/>
      </c>
    </row>
    <row r="1470" spans="6:34" x14ac:dyDescent="0.3">
      <c r="F1470" s="35"/>
      <c r="J1470" s="35"/>
      <c r="K1470" s="35"/>
      <c r="L1470" s="35"/>
      <c r="AD1470" s="73"/>
      <c r="AF1470" s="112" t="str">
        <f t="shared" si="44"/>
        <v/>
      </c>
      <c r="AG1470" s="113" t="str">
        <f>IF(AF1470="","",COUNTIF(AF1470:AF$3000,AF1470))</f>
        <v/>
      </c>
      <c r="AH1470" s="114" t="str">
        <f t="shared" si="45"/>
        <v/>
      </c>
    </row>
    <row r="1471" spans="6:34" x14ac:dyDescent="0.3">
      <c r="F1471" s="35"/>
      <c r="J1471" s="35"/>
      <c r="K1471" s="35"/>
      <c r="L1471" s="35"/>
      <c r="AD1471" s="73"/>
      <c r="AF1471" s="112" t="str">
        <f t="shared" si="44"/>
        <v/>
      </c>
      <c r="AG1471" s="113" t="str">
        <f>IF(AF1471="","",COUNTIF(AF1471:AF$3000,AF1471))</f>
        <v/>
      </c>
      <c r="AH1471" s="114" t="str">
        <f t="shared" si="45"/>
        <v/>
      </c>
    </row>
    <row r="1472" spans="6:34" x14ac:dyDescent="0.3">
      <c r="F1472" s="35"/>
      <c r="J1472" s="35"/>
      <c r="K1472" s="35"/>
      <c r="L1472" s="35"/>
      <c r="AD1472" s="73"/>
      <c r="AF1472" s="112" t="str">
        <f t="shared" si="44"/>
        <v/>
      </c>
      <c r="AG1472" s="113" t="str">
        <f>IF(AF1472="","",COUNTIF(AF1472:AF$3000,AF1472))</f>
        <v/>
      </c>
      <c r="AH1472" s="114" t="str">
        <f t="shared" si="45"/>
        <v/>
      </c>
    </row>
    <row r="1473" spans="6:34" x14ac:dyDescent="0.3">
      <c r="F1473" s="35"/>
      <c r="J1473" s="35"/>
      <c r="K1473" s="35"/>
      <c r="L1473" s="35"/>
      <c r="AD1473" s="73"/>
      <c r="AF1473" s="112" t="str">
        <f t="shared" si="44"/>
        <v/>
      </c>
      <c r="AG1473" s="113" t="str">
        <f>IF(AF1473="","",COUNTIF(AF1473:AF$3000,AF1473))</f>
        <v/>
      </c>
      <c r="AH1473" s="114" t="str">
        <f t="shared" si="45"/>
        <v/>
      </c>
    </row>
    <row r="1474" spans="6:34" x14ac:dyDescent="0.3">
      <c r="F1474" s="35"/>
      <c r="J1474" s="35"/>
      <c r="K1474" s="35"/>
      <c r="L1474" s="35"/>
      <c r="AD1474" s="73"/>
      <c r="AF1474" s="112" t="str">
        <f t="shared" si="44"/>
        <v/>
      </c>
      <c r="AG1474" s="113" t="str">
        <f>IF(AF1474="","",COUNTIF(AF1474:AF$3000,AF1474))</f>
        <v/>
      </c>
      <c r="AH1474" s="114" t="str">
        <f t="shared" si="45"/>
        <v/>
      </c>
    </row>
    <row r="1475" spans="6:34" x14ac:dyDescent="0.3">
      <c r="F1475" s="35"/>
      <c r="J1475" s="35"/>
      <c r="K1475" s="35"/>
      <c r="L1475" s="35"/>
      <c r="AD1475" s="73"/>
      <c r="AF1475" s="112" t="str">
        <f t="shared" si="44"/>
        <v/>
      </c>
      <c r="AG1475" s="113" t="str">
        <f>IF(AF1475="","",COUNTIF(AF1475:AF$3000,AF1475))</f>
        <v/>
      </c>
      <c r="AH1475" s="114" t="str">
        <f t="shared" si="45"/>
        <v/>
      </c>
    </row>
    <row r="1476" spans="6:34" x14ac:dyDescent="0.3">
      <c r="F1476" s="35"/>
      <c r="J1476" s="35"/>
      <c r="K1476" s="35"/>
      <c r="L1476" s="35"/>
      <c r="AD1476" s="73"/>
      <c r="AF1476" s="112" t="str">
        <f t="shared" ref="AF1476:AF1539" si="46">IF(B1476="","",TEXT(J1476,"DD/MM/AA")&amp;"_"&amp;S1476&amp;"_"&amp;V1476)</f>
        <v/>
      </c>
      <c r="AG1476" s="113" t="str">
        <f>IF(AF1476="","",COUNTIF(AF1476:AF$3000,AF1476))</f>
        <v/>
      </c>
      <c r="AH1476" s="114" t="str">
        <f t="shared" ref="AH1476:AH1539" si="47">IF(AA1476="","",
IF(AG1476&gt;1,"",
IF(SUMIF(AF$3:AF$31,AF1476,H$3:H$31)/10&lt;1,1,SUMIF(AF$3:AF$31,AF1476,H$3:H$31)/10)))</f>
        <v/>
      </c>
    </row>
    <row r="1477" spans="6:34" x14ac:dyDescent="0.3">
      <c r="F1477" s="35"/>
      <c r="J1477" s="35"/>
      <c r="K1477" s="35"/>
      <c r="L1477" s="35"/>
      <c r="AD1477" s="73"/>
      <c r="AF1477" s="112" t="str">
        <f t="shared" si="46"/>
        <v/>
      </c>
      <c r="AG1477" s="113" t="str">
        <f>IF(AF1477="","",COUNTIF(AF1477:AF$3000,AF1477))</f>
        <v/>
      </c>
      <c r="AH1477" s="114" t="str">
        <f t="shared" si="47"/>
        <v/>
      </c>
    </row>
    <row r="1478" spans="6:34" x14ac:dyDescent="0.3">
      <c r="F1478" s="35"/>
      <c r="J1478" s="35"/>
      <c r="K1478" s="35"/>
      <c r="L1478" s="35"/>
      <c r="AD1478" s="73"/>
      <c r="AF1478" s="112" t="str">
        <f t="shared" si="46"/>
        <v/>
      </c>
      <c r="AG1478" s="113" t="str">
        <f>IF(AF1478="","",COUNTIF(AF1478:AF$3000,AF1478))</f>
        <v/>
      </c>
      <c r="AH1478" s="114" t="str">
        <f t="shared" si="47"/>
        <v/>
      </c>
    </row>
    <row r="1479" spans="6:34" x14ac:dyDescent="0.3">
      <c r="F1479" s="35"/>
      <c r="J1479" s="35"/>
      <c r="K1479" s="35"/>
      <c r="L1479" s="35"/>
      <c r="AD1479" s="73"/>
      <c r="AF1479" s="112" t="str">
        <f t="shared" si="46"/>
        <v/>
      </c>
      <c r="AG1479" s="113" t="str">
        <f>IF(AF1479="","",COUNTIF(AF1479:AF$3000,AF1479))</f>
        <v/>
      </c>
      <c r="AH1479" s="114" t="str">
        <f t="shared" si="47"/>
        <v/>
      </c>
    </row>
    <row r="1480" spans="6:34" x14ac:dyDescent="0.3">
      <c r="F1480" s="35"/>
      <c r="J1480" s="35"/>
      <c r="K1480" s="35"/>
      <c r="L1480" s="35"/>
      <c r="AD1480" s="73"/>
      <c r="AF1480" s="112" t="str">
        <f t="shared" si="46"/>
        <v/>
      </c>
      <c r="AG1480" s="113" t="str">
        <f>IF(AF1480="","",COUNTIF(AF1480:AF$3000,AF1480))</f>
        <v/>
      </c>
      <c r="AH1480" s="114" t="str">
        <f t="shared" si="47"/>
        <v/>
      </c>
    </row>
    <row r="1481" spans="6:34" x14ac:dyDescent="0.3">
      <c r="F1481" s="35"/>
      <c r="J1481" s="35"/>
      <c r="K1481" s="35"/>
      <c r="L1481" s="35"/>
      <c r="AD1481" s="73"/>
      <c r="AF1481" s="112" t="str">
        <f t="shared" si="46"/>
        <v/>
      </c>
      <c r="AG1481" s="113" t="str">
        <f>IF(AF1481="","",COUNTIF(AF1481:AF$3000,AF1481))</f>
        <v/>
      </c>
      <c r="AH1481" s="114" t="str">
        <f t="shared" si="47"/>
        <v/>
      </c>
    </row>
    <row r="1482" spans="6:34" x14ac:dyDescent="0.3">
      <c r="F1482" s="35"/>
      <c r="J1482" s="35"/>
      <c r="K1482" s="35"/>
      <c r="L1482" s="35"/>
      <c r="AD1482" s="73"/>
      <c r="AF1482" s="112" t="str">
        <f t="shared" si="46"/>
        <v/>
      </c>
      <c r="AG1482" s="113" t="str">
        <f>IF(AF1482="","",COUNTIF(AF1482:AF$3000,AF1482))</f>
        <v/>
      </c>
      <c r="AH1482" s="114" t="str">
        <f t="shared" si="47"/>
        <v/>
      </c>
    </row>
    <row r="1483" spans="6:34" x14ac:dyDescent="0.3">
      <c r="F1483" s="35"/>
      <c r="J1483" s="35"/>
      <c r="K1483" s="35"/>
      <c r="L1483" s="35"/>
      <c r="AD1483" s="73"/>
      <c r="AF1483" s="112" t="str">
        <f t="shared" si="46"/>
        <v/>
      </c>
      <c r="AG1483" s="113" t="str">
        <f>IF(AF1483="","",COUNTIF(AF1483:AF$3000,AF1483))</f>
        <v/>
      </c>
      <c r="AH1483" s="114" t="str">
        <f t="shared" si="47"/>
        <v/>
      </c>
    </row>
    <row r="1484" spans="6:34" x14ac:dyDescent="0.3">
      <c r="F1484" s="35"/>
      <c r="J1484" s="35"/>
      <c r="K1484" s="35"/>
      <c r="L1484" s="35"/>
      <c r="AD1484" s="73"/>
      <c r="AF1484" s="112" t="str">
        <f t="shared" si="46"/>
        <v/>
      </c>
      <c r="AG1484" s="113" t="str">
        <f>IF(AF1484="","",COUNTIF(AF1484:AF$3000,AF1484))</f>
        <v/>
      </c>
      <c r="AH1484" s="114" t="str">
        <f t="shared" si="47"/>
        <v/>
      </c>
    </row>
    <row r="1485" spans="6:34" x14ac:dyDescent="0.3">
      <c r="F1485" s="35"/>
      <c r="J1485" s="35"/>
      <c r="K1485" s="35"/>
      <c r="L1485" s="35"/>
      <c r="AD1485" s="73"/>
      <c r="AF1485" s="112" t="str">
        <f t="shared" si="46"/>
        <v/>
      </c>
      <c r="AG1485" s="113" t="str">
        <f>IF(AF1485="","",COUNTIF(AF1485:AF$3000,AF1485))</f>
        <v/>
      </c>
      <c r="AH1485" s="114" t="str">
        <f t="shared" si="47"/>
        <v/>
      </c>
    </row>
    <row r="1486" spans="6:34" x14ac:dyDescent="0.3">
      <c r="F1486" s="35"/>
      <c r="J1486" s="35"/>
      <c r="K1486" s="35"/>
      <c r="L1486" s="35"/>
      <c r="AD1486" s="73"/>
      <c r="AF1486" s="112" t="str">
        <f t="shared" si="46"/>
        <v/>
      </c>
      <c r="AG1486" s="113" t="str">
        <f>IF(AF1486="","",COUNTIF(AF1486:AF$3000,AF1486))</f>
        <v/>
      </c>
      <c r="AH1486" s="114" t="str">
        <f t="shared" si="47"/>
        <v/>
      </c>
    </row>
    <row r="1487" spans="6:34" x14ac:dyDescent="0.3">
      <c r="F1487" s="35"/>
      <c r="J1487" s="35"/>
      <c r="K1487" s="35"/>
      <c r="L1487" s="35"/>
      <c r="AD1487" s="73"/>
      <c r="AF1487" s="112" t="str">
        <f t="shared" si="46"/>
        <v/>
      </c>
      <c r="AG1487" s="113" t="str">
        <f>IF(AF1487="","",COUNTIF(AF1487:AF$3000,AF1487))</f>
        <v/>
      </c>
      <c r="AH1487" s="114" t="str">
        <f t="shared" si="47"/>
        <v/>
      </c>
    </row>
    <row r="1488" spans="6:34" x14ac:dyDescent="0.3">
      <c r="F1488" s="35"/>
      <c r="J1488" s="35"/>
      <c r="K1488" s="35"/>
      <c r="L1488" s="35"/>
      <c r="AD1488" s="73"/>
      <c r="AF1488" s="112" t="str">
        <f t="shared" si="46"/>
        <v/>
      </c>
      <c r="AG1488" s="113" t="str">
        <f>IF(AF1488="","",COUNTIF(AF1488:AF$3000,AF1488))</f>
        <v/>
      </c>
      <c r="AH1488" s="114" t="str">
        <f t="shared" si="47"/>
        <v/>
      </c>
    </row>
    <row r="1489" spans="6:34" x14ac:dyDescent="0.3">
      <c r="F1489" s="35"/>
      <c r="J1489" s="35"/>
      <c r="K1489" s="35"/>
      <c r="L1489" s="35"/>
      <c r="AD1489" s="73"/>
      <c r="AF1489" s="112" t="str">
        <f t="shared" si="46"/>
        <v/>
      </c>
      <c r="AG1489" s="113" t="str">
        <f>IF(AF1489="","",COUNTIF(AF1489:AF$3000,AF1489))</f>
        <v/>
      </c>
      <c r="AH1489" s="114" t="str">
        <f t="shared" si="47"/>
        <v/>
      </c>
    </row>
    <row r="1490" spans="6:34" x14ac:dyDescent="0.3">
      <c r="F1490" s="35"/>
      <c r="J1490" s="35"/>
      <c r="K1490" s="35"/>
      <c r="L1490" s="35"/>
      <c r="AD1490" s="73"/>
      <c r="AF1490" s="112" t="str">
        <f t="shared" si="46"/>
        <v/>
      </c>
      <c r="AG1490" s="113" t="str">
        <f>IF(AF1490="","",COUNTIF(AF1490:AF$3000,AF1490))</f>
        <v/>
      </c>
      <c r="AH1490" s="114" t="str">
        <f t="shared" si="47"/>
        <v/>
      </c>
    </row>
    <row r="1491" spans="6:34" x14ac:dyDescent="0.3">
      <c r="F1491" s="35"/>
      <c r="J1491" s="35"/>
      <c r="K1491" s="35"/>
      <c r="L1491" s="35"/>
      <c r="AD1491" s="73"/>
      <c r="AF1491" s="112" t="str">
        <f t="shared" si="46"/>
        <v/>
      </c>
      <c r="AG1491" s="113" t="str">
        <f>IF(AF1491="","",COUNTIF(AF1491:AF$3000,AF1491))</f>
        <v/>
      </c>
      <c r="AH1491" s="114" t="str">
        <f t="shared" si="47"/>
        <v/>
      </c>
    </row>
    <row r="1492" spans="6:34" x14ac:dyDescent="0.3">
      <c r="F1492" s="35"/>
      <c r="J1492" s="35"/>
      <c r="K1492" s="35"/>
      <c r="L1492" s="35"/>
      <c r="AD1492" s="73"/>
      <c r="AF1492" s="112" t="str">
        <f t="shared" si="46"/>
        <v/>
      </c>
      <c r="AG1492" s="113" t="str">
        <f>IF(AF1492="","",COUNTIF(AF1492:AF$3000,AF1492))</f>
        <v/>
      </c>
      <c r="AH1492" s="114" t="str">
        <f t="shared" si="47"/>
        <v/>
      </c>
    </row>
    <row r="1493" spans="6:34" x14ac:dyDescent="0.3">
      <c r="F1493" s="35"/>
      <c r="J1493" s="35"/>
      <c r="K1493" s="35"/>
      <c r="L1493" s="35"/>
      <c r="AD1493" s="73"/>
      <c r="AF1493" s="112" t="str">
        <f t="shared" si="46"/>
        <v/>
      </c>
      <c r="AG1493" s="113" t="str">
        <f>IF(AF1493="","",COUNTIF(AF1493:AF$3000,AF1493))</f>
        <v/>
      </c>
      <c r="AH1493" s="114" t="str">
        <f t="shared" si="47"/>
        <v/>
      </c>
    </row>
    <row r="1494" spans="6:34" x14ac:dyDescent="0.3">
      <c r="F1494" s="35"/>
      <c r="J1494" s="35"/>
      <c r="K1494" s="35"/>
      <c r="L1494" s="35"/>
      <c r="AD1494" s="73"/>
      <c r="AF1494" s="112" t="str">
        <f t="shared" si="46"/>
        <v/>
      </c>
      <c r="AG1494" s="113" t="str">
        <f>IF(AF1494="","",COUNTIF(AF1494:AF$3000,AF1494))</f>
        <v/>
      </c>
      <c r="AH1494" s="114" t="str">
        <f t="shared" si="47"/>
        <v/>
      </c>
    </row>
    <row r="1495" spans="6:34" x14ac:dyDescent="0.3">
      <c r="F1495" s="35"/>
      <c r="J1495" s="35"/>
      <c r="K1495" s="35"/>
      <c r="L1495" s="35"/>
      <c r="AD1495" s="73"/>
      <c r="AF1495" s="112" t="str">
        <f t="shared" si="46"/>
        <v/>
      </c>
      <c r="AG1495" s="113" t="str">
        <f>IF(AF1495="","",COUNTIF(AF1495:AF$3000,AF1495))</f>
        <v/>
      </c>
      <c r="AH1495" s="114" t="str">
        <f t="shared" si="47"/>
        <v/>
      </c>
    </row>
    <row r="1496" spans="6:34" x14ac:dyDescent="0.3">
      <c r="F1496" s="35"/>
      <c r="J1496" s="35"/>
      <c r="K1496" s="35"/>
      <c r="L1496" s="35"/>
      <c r="AD1496" s="73"/>
      <c r="AF1496" s="112" t="str">
        <f t="shared" si="46"/>
        <v/>
      </c>
      <c r="AG1496" s="113" t="str">
        <f>IF(AF1496="","",COUNTIF(AF1496:AF$3000,AF1496))</f>
        <v/>
      </c>
      <c r="AH1496" s="114" t="str">
        <f t="shared" si="47"/>
        <v/>
      </c>
    </row>
    <row r="1497" spans="6:34" x14ac:dyDescent="0.3">
      <c r="F1497" s="35"/>
      <c r="J1497" s="35"/>
      <c r="K1497" s="35"/>
      <c r="L1497" s="35"/>
      <c r="AD1497" s="73"/>
      <c r="AF1497" s="112" t="str">
        <f t="shared" si="46"/>
        <v/>
      </c>
      <c r="AG1497" s="113" t="str">
        <f>IF(AF1497="","",COUNTIF(AF1497:AF$3000,AF1497))</f>
        <v/>
      </c>
      <c r="AH1497" s="114" t="str">
        <f t="shared" si="47"/>
        <v/>
      </c>
    </row>
    <row r="1498" spans="6:34" x14ac:dyDescent="0.3">
      <c r="F1498" s="35"/>
      <c r="J1498" s="35"/>
      <c r="K1498" s="35"/>
      <c r="L1498" s="35"/>
      <c r="AD1498" s="73"/>
      <c r="AF1498" s="112" t="str">
        <f t="shared" si="46"/>
        <v/>
      </c>
      <c r="AG1498" s="113" t="str">
        <f>IF(AF1498="","",COUNTIF(AF1498:AF$3000,AF1498))</f>
        <v/>
      </c>
      <c r="AH1498" s="114" t="str">
        <f t="shared" si="47"/>
        <v/>
      </c>
    </row>
    <row r="1499" spans="6:34" x14ac:dyDescent="0.3">
      <c r="F1499" s="35"/>
      <c r="J1499" s="35"/>
      <c r="K1499" s="35"/>
      <c r="L1499" s="35"/>
      <c r="AD1499" s="73"/>
      <c r="AF1499" s="112" t="str">
        <f t="shared" si="46"/>
        <v/>
      </c>
      <c r="AG1499" s="113" t="str">
        <f>IF(AF1499="","",COUNTIF(AF1499:AF$3000,AF1499))</f>
        <v/>
      </c>
      <c r="AH1499" s="114" t="str">
        <f t="shared" si="47"/>
        <v/>
      </c>
    </row>
    <row r="1500" spans="6:34" x14ac:dyDescent="0.3">
      <c r="F1500" s="35"/>
      <c r="J1500" s="35"/>
      <c r="K1500" s="35"/>
      <c r="L1500" s="35"/>
      <c r="AD1500" s="73"/>
      <c r="AF1500" s="112" t="str">
        <f t="shared" si="46"/>
        <v/>
      </c>
      <c r="AG1500" s="113" t="str">
        <f>IF(AF1500="","",COUNTIF(AF1500:AF$3000,AF1500))</f>
        <v/>
      </c>
      <c r="AH1500" s="114" t="str">
        <f t="shared" si="47"/>
        <v/>
      </c>
    </row>
    <row r="1501" spans="6:34" x14ac:dyDescent="0.3">
      <c r="F1501" s="35"/>
      <c r="J1501" s="35"/>
      <c r="K1501" s="35"/>
      <c r="L1501" s="35"/>
      <c r="AD1501" s="73"/>
      <c r="AF1501" s="112" t="str">
        <f t="shared" si="46"/>
        <v/>
      </c>
      <c r="AG1501" s="113" t="str">
        <f>IF(AF1501="","",COUNTIF(AF1501:AF$3000,AF1501))</f>
        <v/>
      </c>
      <c r="AH1501" s="114" t="str">
        <f t="shared" si="47"/>
        <v/>
      </c>
    </row>
    <row r="1502" spans="6:34" x14ac:dyDescent="0.3">
      <c r="F1502" s="35"/>
      <c r="J1502" s="35"/>
      <c r="K1502" s="35"/>
      <c r="L1502" s="35"/>
      <c r="AD1502" s="73"/>
      <c r="AF1502" s="112" t="str">
        <f t="shared" si="46"/>
        <v/>
      </c>
      <c r="AG1502" s="113" t="str">
        <f>IF(AF1502="","",COUNTIF(AF1502:AF$3000,AF1502))</f>
        <v/>
      </c>
      <c r="AH1502" s="114" t="str">
        <f t="shared" si="47"/>
        <v/>
      </c>
    </row>
    <row r="1503" spans="6:34" x14ac:dyDescent="0.3">
      <c r="F1503" s="35"/>
      <c r="J1503" s="35"/>
      <c r="K1503" s="35"/>
      <c r="L1503" s="35"/>
      <c r="AD1503" s="73"/>
      <c r="AF1503" s="112" t="str">
        <f t="shared" si="46"/>
        <v/>
      </c>
      <c r="AG1503" s="113" t="str">
        <f>IF(AF1503="","",COUNTIF(AF1503:AF$3000,AF1503))</f>
        <v/>
      </c>
      <c r="AH1503" s="114" t="str">
        <f t="shared" si="47"/>
        <v/>
      </c>
    </row>
    <row r="1504" spans="6:34" x14ac:dyDescent="0.3">
      <c r="F1504" s="35"/>
      <c r="J1504" s="35"/>
      <c r="K1504" s="35"/>
      <c r="L1504" s="35"/>
      <c r="AD1504" s="73"/>
      <c r="AF1504" s="112" t="str">
        <f t="shared" si="46"/>
        <v/>
      </c>
      <c r="AG1504" s="113" t="str">
        <f>IF(AF1504="","",COUNTIF(AF1504:AF$3000,AF1504))</f>
        <v/>
      </c>
      <c r="AH1504" s="114" t="str">
        <f t="shared" si="47"/>
        <v/>
      </c>
    </row>
    <row r="1505" spans="6:34" x14ac:dyDescent="0.3">
      <c r="F1505" s="35"/>
      <c r="J1505" s="35"/>
      <c r="K1505" s="35"/>
      <c r="L1505" s="35"/>
      <c r="AD1505" s="73"/>
      <c r="AF1505" s="112" t="str">
        <f t="shared" si="46"/>
        <v/>
      </c>
      <c r="AG1505" s="113" t="str">
        <f>IF(AF1505="","",COUNTIF(AF1505:AF$3000,AF1505))</f>
        <v/>
      </c>
      <c r="AH1505" s="114" t="str">
        <f t="shared" si="47"/>
        <v/>
      </c>
    </row>
    <row r="1506" spans="6:34" x14ac:dyDescent="0.3">
      <c r="F1506" s="35"/>
      <c r="J1506" s="35"/>
      <c r="K1506" s="35"/>
      <c r="L1506" s="35"/>
      <c r="AD1506" s="73"/>
      <c r="AF1506" s="112" t="str">
        <f t="shared" si="46"/>
        <v/>
      </c>
      <c r="AG1506" s="113" t="str">
        <f>IF(AF1506="","",COUNTIF(AF1506:AF$3000,AF1506))</f>
        <v/>
      </c>
      <c r="AH1506" s="114" t="str">
        <f t="shared" si="47"/>
        <v/>
      </c>
    </row>
    <row r="1507" spans="6:34" x14ac:dyDescent="0.3">
      <c r="F1507" s="35"/>
      <c r="J1507" s="35"/>
      <c r="K1507" s="35"/>
      <c r="L1507" s="35"/>
      <c r="AD1507" s="73"/>
      <c r="AF1507" s="112" t="str">
        <f t="shared" si="46"/>
        <v/>
      </c>
      <c r="AG1507" s="113" t="str">
        <f>IF(AF1507="","",COUNTIF(AF1507:AF$3000,AF1507))</f>
        <v/>
      </c>
      <c r="AH1507" s="114" t="str">
        <f t="shared" si="47"/>
        <v/>
      </c>
    </row>
    <row r="1508" spans="6:34" x14ac:dyDescent="0.3">
      <c r="F1508" s="35"/>
      <c r="J1508" s="35"/>
      <c r="K1508" s="35"/>
      <c r="L1508" s="35"/>
      <c r="AD1508" s="73"/>
      <c r="AF1508" s="112" t="str">
        <f t="shared" si="46"/>
        <v/>
      </c>
      <c r="AG1508" s="113" t="str">
        <f>IF(AF1508="","",COUNTIF(AF1508:AF$3000,AF1508))</f>
        <v/>
      </c>
      <c r="AH1508" s="114" t="str">
        <f t="shared" si="47"/>
        <v/>
      </c>
    </row>
    <row r="1509" spans="6:34" x14ac:dyDescent="0.3">
      <c r="F1509" s="35"/>
      <c r="J1509" s="35"/>
      <c r="K1509" s="35"/>
      <c r="L1509" s="35"/>
      <c r="AD1509" s="73"/>
      <c r="AF1509" s="112" t="str">
        <f t="shared" si="46"/>
        <v/>
      </c>
      <c r="AG1509" s="113" t="str">
        <f>IF(AF1509="","",COUNTIF(AF1509:AF$3000,AF1509))</f>
        <v/>
      </c>
      <c r="AH1509" s="114" t="str">
        <f t="shared" si="47"/>
        <v/>
      </c>
    </row>
    <row r="1510" spans="6:34" x14ac:dyDescent="0.3">
      <c r="F1510" s="35"/>
      <c r="J1510" s="35"/>
      <c r="K1510" s="35"/>
      <c r="L1510" s="35"/>
      <c r="AD1510" s="73"/>
      <c r="AF1510" s="112" t="str">
        <f t="shared" si="46"/>
        <v/>
      </c>
      <c r="AG1510" s="113" t="str">
        <f>IF(AF1510="","",COUNTIF(AF1510:AF$3000,AF1510))</f>
        <v/>
      </c>
      <c r="AH1510" s="114" t="str">
        <f t="shared" si="47"/>
        <v/>
      </c>
    </row>
    <row r="1511" spans="6:34" x14ac:dyDescent="0.3">
      <c r="F1511" s="35"/>
      <c r="J1511" s="35"/>
      <c r="K1511" s="35"/>
      <c r="L1511" s="35"/>
      <c r="AD1511" s="73"/>
      <c r="AF1511" s="112" t="str">
        <f t="shared" si="46"/>
        <v/>
      </c>
      <c r="AG1511" s="113" t="str">
        <f>IF(AF1511="","",COUNTIF(AF1511:AF$3000,AF1511))</f>
        <v/>
      </c>
      <c r="AH1511" s="114" t="str">
        <f t="shared" si="47"/>
        <v/>
      </c>
    </row>
    <row r="1512" spans="6:34" x14ac:dyDescent="0.3">
      <c r="F1512" s="35"/>
      <c r="J1512" s="35"/>
      <c r="K1512" s="35"/>
      <c r="L1512" s="35"/>
      <c r="AD1512" s="73"/>
      <c r="AF1512" s="112" t="str">
        <f t="shared" si="46"/>
        <v/>
      </c>
      <c r="AG1512" s="113" t="str">
        <f>IF(AF1512="","",COUNTIF(AF1512:AF$3000,AF1512))</f>
        <v/>
      </c>
      <c r="AH1512" s="114" t="str">
        <f t="shared" si="47"/>
        <v/>
      </c>
    </row>
    <row r="1513" spans="6:34" x14ac:dyDescent="0.3">
      <c r="F1513" s="35"/>
      <c r="J1513" s="35"/>
      <c r="K1513" s="35"/>
      <c r="L1513" s="35"/>
      <c r="AD1513" s="73"/>
      <c r="AF1513" s="112" t="str">
        <f t="shared" si="46"/>
        <v/>
      </c>
      <c r="AG1513" s="113" t="str">
        <f>IF(AF1513="","",COUNTIF(AF1513:AF$3000,AF1513))</f>
        <v/>
      </c>
      <c r="AH1513" s="114" t="str">
        <f t="shared" si="47"/>
        <v/>
      </c>
    </row>
    <row r="1514" spans="6:34" x14ac:dyDescent="0.3">
      <c r="F1514" s="35"/>
      <c r="J1514" s="35"/>
      <c r="K1514" s="35"/>
      <c r="L1514" s="35"/>
      <c r="AD1514" s="73"/>
      <c r="AF1514" s="112" t="str">
        <f t="shared" si="46"/>
        <v/>
      </c>
      <c r="AG1514" s="113" t="str">
        <f>IF(AF1514="","",COUNTIF(AF1514:AF$3000,AF1514))</f>
        <v/>
      </c>
      <c r="AH1514" s="114" t="str">
        <f t="shared" si="47"/>
        <v/>
      </c>
    </row>
    <row r="1515" spans="6:34" x14ac:dyDescent="0.3">
      <c r="F1515" s="35"/>
      <c r="J1515" s="35"/>
      <c r="K1515" s="35"/>
      <c r="L1515" s="35"/>
      <c r="AD1515" s="73"/>
      <c r="AF1515" s="112" t="str">
        <f t="shared" si="46"/>
        <v/>
      </c>
      <c r="AG1515" s="113" t="str">
        <f>IF(AF1515="","",COUNTIF(AF1515:AF$3000,AF1515))</f>
        <v/>
      </c>
      <c r="AH1515" s="114" t="str">
        <f t="shared" si="47"/>
        <v/>
      </c>
    </row>
    <row r="1516" spans="6:34" x14ac:dyDescent="0.3">
      <c r="F1516" s="35"/>
      <c r="J1516" s="35"/>
      <c r="K1516" s="35"/>
      <c r="L1516" s="35"/>
      <c r="AD1516" s="73"/>
      <c r="AF1516" s="112" t="str">
        <f t="shared" si="46"/>
        <v/>
      </c>
      <c r="AG1516" s="113" t="str">
        <f>IF(AF1516="","",COUNTIF(AF1516:AF$3000,AF1516))</f>
        <v/>
      </c>
      <c r="AH1516" s="114" t="str">
        <f t="shared" si="47"/>
        <v/>
      </c>
    </row>
    <row r="1517" spans="6:34" x14ac:dyDescent="0.3">
      <c r="F1517" s="35"/>
      <c r="J1517" s="35"/>
      <c r="K1517" s="35"/>
      <c r="L1517" s="35"/>
      <c r="AD1517" s="73"/>
      <c r="AF1517" s="112" t="str">
        <f t="shared" si="46"/>
        <v/>
      </c>
      <c r="AG1517" s="113" t="str">
        <f>IF(AF1517="","",COUNTIF(AF1517:AF$3000,AF1517))</f>
        <v/>
      </c>
      <c r="AH1517" s="114" t="str">
        <f t="shared" si="47"/>
        <v/>
      </c>
    </row>
    <row r="1518" spans="6:34" x14ac:dyDescent="0.3">
      <c r="F1518" s="35"/>
      <c r="J1518" s="35"/>
      <c r="K1518" s="35"/>
      <c r="L1518" s="35"/>
      <c r="AD1518" s="73"/>
      <c r="AF1518" s="112" t="str">
        <f t="shared" si="46"/>
        <v/>
      </c>
      <c r="AG1518" s="113" t="str">
        <f>IF(AF1518="","",COUNTIF(AF1518:AF$3000,AF1518))</f>
        <v/>
      </c>
      <c r="AH1518" s="114" t="str">
        <f t="shared" si="47"/>
        <v/>
      </c>
    </row>
    <row r="1519" spans="6:34" x14ac:dyDescent="0.3">
      <c r="F1519" s="35"/>
      <c r="J1519" s="35"/>
      <c r="K1519" s="35"/>
      <c r="L1519" s="35"/>
      <c r="AD1519" s="73"/>
      <c r="AF1519" s="112" t="str">
        <f t="shared" si="46"/>
        <v/>
      </c>
      <c r="AG1519" s="113" t="str">
        <f>IF(AF1519="","",COUNTIF(AF1519:AF$3000,AF1519))</f>
        <v/>
      </c>
      <c r="AH1519" s="114" t="str">
        <f t="shared" si="47"/>
        <v/>
      </c>
    </row>
    <row r="1520" spans="6:34" x14ac:dyDescent="0.3">
      <c r="F1520" s="35"/>
      <c r="J1520" s="35"/>
      <c r="K1520" s="35"/>
      <c r="L1520" s="35"/>
      <c r="AD1520" s="73"/>
      <c r="AF1520" s="112" t="str">
        <f t="shared" si="46"/>
        <v/>
      </c>
      <c r="AG1520" s="113" t="str">
        <f>IF(AF1520="","",COUNTIF(AF1520:AF$3000,AF1520))</f>
        <v/>
      </c>
      <c r="AH1520" s="114" t="str">
        <f t="shared" si="47"/>
        <v/>
      </c>
    </row>
    <row r="1521" spans="6:34" x14ac:dyDescent="0.3">
      <c r="F1521" s="35"/>
      <c r="J1521" s="35"/>
      <c r="K1521" s="35"/>
      <c r="L1521" s="35"/>
      <c r="AD1521" s="73"/>
      <c r="AF1521" s="112" t="str">
        <f t="shared" si="46"/>
        <v/>
      </c>
      <c r="AG1521" s="113" t="str">
        <f>IF(AF1521="","",COUNTIF(AF1521:AF$3000,AF1521))</f>
        <v/>
      </c>
      <c r="AH1521" s="114" t="str">
        <f t="shared" si="47"/>
        <v/>
      </c>
    </row>
    <row r="1522" spans="6:34" x14ac:dyDescent="0.3">
      <c r="F1522" s="35"/>
      <c r="J1522" s="35"/>
      <c r="K1522" s="35"/>
      <c r="L1522" s="35"/>
      <c r="AD1522" s="73"/>
      <c r="AF1522" s="112" t="str">
        <f t="shared" si="46"/>
        <v/>
      </c>
      <c r="AG1522" s="113" t="str">
        <f>IF(AF1522="","",COUNTIF(AF1522:AF$3000,AF1522))</f>
        <v/>
      </c>
      <c r="AH1522" s="114" t="str">
        <f t="shared" si="47"/>
        <v/>
      </c>
    </row>
    <row r="1523" spans="6:34" x14ac:dyDescent="0.3">
      <c r="F1523" s="35"/>
      <c r="J1523" s="35"/>
      <c r="K1523" s="35"/>
      <c r="L1523" s="35"/>
      <c r="AD1523" s="73"/>
      <c r="AF1523" s="112" t="str">
        <f t="shared" si="46"/>
        <v/>
      </c>
      <c r="AG1523" s="113" t="str">
        <f>IF(AF1523="","",COUNTIF(AF1523:AF$3000,AF1523))</f>
        <v/>
      </c>
      <c r="AH1523" s="114" t="str">
        <f t="shared" si="47"/>
        <v/>
      </c>
    </row>
    <row r="1524" spans="6:34" x14ac:dyDescent="0.3">
      <c r="F1524" s="35"/>
      <c r="J1524" s="35"/>
      <c r="K1524" s="35"/>
      <c r="L1524" s="35"/>
      <c r="AD1524" s="73"/>
      <c r="AF1524" s="112" t="str">
        <f t="shared" si="46"/>
        <v/>
      </c>
      <c r="AG1524" s="113" t="str">
        <f>IF(AF1524="","",COUNTIF(AF1524:AF$3000,AF1524))</f>
        <v/>
      </c>
      <c r="AH1524" s="114" t="str">
        <f t="shared" si="47"/>
        <v/>
      </c>
    </row>
    <row r="1525" spans="6:34" x14ac:dyDescent="0.3">
      <c r="F1525" s="35"/>
      <c r="J1525" s="35"/>
      <c r="K1525" s="35"/>
      <c r="L1525" s="35"/>
      <c r="AD1525" s="73"/>
      <c r="AF1525" s="112" t="str">
        <f t="shared" si="46"/>
        <v/>
      </c>
      <c r="AG1525" s="113" t="str">
        <f>IF(AF1525="","",COUNTIF(AF1525:AF$3000,AF1525))</f>
        <v/>
      </c>
      <c r="AH1525" s="114" t="str">
        <f t="shared" si="47"/>
        <v/>
      </c>
    </row>
    <row r="1526" spans="6:34" x14ac:dyDescent="0.3">
      <c r="F1526" s="35"/>
      <c r="J1526" s="35"/>
      <c r="K1526" s="35"/>
      <c r="L1526" s="35"/>
      <c r="AD1526" s="73"/>
      <c r="AF1526" s="112" t="str">
        <f t="shared" si="46"/>
        <v/>
      </c>
      <c r="AG1526" s="113" t="str">
        <f>IF(AF1526="","",COUNTIF(AF1526:AF$3000,AF1526))</f>
        <v/>
      </c>
      <c r="AH1526" s="114" t="str">
        <f t="shared" si="47"/>
        <v/>
      </c>
    </row>
    <row r="1527" spans="6:34" x14ac:dyDescent="0.3">
      <c r="F1527" s="35"/>
      <c r="J1527" s="35"/>
      <c r="K1527" s="35"/>
      <c r="L1527" s="35"/>
      <c r="AD1527" s="73"/>
      <c r="AF1527" s="112" t="str">
        <f t="shared" si="46"/>
        <v/>
      </c>
      <c r="AG1527" s="113" t="str">
        <f>IF(AF1527="","",COUNTIF(AF1527:AF$3000,AF1527))</f>
        <v/>
      </c>
      <c r="AH1527" s="114" t="str">
        <f t="shared" si="47"/>
        <v/>
      </c>
    </row>
    <row r="1528" spans="6:34" x14ac:dyDescent="0.3">
      <c r="F1528" s="35"/>
      <c r="J1528" s="35"/>
      <c r="K1528" s="35"/>
      <c r="L1528" s="35"/>
      <c r="AD1528" s="73"/>
      <c r="AF1528" s="112" t="str">
        <f t="shared" si="46"/>
        <v/>
      </c>
      <c r="AG1528" s="113" t="str">
        <f>IF(AF1528="","",COUNTIF(AF1528:AF$3000,AF1528))</f>
        <v/>
      </c>
      <c r="AH1528" s="114" t="str">
        <f t="shared" si="47"/>
        <v/>
      </c>
    </row>
    <row r="1529" spans="6:34" x14ac:dyDescent="0.3">
      <c r="F1529" s="35"/>
      <c r="J1529" s="35"/>
      <c r="K1529" s="35"/>
      <c r="L1529" s="35"/>
      <c r="AD1529" s="73"/>
      <c r="AF1529" s="112" t="str">
        <f t="shared" si="46"/>
        <v/>
      </c>
      <c r="AG1529" s="113" t="str">
        <f>IF(AF1529="","",COUNTIF(AF1529:AF$3000,AF1529))</f>
        <v/>
      </c>
      <c r="AH1529" s="114" t="str">
        <f t="shared" si="47"/>
        <v/>
      </c>
    </row>
    <row r="1530" spans="6:34" x14ac:dyDescent="0.3">
      <c r="F1530" s="35"/>
      <c r="J1530" s="35"/>
      <c r="K1530" s="35"/>
      <c r="L1530" s="35"/>
      <c r="AD1530" s="73"/>
      <c r="AF1530" s="112" t="str">
        <f t="shared" si="46"/>
        <v/>
      </c>
      <c r="AG1530" s="113" t="str">
        <f>IF(AF1530="","",COUNTIF(AF1530:AF$3000,AF1530))</f>
        <v/>
      </c>
      <c r="AH1530" s="114" t="str">
        <f t="shared" si="47"/>
        <v/>
      </c>
    </row>
    <row r="1531" spans="6:34" x14ac:dyDescent="0.3">
      <c r="F1531" s="35"/>
      <c r="J1531" s="35"/>
      <c r="K1531" s="35"/>
      <c r="L1531" s="35"/>
      <c r="AD1531" s="73"/>
      <c r="AF1531" s="112" t="str">
        <f t="shared" si="46"/>
        <v/>
      </c>
      <c r="AG1531" s="113" t="str">
        <f>IF(AF1531="","",COUNTIF(AF1531:AF$3000,AF1531))</f>
        <v/>
      </c>
      <c r="AH1531" s="114" t="str">
        <f t="shared" si="47"/>
        <v/>
      </c>
    </row>
    <row r="1532" spans="6:34" x14ac:dyDescent="0.3">
      <c r="F1532" s="35"/>
      <c r="J1532" s="35"/>
      <c r="K1532" s="35"/>
      <c r="L1532" s="35"/>
      <c r="AD1532" s="73"/>
      <c r="AF1532" s="112" t="str">
        <f t="shared" si="46"/>
        <v/>
      </c>
      <c r="AG1532" s="113" t="str">
        <f>IF(AF1532="","",COUNTIF(AF1532:AF$3000,AF1532))</f>
        <v/>
      </c>
      <c r="AH1532" s="114" t="str">
        <f t="shared" si="47"/>
        <v/>
      </c>
    </row>
    <row r="1533" spans="6:34" x14ac:dyDescent="0.3">
      <c r="F1533" s="35"/>
      <c r="J1533" s="35"/>
      <c r="K1533" s="35"/>
      <c r="L1533" s="35"/>
      <c r="AD1533" s="73"/>
      <c r="AF1533" s="112" t="str">
        <f t="shared" si="46"/>
        <v/>
      </c>
      <c r="AG1533" s="113" t="str">
        <f>IF(AF1533="","",COUNTIF(AF1533:AF$3000,AF1533))</f>
        <v/>
      </c>
      <c r="AH1533" s="114" t="str">
        <f t="shared" si="47"/>
        <v/>
      </c>
    </row>
    <row r="1534" spans="6:34" x14ac:dyDescent="0.3">
      <c r="F1534" s="35"/>
      <c r="J1534" s="35"/>
      <c r="K1534" s="35"/>
      <c r="L1534" s="35"/>
      <c r="AD1534" s="73"/>
      <c r="AF1534" s="112" t="str">
        <f t="shared" si="46"/>
        <v/>
      </c>
      <c r="AG1534" s="113" t="str">
        <f>IF(AF1534="","",COUNTIF(AF1534:AF$3000,AF1534))</f>
        <v/>
      </c>
      <c r="AH1534" s="114" t="str">
        <f t="shared" si="47"/>
        <v/>
      </c>
    </row>
    <row r="1535" spans="6:34" x14ac:dyDescent="0.3">
      <c r="F1535" s="35"/>
      <c r="J1535" s="35"/>
      <c r="K1535" s="35"/>
      <c r="L1535" s="35"/>
      <c r="AD1535" s="73"/>
      <c r="AF1535" s="112" t="str">
        <f t="shared" si="46"/>
        <v/>
      </c>
      <c r="AG1535" s="113" t="str">
        <f>IF(AF1535="","",COUNTIF(AF1535:AF$3000,AF1535))</f>
        <v/>
      </c>
      <c r="AH1535" s="114" t="str">
        <f t="shared" si="47"/>
        <v/>
      </c>
    </row>
    <row r="1536" spans="6:34" x14ac:dyDescent="0.3">
      <c r="F1536" s="35"/>
      <c r="J1536" s="35"/>
      <c r="K1536" s="35"/>
      <c r="L1536" s="35"/>
      <c r="AD1536" s="73"/>
      <c r="AF1536" s="112" t="str">
        <f t="shared" si="46"/>
        <v/>
      </c>
      <c r="AG1536" s="113" t="str">
        <f>IF(AF1536="","",COUNTIF(AF1536:AF$3000,AF1536))</f>
        <v/>
      </c>
      <c r="AH1536" s="114" t="str">
        <f t="shared" si="47"/>
        <v/>
      </c>
    </row>
    <row r="1537" spans="6:34" x14ac:dyDescent="0.3">
      <c r="F1537" s="35"/>
      <c r="J1537" s="35"/>
      <c r="K1537" s="35"/>
      <c r="L1537" s="35"/>
      <c r="AD1537" s="73"/>
      <c r="AF1537" s="112" t="str">
        <f t="shared" si="46"/>
        <v/>
      </c>
      <c r="AG1537" s="113" t="str">
        <f>IF(AF1537="","",COUNTIF(AF1537:AF$3000,AF1537))</f>
        <v/>
      </c>
      <c r="AH1537" s="114" t="str">
        <f t="shared" si="47"/>
        <v/>
      </c>
    </row>
    <row r="1538" spans="6:34" x14ac:dyDescent="0.3">
      <c r="F1538" s="35"/>
      <c r="J1538" s="35"/>
      <c r="K1538" s="35"/>
      <c r="L1538" s="35"/>
      <c r="AD1538" s="73"/>
      <c r="AF1538" s="112" t="str">
        <f t="shared" si="46"/>
        <v/>
      </c>
      <c r="AG1538" s="113" t="str">
        <f>IF(AF1538="","",COUNTIF(AF1538:AF$3000,AF1538))</f>
        <v/>
      </c>
      <c r="AH1538" s="114" t="str">
        <f t="shared" si="47"/>
        <v/>
      </c>
    </row>
    <row r="1539" spans="6:34" x14ac:dyDescent="0.3">
      <c r="F1539" s="35"/>
      <c r="J1539" s="35"/>
      <c r="K1539" s="35"/>
      <c r="L1539" s="35"/>
      <c r="AD1539" s="73"/>
      <c r="AF1539" s="112" t="str">
        <f t="shared" si="46"/>
        <v/>
      </c>
      <c r="AG1539" s="113" t="str">
        <f>IF(AF1539="","",COUNTIF(AF1539:AF$3000,AF1539))</f>
        <v/>
      </c>
      <c r="AH1539" s="114" t="str">
        <f t="shared" si="47"/>
        <v/>
      </c>
    </row>
    <row r="1540" spans="6:34" x14ac:dyDescent="0.3">
      <c r="F1540" s="35"/>
      <c r="J1540" s="35"/>
      <c r="K1540" s="35"/>
      <c r="L1540" s="35"/>
      <c r="AD1540" s="73"/>
      <c r="AF1540" s="112" t="str">
        <f t="shared" ref="AF1540:AF1603" si="48">IF(B1540="","",TEXT(J1540,"DD/MM/AA")&amp;"_"&amp;S1540&amp;"_"&amp;V1540)</f>
        <v/>
      </c>
      <c r="AG1540" s="113" t="str">
        <f>IF(AF1540="","",COUNTIF(AF1540:AF$3000,AF1540))</f>
        <v/>
      </c>
      <c r="AH1540" s="114" t="str">
        <f t="shared" ref="AH1540:AH1603" si="49">IF(AA1540="","",
IF(AG1540&gt;1,"",
IF(SUMIF(AF$3:AF$31,AF1540,H$3:H$31)/10&lt;1,1,SUMIF(AF$3:AF$31,AF1540,H$3:H$31)/10)))</f>
        <v/>
      </c>
    </row>
    <row r="1541" spans="6:34" x14ac:dyDescent="0.3">
      <c r="F1541" s="35"/>
      <c r="J1541" s="35"/>
      <c r="K1541" s="35"/>
      <c r="L1541" s="35"/>
      <c r="AD1541" s="73"/>
      <c r="AF1541" s="112" t="str">
        <f t="shared" si="48"/>
        <v/>
      </c>
      <c r="AG1541" s="113" t="str">
        <f>IF(AF1541="","",COUNTIF(AF1541:AF$3000,AF1541))</f>
        <v/>
      </c>
      <c r="AH1541" s="114" t="str">
        <f t="shared" si="49"/>
        <v/>
      </c>
    </row>
    <row r="1542" spans="6:34" x14ac:dyDescent="0.3">
      <c r="F1542" s="35"/>
      <c r="J1542" s="35"/>
      <c r="K1542" s="35"/>
      <c r="L1542" s="35"/>
      <c r="AD1542" s="73"/>
      <c r="AF1542" s="112" t="str">
        <f t="shared" si="48"/>
        <v/>
      </c>
      <c r="AG1542" s="113" t="str">
        <f>IF(AF1542="","",COUNTIF(AF1542:AF$3000,AF1542))</f>
        <v/>
      </c>
      <c r="AH1542" s="114" t="str">
        <f t="shared" si="49"/>
        <v/>
      </c>
    </row>
    <row r="1543" spans="6:34" x14ac:dyDescent="0.3">
      <c r="F1543" s="35"/>
      <c r="J1543" s="35"/>
      <c r="K1543" s="35"/>
      <c r="L1543" s="35"/>
      <c r="AD1543" s="73"/>
      <c r="AF1543" s="112" t="str">
        <f t="shared" si="48"/>
        <v/>
      </c>
      <c r="AG1543" s="113" t="str">
        <f>IF(AF1543="","",COUNTIF(AF1543:AF$3000,AF1543))</f>
        <v/>
      </c>
      <c r="AH1543" s="114" t="str">
        <f t="shared" si="49"/>
        <v/>
      </c>
    </row>
    <row r="1544" spans="6:34" x14ac:dyDescent="0.3">
      <c r="F1544" s="35"/>
      <c r="J1544" s="35"/>
      <c r="K1544" s="35"/>
      <c r="L1544" s="35"/>
      <c r="AD1544" s="73"/>
      <c r="AF1544" s="112" t="str">
        <f t="shared" si="48"/>
        <v/>
      </c>
      <c r="AG1544" s="113" t="str">
        <f>IF(AF1544="","",COUNTIF(AF1544:AF$3000,AF1544))</f>
        <v/>
      </c>
      <c r="AH1544" s="114" t="str">
        <f t="shared" si="49"/>
        <v/>
      </c>
    </row>
    <row r="1545" spans="6:34" x14ac:dyDescent="0.3">
      <c r="F1545" s="35"/>
      <c r="J1545" s="35"/>
      <c r="K1545" s="35"/>
      <c r="L1545" s="35"/>
      <c r="AD1545" s="73"/>
      <c r="AF1545" s="112" t="str">
        <f t="shared" si="48"/>
        <v/>
      </c>
      <c r="AG1545" s="113" t="str">
        <f>IF(AF1545="","",COUNTIF(AF1545:AF$3000,AF1545))</f>
        <v/>
      </c>
      <c r="AH1545" s="114" t="str">
        <f t="shared" si="49"/>
        <v/>
      </c>
    </row>
    <row r="1546" spans="6:34" x14ac:dyDescent="0.3">
      <c r="F1546" s="35"/>
      <c r="J1546" s="35"/>
      <c r="K1546" s="35"/>
      <c r="L1546" s="35"/>
      <c r="AD1546" s="73"/>
      <c r="AF1546" s="112" t="str">
        <f t="shared" si="48"/>
        <v/>
      </c>
      <c r="AG1546" s="113" t="str">
        <f>IF(AF1546="","",COUNTIF(AF1546:AF$3000,AF1546))</f>
        <v/>
      </c>
      <c r="AH1546" s="114" t="str">
        <f t="shared" si="49"/>
        <v/>
      </c>
    </row>
    <row r="1547" spans="6:34" x14ac:dyDescent="0.3">
      <c r="F1547" s="35"/>
      <c r="J1547" s="35"/>
      <c r="K1547" s="35"/>
      <c r="L1547" s="35"/>
      <c r="AD1547" s="73"/>
      <c r="AF1547" s="112" t="str">
        <f t="shared" si="48"/>
        <v/>
      </c>
      <c r="AG1547" s="113" t="str">
        <f>IF(AF1547="","",COUNTIF(AF1547:AF$3000,AF1547))</f>
        <v/>
      </c>
      <c r="AH1547" s="114" t="str">
        <f t="shared" si="49"/>
        <v/>
      </c>
    </row>
    <row r="1548" spans="6:34" x14ac:dyDescent="0.3">
      <c r="F1548" s="35"/>
      <c r="J1548" s="35"/>
      <c r="K1548" s="35"/>
      <c r="L1548" s="35"/>
      <c r="AD1548" s="73"/>
      <c r="AF1548" s="112" t="str">
        <f t="shared" si="48"/>
        <v/>
      </c>
      <c r="AG1548" s="113" t="str">
        <f>IF(AF1548="","",COUNTIF(AF1548:AF$3000,AF1548))</f>
        <v/>
      </c>
      <c r="AH1548" s="114" t="str">
        <f t="shared" si="49"/>
        <v/>
      </c>
    </row>
    <row r="1549" spans="6:34" x14ac:dyDescent="0.3">
      <c r="F1549" s="35"/>
      <c r="J1549" s="35"/>
      <c r="K1549" s="35"/>
      <c r="L1549" s="35"/>
      <c r="AD1549" s="73"/>
      <c r="AF1549" s="112" t="str">
        <f t="shared" si="48"/>
        <v/>
      </c>
      <c r="AG1549" s="113" t="str">
        <f>IF(AF1549="","",COUNTIF(AF1549:AF$3000,AF1549))</f>
        <v/>
      </c>
      <c r="AH1549" s="114" t="str">
        <f t="shared" si="49"/>
        <v/>
      </c>
    </row>
    <row r="1550" spans="6:34" x14ac:dyDescent="0.3">
      <c r="F1550" s="35"/>
      <c r="J1550" s="35"/>
      <c r="K1550" s="35"/>
      <c r="L1550" s="35"/>
      <c r="AD1550" s="73"/>
      <c r="AF1550" s="112" t="str">
        <f t="shared" si="48"/>
        <v/>
      </c>
      <c r="AG1550" s="113" t="str">
        <f>IF(AF1550="","",COUNTIF(AF1550:AF$3000,AF1550))</f>
        <v/>
      </c>
      <c r="AH1550" s="114" t="str">
        <f t="shared" si="49"/>
        <v/>
      </c>
    </row>
    <row r="1551" spans="6:34" x14ac:dyDescent="0.3">
      <c r="F1551" s="35"/>
      <c r="J1551" s="35"/>
      <c r="K1551" s="35"/>
      <c r="L1551" s="35"/>
      <c r="AD1551" s="73"/>
      <c r="AF1551" s="112" t="str">
        <f t="shared" si="48"/>
        <v/>
      </c>
      <c r="AG1551" s="113" t="str">
        <f>IF(AF1551="","",COUNTIF(AF1551:AF$3000,AF1551))</f>
        <v/>
      </c>
      <c r="AH1551" s="114" t="str">
        <f t="shared" si="49"/>
        <v/>
      </c>
    </row>
    <row r="1552" spans="6:34" x14ac:dyDescent="0.3">
      <c r="F1552" s="35"/>
      <c r="J1552" s="35"/>
      <c r="K1552" s="35"/>
      <c r="L1552" s="35"/>
      <c r="AD1552" s="73"/>
      <c r="AF1552" s="112" t="str">
        <f t="shared" si="48"/>
        <v/>
      </c>
      <c r="AG1552" s="113" t="str">
        <f>IF(AF1552="","",COUNTIF(AF1552:AF$3000,AF1552))</f>
        <v/>
      </c>
      <c r="AH1552" s="114" t="str">
        <f t="shared" si="49"/>
        <v/>
      </c>
    </row>
    <row r="1553" spans="6:34" x14ac:dyDescent="0.3">
      <c r="F1553" s="35"/>
      <c r="J1553" s="35"/>
      <c r="K1553" s="35"/>
      <c r="L1553" s="35"/>
      <c r="AD1553" s="73"/>
      <c r="AF1553" s="112" t="str">
        <f t="shared" si="48"/>
        <v/>
      </c>
      <c r="AG1553" s="113" t="str">
        <f>IF(AF1553="","",COUNTIF(AF1553:AF$3000,AF1553))</f>
        <v/>
      </c>
      <c r="AH1553" s="114" t="str">
        <f t="shared" si="49"/>
        <v/>
      </c>
    </row>
    <row r="1554" spans="6:34" x14ac:dyDescent="0.3">
      <c r="F1554" s="35"/>
      <c r="J1554" s="35"/>
      <c r="K1554" s="35"/>
      <c r="L1554" s="35"/>
      <c r="AD1554" s="73"/>
      <c r="AF1554" s="112" t="str">
        <f t="shared" si="48"/>
        <v/>
      </c>
      <c r="AG1554" s="113" t="str">
        <f>IF(AF1554="","",COUNTIF(AF1554:AF$3000,AF1554))</f>
        <v/>
      </c>
      <c r="AH1554" s="114" t="str">
        <f t="shared" si="49"/>
        <v/>
      </c>
    </row>
    <row r="1555" spans="6:34" x14ac:dyDescent="0.3">
      <c r="F1555" s="35"/>
      <c r="J1555" s="35"/>
      <c r="K1555" s="35"/>
      <c r="L1555" s="35"/>
      <c r="AD1555" s="73"/>
      <c r="AF1555" s="112" t="str">
        <f t="shared" si="48"/>
        <v/>
      </c>
      <c r="AG1555" s="113" t="str">
        <f>IF(AF1555="","",COUNTIF(AF1555:AF$3000,AF1555))</f>
        <v/>
      </c>
      <c r="AH1555" s="114" t="str">
        <f t="shared" si="49"/>
        <v/>
      </c>
    </row>
    <row r="1556" spans="6:34" x14ac:dyDescent="0.3">
      <c r="F1556" s="35"/>
      <c r="J1556" s="35"/>
      <c r="K1556" s="35"/>
      <c r="L1556" s="35"/>
      <c r="AD1556" s="73"/>
      <c r="AF1556" s="112" t="str">
        <f t="shared" si="48"/>
        <v/>
      </c>
      <c r="AG1556" s="113" t="str">
        <f>IF(AF1556="","",COUNTIF(AF1556:AF$3000,AF1556))</f>
        <v/>
      </c>
      <c r="AH1556" s="114" t="str">
        <f t="shared" si="49"/>
        <v/>
      </c>
    </row>
    <row r="1557" spans="6:34" x14ac:dyDescent="0.3">
      <c r="F1557" s="35"/>
      <c r="J1557" s="35"/>
      <c r="K1557" s="35"/>
      <c r="L1557" s="35"/>
      <c r="AD1557" s="73"/>
      <c r="AF1557" s="112" t="str">
        <f t="shared" si="48"/>
        <v/>
      </c>
      <c r="AG1557" s="113" t="str">
        <f>IF(AF1557="","",COUNTIF(AF1557:AF$3000,AF1557))</f>
        <v/>
      </c>
      <c r="AH1557" s="114" t="str">
        <f t="shared" si="49"/>
        <v/>
      </c>
    </row>
    <row r="1558" spans="6:34" x14ac:dyDescent="0.3">
      <c r="F1558" s="35"/>
      <c r="J1558" s="35"/>
      <c r="K1558" s="35"/>
      <c r="L1558" s="35"/>
      <c r="AD1558" s="73"/>
      <c r="AF1558" s="112" t="str">
        <f t="shared" si="48"/>
        <v/>
      </c>
      <c r="AG1558" s="113" t="str">
        <f>IF(AF1558="","",COUNTIF(AF1558:AF$3000,AF1558))</f>
        <v/>
      </c>
      <c r="AH1558" s="114" t="str">
        <f t="shared" si="49"/>
        <v/>
      </c>
    </row>
    <row r="1559" spans="6:34" x14ac:dyDescent="0.3">
      <c r="F1559" s="35"/>
      <c r="J1559" s="35"/>
      <c r="K1559" s="35"/>
      <c r="L1559" s="35"/>
      <c r="AD1559" s="73"/>
      <c r="AF1559" s="112" t="str">
        <f t="shared" si="48"/>
        <v/>
      </c>
      <c r="AG1559" s="113" t="str">
        <f>IF(AF1559="","",COUNTIF(AF1559:AF$3000,AF1559))</f>
        <v/>
      </c>
      <c r="AH1559" s="114" t="str">
        <f t="shared" si="49"/>
        <v/>
      </c>
    </row>
    <row r="1560" spans="6:34" x14ac:dyDescent="0.3">
      <c r="F1560" s="35"/>
      <c r="J1560" s="35"/>
      <c r="K1560" s="35"/>
      <c r="L1560" s="35"/>
      <c r="AD1560" s="73"/>
      <c r="AF1560" s="112" t="str">
        <f t="shared" si="48"/>
        <v/>
      </c>
      <c r="AG1560" s="113" t="str">
        <f>IF(AF1560="","",COUNTIF(AF1560:AF$3000,AF1560))</f>
        <v/>
      </c>
      <c r="AH1560" s="114" t="str">
        <f t="shared" si="49"/>
        <v/>
      </c>
    </row>
    <row r="1561" spans="6:34" x14ac:dyDescent="0.3">
      <c r="F1561" s="35"/>
      <c r="J1561" s="35"/>
      <c r="K1561" s="35"/>
      <c r="L1561" s="35"/>
      <c r="AD1561" s="73"/>
      <c r="AF1561" s="112" t="str">
        <f t="shared" si="48"/>
        <v/>
      </c>
      <c r="AG1561" s="113" t="str">
        <f>IF(AF1561="","",COUNTIF(AF1561:AF$3000,AF1561))</f>
        <v/>
      </c>
      <c r="AH1561" s="114" t="str">
        <f t="shared" si="49"/>
        <v/>
      </c>
    </row>
    <row r="1562" spans="6:34" x14ac:dyDescent="0.3">
      <c r="F1562" s="35"/>
      <c r="J1562" s="35"/>
      <c r="K1562" s="35"/>
      <c r="L1562" s="35"/>
      <c r="AD1562" s="73"/>
      <c r="AF1562" s="112" t="str">
        <f t="shared" si="48"/>
        <v/>
      </c>
      <c r="AG1562" s="113" t="str">
        <f>IF(AF1562="","",COUNTIF(AF1562:AF$3000,AF1562))</f>
        <v/>
      </c>
      <c r="AH1562" s="114" t="str">
        <f t="shared" si="49"/>
        <v/>
      </c>
    </row>
    <row r="1563" spans="6:34" x14ac:dyDescent="0.3">
      <c r="F1563" s="35"/>
      <c r="J1563" s="35"/>
      <c r="K1563" s="35"/>
      <c r="L1563" s="35"/>
      <c r="AD1563" s="73"/>
      <c r="AF1563" s="112" t="str">
        <f t="shared" si="48"/>
        <v/>
      </c>
      <c r="AG1563" s="113" t="str">
        <f>IF(AF1563="","",COUNTIF(AF1563:AF$3000,AF1563))</f>
        <v/>
      </c>
      <c r="AH1563" s="114" t="str">
        <f t="shared" si="49"/>
        <v/>
      </c>
    </row>
    <row r="1564" spans="6:34" x14ac:dyDescent="0.3">
      <c r="F1564" s="35"/>
      <c r="J1564" s="35"/>
      <c r="K1564" s="35"/>
      <c r="L1564" s="35"/>
      <c r="AD1564" s="73"/>
      <c r="AF1564" s="112" t="str">
        <f t="shared" si="48"/>
        <v/>
      </c>
      <c r="AG1564" s="113" t="str">
        <f>IF(AF1564="","",COUNTIF(AF1564:AF$3000,AF1564))</f>
        <v/>
      </c>
      <c r="AH1564" s="114" t="str">
        <f t="shared" si="49"/>
        <v/>
      </c>
    </row>
    <row r="1565" spans="6:34" x14ac:dyDescent="0.3">
      <c r="F1565" s="35"/>
      <c r="J1565" s="35"/>
      <c r="K1565" s="35"/>
      <c r="L1565" s="35"/>
      <c r="AD1565" s="73"/>
      <c r="AF1565" s="112" t="str">
        <f t="shared" si="48"/>
        <v/>
      </c>
      <c r="AG1565" s="113" t="str">
        <f>IF(AF1565="","",COUNTIF(AF1565:AF$3000,AF1565))</f>
        <v/>
      </c>
      <c r="AH1565" s="114" t="str">
        <f t="shared" si="49"/>
        <v/>
      </c>
    </row>
    <row r="1566" spans="6:34" x14ac:dyDescent="0.3">
      <c r="F1566" s="35"/>
      <c r="J1566" s="35"/>
      <c r="K1566" s="35"/>
      <c r="L1566" s="35"/>
      <c r="AD1566" s="73"/>
      <c r="AF1566" s="112" t="str">
        <f t="shared" si="48"/>
        <v/>
      </c>
      <c r="AG1566" s="113" t="str">
        <f>IF(AF1566="","",COUNTIF(AF1566:AF$3000,AF1566))</f>
        <v/>
      </c>
      <c r="AH1566" s="114" t="str">
        <f t="shared" si="49"/>
        <v/>
      </c>
    </row>
    <row r="1567" spans="6:34" x14ac:dyDescent="0.3">
      <c r="F1567" s="35"/>
      <c r="J1567" s="35"/>
      <c r="K1567" s="35"/>
      <c r="L1567" s="35"/>
      <c r="AD1567" s="73"/>
      <c r="AF1567" s="112" t="str">
        <f t="shared" si="48"/>
        <v/>
      </c>
      <c r="AG1567" s="113" t="str">
        <f>IF(AF1567="","",COUNTIF(AF1567:AF$3000,AF1567))</f>
        <v/>
      </c>
      <c r="AH1567" s="114" t="str">
        <f t="shared" si="49"/>
        <v/>
      </c>
    </row>
    <row r="1568" spans="6:34" x14ac:dyDescent="0.3">
      <c r="F1568" s="35"/>
      <c r="J1568" s="35"/>
      <c r="K1568" s="35"/>
      <c r="L1568" s="35"/>
      <c r="AD1568" s="73"/>
      <c r="AF1568" s="112" t="str">
        <f t="shared" si="48"/>
        <v/>
      </c>
      <c r="AG1568" s="113" t="str">
        <f>IF(AF1568="","",COUNTIF(AF1568:AF$3000,AF1568))</f>
        <v/>
      </c>
      <c r="AH1568" s="114" t="str">
        <f t="shared" si="49"/>
        <v/>
      </c>
    </row>
    <row r="1569" spans="6:34" x14ac:dyDescent="0.3">
      <c r="F1569" s="35"/>
      <c r="J1569" s="35"/>
      <c r="K1569" s="35"/>
      <c r="L1569" s="35"/>
      <c r="AD1569" s="73"/>
      <c r="AF1569" s="112" t="str">
        <f t="shared" si="48"/>
        <v/>
      </c>
      <c r="AG1569" s="113" t="str">
        <f>IF(AF1569="","",COUNTIF(AF1569:AF$3000,AF1569))</f>
        <v/>
      </c>
      <c r="AH1569" s="114" t="str">
        <f t="shared" si="49"/>
        <v/>
      </c>
    </row>
    <row r="1570" spans="6:34" x14ac:dyDescent="0.3">
      <c r="F1570" s="35"/>
      <c r="J1570" s="35"/>
      <c r="K1570" s="35"/>
      <c r="L1570" s="35"/>
      <c r="AD1570" s="73"/>
      <c r="AF1570" s="112" t="str">
        <f t="shared" si="48"/>
        <v/>
      </c>
      <c r="AG1570" s="113" t="str">
        <f>IF(AF1570="","",COUNTIF(AF1570:AF$3000,AF1570))</f>
        <v/>
      </c>
      <c r="AH1570" s="114" t="str">
        <f t="shared" si="49"/>
        <v/>
      </c>
    </row>
    <row r="1571" spans="6:34" x14ac:dyDescent="0.3">
      <c r="F1571" s="35"/>
      <c r="J1571" s="35"/>
      <c r="K1571" s="35"/>
      <c r="L1571" s="35"/>
      <c r="AD1571" s="73"/>
      <c r="AF1571" s="112" t="str">
        <f t="shared" si="48"/>
        <v/>
      </c>
      <c r="AG1571" s="113" t="str">
        <f>IF(AF1571="","",COUNTIF(AF1571:AF$3000,AF1571))</f>
        <v/>
      </c>
      <c r="AH1571" s="114" t="str">
        <f t="shared" si="49"/>
        <v/>
      </c>
    </row>
    <row r="1572" spans="6:34" x14ac:dyDescent="0.3">
      <c r="F1572" s="35"/>
      <c r="J1572" s="35"/>
      <c r="K1572" s="35"/>
      <c r="L1572" s="35"/>
      <c r="AD1572" s="73"/>
      <c r="AF1572" s="112" t="str">
        <f t="shared" si="48"/>
        <v/>
      </c>
      <c r="AG1572" s="113" t="str">
        <f>IF(AF1572="","",COUNTIF(AF1572:AF$3000,AF1572))</f>
        <v/>
      </c>
      <c r="AH1572" s="114" t="str">
        <f t="shared" si="49"/>
        <v/>
      </c>
    </row>
    <row r="1573" spans="6:34" x14ac:dyDescent="0.3">
      <c r="F1573" s="35"/>
      <c r="J1573" s="35"/>
      <c r="K1573" s="35"/>
      <c r="L1573" s="35"/>
      <c r="AD1573" s="73"/>
      <c r="AF1573" s="112" t="str">
        <f t="shared" si="48"/>
        <v/>
      </c>
      <c r="AG1573" s="113" t="str">
        <f>IF(AF1573="","",COUNTIF(AF1573:AF$3000,AF1573))</f>
        <v/>
      </c>
      <c r="AH1573" s="114" t="str">
        <f t="shared" si="49"/>
        <v/>
      </c>
    </row>
    <row r="1574" spans="6:34" x14ac:dyDescent="0.3">
      <c r="F1574" s="35"/>
      <c r="J1574" s="35"/>
      <c r="K1574" s="35"/>
      <c r="L1574" s="35"/>
      <c r="AD1574" s="73"/>
      <c r="AF1574" s="112" t="str">
        <f t="shared" si="48"/>
        <v/>
      </c>
      <c r="AG1574" s="113" t="str">
        <f>IF(AF1574="","",COUNTIF(AF1574:AF$3000,AF1574))</f>
        <v/>
      </c>
      <c r="AH1574" s="114" t="str">
        <f t="shared" si="49"/>
        <v/>
      </c>
    </row>
    <row r="1575" spans="6:34" x14ac:dyDescent="0.3">
      <c r="F1575" s="35"/>
      <c r="J1575" s="35"/>
      <c r="K1575" s="35"/>
      <c r="L1575" s="35"/>
      <c r="AD1575" s="73"/>
      <c r="AF1575" s="112" t="str">
        <f t="shared" si="48"/>
        <v/>
      </c>
      <c r="AG1575" s="113" t="str">
        <f>IF(AF1575="","",COUNTIF(AF1575:AF$3000,AF1575))</f>
        <v/>
      </c>
      <c r="AH1575" s="114" t="str">
        <f t="shared" si="49"/>
        <v/>
      </c>
    </row>
    <row r="1576" spans="6:34" x14ac:dyDescent="0.3">
      <c r="F1576" s="35"/>
      <c r="J1576" s="35"/>
      <c r="K1576" s="35"/>
      <c r="L1576" s="35"/>
      <c r="AD1576" s="73"/>
      <c r="AF1576" s="112" t="str">
        <f t="shared" si="48"/>
        <v/>
      </c>
      <c r="AG1576" s="113" t="str">
        <f>IF(AF1576="","",COUNTIF(AF1576:AF$3000,AF1576))</f>
        <v/>
      </c>
      <c r="AH1576" s="114" t="str">
        <f t="shared" si="49"/>
        <v/>
      </c>
    </row>
    <row r="1577" spans="6:34" x14ac:dyDescent="0.3">
      <c r="F1577" s="35"/>
      <c r="J1577" s="35"/>
      <c r="K1577" s="35"/>
      <c r="L1577" s="35"/>
      <c r="AD1577" s="73"/>
      <c r="AF1577" s="112" t="str">
        <f t="shared" si="48"/>
        <v/>
      </c>
      <c r="AG1577" s="113" t="str">
        <f>IF(AF1577="","",COUNTIF(AF1577:AF$3000,AF1577))</f>
        <v/>
      </c>
      <c r="AH1577" s="114" t="str">
        <f t="shared" si="49"/>
        <v/>
      </c>
    </row>
    <row r="1578" spans="6:34" x14ac:dyDescent="0.3">
      <c r="F1578" s="35"/>
      <c r="J1578" s="35"/>
      <c r="K1578" s="35"/>
      <c r="L1578" s="35"/>
      <c r="AD1578" s="73"/>
      <c r="AF1578" s="112" t="str">
        <f t="shared" si="48"/>
        <v/>
      </c>
      <c r="AG1578" s="113" t="str">
        <f>IF(AF1578="","",COUNTIF(AF1578:AF$3000,AF1578))</f>
        <v/>
      </c>
      <c r="AH1578" s="114" t="str">
        <f t="shared" si="49"/>
        <v/>
      </c>
    </row>
    <row r="1579" spans="6:34" x14ac:dyDescent="0.3">
      <c r="F1579" s="35"/>
      <c r="J1579" s="35"/>
      <c r="K1579" s="35"/>
      <c r="L1579" s="35"/>
      <c r="AD1579" s="73"/>
      <c r="AF1579" s="112" t="str">
        <f t="shared" si="48"/>
        <v/>
      </c>
      <c r="AG1579" s="113" t="str">
        <f>IF(AF1579="","",COUNTIF(AF1579:AF$3000,AF1579))</f>
        <v/>
      </c>
      <c r="AH1579" s="114" t="str">
        <f t="shared" si="49"/>
        <v/>
      </c>
    </row>
    <row r="1580" spans="6:34" x14ac:dyDescent="0.3">
      <c r="F1580" s="35"/>
      <c r="J1580" s="35"/>
      <c r="K1580" s="35"/>
      <c r="L1580" s="35"/>
      <c r="AD1580" s="73"/>
      <c r="AF1580" s="112" t="str">
        <f t="shared" si="48"/>
        <v/>
      </c>
      <c r="AG1580" s="113" t="str">
        <f>IF(AF1580="","",COUNTIF(AF1580:AF$3000,AF1580))</f>
        <v/>
      </c>
      <c r="AH1580" s="114" t="str">
        <f t="shared" si="49"/>
        <v/>
      </c>
    </row>
    <row r="1581" spans="6:34" x14ac:dyDescent="0.3">
      <c r="F1581" s="35"/>
      <c r="J1581" s="35"/>
      <c r="K1581" s="35"/>
      <c r="L1581" s="35"/>
      <c r="AD1581" s="73"/>
      <c r="AF1581" s="112" t="str">
        <f t="shared" si="48"/>
        <v/>
      </c>
      <c r="AG1581" s="113" t="str">
        <f>IF(AF1581="","",COUNTIF(AF1581:AF$3000,AF1581))</f>
        <v/>
      </c>
      <c r="AH1581" s="114" t="str">
        <f t="shared" si="49"/>
        <v/>
      </c>
    </row>
    <row r="1582" spans="6:34" x14ac:dyDescent="0.3">
      <c r="F1582" s="35"/>
      <c r="J1582" s="35"/>
      <c r="K1582" s="35"/>
      <c r="L1582" s="35"/>
      <c r="AD1582" s="73"/>
      <c r="AF1582" s="112" t="str">
        <f t="shared" si="48"/>
        <v/>
      </c>
      <c r="AG1582" s="113" t="str">
        <f>IF(AF1582="","",COUNTIF(AF1582:AF$3000,AF1582))</f>
        <v/>
      </c>
      <c r="AH1582" s="114" t="str">
        <f t="shared" si="49"/>
        <v/>
      </c>
    </row>
    <row r="1583" spans="6:34" x14ac:dyDescent="0.3">
      <c r="F1583" s="35"/>
      <c r="J1583" s="35"/>
      <c r="K1583" s="35"/>
      <c r="L1583" s="35"/>
      <c r="AD1583" s="73"/>
      <c r="AF1583" s="112" t="str">
        <f t="shared" si="48"/>
        <v/>
      </c>
      <c r="AG1583" s="113" t="str">
        <f>IF(AF1583="","",COUNTIF(AF1583:AF$3000,AF1583))</f>
        <v/>
      </c>
      <c r="AH1583" s="114" t="str">
        <f t="shared" si="49"/>
        <v/>
      </c>
    </row>
    <row r="1584" spans="6:34" x14ac:dyDescent="0.3">
      <c r="F1584" s="35"/>
      <c r="J1584" s="35"/>
      <c r="K1584" s="35"/>
      <c r="L1584" s="35"/>
      <c r="AD1584" s="73"/>
      <c r="AF1584" s="112" t="str">
        <f t="shared" si="48"/>
        <v/>
      </c>
      <c r="AG1584" s="113" t="str">
        <f>IF(AF1584="","",COUNTIF(AF1584:AF$3000,AF1584))</f>
        <v/>
      </c>
      <c r="AH1584" s="114" t="str">
        <f t="shared" si="49"/>
        <v/>
      </c>
    </row>
    <row r="1585" spans="6:34" x14ac:dyDescent="0.3">
      <c r="F1585" s="35"/>
      <c r="J1585" s="35"/>
      <c r="K1585" s="35"/>
      <c r="L1585" s="35"/>
      <c r="AD1585" s="73"/>
      <c r="AF1585" s="112" t="str">
        <f t="shared" si="48"/>
        <v/>
      </c>
      <c r="AG1585" s="113" t="str">
        <f>IF(AF1585="","",COUNTIF(AF1585:AF$3000,AF1585))</f>
        <v/>
      </c>
      <c r="AH1585" s="114" t="str">
        <f t="shared" si="49"/>
        <v/>
      </c>
    </row>
    <row r="1586" spans="6:34" x14ac:dyDescent="0.3">
      <c r="F1586" s="35"/>
      <c r="J1586" s="35"/>
      <c r="K1586" s="35"/>
      <c r="L1586" s="35"/>
      <c r="AD1586" s="73"/>
      <c r="AF1586" s="112" t="str">
        <f t="shared" si="48"/>
        <v/>
      </c>
      <c r="AG1586" s="113" t="str">
        <f>IF(AF1586="","",COUNTIF(AF1586:AF$3000,AF1586))</f>
        <v/>
      </c>
      <c r="AH1586" s="114" t="str">
        <f t="shared" si="49"/>
        <v/>
      </c>
    </row>
    <row r="1587" spans="6:34" x14ac:dyDescent="0.3">
      <c r="F1587" s="35"/>
      <c r="J1587" s="35"/>
      <c r="K1587" s="35"/>
      <c r="L1587" s="35"/>
      <c r="AD1587" s="73"/>
      <c r="AF1587" s="112" t="str">
        <f t="shared" si="48"/>
        <v/>
      </c>
      <c r="AG1587" s="113" t="str">
        <f>IF(AF1587="","",COUNTIF(AF1587:AF$3000,AF1587))</f>
        <v/>
      </c>
      <c r="AH1587" s="114" t="str">
        <f t="shared" si="49"/>
        <v/>
      </c>
    </row>
    <row r="1588" spans="6:34" x14ac:dyDescent="0.3">
      <c r="F1588" s="35"/>
      <c r="J1588" s="35"/>
      <c r="K1588" s="35"/>
      <c r="L1588" s="35"/>
      <c r="AD1588" s="73"/>
      <c r="AF1588" s="112" t="str">
        <f t="shared" si="48"/>
        <v/>
      </c>
      <c r="AG1588" s="113" t="str">
        <f>IF(AF1588="","",COUNTIF(AF1588:AF$3000,AF1588))</f>
        <v/>
      </c>
      <c r="AH1588" s="114" t="str">
        <f t="shared" si="49"/>
        <v/>
      </c>
    </row>
    <row r="1589" spans="6:34" x14ac:dyDescent="0.3">
      <c r="F1589" s="35"/>
      <c r="J1589" s="35"/>
      <c r="K1589" s="35"/>
      <c r="L1589" s="35"/>
      <c r="AD1589" s="73"/>
      <c r="AF1589" s="112" t="str">
        <f t="shared" si="48"/>
        <v/>
      </c>
      <c r="AG1589" s="113" t="str">
        <f>IF(AF1589="","",COUNTIF(AF1589:AF$3000,AF1589))</f>
        <v/>
      </c>
      <c r="AH1589" s="114" t="str">
        <f t="shared" si="49"/>
        <v/>
      </c>
    </row>
    <row r="1590" spans="6:34" x14ac:dyDescent="0.3">
      <c r="F1590" s="35"/>
      <c r="J1590" s="35"/>
      <c r="K1590" s="35"/>
      <c r="L1590" s="35"/>
      <c r="AD1590" s="73"/>
      <c r="AF1590" s="112" t="str">
        <f t="shared" si="48"/>
        <v/>
      </c>
      <c r="AG1590" s="113" t="str">
        <f>IF(AF1590="","",COUNTIF(AF1590:AF$3000,AF1590))</f>
        <v/>
      </c>
      <c r="AH1590" s="114" t="str">
        <f t="shared" si="49"/>
        <v/>
      </c>
    </row>
    <row r="1591" spans="6:34" x14ac:dyDescent="0.3">
      <c r="F1591" s="35"/>
      <c r="J1591" s="35"/>
      <c r="K1591" s="35"/>
      <c r="L1591" s="35"/>
      <c r="AD1591" s="73"/>
      <c r="AF1591" s="112" t="str">
        <f t="shared" si="48"/>
        <v/>
      </c>
      <c r="AG1591" s="113" t="str">
        <f>IF(AF1591="","",COUNTIF(AF1591:AF$3000,AF1591))</f>
        <v/>
      </c>
      <c r="AH1591" s="114" t="str">
        <f t="shared" si="49"/>
        <v/>
      </c>
    </row>
    <row r="1592" spans="6:34" x14ac:dyDescent="0.3">
      <c r="F1592" s="35"/>
      <c r="J1592" s="35"/>
      <c r="K1592" s="35"/>
      <c r="L1592" s="35"/>
      <c r="AD1592" s="73"/>
      <c r="AF1592" s="112" t="str">
        <f t="shared" si="48"/>
        <v/>
      </c>
      <c r="AG1592" s="113" t="str">
        <f>IF(AF1592="","",COUNTIF(AF1592:AF$3000,AF1592))</f>
        <v/>
      </c>
      <c r="AH1592" s="114" t="str">
        <f t="shared" si="49"/>
        <v/>
      </c>
    </row>
    <row r="1593" spans="6:34" x14ac:dyDescent="0.3">
      <c r="F1593" s="35"/>
      <c r="J1593" s="35"/>
      <c r="K1593" s="35"/>
      <c r="L1593" s="35"/>
      <c r="AD1593" s="73"/>
      <c r="AF1593" s="112" t="str">
        <f t="shared" si="48"/>
        <v/>
      </c>
      <c r="AG1593" s="113" t="str">
        <f>IF(AF1593="","",COUNTIF(AF1593:AF$3000,AF1593))</f>
        <v/>
      </c>
      <c r="AH1593" s="114" t="str">
        <f t="shared" si="49"/>
        <v/>
      </c>
    </row>
    <row r="1594" spans="6:34" x14ac:dyDescent="0.3">
      <c r="F1594" s="35"/>
      <c r="J1594" s="35"/>
      <c r="K1594" s="35"/>
      <c r="L1594" s="35"/>
      <c r="AD1594" s="73"/>
      <c r="AF1594" s="112" t="str">
        <f t="shared" si="48"/>
        <v/>
      </c>
      <c r="AG1594" s="113" t="str">
        <f>IF(AF1594="","",COUNTIF(AF1594:AF$3000,AF1594))</f>
        <v/>
      </c>
      <c r="AH1594" s="114" t="str">
        <f t="shared" si="49"/>
        <v/>
      </c>
    </row>
    <row r="1595" spans="6:34" x14ac:dyDescent="0.3">
      <c r="F1595" s="35"/>
      <c r="J1595" s="35"/>
      <c r="K1595" s="35"/>
      <c r="L1595" s="35"/>
      <c r="AD1595" s="73"/>
      <c r="AF1595" s="112" t="str">
        <f t="shared" si="48"/>
        <v/>
      </c>
      <c r="AG1595" s="113" t="str">
        <f>IF(AF1595="","",COUNTIF(AF1595:AF$3000,AF1595))</f>
        <v/>
      </c>
      <c r="AH1595" s="114" t="str">
        <f t="shared" si="49"/>
        <v/>
      </c>
    </row>
    <row r="1596" spans="6:34" x14ac:dyDescent="0.3">
      <c r="F1596" s="35"/>
      <c r="J1596" s="35"/>
      <c r="K1596" s="35"/>
      <c r="L1596" s="35"/>
      <c r="AD1596" s="73"/>
      <c r="AF1596" s="112" t="str">
        <f t="shared" si="48"/>
        <v/>
      </c>
      <c r="AG1596" s="113" t="str">
        <f>IF(AF1596="","",COUNTIF(AF1596:AF$3000,AF1596))</f>
        <v/>
      </c>
      <c r="AH1596" s="114" t="str">
        <f t="shared" si="49"/>
        <v/>
      </c>
    </row>
    <row r="1597" spans="6:34" x14ac:dyDescent="0.3">
      <c r="F1597" s="35"/>
      <c r="J1597" s="35"/>
      <c r="K1597" s="35"/>
      <c r="L1597" s="35"/>
      <c r="AD1597" s="73"/>
      <c r="AF1597" s="112" t="str">
        <f t="shared" si="48"/>
        <v/>
      </c>
      <c r="AG1597" s="113" t="str">
        <f>IF(AF1597="","",COUNTIF(AF1597:AF$3000,AF1597))</f>
        <v/>
      </c>
      <c r="AH1597" s="114" t="str">
        <f t="shared" si="49"/>
        <v/>
      </c>
    </row>
    <row r="1598" spans="6:34" x14ac:dyDescent="0.3">
      <c r="F1598" s="35"/>
      <c r="J1598" s="35"/>
      <c r="K1598" s="35"/>
      <c r="L1598" s="35"/>
      <c r="AD1598" s="73"/>
      <c r="AF1598" s="112" t="str">
        <f t="shared" si="48"/>
        <v/>
      </c>
      <c r="AG1598" s="113" t="str">
        <f>IF(AF1598="","",COUNTIF(AF1598:AF$3000,AF1598))</f>
        <v/>
      </c>
      <c r="AH1598" s="114" t="str">
        <f t="shared" si="49"/>
        <v/>
      </c>
    </row>
    <row r="1599" spans="6:34" x14ac:dyDescent="0.3">
      <c r="F1599" s="35"/>
      <c r="J1599" s="35"/>
      <c r="K1599" s="35"/>
      <c r="L1599" s="35"/>
      <c r="AD1599" s="73"/>
      <c r="AF1599" s="112" t="str">
        <f t="shared" si="48"/>
        <v/>
      </c>
      <c r="AG1599" s="113" t="str">
        <f>IF(AF1599="","",COUNTIF(AF1599:AF$3000,AF1599))</f>
        <v/>
      </c>
      <c r="AH1599" s="114" t="str">
        <f t="shared" si="49"/>
        <v/>
      </c>
    </row>
    <row r="1600" spans="6:34" x14ac:dyDescent="0.3">
      <c r="F1600" s="35"/>
      <c r="J1600" s="35"/>
      <c r="K1600" s="35"/>
      <c r="L1600" s="35"/>
      <c r="AD1600" s="73"/>
      <c r="AF1600" s="112" t="str">
        <f t="shared" si="48"/>
        <v/>
      </c>
      <c r="AG1600" s="113" t="str">
        <f>IF(AF1600="","",COUNTIF(AF1600:AF$3000,AF1600))</f>
        <v/>
      </c>
      <c r="AH1600" s="114" t="str">
        <f t="shared" si="49"/>
        <v/>
      </c>
    </row>
    <row r="1601" spans="6:34" x14ac:dyDescent="0.3">
      <c r="F1601" s="35"/>
      <c r="J1601" s="35"/>
      <c r="K1601" s="35"/>
      <c r="L1601" s="35"/>
      <c r="AD1601" s="73"/>
      <c r="AF1601" s="112" t="str">
        <f t="shared" si="48"/>
        <v/>
      </c>
      <c r="AG1601" s="113" t="str">
        <f>IF(AF1601="","",COUNTIF(AF1601:AF$3000,AF1601))</f>
        <v/>
      </c>
      <c r="AH1601" s="114" t="str">
        <f t="shared" si="49"/>
        <v/>
      </c>
    </row>
    <row r="1602" spans="6:34" x14ac:dyDescent="0.3">
      <c r="F1602" s="35"/>
      <c r="J1602" s="35"/>
      <c r="K1602" s="35"/>
      <c r="L1602" s="35"/>
      <c r="AD1602" s="73"/>
      <c r="AF1602" s="112" t="str">
        <f t="shared" si="48"/>
        <v/>
      </c>
      <c r="AG1602" s="113" t="str">
        <f>IF(AF1602="","",COUNTIF(AF1602:AF$3000,AF1602))</f>
        <v/>
      </c>
      <c r="AH1602" s="114" t="str">
        <f t="shared" si="49"/>
        <v/>
      </c>
    </row>
    <row r="1603" spans="6:34" x14ac:dyDescent="0.3">
      <c r="F1603" s="35"/>
      <c r="J1603" s="35"/>
      <c r="K1603" s="35"/>
      <c r="L1603" s="35"/>
      <c r="AD1603" s="73"/>
      <c r="AF1603" s="112" t="str">
        <f t="shared" si="48"/>
        <v/>
      </c>
      <c r="AG1603" s="113" t="str">
        <f>IF(AF1603="","",COUNTIF(AF1603:AF$3000,AF1603))</f>
        <v/>
      </c>
      <c r="AH1603" s="114" t="str">
        <f t="shared" si="49"/>
        <v/>
      </c>
    </row>
    <row r="1604" spans="6:34" x14ac:dyDescent="0.3">
      <c r="F1604" s="35"/>
      <c r="J1604" s="35"/>
      <c r="K1604" s="35"/>
      <c r="L1604" s="35"/>
      <c r="AD1604" s="73"/>
      <c r="AF1604" s="112" t="str">
        <f t="shared" ref="AF1604:AF1667" si="50">IF(B1604="","",TEXT(J1604,"DD/MM/AA")&amp;"_"&amp;S1604&amp;"_"&amp;V1604)</f>
        <v/>
      </c>
      <c r="AG1604" s="113" t="str">
        <f>IF(AF1604="","",COUNTIF(AF1604:AF$3000,AF1604))</f>
        <v/>
      </c>
      <c r="AH1604" s="114" t="str">
        <f t="shared" ref="AH1604:AH1667" si="51">IF(AA1604="","",
IF(AG1604&gt;1,"",
IF(SUMIF(AF$3:AF$31,AF1604,H$3:H$31)/10&lt;1,1,SUMIF(AF$3:AF$31,AF1604,H$3:H$31)/10)))</f>
        <v/>
      </c>
    </row>
    <row r="1605" spans="6:34" x14ac:dyDescent="0.3">
      <c r="F1605" s="35"/>
      <c r="J1605" s="35"/>
      <c r="K1605" s="35"/>
      <c r="L1605" s="35"/>
      <c r="AD1605" s="73"/>
      <c r="AF1605" s="112" t="str">
        <f t="shared" si="50"/>
        <v/>
      </c>
      <c r="AG1605" s="113" t="str">
        <f>IF(AF1605="","",COUNTIF(AF1605:AF$3000,AF1605))</f>
        <v/>
      </c>
      <c r="AH1605" s="114" t="str">
        <f t="shared" si="51"/>
        <v/>
      </c>
    </row>
    <row r="1606" spans="6:34" x14ac:dyDescent="0.3">
      <c r="F1606" s="35"/>
      <c r="J1606" s="35"/>
      <c r="K1606" s="35"/>
      <c r="L1606" s="35"/>
      <c r="AD1606" s="73"/>
      <c r="AF1606" s="112" t="str">
        <f t="shared" si="50"/>
        <v/>
      </c>
      <c r="AG1606" s="113" t="str">
        <f>IF(AF1606="","",COUNTIF(AF1606:AF$3000,AF1606))</f>
        <v/>
      </c>
      <c r="AH1606" s="114" t="str">
        <f t="shared" si="51"/>
        <v/>
      </c>
    </row>
    <row r="1607" spans="6:34" x14ac:dyDescent="0.3">
      <c r="F1607" s="35"/>
      <c r="J1607" s="35"/>
      <c r="K1607" s="35"/>
      <c r="L1607" s="35"/>
      <c r="AD1607" s="73"/>
      <c r="AF1607" s="112" t="str">
        <f t="shared" si="50"/>
        <v/>
      </c>
      <c r="AG1607" s="113" t="str">
        <f>IF(AF1607="","",COUNTIF(AF1607:AF$3000,AF1607))</f>
        <v/>
      </c>
      <c r="AH1607" s="114" t="str">
        <f t="shared" si="51"/>
        <v/>
      </c>
    </row>
    <row r="1608" spans="6:34" x14ac:dyDescent="0.3">
      <c r="F1608" s="35"/>
      <c r="J1608" s="35"/>
      <c r="K1608" s="35"/>
      <c r="L1608" s="35"/>
      <c r="AD1608" s="73"/>
      <c r="AF1608" s="112" t="str">
        <f t="shared" si="50"/>
        <v/>
      </c>
      <c r="AG1608" s="113" t="str">
        <f>IF(AF1608="","",COUNTIF(AF1608:AF$3000,AF1608))</f>
        <v/>
      </c>
      <c r="AH1608" s="114" t="str">
        <f t="shared" si="51"/>
        <v/>
      </c>
    </row>
    <row r="1609" spans="6:34" x14ac:dyDescent="0.3">
      <c r="F1609" s="35"/>
      <c r="J1609" s="35"/>
      <c r="K1609" s="35"/>
      <c r="L1609" s="35"/>
      <c r="AD1609" s="73"/>
      <c r="AF1609" s="112" t="str">
        <f t="shared" si="50"/>
        <v/>
      </c>
      <c r="AG1609" s="113" t="str">
        <f>IF(AF1609="","",COUNTIF(AF1609:AF$3000,AF1609))</f>
        <v/>
      </c>
      <c r="AH1609" s="114" t="str">
        <f t="shared" si="51"/>
        <v/>
      </c>
    </row>
    <row r="1610" spans="6:34" x14ac:dyDescent="0.3">
      <c r="F1610" s="35"/>
      <c r="J1610" s="35"/>
      <c r="K1610" s="35"/>
      <c r="L1610" s="35"/>
      <c r="AD1610" s="73"/>
      <c r="AF1610" s="112" t="str">
        <f t="shared" si="50"/>
        <v/>
      </c>
      <c r="AG1610" s="113" t="str">
        <f>IF(AF1610="","",COUNTIF(AF1610:AF$3000,AF1610))</f>
        <v/>
      </c>
      <c r="AH1610" s="114" t="str">
        <f t="shared" si="51"/>
        <v/>
      </c>
    </row>
    <row r="1611" spans="6:34" x14ac:dyDescent="0.3">
      <c r="F1611" s="35"/>
      <c r="J1611" s="35"/>
      <c r="K1611" s="35"/>
      <c r="L1611" s="35"/>
      <c r="AD1611" s="73"/>
      <c r="AF1611" s="112" t="str">
        <f t="shared" si="50"/>
        <v/>
      </c>
      <c r="AG1611" s="113" t="str">
        <f>IF(AF1611="","",COUNTIF(AF1611:AF$3000,AF1611))</f>
        <v/>
      </c>
      <c r="AH1611" s="114" t="str">
        <f t="shared" si="51"/>
        <v/>
      </c>
    </row>
    <row r="1612" spans="6:34" x14ac:dyDescent="0.3">
      <c r="F1612" s="35"/>
      <c r="J1612" s="35"/>
      <c r="K1612" s="35"/>
      <c r="L1612" s="35"/>
      <c r="AD1612" s="73"/>
      <c r="AF1612" s="112" t="str">
        <f t="shared" si="50"/>
        <v/>
      </c>
      <c r="AG1612" s="113" t="str">
        <f>IF(AF1612="","",COUNTIF(AF1612:AF$3000,AF1612))</f>
        <v/>
      </c>
      <c r="AH1612" s="114" t="str">
        <f t="shared" si="51"/>
        <v/>
      </c>
    </row>
    <row r="1613" spans="6:34" x14ac:dyDescent="0.3">
      <c r="F1613" s="35"/>
      <c r="J1613" s="35"/>
      <c r="K1613" s="35"/>
      <c r="L1613" s="35"/>
      <c r="AD1613" s="73"/>
      <c r="AF1613" s="112" t="str">
        <f t="shared" si="50"/>
        <v/>
      </c>
      <c r="AG1613" s="113" t="str">
        <f>IF(AF1613="","",COUNTIF(AF1613:AF$3000,AF1613))</f>
        <v/>
      </c>
      <c r="AH1613" s="114" t="str">
        <f t="shared" si="51"/>
        <v/>
      </c>
    </row>
    <row r="1614" spans="6:34" x14ac:dyDescent="0.3">
      <c r="F1614" s="35"/>
      <c r="J1614" s="35"/>
      <c r="K1614" s="35"/>
      <c r="L1614" s="35"/>
      <c r="AD1614" s="73"/>
      <c r="AF1614" s="112" t="str">
        <f t="shared" si="50"/>
        <v/>
      </c>
      <c r="AG1614" s="113" t="str">
        <f>IF(AF1614="","",COUNTIF(AF1614:AF$3000,AF1614))</f>
        <v/>
      </c>
      <c r="AH1614" s="114" t="str">
        <f t="shared" si="51"/>
        <v/>
      </c>
    </row>
    <row r="1615" spans="6:34" x14ac:dyDescent="0.3">
      <c r="F1615" s="35"/>
      <c r="J1615" s="35"/>
      <c r="K1615" s="35"/>
      <c r="L1615" s="35"/>
      <c r="AD1615" s="73"/>
      <c r="AF1615" s="112" t="str">
        <f t="shared" si="50"/>
        <v/>
      </c>
      <c r="AG1615" s="113" t="str">
        <f>IF(AF1615="","",COUNTIF(AF1615:AF$3000,AF1615))</f>
        <v/>
      </c>
      <c r="AH1615" s="114" t="str">
        <f t="shared" si="51"/>
        <v/>
      </c>
    </row>
    <row r="1616" spans="6:34" x14ac:dyDescent="0.3">
      <c r="F1616" s="35"/>
      <c r="J1616" s="35"/>
      <c r="K1616" s="35"/>
      <c r="L1616" s="35"/>
      <c r="AD1616" s="73"/>
      <c r="AF1616" s="112" t="str">
        <f t="shared" si="50"/>
        <v/>
      </c>
      <c r="AG1616" s="113" t="str">
        <f>IF(AF1616="","",COUNTIF(AF1616:AF$3000,AF1616))</f>
        <v/>
      </c>
      <c r="AH1616" s="114" t="str">
        <f t="shared" si="51"/>
        <v/>
      </c>
    </row>
    <row r="1617" spans="6:34" x14ac:dyDescent="0.3">
      <c r="F1617" s="35"/>
      <c r="J1617" s="35"/>
      <c r="K1617" s="35"/>
      <c r="L1617" s="35"/>
      <c r="AD1617" s="73"/>
      <c r="AF1617" s="112" t="str">
        <f t="shared" si="50"/>
        <v/>
      </c>
      <c r="AG1617" s="113" t="str">
        <f>IF(AF1617="","",COUNTIF(AF1617:AF$3000,AF1617))</f>
        <v/>
      </c>
      <c r="AH1617" s="114" t="str">
        <f t="shared" si="51"/>
        <v/>
      </c>
    </row>
    <row r="1618" spans="6:34" x14ac:dyDescent="0.3">
      <c r="F1618" s="35"/>
      <c r="J1618" s="35"/>
      <c r="K1618" s="35"/>
      <c r="L1618" s="35"/>
      <c r="AD1618" s="73"/>
      <c r="AF1618" s="112" t="str">
        <f t="shared" si="50"/>
        <v/>
      </c>
      <c r="AG1618" s="113" t="str">
        <f>IF(AF1618="","",COUNTIF(AF1618:AF$3000,AF1618))</f>
        <v/>
      </c>
      <c r="AH1618" s="114" t="str">
        <f t="shared" si="51"/>
        <v/>
      </c>
    </row>
    <row r="1619" spans="6:34" x14ac:dyDescent="0.3">
      <c r="F1619" s="35"/>
      <c r="J1619" s="35"/>
      <c r="K1619" s="35"/>
      <c r="L1619" s="35"/>
      <c r="AD1619" s="73"/>
      <c r="AF1619" s="112" t="str">
        <f t="shared" si="50"/>
        <v/>
      </c>
      <c r="AG1619" s="113" t="str">
        <f>IF(AF1619="","",COUNTIF(AF1619:AF$3000,AF1619))</f>
        <v/>
      </c>
      <c r="AH1619" s="114" t="str">
        <f t="shared" si="51"/>
        <v/>
      </c>
    </row>
    <row r="1620" spans="6:34" x14ac:dyDescent="0.3">
      <c r="F1620" s="35"/>
      <c r="J1620" s="35"/>
      <c r="K1620" s="35"/>
      <c r="L1620" s="35"/>
      <c r="AD1620" s="73"/>
      <c r="AF1620" s="112" t="str">
        <f t="shared" si="50"/>
        <v/>
      </c>
      <c r="AG1620" s="113" t="str">
        <f>IF(AF1620="","",COUNTIF(AF1620:AF$3000,AF1620))</f>
        <v/>
      </c>
      <c r="AH1620" s="114" t="str">
        <f t="shared" si="51"/>
        <v/>
      </c>
    </row>
    <row r="1621" spans="6:34" x14ac:dyDescent="0.3">
      <c r="F1621" s="35"/>
      <c r="J1621" s="35"/>
      <c r="K1621" s="35"/>
      <c r="L1621" s="35"/>
      <c r="AD1621" s="73"/>
      <c r="AF1621" s="112" t="str">
        <f t="shared" si="50"/>
        <v/>
      </c>
      <c r="AG1621" s="113" t="str">
        <f>IF(AF1621="","",COUNTIF(AF1621:AF$3000,AF1621))</f>
        <v/>
      </c>
      <c r="AH1621" s="114" t="str">
        <f t="shared" si="51"/>
        <v/>
      </c>
    </row>
    <row r="1622" spans="6:34" x14ac:dyDescent="0.3">
      <c r="F1622" s="35"/>
      <c r="J1622" s="35"/>
      <c r="K1622" s="35"/>
      <c r="L1622" s="35"/>
      <c r="AD1622" s="73"/>
      <c r="AF1622" s="112" t="str">
        <f t="shared" si="50"/>
        <v/>
      </c>
      <c r="AG1622" s="113" t="str">
        <f>IF(AF1622="","",COUNTIF(AF1622:AF$3000,AF1622))</f>
        <v/>
      </c>
      <c r="AH1622" s="114" t="str">
        <f t="shared" si="51"/>
        <v/>
      </c>
    </row>
    <row r="1623" spans="6:34" x14ac:dyDescent="0.3">
      <c r="F1623" s="35"/>
      <c r="J1623" s="35"/>
      <c r="K1623" s="35"/>
      <c r="L1623" s="35"/>
      <c r="AD1623" s="73"/>
      <c r="AF1623" s="112" t="str">
        <f t="shared" si="50"/>
        <v/>
      </c>
      <c r="AG1623" s="113" t="str">
        <f>IF(AF1623="","",COUNTIF(AF1623:AF$3000,AF1623))</f>
        <v/>
      </c>
      <c r="AH1623" s="114" t="str">
        <f t="shared" si="51"/>
        <v/>
      </c>
    </row>
    <row r="1624" spans="6:34" x14ac:dyDescent="0.3">
      <c r="F1624" s="35"/>
      <c r="J1624" s="35"/>
      <c r="K1624" s="35"/>
      <c r="L1624" s="35"/>
      <c r="AD1624" s="73"/>
      <c r="AF1624" s="112" t="str">
        <f t="shared" si="50"/>
        <v/>
      </c>
      <c r="AG1624" s="113" t="str">
        <f>IF(AF1624="","",COUNTIF(AF1624:AF$3000,AF1624))</f>
        <v/>
      </c>
      <c r="AH1624" s="114" t="str">
        <f t="shared" si="51"/>
        <v/>
      </c>
    </row>
    <row r="1625" spans="6:34" x14ac:dyDescent="0.3">
      <c r="F1625" s="35"/>
      <c r="J1625" s="35"/>
      <c r="K1625" s="35"/>
      <c r="L1625" s="35"/>
      <c r="AD1625" s="73"/>
      <c r="AF1625" s="112" t="str">
        <f t="shared" si="50"/>
        <v/>
      </c>
      <c r="AG1625" s="113" t="str">
        <f>IF(AF1625="","",COUNTIF(AF1625:AF$3000,AF1625))</f>
        <v/>
      </c>
      <c r="AH1625" s="114" t="str">
        <f t="shared" si="51"/>
        <v/>
      </c>
    </row>
    <row r="1626" spans="6:34" x14ac:dyDescent="0.3">
      <c r="F1626" s="35"/>
      <c r="J1626" s="35"/>
      <c r="K1626" s="35"/>
      <c r="L1626" s="35"/>
      <c r="AD1626" s="73"/>
      <c r="AF1626" s="112" t="str">
        <f t="shared" si="50"/>
        <v/>
      </c>
      <c r="AG1626" s="113" t="str">
        <f>IF(AF1626="","",COUNTIF(AF1626:AF$3000,AF1626))</f>
        <v/>
      </c>
      <c r="AH1626" s="114" t="str">
        <f t="shared" si="51"/>
        <v/>
      </c>
    </row>
    <row r="1627" spans="6:34" x14ac:dyDescent="0.3">
      <c r="F1627" s="35"/>
      <c r="J1627" s="35"/>
      <c r="K1627" s="35"/>
      <c r="L1627" s="35"/>
      <c r="AD1627" s="73"/>
      <c r="AF1627" s="112" t="str">
        <f t="shared" si="50"/>
        <v/>
      </c>
      <c r="AG1627" s="113" t="str">
        <f>IF(AF1627="","",COUNTIF(AF1627:AF$3000,AF1627))</f>
        <v/>
      </c>
      <c r="AH1627" s="114" t="str">
        <f t="shared" si="51"/>
        <v/>
      </c>
    </row>
    <row r="1628" spans="6:34" x14ac:dyDescent="0.3">
      <c r="F1628" s="35"/>
      <c r="J1628" s="35"/>
      <c r="K1628" s="35"/>
      <c r="L1628" s="35"/>
      <c r="AD1628" s="73"/>
      <c r="AF1628" s="112" t="str">
        <f t="shared" si="50"/>
        <v/>
      </c>
      <c r="AG1628" s="113" t="str">
        <f>IF(AF1628="","",COUNTIF(AF1628:AF$3000,AF1628))</f>
        <v/>
      </c>
      <c r="AH1628" s="114" t="str">
        <f t="shared" si="51"/>
        <v/>
      </c>
    </row>
    <row r="1629" spans="6:34" x14ac:dyDescent="0.3">
      <c r="F1629" s="35"/>
      <c r="J1629" s="35"/>
      <c r="K1629" s="35"/>
      <c r="L1629" s="35"/>
      <c r="AD1629" s="73"/>
      <c r="AF1629" s="112" t="str">
        <f t="shared" si="50"/>
        <v/>
      </c>
      <c r="AG1629" s="113" t="str">
        <f>IF(AF1629="","",COUNTIF(AF1629:AF$3000,AF1629))</f>
        <v/>
      </c>
      <c r="AH1629" s="114" t="str">
        <f t="shared" si="51"/>
        <v/>
      </c>
    </row>
    <row r="1630" spans="6:34" x14ac:dyDescent="0.3">
      <c r="F1630" s="35"/>
      <c r="J1630" s="35"/>
      <c r="K1630" s="35"/>
      <c r="L1630" s="35"/>
      <c r="AD1630" s="73"/>
      <c r="AF1630" s="112" t="str">
        <f t="shared" si="50"/>
        <v/>
      </c>
      <c r="AG1630" s="113" t="str">
        <f>IF(AF1630="","",COUNTIF(AF1630:AF$3000,AF1630))</f>
        <v/>
      </c>
      <c r="AH1630" s="114" t="str">
        <f t="shared" si="51"/>
        <v/>
      </c>
    </row>
    <row r="1631" spans="6:34" x14ac:dyDescent="0.3">
      <c r="F1631" s="35"/>
      <c r="J1631" s="35"/>
      <c r="K1631" s="35"/>
      <c r="L1631" s="35"/>
      <c r="AD1631" s="73"/>
      <c r="AF1631" s="112" t="str">
        <f t="shared" si="50"/>
        <v/>
      </c>
      <c r="AG1631" s="113" t="str">
        <f>IF(AF1631="","",COUNTIF(AF1631:AF$3000,AF1631))</f>
        <v/>
      </c>
      <c r="AH1631" s="114" t="str">
        <f t="shared" si="51"/>
        <v/>
      </c>
    </row>
    <row r="1632" spans="6:34" x14ac:dyDescent="0.3">
      <c r="F1632" s="35"/>
      <c r="J1632" s="35"/>
      <c r="K1632" s="35"/>
      <c r="L1632" s="35"/>
      <c r="AD1632" s="73"/>
      <c r="AF1632" s="112" t="str">
        <f t="shared" si="50"/>
        <v/>
      </c>
      <c r="AG1632" s="113" t="str">
        <f>IF(AF1632="","",COUNTIF(AF1632:AF$3000,AF1632))</f>
        <v/>
      </c>
      <c r="AH1632" s="114" t="str">
        <f t="shared" si="51"/>
        <v/>
      </c>
    </row>
    <row r="1633" spans="6:34" x14ac:dyDescent="0.3">
      <c r="F1633" s="35"/>
      <c r="J1633" s="35"/>
      <c r="K1633" s="35"/>
      <c r="L1633" s="35"/>
      <c r="AD1633" s="73"/>
      <c r="AF1633" s="112" t="str">
        <f t="shared" si="50"/>
        <v/>
      </c>
      <c r="AG1633" s="113" t="str">
        <f>IF(AF1633="","",COUNTIF(AF1633:AF$3000,AF1633))</f>
        <v/>
      </c>
      <c r="AH1633" s="114" t="str">
        <f t="shared" si="51"/>
        <v/>
      </c>
    </row>
    <row r="1634" spans="6:34" x14ac:dyDescent="0.3">
      <c r="F1634" s="35"/>
      <c r="J1634" s="35"/>
      <c r="K1634" s="35"/>
      <c r="L1634" s="35"/>
      <c r="AD1634" s="73"/>
      <c r="AF1634" s="112" t="str">
        <f t="shared" si="50"/>
        <v/>
      </c>
      <c r="AG1634" s="113" t="str">
        <f>IF(AF1634="","",COUNTIF(AF1634:AF$3000,AF1634))</f>
        <v/>
      </c>
      <c r="AH1634" s="114" t="str">
        <f t="shared" si="51"/>
        <v/>
      </c>
    </row>
    <row r="1635" spans="6:34" x14ac:dyDescent="0.3">
      <c r="F1635" s="35"/>
      <c r="J1635" s="35"/>
      <c r="K1635" s="35"/>
      <c r="L1635" s="35"/>
      <c r="AD1635" s="73"/>
      <c r="AF1635" s="112" t="str">
        <f t="shared" si="50"/>
        <v/>
      </c>
      <c r="AG1635" s="113" t="str">
        <f>IF(AF1635="","",COUNTIF(AF1635:AF$3000,AF1635))</f>
        <v/>
      </c>
      <c r="AH1635" s="114" t="str">
        <f t="shared" si="51"/>
        <v/>
      </c>
    </row>
    <row r="1636" spans="6:34" x14ac:dyDescent="0.3">
      <c r="F1636" s="35"/>
      <c r="J1636" s="35"/>
      <c r="K1636" s="35"/>
      <c r="L1636" s="35"/>
      <c r="AD1636" s="73"/>
      <c r="AF1636" s="112" t="str">
        <f t="shared" si="50"/>
        <v/>
      </c>
      <c r="AG1636" s="113" t="str">
        <f>IF(AF1636="","",COUNTIF(AF1636:AF$3000,AF1636))</f>
        <v/>
      </c>
      <c r="AH1636" s="114" t="str">
        <f t="shared" si="51"/>
        <v/>
      </c>
    </row>
    <row r="1637" spans="6:34" x14ac:dyDescent="0.3">
      <c r="F1637" s="35"/>
      <c r="J1637" s="35"/>
      <c r="K1637" s="35"/>
      <c r="L1637" s="35"/>
      <c r="AD1637" s="73"/>
      <c r="AF1637" s="112" t="str">
        <f t="shared" si="50"/>
        <v/>
      </c>
      <c r="AG1637" s="113" t="str">
        <f>IF(AF1637="","",COUNTIF(AF1637:AF$3000,AF1637))</f>
        <v/>
      </c>
      <c r="AH1637" s="114" t="str">
        <f t="shared" si="51"/>
        <v/>
      </c>
    </row>
    <row r="1638" spans="6:34" x14ac:dyDescent="0.3">
      <c r="F1638" s="35"/>
      <c r="J1638" s="35"/>
      <c r="K1638" s="35"/>
      <c r="L1638" s="35"/>
      <c r="AD1638" s="73"/>
      <c r="AF1638" s="112" t="str">
        <f t="shared" si="50"/>
        <v/>
      </c>
      <c r="AG1638" s="113" t="str">
        <f>IF(AF1638="","",COUNTIF(AF1638:AF$3000,AF1638))</f>
        <v/>
      </c>
      <c r="AH1638" s="114" t="str">
        <f t="shared" si="51"/>
        <v/>
      </c>
    </row>
    <row r="1639" spans="6:34" x14ac:dyDescent="0.3">
      <c r="F1639" s="35"/>
      <c r="J1639" s="35"/>
      <c r="K1639" s="35"/>
      <c r="L1639" s="35"/>
      <c r="AD1639" s="73"/>
      <c r="AF1639" s="112" t="str">
        <f t="shared" si="50"/>
        <v/>
      </c>
      <c r="AG1639" s="113" t="str">
        <f>IF(AF1639="","",COUNTIF(AF1639:AF$3000,AF1639))</f>
        <v/>
      </c>
      <c r="AH1639" s="114" t="str">
        <f t="shared" si="51"/>
        <v/>
      </c>
    </row>
    <row r="1640" spans="6:34" x14ac:dyDescent="0.3">
      <c r="F1640" s="35"/>
      <c r="J1640" s="35"/>
      <c r="K1640" s="35"/>
      <c r="L1640" s="35"/>
      <c r="AD1640" s="73"/>
      <c r="AF1640" s="112" t="str">
        <f t="shared" si="50"/>
        <v/>
      </c>
      <c r="AG1640" s="113" t="str">
        <f>IF(AF1640="","",COUNTIF(AF1640:AF$3000,AF1640))</f>
        <v/>
      </c>
      <c r="AH1640" s="114" t="str">
        <f t="shared" si="51"/>
        <v/>
      </c>
    </row>
    <row r="1641" spans="6:34" x14ac:dyDescent="0.3">
      <c r="F1641" s="35"/>
      <c r="J1641" s="35"/>
      <c r="K1641" s="35"/>
      <c r="L1641" s="35"/>
      <c r="AD1641" s="73"/>
      <c r="AF1641" s="112" t="str">
        <f t="shared" si="50"/>
        <v/>
      </c>
      <c r="AG1641" s="113" t="str">
        <f>IF(AF1641="","",COUNTIF(AF1641:AF$3000,AF1641))</f>
        <v/>
      </c>
      <c r="AH1641" s="114" t="str">
        <f t="shared" si="51"/>
        <v/>
      </c>
    </row>
    <row r="1642" spans="6:34" x14ac:dyDescent="0.3">
      <c r="F1642" s="35"/>
      <c r="J1642" s="35"/>
      <c r="K1642" s="35"/>
      <c r="L1642" s="35"/>
      <c r="AD1642" s="73"/>
      <c r="AF1642" s="112" t="str">
        <f t="shared" si="50"/>
        <v/>
      </c>
      <c r="AG1642" s="113" t="str">
        <f>IF(AF1642="","",COUNTIF(AF1642:AF$3000,AF1642))</f>
        <v/>
      </c>
      <c r="AH1642" s="114" t="str">
        <f t="shared" si="51"/>
        <v/>
      </c>
    </row>
    <row r="1643" spans="6:34" x14ac:dyDescent="0.3">
      <c r="F1643" s="35"/>
      <c r="J1643" s="35"/>
      <c r="K1643" s="35"/>
      <c r="L1643" s="35"/>
      <c r="AD1643" s="73"/>
      <c r="AF1643" s="112" t="str">
        <f t="shared" si="50"/>
        <v/>
      </c>
      <c r="AG1643" s="113" t="str">
        <f>IF(AF1643="","",COUNTIF(AF1643:AF$3000,AF1643))</f>
        <v/>
      </c>
      <c r="AH1643" s="114" t="str">
        <f t="shared" si="51"/>
        <v/>
      </c>
    </row>
    <row r="1644" spans="6:34" x14ac:dyDescent="0.3">
      <c r="F1644" s="35"/>
      <c r="J1644" s="35"/>
      <c r="K1644" s="35"/>
      <c r="L1644" s="35"/>
      <c r="AD1644" s="73"/>
      <c r="AF1644" s="112" t="str">
        <f t="shared" si="50"/>
        <v/>
      </c>
      <c r="AG1644" s="113" t="str">
        <f>IF(AF1644="","",COUNTIF(AF1644:AF$3000,AF1644))</f>
        <v/>
      </c>
      <c r="AH1644" s="114" t="str">
        <f t="shared" si="51"/>
        <v/>
      </c>
    </row>
    <row r="1645" spans="6:34" x14ac:dyDescent="0.3">
      <c r="F1645" s="35"/>
      <c r="J1645" s="35"/>
      <c r="K1645" s="35"/>
      <c r="L1645" s="35"/>
      <c r="AD1645" s="73"/>
      <c r="AF1645" s="112" t="str">
        <f t="shared" si="50"/>
        <v/>
      </c>
      <c r="AG1645" s="113" t="str">
        <f>IF(AF1645="","",COUNTIF(AF1645:AF$3000,AF1645))</f>
        <v/>
      </c>
      <c r="AH1645" s="114" t="str">
        <f t="shared" si="51"/>
        <v/>
      </c>
    </row>
    <row r="1646" spans="6:34" x14ac:dyDescent="0.3">
      <c r="F1646" s="35"/>
      <c r="J1646" s="35"/>
      <c r="K1646" s="35"/>
      <c r="L1646" s="35"/>
      <c r="AD1646" s="73"/>
      <c r="AF1646" s="112" t="str">
        <f t="shared" si="50"/>
        <v/>
      </c>
      <c r="AG1646" s="113" t="str">
        <f>IF(AF1646="","",COUNTIF(AF1646:AF$3000,AF1646))</f>
        <v/>
      </c>
      <c r="AH1646" s="114" t="str">
        <f t="shared" si="51"/>
        <v/>
      </c>
    </row>
    <row r="1647" spans="6:34" x14ac:dyDescent="0.3">
      <c r="F1647" s="35"/>
      <c r="J1647" s="35"/>
      <c r="K1647" s="35"/>
      <c r="L1647" s="35"/>
      <c r="AD1647" s="73"/>
      <c r="AF1647" s="112" t="str">
        <f t="shared" si="50"/>
        <v/>
      </c>
      <c r="AG1647" s="113" t="str">
        <f>IF(AF1647="","",COUNTIF(AF1647:AF$3000,AF1647))</f>
        <v/>
      </c>
      <c r="AH1647" s="114" t="str">
        <f t="shared" si="51"/>
        <v/>
      </c>
    </row>
    <row r="1648" spans="6:34" x14ac:dyDescent="0.3">
      <c r="F1648" s="35"/>
      <c r="J1648" s="35"/>
      <c r="K1648" s="35"/>
      <c r="L1648" s="35"/>
      <c r="AD1648" s="73"/>
      <c r="AF1648" s="112" t="str">
        <f t="shared" si="50"/>
        <v/>
      </c>
      <c r="AG1648" s="113" t="str">
        <f>IF(AF1648="","",COUNTIF(AF1648:AF$3000,AF1648))</f>
        <v/>
      </c>
      <c r="AH1648" s="114" t="str">
        <f t="shared" si="51"/>
        <v/>
      </c>
    </row>
    <row r="1649" spans="6:34" x14ac:dyDescent="0.3">
      <c r="F1649" s="35"/>
      <c r="J1649" s="35"/>
      <c r="K1649" s="35"/>
      <c r="L1649" s="35"/>
      <c r="AD1649" s="73"/>
      <c r="AF1649" s="112" t="str">
        <f t="shared" si="50"/>
        <v/>
      </c>
      <c r="AG1649" s="113" t="str">
        <f>IF(AF1649="","",COUNTIF(AF1649:AF$3000,AF1649))</f>
        <v/>
      </c>
      <c r="AH1649" s="114" t="str">
        <f t="shared" si="51"/>
        <v/>
      </c>
    </row>
    <row r="1650" spans="6:34" x14ac:dyDescent="0.3">
      <c r="F1650" s="35"/>
      <c r="J1650" s="35"/>
      <c r="K1650" s="35"/>
      <c r="L1650" s="35"/>
      <c r="AD1650" s="73"/>
      <c r="AF1650" s="112" t="str">
        <f t="shared" si="50"/>
        <v/>
      </c>
      <c r="AG1650" s="113" t="str">
        <f>IF(AF1650="","",COUNTIF(AF1650:AF$3000,AF1650))</f>
        <v/>
      </c>
      <c r="AH1650" s="114" t="str">
        <f t="shared" si="51"/>
        <v/>
      </c>
    </row>
    <row r="1651" spans="6:34" x14ac:dyDescent="0.3">
      <c r="F1651" s="35"/>
      <c r="J1651" s="35"/>
      <c r="K1651" s="35"/>
      <c r="L1651" s="35"/>
      <c r="AD1651" s="73"/>
      <c r="AF1651" s="112" t="str">
        <f t="shared" si="50"/>
        <v/>
      </c>
      <c r="AG1651" s="113" t="str">
        <f>IF(AF1651="","",COUNTIF(AF1651:AF$3000,AF1651))</f>
        <v/>
      </c>
      <c r="AH1651" s="114" t="str">
        <f t="shared" si="51"/>
        <v/>
      </c>
    </row>
    <row r="1652" spans="6:34" x14ac:dyDescent="0.3">
      <c r="F1652" s="35"/>
      <c r="J1652" s="35"/>
      <c r="K1652" s="35"/>
      <c r="L1652" s="35"/>
      <c r="AD1652" s="73"/>
      <c r="AF1652" s="112" t="str">
        <f t="shared" si="50"/>
        <v/>
      </c>
      <c r="AG1652" s="113" t="str">
        <f>IF(AF1652="","",COUNTIF(AF1652:AF$3000,AF1652))</f>
        <v/>
      </c>
      <c r="AH1652" s="114" t="str">
        <f t="shared" si="51"/>
        <v/>
      </c>
    </row>
    <row r="1653" spans="6:34" x14ac:dyDescent="0.3">
      <c r="F1653" s="35"/>
      <c r="J1653" s="35"/>
      <c r="K1653" s="35"/>
      <c r="L1653" s="35"/>
      <c r="AD1653" s="73"/>
      <c r="AF1653" s="112" t="str">
        <f t="shared" si="50"/>
        <v/>
      </c>
      <c r="AG1653" s="113" t="str">
        <f>IF(AF1653="","",COUNTIF(AF1653:AF$3000,AF1653))</f>
        <v/>
      </c>
      <c r="AH1653" s="114" t="str">
        <f t="shared" si="51"/>
        <v/>
      </c>
    </row>
    <row r="1654" spans="6:34" x14ac:dyDescent="0.3">
      <c r="F1654" s="35"/>
      <c r="J1654" s="35"/>
      <c r="K1654" s="35"/>
      <c r="L1654" s="35"/>
      <c r="AD1654" s="73"/>
      <c r="AF1654" s="112" t="str">
        <f t="shared" si="50"/>
        <v/>
      </c>
      <c r="AG1654" s="113" t="str">
        <f>IF(AF1654="","",COUNTIF(AF1654:AF$3000,AF1654))</f>
        <v/>
      </c>
      <c r="AH1654" s="114" t="str">
        <f t="shared" si="51"/>
        <v/>
      </c>
    </row>
    <row r="1655" spans="6:34" x14ac:dyDescent="0.3">
      <c r="F1655" s="35"/>
      <c r="J1655" s="35"/>
      <c r="K1655" s="35"/>
      <c r="L1655" s="35"/>
      <c r="AD1655" s="73"/>
      <c r="AF1655" s="112" t="str">
        <f t="shared" si="50"/>
        <v/>
      </c>
      <c r="AG1655" s="113" t="str">
        <f>IF(AF1655="","",COUNTIF(AF1655:AF$3000,AF1655))</f>
        <v/>
      </c>
      <c r="AH1655" s="114" t="str">
        <f t="shared" si="51"/>
        <v/>
      </c>
    </row>
    <row r="1656" spans="6:34" x14ac:dyDescent="0.3">
      <c r="F1656" s="35"/>
      <c r="J1656" s="35"/>
      <c r="K1656" s="35"/>
      <c r="L1656" s="35"/>
      <c r="AD1656" s="73"/>
      <c r="AF1656" s="112" t="str">
        <f t="shared" si="50"/>
        <v/>
      </c>
      <c r="AG1656" s="113" t="str">
        <f>IF(AF1656="","",COUNTIF(AF1656:AF$3000,AF1656))</f>
        <v/>
      </c>
      <c r="AH1656" s="114" t="str">
        <f t="shared" si="51"/>
        <v/>
      </c>
    </row>
    <row r="1657" spans="6:34" x14ac:dyDescent="0.3">
      <c r="F1657" s="35"/>
      <c r="J1657" s="35"/>
      <c r="K1657" s="35"/>
      <c r="L1657" s="35"/>
      <c r="AD1657" s="73"/>
      <c r="AF1657" s="112" t="str">
        <f t="shared" si="50"/>
        <v/>
      </c>
      <c r="AG1657" s="113" t="str">
        <f>IF(AF1657="","",COUNTIF(AF1657:AF$3000,AF1657))</f>
        <v/>
      </c>
      <c r="AH1657" s="114" t="str">
        <f t="shared" si="51"/>
        <v/>
      </c>
    </row>
    <row r="1658" spans="6:34" x14ac:dyDescent="0.3">
      <c r="F1658" s="35"/>
      <c r="J1658" s="35"/>
      <c r="K1658" s="35"/>
      <c r="L1658" s="35"/>
      <c r="AD1658" s="73"/>
      <c r="AF1658" s="112" t="str">
        <f t="shared" si="50"/>
        <v/>
      </c>
      <c r="AG1658" s="113" t="str">
        <f>IF(AF1658="","",COUNTIF(AF1658:AF$3000,AF1658))</f>
        <v/>
      </c>
      <c r="AH1658" s="114" t="str">
        <f t="shared" si="51"/>
        <v/>
      </c>
    </row>
    <row r="1659" spans="6:34" x14ac:dyDescent="0.3">
      <c r="F1659" s="35"/>
      <c r="J1659" s="35"/>
      <c r="K1659" s="35"/>
      <c r="L1659" s="35"/>
      <c r="AD1659" s="73"/>
      <c r="AF1659" s="112" t="str">
        <f t="shared" si="50"/>
        <v/>
      </c>
      <c r="AG1659" s="113" t="str">
        <f>IF(AF1659="","",COUNTIF(AF1659:AF$3000,AF1659))</f>
        <v/>
      </c>
      <c r="AH1659" s="114" t="str">
        <f t="shared" si="51"/>
        <v/>
      </c>
    </row>
    <row r="1660" spans="6:34" x14ac:dyDescent="0.3">
      <c r="F1660" s="35"/>
      <c r="J1660" s="35"/>
      <c r="K1660" s="35"/>
      <c r="L1660" s="35"/>
      <c r="AD1660" s="73"/>
      <c r="AF1660" s="112" t="str">
        <f t="shared" si="50"/>
        <v/>
      </c>
      <c r="AG1660" s="113" t="str">
        <f>IF(AF1660="","",COUNTIF(AF1660:AF$3000,AF1660))</f>
        <v/>
      </c>
      <c r="AH1660" s="114" t="str">
        <f t="shared" si="51"/>
        <v/>
      </c>
    </row>
    <row r="1661" spans="6:34" x14ac:dyDescent="0.3">
      <c r="F1661" s="35"/>
      <c r="J1661" s="35"/>
      <c r="K1661" s="35"/>
      <c r="L1661" s="35"/>
      <c r="AD1661" s="73"/>
      <c r="AF1661" s="112" t="str">
        <f t="shared" si="50"/>
        <v/>
      </c>
      <c r="AG1661" s="113" t="str">
        <f>IF(AF1661="","",COUNTIF(AF1661:AF$3000,AF1661))</f>
        <v/>
      </c>
      <c r="AH1661" s="114" t="str">
        <f t="shared" si="51"/>
        <v/>
      </c>
    </row>
    <row r="1662" spans="6:34" x14ac:dyDescent="0.3">
      <c r="F1662" s="35"/>
      <c r="J1662" s="35"/>
      <c r="K1662" s="35"/>
      <c r="L1662" s="35"/>
      <c r="AD1662" s="73"/>
      <c r="AF1662" s="112" t="str">
        <f t="shared" si="50"/>
        <v/>
      </c>
      <c r="AG1662" s="113" t="str">
        <f>IF(AF1662="","",COUNTIF(AF1662:AF$3000,AF1662))</f>
        <v/>
      </c>
      <c r="AH1662" s="114" t="str">
        <f t="shared" si="51"/>
        <v/>
      </c>
    </row>
    <row r="1663" spans="6:34" x14ac:dyDescent="0.3">
      <c r="F1663" s="35"/>
      <c r="J1663" s="35"/>
      <c r="K1663" s="35"/>
      <c r="L1663" s="35"/>
      <c r="AD1663" s="73"/>
      <c r="AF1663" s="112" t="str">
        <f t="shared" si="50"/>
        <v/>
      </c>
      <c r="AG1663" s="113" t="str">
        <f>IF(AF1663="","",COUNTIF(AF1663:AF$3000,AF1663))</f>
        <v/>
      </c>
      <c r="AH1663" s="114" t="str">
        <f t="shared" si="51"/>
        <v/>
      </c>
    </row>
    <row r="1664" spans="6:34" x14ac:dyDescent="0.3">
      <c r="F1664" s="35"/>
      <c r="J1664" s="35"/>
      <c r="K1664" s="35"/>
      <c r="L1664" s="35"/>
      <c r="AD1664" s="73"/>
      <c r="AF1664" s="112" t="str">
        <f t="shared" si="50"/>
        <v/>
      </c>
      <c r="AG1664" s="113" t="str">
        <f>IF(AF1664="","",COUNTIF(AF1664:AF$3000,AF1664))</f>
        <v/>
      </c>
      <c r="AH1664" s="114" t="str">
        <f t="shared" si="51"/>
        <v/>
      </c>
    </row>
    <row r="1665" spans="6:34" x14ac:dyDescent="0.3">
      <c r="F1665" s="35"/>
      <c r="J1665" s="35"/>
      <c r="K1665" s="35"/>
      <c r="L1665" s="35"/>
      <c r="AD1665" s="73"/>
      <c r="AF1665" s="112" t="str">
        <f t="shared" si="50"/>
        <v/>
      </c>
      <c r="AG1665" s="113" t="str">
        <f>IF(AF1665="","",COUNTIF(AF1665:AF$3000,AF1665))</f>
        <v/>
      </c>
      <c r="AH1665" s="114" t="str">
        <f t="shared" si="51"/>
        <v/>
      </c>
    </row>
    <row r="1666" spans="6:34" x14ac:dyDescent="0.3">
      <c r="F1666" s="35"/>
      <c r="J1666" s="35"/>
      <c r="K1666" s="35"/>
      <c r="L1666" s="35"/>
      <c r="AD1666" s="73"/>
      <c r="AF1666" s="112" t="str">
        <f t="shared" si="50"/>
        <v/>
      </c>
      <c r="AG1666" s="113" t="str">
        <f>IF(AF1666="","",COUNTIF(AF1666:AF$3000,AF1666))</f>
        <v/>
      </c>
      <c r="AH1666" s="114" t="str">
        <f t="shared" si="51"/>
        <v/>
      </c>
    </row>
    <row r="1667" spans="6:34" x14ac:dyDescent="0.3">
      <c r="F1667" s="35"/>
      <c r="J1667" s="35"/>
      <c r="K1667" s="35"/>
      <c r="L1667" s="35"/>
      <c r="AD1667" s="73"/>
      <c r="AF1667" s="112" t="str">
        <f t="shared" si="50"/>
        <v/>
      </c>
      <c r="AG1667" s="113" t="str">
        <f>IF(AF1667="","",COUNTIF(AF1667:AF$3000,AF1667))</f>
        <v/>
      </c>
      <c r="AH1667" s="114" t="str">
        <f t="shared" si="51"/>
        <v/>
      </c>
    </row>
    <row r="1668" spans="6:34" x14ac:dyDescent="0.3">
      <c r="F1668" s="35"/>
      <c r="J1668" s="35"/>
      <c r="K1668" s="35"/>
      <c r="L1668" s="35"/>
      <c r="AD1668" s="73"/>
      <c r="AF1668" s="112" t="str">
        <f t="shared" ref="AF1668:AF1731" si="52">IF(B1668="","",TEXT(J1668,"DD/MM/AA")&amp;"_"&amp;S1668&amp;"_"&amp;V1668)</f>
        <v/>
      </c>
      <c r="AG1668" s="113" t="str">
        <f>IF(AF1668="","",COUNTIF(AF1668:AF$3000,AF1668))</f>
        <v/>
      </c>
      <c r="AH1668" s="114" t="str">
        <f t="shared" ref="AH1668:AH1731" si="53">IF(AA1668="","",
IF(AG1668&gt;1,"",
IF(SUMIF(AF$3:AF$31,AF1668,H$3:H$31)/10&lt;1,1,SUMIF(AF$3:AF$31,AF1668,H$3:H$31)/10)))</f>
        <v/>
      </c>
    </row>
    <row r="1669" spans="6:34" x14ac:dyDescent="0.3">
      <c r="F1669" s="35"/>
      <c r="J1669" s="35"/>
      <c r="K1669" s="35"/>
      <c r="L1669" s="35"/>
      <c r="AD1669" s="73"/>
      <c r="AF1669" s="112" t="str">
        <f t="shared" si="52"/>
        <v/>
      </c>
      <c r="AG1669" s="113" t="str">
        <f>IF(AF1669="","",COUNTIF(AF1669:AF$3000,AF1669))</f>
        <v/>
      </c>
      <c r="AH1669" s="114" t="str">
        <f t="shared" si="53"/>
        <v/>
      </c>
    </row>
    <row r="1670" spans="6:34" x14ac:dyDescent="0.3">
      <c r="F1670" s="35"/>
      <c r="J1670" s="35"/>
      <c r="K1670" s="35"/>
      <c r="L1670" s="35"/>
      <c r="AD1670" s="73"/>
      <c r="AF1670" s="112" t="str">
        <f t="shared" si="52"/>
        <v/>
      </c>
      <c r="AG1670" s="113" t="str">
        <f>IF(AF1670="","",COUNTIF(AF1670:AF$3000,AF1670))</f>
        <v/>
      </c>
      <c r="AH1670" s="114" t="str">
        <f t="shared" si="53"/>
        <v/>
      </c>
    </row>
    <row r="1671" spans="6:34" x14ac:dyDescent="0.3">
      <c r="F1671" s="35"/>
      <c r="J1671" s="35"/>
      <c r="K1671" s="35"/>
      <c r="L1671" s="35"/>
      <c r="AD1671" s="73"/>
      <c r="AF1671" s="112" t="str">
        <f t="shared" si="52"/>
        <v/>
      </c>
      <c r="AG1671" s="113" t="str">
        <f>IF(AF1671="","",COUNTIF(AF1671:AF$3000,AF1671))</f>
        <v/>
      </c>
      <c r="AH1671" s="114" t="str">
        <f t="shared" si="53"/>
        <v/>
      </c>
    </row>
    <row r="1672" spans="6:34" x14ac:dyDescent="0.3">
      <c r="F1672" s="35"/>
      <c r="J1672" s="35"/>
      <c r="K1672" s="35"/>
      <c r="L1672" s="35"/>
      <c r="AD1672" s="73"/>
      <c r="AF1672" s="112" t="str">
        <f t="shared" si="52"/>
        <v/>
      </c>
      <c r="AG1672" s="113" t="str">
        <f>IF(AF1672="","",COUNTIF(AF1672:AF$3000,AF1672))</f>
        <v/>
      </c>
      <c r="AH1672" s="114" t="str">
        <f t="shared" si="53"/>
        <v/>
      </c>
    </row>
    <row r="1673" spans="6:34" x14ac:dyDescent="0.3">
      <c r="F1673" s="35"/>
      <c r="J1673" s="35"/>
      <c r="K1673" s="35"/>
      <c r="L1673" s="35"/>
      <c r="AD1673" s="73"/>
      <c r="AF1673" s="112" t="str">
        <f t="shared" si="52"/>
        <v/>
      </c>
      <c r="AG1673" s="113" t="str">
        <f>IF(AF1673="","",COUNTIF(AF1673:AF$3000,AF1673))</f>
        <v/>
      </c>
      <c r="AH1673" s="114" t="str">
        <f t="shared" si="53"/>
        <v/>
      </c>
    </row>
    <row r="1674" spans="6:34" x14ac:dyDescent="0.3">
      <c r="F1674" s="35"/>
      <c r="J1674" s="35"/>
      <c r="K1674" s="35"/>
      <c r="L1674" s="35"/>
      <c r="AD1674" s="73"/>
      <c r="AF1674" s="112" t="str">
        <f t="shared" si="52"/>
        <v/>
      </c>
      <c r="AG1674" s="113" t="str">
        <f>IF(AF1674="","",COUNTIF(AF1674:AF$3000,AF1674))</f>
        <v/>
      </c>
      <c r="AH1674" s="114" t="str">
        <f t="shared" si="53"/>
        <v/>
      </c>
    </row>
    <row r="1675" spans="6:34" x14ac:dyDescent="0.3">
      <c r="F1675" s="35"/>
      <c r="J1675" s="35"/>
      <c r="K1675" s="35"/>
      <c r="L1675" s="35"/>
      <c r="AD1675" s="73"/>
      <c r="AF1675" s="112" t="str">
        <f t="shared" si="52"/>
        <v/>
      </c>
      <c r="AG1675" s="113" t="str">
        <f>IF(AF1675="","",COUNTIF(AF1675:AF$3000,AF1675))</f>
        <v/>
      </c>
      <c r="AH1675" s="114" t="str">
        <f t="shared" si="53"/>
        <v/>
      </c>
    </row>
    <row r="1676" spans="6:34" x14ac:dyDescent="0.3">
      <c r="F1676" s="35"/>
      <c r="J1676" s="35"/>
      <c r="K1676" s="35"/>
      <c r="L1676" s="35"/>
      <c r="AD1676" s="73"/>
      <c r="AF1676" s="112" t="str">
        <f t="shared" si="52"/>
        <v/>
      </c>
      <c r="AG1676" s="113" t="str">
        <f>IF(AF1676="","",COUNTIF(AF1676:AF$3000,AF1676))</f>
        <v/>
      </c>
      <c r="AH1676" s="114" t="str">
        <f t="shared" si="53"/>
        <v/>
      </c>
    </row>
    <row r="1677" spans="6:34" x14ac:dyDescent="0.3">
      <c r="F1677" s="35"/>
      <c r="J1677" s="35"/>
      <c r="K1677" s="35"/>
      <c r="L1677" s="35"/>
      <c r="AD1677" s="73"/>
      <c r="AF1677" s="112" t="str">
        <f t="shared" si="52"/>
        <v/>
      </c>
      <c r="AG1677" s="113" t="str">
        <f>IF(AF1677="","",COUNTIF(AF1677:AF$3000,AF1677))</f>
        <v/>
      </c>
      <c r="AH1677" s="114" t="str">
        <f t="shared" si="53"/>
        <v/>
      </c>
    </row>
    <row r="1678" spans="6:34" x14ac:dyDescent="0.3">
      <c r="F1678" s="35"/>
      <c r="J1678" s="35"/>
      <c r="K1678" s="35"/>
      <c r="L1678" s="35"/>
      <c r="AD1678" s="73"/>
      <c r="AF1678" s="112" t="str">
        <f t="shared" si="52"/>
        <v/>
      </c>
      <c r="AG1678" s="113" t="str">
        <f>IF(AF1678="","",COUNTIF(AF1678:AF$3000,AF1678))</f>
        <v/>
      </c>
      <c r="AH1678" s="114" t="str">
        <f t="shared" si="53"/>
        <v/>
      </c>
    </row>
    <row r="1679" spans="6:34" x14ac:dyDescent="0.3">
      <c r="F1679" s="35"/>
      <c r="J1679" s="35"/>
      <c r="K1679" s="35"/>
      <c r="L1679" s="35"/>
      <c r="AD1679" s="73"/>
      <c r="AF1679" s="112" t="str">
        <f t="shared" si="52"/>
        <v/>
      </c>
      <c r="AG1679" s="113" t="str">
        <f>IF(AF1679="","",COUNTIF(AF1679:AF$3000,AF1679))</f>
        <v/>
      </c>
      <c r="AH1679" s="114" t="str">
        <f t="shared" si="53"/>
        <v/>
      </c>
    </row>
    <row r="1680" spans="6:34" x14ac:dyDescent="0.3">
      <c r="F1680" s="35"/>
      <c r="J1680" s="35"/>
      <c r="K1680" s="35"/>
      <c r="L1680" s="35"/>
      <c r="AD1680" s="73"/>
      <c r="AF1680" s="112" t="str">
        <f t="shared" si="52"/>
        <v/>
      </c>
      <c r="AG1680" s="113" t="str">
        <f>IF(AF1680="","",COUNTIF(AF1680:AF$3000,AF1680))</f>
        <v/>
      </c>
      <c r="AH1680" s="114" t="str">
        <f t="shared" si="53"/>
        <v/>
      </c>
    </row>
    <row r="1681" spans="6:34" x14ac:dyDescent="0.3">
      <c r="F1681" s="35"/>
      <c r="J1681" s="35"/>
      <c r="K1681" s="35"/>
      <c r="L1681" s="35"/>
      <c r="AD1681" s="73"/>
      <c r="AF1681" s="112" t="str">
        <f t="shared" si="52"/>
        <v/>
      </c>
      <c r="AG1681" s="113" t="str">
        <f>IF(AF1681="","",COUNTIF(AF1681:AF$3000,AF1681))</f>
        <v/>
      </c>
      <c r="AH1681" s="114" t="str">
        <f t="shared" si="53"/>
        <v/>
      </c>
    </row>
    <row r="1682" spans="6:34" x14ac:dyDescent="0.3">
      <c r="F1682" s="35"/>
      <c r="J1682" s="35"/>
      <c r="K1682" s="35"/>
      <c r="L1682" s="35"/>
      <c r="AD1682" s="73"/>
      <c r="AF1682" s="112" t="str">
        <f t="shared" si="52"/>
        <v/>
      </c>
      <c r="AG1682" s="113" t="str">
        <f>IF(AF1682="","",COUNTIF(AF1682:AF$3000,AF1682))</f>
        <v/>
      </c>
      <c r="AH1682" s="114" t="str">
        <f t="shared" si="53"/>
        <v/>
      </c>
    </row>
    <row r="1683" spans="6:34" x14ac:dyDescent="0.3">
      <c r="F1683" s="35"/>
      <c r="J1683" s="35"/>
      <c r="K1683" s="35"/>
      <c r="L1683" s="35"/>
      <c r="AD1683" s="73"/>
      <c r="AF1683" s="112" t="str">
        <f t="shared" si="52"/>
        <v/>
      </c>
      <c r="AG1683" s="113" t="str">
        <f>IF(AF1683="","",COUNTIF(AF1683:AF$3000,AF1683))</f>
        <v/>
      </c>
      <c r="AH1683" s="114" t="str">
        <f t="shared" si="53"/>
        <v/>
      </c>
    </row>
    <row r="1684" spans="6:34" x14ac:dyDescent="0.3">
      <c r="F1684" s="35"/>
      <c r="J1684" s="35"/>
      <c r="K1684" s="35"/>
      <c r="L1684" s="35"/>
      <c r="AD1684" s="73"/>
      <c r="AF1684" s="112" t="str">
        <f t="shared" si="52"/>
        <v/>
      </c>
      <c r="AG1684" s="113" t="str">
        <f>IF(AF1684="","",COUNTIF(AF1684:AF$3000,AF1684))</f>
        <v/>
      </c>
      <c r="AH1684" s="114" t="str">
        <f t="shared" si="53"/>
        <v/>
      </c>
    </row>
    <row r="1685" spans="6:34" x14ac:dyDescent="0.3">
      <c r="F1685" s="35"/>
      <c r="J1685" s="35"/>
      <c r="K1685" s="35"/>
      <c r="L1685" s="35"/>
      <c r="AD1685" s="73"/>
      <c r="AF1685" s="112" t="str">
        <f t="shared" si="52"/>
        <v/>
      </c>
      <c r="AG1685" s="113" t="str">
        <f>IF(AF1685="","",COUNTIF(AF1685:AF$3000,AF1685))</f>
        <v/>
      </c>
      <c r="AH1685" s="114" t="str">
        <f t="shared" si="53"/>
        <v/>
      </c>
    </row>
    <row r="1686" spans="6:34" x14ac:dyDescent="0.3">
      <c r="F1686" s="35"/>
      <c r="J1686" s="35"/>
      <c r="K1686" s="35"/>
      <c r="L1686" s="35"/>
      <c r="AD1686" s="73"/>
      <c r="AF1686" s="112" t="str">
        <f t="shared" si="52"/>
        <v/>
      </c>
      <c r="AG1686" s="113" t="str">
        <f>IF(AF1686="","",COUNTIF(AF1686:AF$3000,AF1686))</f>
        <v/>
      </c>
      <c r="AH1686" s="114" t="str">
        <f t="shared" si="53"/>
        <v/>
      </c>
    </row>
    <row r="1687" spans="6:34" x14ac:dyDescent="0.3">
      <c r="F1687" s="35"/>
      <c r="J1687" s="35"/>
      <c r="K1687" s="35"/>
      <c r="L1687" s="35"/>
      <c r="AD1687" s="73"/>
      <c r="AF1687" s="112" t="str">
        <f t="shared" si="52"/>
        <v/>
      </c>
      <c r="AG1687" s="113" t="str">
        <f>IF(AF1687="","",COUNTIF(AF1687:AF$3000,AF1687))</f>
        <v/>
      </c>
      <c r="AH1687" s="114" t="str">
        <f t="shared" si="53"/>
        <v/>
      </c>
    </row>
    <row r="1688" spans="6:34" x14ac:dyDescent="0.3">
      <c r="F1688" s="35"/>
      <c r="J1688" s="35"/>
      <c r="K1688" s="35"/>
      <c r="L1688" s="35"/>
      <c r="AD1688" s="73"/>
      <c r="AF1688" s="112" t="str">
        <f t="shared" si="52"/>
        <v/>
      </c>
      <c r="AG1688" s="113" t="str">
        <f>IF(AF1688="","",COUNTIF(AF1688:AF$3000,AF1688))</f>
        <v/>
      </c>
      <c r="AH1688" s="114" t="str">
        <f t="shared" si="53"/>
        <v/>
      </c>
    </row>
    <row r="1689" spans="6:34" x14ac:dyDescent="0.3">
      <c r="F1689" s="35"/>
      <c r="J1689" s="35"/>
      <c r="K1689" s="35"/>
      <c r="L1689" s="35"/>
      <c r="AD1689" s="73"/>
      <c r="AF1689" s="112" t="str">
        <f t="shared" si="52"/>
        <v/>
      </c>
      <c r="AG1689" s="113" t="str">
        <f>IF(AF1689="","",COUNTIF(AF1689:AF$3000,AF1689))</f>
        <v/>
      </c>
      <c r="AH1689" s="114" t="str">
        <f t="shared" si="53"/>
        <v/>
      </c>
    </row>
    <row r="1690" spans="6:34" x14ac:dyDescent="0.3">
      <c r="F1690" s="35"/>
      <c r="J1690" s="35"/>
      <c r="K1690" s="35"/>
      <c r="L1690" s="35"/>
      <c r="AD1690" s="73"/>
      <c r="AF1690" s="112" t="str">
        <f t="shared" si="52"/>
        <v/>
      </c>
      <c r="AG1690" s="113" t="str">
        <f>IF(AF1690="","",COUNTIF(AF1690:AF$3000,AF1690))</f>
        <v/>
      </c>
      <c r="AH1690" s="114" t="str">
        <f t="shared" si="53"/>
        <v/>
      </c>
    </row>
    <row r="1691" spans="6:34" x14ac:dyDescent="0.3">
      <c r="F1691" s="35"/>
      <c r="J1691" s="35"/>
      <c r="K1691" s="35"/>
      <c r="L1691" s="35"/>
      <c r="AD1691" s="73"/>
      <c r="AF1691" s="112" t="str">
        <f t="shared" si="52"/>
        <v/>
      </c>
      <c r="AG1691" s="113" t="str">
        <f>IF(AF1691="","",COUNTIF(AF1691:AF$3000,AF1691))</f>
        <v/>
      </c>
      <c r="AH1691" s="114" t="str">
        <f t="shared" si="53"/>
        <v/>
      </c>
    </row>
    <row r="1692" spans="6:34" x14ac:dyDescent="0.3">
      <c r="F1692" s="35"/>
      <c r="J1692" s="35"/>
      <c r="K1692" s="35"/>
      <c r="L1692" s="35"/>
      <c r="AD1692" s="73"/>
      <c r="AF1692" s="112" t="str">
        <f t="shared" si="52"/>
        <v/>
      </c>
      <c r="AG1692" s="113" t="str">
        <f>IF(AF1692="","",COUNTIF(AF1692:AF$3000,AF1692))</f>
        <v/>
      </c>
      <c r="AH1692" s="114" t="str">
        <f t="shared" si="53"/>
        <v/>
      </c>
    </row>
    <row r="1693" spans="6:34" x14ac:dyDescent="0.3">
      <c r="F1693" s="35"/>
      <c r="J1693" s="35"/>
      <c r="K1693" s="35"/>
      <c r="L1693" s="35"/>
      <c r="AD1693" s="73"/>
      <c r="AF1693" s="112" t="str">
        <f t="shared" si="52"/>
        <v/>
      </c>
      <c r="AG1693" s="113" t="str">
        <f>IF(AF1693="","",COUNTIF(AF1693:AF$3000,AF1693))</f>
        <v/>
      </c>
      <c r="AH1693" s="114" t="str">
        <f t="shared" si="53"/>
        <v/>
      </c>
    </row>
    <row r="1694" spans="6:34" x14ac:dyDescent="0.3">
      <c r="F1694" s="35"/>
      <c r="J1694" s="35"/>
      <c r="K1694" s="35"/>
      <c r="L1694" s="35"/>
      <c r="AD1694" s="73"/>
      <c r="AF1694" s="112" t="str">
        <f t="shared" si="52"/>
        <v/>
      </c>
      <c r="AG1694" s="113" t="str">
        <f>IF(AF1694="","",COUNTIF(AF1694:AF$3000,AF1694))</f>
        <v/>
      </c>
      <c r="AH1694" s="114" t="str">
        <f t="shared" si="53"/>
        <v/>
      </c>
    </row>
    <row r="1695" spans="6:34" x14ac:dyDescent="0.3">
      <c r="F1695" s="35"/>
      <c r="J1695" s="35"/>
      <c r="K1695" s="35"/>
      <c r="L1695" s="35"/>
      <c r="AD1695" s="73"/>
      <c r="AF1695" s="112" t="str">
        <f t="shared" si="52"/>
        <v/>
      </c>
      <c r="AG1695" s="113" t="str">
        <f>IF(AF1695="","",COUNTIF(AF1695:AF$3000,AF1695))</f>
        <v/>
      </c>
      <c r="AH1695" s="114" t="str">
        <f t="shared" si="53"/>
        <v/>
      </c>
    </row>
    <row r="1696" spans="6:34" x14ac:dyDescent="0.3">
      <c r="F1696" s="35"/>
      <c r="J1696" s="35"/>
      <c r="K1696" s="35"/>
      <c r="L1696" s="35"/>
      <c r="AD1696" s="73"/>
      <c r="AF1696" s="112" t="str">
        <f t="shared" si="52"/>
        <v/>
      </c>
      <c r="AG1696" s="113" t="str">
        <f>IF(AF1696="","",COUNTIF(AF1696:AF$3000,AF1696))</f>
        <v/>
      </c>
      <c r="AH1696" s="114" t="str">
        <f t="shared" si="53"/>
        <v/>
      </c>
    </row>
    <row r="1697" spans="6:34" x14ac:dyDescent="0.3">
      <c r="F1697" s="35"/>
      <c r="J1697" s="35"/>
      <c r="K1697" s="35"/>
      <c r="L1697" s="35"/>
      <c r="AD1697" s="73"/>
      <c r="AF1697" s="112" t="str">
        <f t="shared" si="52"/>
        <v/>
      </c>
      <c r="AG1697" s="113" t="str">
        <f>IF(AF1697="","",COUNTIF(AF1697:AF$3000,AF1697))</f>
        <v/>
      </c>
      <c r="AH1697" s="114" t="str">
        <f t="shared" si="53"/>
        <v/>
      </c>
    </row>
    <row r="1698" spans="6:34" x14ac:dyDescent="0.3">
      <c r="F1698" s="35"/>
      <c r="J1698" s="35"/>
      <c r="K1698" s="35"/>
      <c r="L1698" s="35"/>
      <c r="AD1698" s="73"/>
      <c r="AF1698" s="112" t="str">
        <f t="shared" si="52"/>
        <v/>
      </c>
      <c r="AG1698" s="113" t="str">
        <f>IF(AF1698="","",COUNTIF(AF1698:AF$3000,AF1698))</f>
        <v/>
      </c>
      <c r="AH1698" s="114" t="str">
        <f t="shared" si="53"/>
        <v/>
      </c>
    </row>
    <row r="1699" spans="6:34" x14ac:dyDescent="0.3">
      <c r="F1699" s="35"/>
      <c r="J1699" s="35"/>
      <c r="K1699" s="35"/>
      <c r="L1699" s="35"/>
      <c r="AD1699" s="73"/>
      <c r="AF1699" s="112" t="str">
        <f t="shared" si="52"/>
        <v/>
      </c>
      <c r="AG1699" s="113" t="str">
        <f>IF(AF1699="","",COUNTIF(AF1699:AF$3000,AF1699))</f>
        <v/>
      </c>
      <c r="AH1699" s="114" t="str">
        <f t="shared" si="53"/>
        <v/>
      </c>
    </row>
    <row r="1700" spans="6:34" x14ac:dyDescent="0.3">
      <c r="F1700" s="35"/>
      <c r="J1700" s="35"/>
      <c r="K1700" s="35"/>
      <c r="L1700" s="35"/>
      <c r="AD1700" s="73"/>
      <c r="AF1700" s="112" t="str">
        <f t="shared" si="52"/>
        <v/>
      </c>
      <c r="AG1700" s="113" t="str">
        <f>IF(AF1700="","",COUNTIF(AF1700:AF$3000,AF1700))</f>
        <v/>
      </c>
      <c r="AH1700" s="114" t="str">
        <f t="shared" si="53"/>
        <v/>
      </c>
    </row>
    <row r="1701" spans="6:34" x14ac:dyDescent="0.3">
      <c r="F1701" s="35"/>
      <c r="J1701" s="35"/>
      <c r="K1701" s="35"/>
      <c r="L1701" s="35"/>
      <c r="AD1701" s="73"/>
      <c r="AF1701" s="112" t="str">
        <f t="shared" si="52"/>
        <v/>
      </c>
      <c r="AG1701" s="113" t="str">
        <f>IF(AF1701="","",COUNTIF(AF1701:AF$3000,AF1701))</f>
        <v/>
      </c>
      <c r="AH1701" s="114" t="str">
        <f t="shared" si="53"/>
        <v/>
      </c>
    </row>
    <row r="1702" spans="6:34" x14ac:dyDescent="0.3">
      <c r="F1702" s="35"/>
      <c r="J1702" s="35"/>
      <c r="K1702" s="35"/>
      <c r="L1702" s="35"/>
      <c r="AD1702" s="73"/>
      <c r="AF1702" s="112" t="str">
        <f t="shared" si="52"/>
        <v/>
      </c>
      <c r="AG1702" s="113" t="str">
        <f>IF(AF1702="","",COUNTIF(AF1702:AF$3000,AF1702))</f>
        <v/>
      </c>
      <c r="AH1702" s="114" t="str">
        <f t="shared" si="53"/>
        <v/>
      </c>
    </row>
    <row r="1703" spans="6:34" x14ac:dyDescent="0.3">
      <c r="F1703" s="35"/>
      <c r="J1703" s="35"/>
      <c r="K1703" s="35"/>
      <c r="L1703" s="35"/>
      <c r="AD1703" s="73"/>
      <c r="AF1703" s="112" t="str">
        <f t="shared" si="52"/>
        <v/>
      </c>
      <c r="AG1703" s="113" t="str">
        <f>IF(AF1703="","",COUNTIF(AF1703:AF$3000,AF1703))</f>
        <v/>
      </c>
      <c r="AH1703" s="114" t="str">
        <f t="shared" si="53"/>
        <v/>
      </c>
    </row>
    <row r="1704" spans="6:34" x14ac:dyDescent="0.3">
      <c r="F1704" s="35"/>
      <c r="J1704" s="35"/>
      <c r="K1704" s="35"/>
      <c r="L1704" s="35"/>
      <c r="AD1704" s="73"/>
      <c r="AF1704" s="112" t="str">
        <f t="shared" si="52"/>
        <v/>
      </c>
      <c r="AG1704" s="113" t="str">
        <f>IF(AF1704="","",COUNTIF(AF1704:AF$3000,AF1704))</f>
        <v/>
      </c>
      <c r="AH1704" s="114" t="str">
        <f t="shared" si="53"/>
        <v/>
      </c>
    </row>
    <row r="1705" spans="6:34" x14ac:dyDescent="0.3">
      <c r="F1705" s="35"/>
      <c r="J1705" s="35"/>
      <c r="K1705" s="35"/>
      <c r="L1705" s="35"/>
      <c r="AD1705" s="73"/>
      <c r="AF1705" s="112" t="str">
        <f t="shared" si="52"/>
        <v/>
      </c>
      <c r="AG1705" s="113" t="str">
        <f>IF(AF1705="","",COUNTIF(AF1705:AF$3000,AF1705))</f>
        <v/>
      </c>
      <c r="AH1705" s="114" t="str">
        <f t="shared" si="53"/>
        <v/>
      </c>
    </row>
    <row r="1706" spans="6:34" x14ac:dyDescent="0.3">
      <c r="F1706" s="35"/>
      <c r="J1706" s="35"/>
      <c r="K1706" s="35"/>
      <c r="L1706" s="35"/>
      <c r="AD1706" s="73"/>
      <c r="AF1706" s="112" t="str">
        <f t="shared" si="52"/>
        <v/>
      </c>
      <c r="AG1706" s="113" t="str">
        <f>IF(AF1706="","",COUNTIF(AF1706:AF$3000,AF1706))</f>
        <v/>
      </c>
      <c r="AH1706" s="114" t="str">
        <f t="shared" si="53"/>
        <v/>
      </c>
    </row>
    <row r="1707" spans="6:34" x14ac:dyDescent="0.3">
      <c r="F1707" s="35"/>
      <c r="J1707" s="35"/>
      <c r="K1707" s="35"/>
      <c r="L1707" s="35"/>
      <c r="AD1707" s="73"/>
      <c r="AF1707" s="112" t="str">
        <f t="shared" si="52"/>
        <v/>
      </c>
      <c r="AG1707" s="113" t="str">
        <f>IF(AF1707="","",COUNTIF(AF1707:AF$3000,AF1707))</f>
        <v/>
      </c>
      <c r="AH1707" s="114" t="str">
        <f t="shared" si="53"/>
        <v/>
      </c>
    </row>
    <row r="1708" spans="6:34" x14ac:dyDescent="0.3">
      <c r="F1708" s="35"/>
      <c r="J1708" s="35"/>
      <c r="K1708" s="35"/>
      <c r="L1708" s="35"/>
      <c r="AD1708" s="73"/>
      <c r="AF1708" s="112" t="str">
        <f t="shared" si="52"/>
        <v/>
      </c>
      <c r="AG1708" s="113" t="str">
        <f>IF(AF1708="","",COUNTIF(AF1708:AF$3000,AF1708))</f>
        <v/>
      </c>
      <c r="AH1708" s="114" t="str">
        <f t="shared" si="53"/>
        <v/>
      </c>
    </row>
    <row r="1709" spans="6:34" x14ac:dyDescent="0.3">
      <c r="F1709" s="35"/>
      <c r="J1709" s="35"/>
      <c r="K1709" s="35"/>
      <c r="L1709" s="35"/>
      <c r="AD1709" s="73"/>
      <c r="AF1709" s="112" t="str">
        <f t="shared" si="52"/>
        <v/>
      </c>
      <c r="AG1709" s="113" t="str">
        <f>IF(AF1709="","",COUNTIF(AF1709:AF$3000,AF1709))</f>
        <v/>
      </c>
      <c r="AH1709" s="114" t="str">
        <f t="shared" si="53"/>
        <v/>
      </c>
    </row>
    <row r="1710" spans="6:34" x14ac:dyDescent="0.3">
      <c r="F1710" s="35"/>
      <c r="J1710" s="35"/>
      <c r="K1710" s="35"/>
      <c r="L1710" s="35"/>
      <c r="AD1710" s="73"/>
      <c r="AF1710" s="112" t="str">
        <f t="shared" si="52"/>
        <v/>
      </c>
      <c r="AG1710" s="113" t="str">
        <f>IF(AF1710="","",COUNTIF(AF1710:AF$3000,AF1710))</f>
        <v/>
      </c>
      <c r="AH1710" s="114" t="str">
        <f t="shared" si="53"/>
        <v/>
      </c>
    </row>
    <row r="1711" spans="6:34" x14ac:dyDescent="0.3">
      <c r="F1711" s="35"/>
      <c r="J1711" s="35"/>
      <c r="K1711" s="35"/>
      <c r="L1711" s="35"/>
      <c r="AD1711" s="73"/>
      <c r="AF1711" s="112" t="str">
        <f t="shared" si="52"/>
        <v/>
      </c>
      <c r="AG1711" s="113" t="str">
        <f>IF(AF1711="","",COUNTIF(AF1711:AF$3000,AF1711))</f>
        <v/>
      </c>
      <c r="AH1711" s="114" t="str">
        <f t="shared" si="53"/>
        <v/>
      </c>
    </row>
    <row r="1712" spans="6:34" x14ac:dyDescent="0.3">
      <c r="F1712" s="35"/>
      <c r="J1712" s="35"/>
      <c r="K1712" s="35"/>
      <c r="L1712" s="35"/>
      <c r="AD1712" s="73"/>
      <c r="AF1712" s="112" t="str">
        <f t="shared" si="52"/>
        <v/>
      </c>
      <c r="AG1712" s="113" t="str">
        <f>IF(AF1712="","",COUNTIF(AF1712:AF$3000,AF1712))</f>
        <v/>
      </c>
      <c r="AH1712" s="114" t="str">
        <f t="shared" si="53"/>
        <v/>
      </c>
    </row>
    <row r="1713" spans="6:34" x14ac:dyDescent="0.3">
      <c r="F1713" s="35"/>
      <c r="J1713" s="35"/>
      <c r="K1713" s="35"/>
      <c r="L1713" s="35"/>
      <c r="AD1713" s="73"/>
      <c r="AF1713" s="112" t="str">
        <f t="shared" si="52"/>
        <v/>
      </c>
      <c r="AG1713" s="113" t="str">
        <f>IF(AF1713="","",COUNTIF(AF1713:AF$3000,AF1713))</f>
        <v/>
      </c>
      <c r="AH1713" s="114" t="str">
        <f t="shared" si="53"/>
        <v/>
      </c>
    </row>
    <row r="1714" spans="6:34" x14ac:dyDescent="0.3">
      <c r="F1714" s="35"/>
      <c r="J1714" s="35"/>
      <c r="K1714" s="35"/>
      <c r="L1714" s="35"/>
      <c r="AD1714" s="73"/>
      <c r="AF1714" s="112" t="str">
        <f t="shared" si="52"/>
        <v/>
      </c>
      <c r="AG1714" s="113" t="str">
        <f>IF(AF1714="","",COUNTIF(AF1714:AF$3000,AF1714))</f>
        <v/>
      </c>
      <c r="AH1714" s="114" t="str">
        <f t="shared" si="53"/>
        <v/>
      </c>
    </row>
    <row r="1715" spans="6:34" x14ac:dyDescent="0.3">
      <c r="F1715" s="35"/>
      <c r="J1715" s="35"/>
      <c r="K1715" s="35"/>
      <c r="L1715" s="35"/>
      <c r="AD1715" s="73"/>
      <c r="AF1715" s="112" t="str">
        <f t="shared" si="52"/>
        <v/>
      </c>
      <c r="AG1715" s="113" t="str">
        <f>IF(AF1715="","",COUNTIF(AF1715:AF$3000,AF1715))</f>
        <v/>
      </c>
      <c r="AH1715" s="114" t="str">
        <f t="shared" si="53"/>
        <v/>
      </c>
    </row>
    <row r="1716" spans="6:34" x14ac:dyDescent="0.3">
      <c r="F1716" s="35"/>
      <c r="J1716" s="35"/>
      <c r="K1716" s="35"/>
      <c r="L1716" s="35"/>
      <c r="AD1716" s="73"/>
      <c r="AF1716" s="112" t="str">
        <f t="shared" si="52"/>
        <v/>
      </c>
      <c r="AG1716" s="113" t="str">
        <f>IF(AF1716="","",COUNTIF(AF1716:AF$3000,AF1716))</f>
        <v/>
      </c>
      <c r="AH1716" s="114" t="str">
        <f t="shared" si="53"/>
        <v/>
      </c>
    </row>
    <row r="1717" spans="6:34" x14ac:dyDescent="0.3">
      <c r="F1717" s="35"/>
      <c r="J1717" s="35"/>
      <c r="K1717" s="35"/>
      <c r="L1717" s="35"/>
      <c r="AD1717" s="73"/>
      <c r="AF1717" s="112" t="str">
        <f t="shared" si="52"/>
        <v/>
      </c>
      <c r="AG1717" s="113" t="str">
        <f>IF(AF1717="","",COUNTIF(AF1717:AF$3000,AF1717))</f>
        <v/>
      </c>
      <c r="AH1717" s="114" t="str">
        <f t="shared" si="53"/>
        <v/>
      </c>
    </row>
    <row r="1718" spans="6:34" x14ac:dyDescent="0.3">
      <c r="F1718" s="35"/>
      <c r="J1718" s="35"/>
      <c r="K1718" s="35"/>
      <c r="L1718" s="35"/>
      <c r="AD1718" s="73"/>
      <c r="AF1718" s="112" t="str">
        <f t="shared" si="52"/>
        <v/>
      </c>
      <c r="AG1718" s="113" t="str">
        <f>IF(AF1718="","",COUNTIF(AF1718:AF$3000,AF1718))</f>
        <v/>
      </c>
      <c r="AH1718" s="114" t="str">
        <f t="shared" si="53"/>
        <v/>
      </c>
    </row>
    <row r="1719" spans="6:34" x14ac:dyDescent="0.3">
      <c r="F1719" s="35"/>
      <c r="J1719" s="35"/>
      <c r="K1719" s="35"/>
      <c r="L1719" s="35"/>
      <c r="AD1719" s="73"/>
      <c r="AF1719" s="112" t="str">
        <f t="shared" si="52"/>
        <v/>
      </c>
      <c r="AG1719" s="113" t="str">
        <f>IF(AF1719="","",COUNTIF(AF1719:AF$3000,AF1719))</f>
        <v/>
      </c>
      <c r="AH1719" s="114" t="str">
        <f t="shared" si="53"/>
        <v/>
      </c>
    </row>
    <row r="1720" spans="6:34" x14ac:dyDescent="0.3">
      <c r="F1720" s="35"/>
      <c r="J1720" s="35"/>
      <c r="K1720" s="35"/>
      <c r="L1720" s="35"/>
      <c r="AD1720" s="73"/>
      <c r="AF1720" s="112" t="str">
        <f t="shared" si="52"/>
        <v/>
      </c>
      <c r="AG1720" s="113" t="str">
        <f>IF(AF1720="","",COUNTIF(AF1720:AF$3000,AF1720))</f>
        <v/>
      </c>
      <c r="AH1720" s="114" t="str">
        <f t="shared" si="53"/>
        <v/>
      </c>
    </row>
    <row r="1721" spans="6:34" x14ac:dyDescent="0.3">
      <c r="F1721" s="35"/>
      <c r="J1721" s="35"/>
      <c r="K1721" s="35"/>
      <c r="L1721" s="35"/>
      <c r="AD1721" s="73"/>
      <c r="AF1721" s="112" t="str">
        <f t="shared" si="52"/>
        <v/>
      </c>
      <c r="AG1721" s="113" t="str">
        <f>IF(AF1721="","",COUNTIF(AF1721:AF$3000,AF1721))</f>
        <v/>
      </c>
      <c r="AH1721" s="114" t="str">
        <f t="shared" si="53"/>
        <v/>
      </c>
    </row>
    <row r="1722" spans="6:34" x14ac:dyDescent="0.3">
      <c r="F1722" s="35"/>
      <c r="J1722" s="35"/>
      <c r="K1722" s="35"/>
      <c r="L1722" s="35"/>
      <c r="AD1722" s="73"/>
      <c r="AF1722" s="112" t="str">
        <f t="shared" si="52"/>
        <v/>
      </c>
      <c r="AG1722" s="113" t="str">
        <f>IF(AF1722="","",COUNTIF(AF1722:AF$3000,AF1722))</f>
        <v/>
      </c>
      <c r="AH1722" s="114" t="str">
        <f t="shared" si="53"/>
        <v/>
      </c>
    </row>
    <row r="1723" spans="6:34" x14ac:dyDescent="0.3">
      <c r="F1723" s="35"/>
      <c r="J1723" s="35"/>
      <c r="K1723" s="35"/>
      <c r="L1723" s="35"/>
      <c r="AD1723" s="73"/>
      <c r="AF1723" s="112" t="str">
        <f t="shared" si="52"/>
        <v/>
      </c>
      <c r="AG1723" s="113" t="str">
        <f>IF(AF1723="","",COUNTIF(AF1723:AF$3000,AF1723))</f>
        <v/>
      </c>
      <c r="AH1723" s="114" t="str">
        <f t="shared" si="53"/>
        <v/>
      </c>
    </row>
    <row r="1724" spans="6:34" x14ac:dyDescent="0.3">
      <c r="F1724" s="35"/>
      <c r="J1724" s="35"/>
      <c r="K1724" s="35"/>
      <c r="L1724" s="35"/>
      <c r="AD1724" s="73"/>
      <c r="AF1724" s="112" t="str">
        <f t="shared" si="52"/>
        <v/>
      </c>
      <c r="AG1724" s="113" t="str">
        <f>IF(AF1724="","",COUNTIF(AF1724:AF$3000,AF1724))</f>
        <v/>
      </c>
      <c r="AH1724" s="114" t="str">
        <f t="shared" si="53"/>
        <v/>
      </c>
    </row>
    <row r="1725" spans="6:34" x14ac:dyDescent="0.3">
      <c r="F1725" s="35"/>
      <c r="J1725" s="35"/>
      <c r="K1725" s="35"/>
      <c r="L1725" s="35"/>
      <c r="AD1725" s="73"/>
      <c r="AF1725" s="112" t="str">
        <f t="shared" si="52"/>
        <v/>
      </c>
      <c r="AG1725" s="113" t="str">
        <f>IF(AF1725="","",COUNTIF(AF1725:AF$3000,AF1725))</f>
        <v/>
      </c>
      <c r="AH1725" s="114" t="str">
        <f t="shared" si="53"/>
        <v/>
      </c>
    </row>
    <row r="1726" spans="6:34" x14ac:dyDescent="0.3">
      <c r="F1726" s="35"/>
      <c r="J1726" s="35"/>
      <c r="K1726" s="35"/>
      <c r="L1726" s="35"/>
      <c r="AD1726" s="73"/>
      <c r="AF1726" s="112" t="str">
        <f t="shared" si="52"/>
        <v/>
      </c>
      <c r="AG1726" s="113" t="str">
        <f>IF(AF1726="","",COUNTIF(AF1726:AF$3000,AF1726))</f>
        <v/>
      </c>
      <c r="AH1726" s="114" t="str">
        <f t="shared" si="53"/>
        <v/>
      </c>
    </row>
    <row r="1727" spans="6:34" x14ac:dyDescent="0.3">
      <c r="F1727" s="35"/>
      <c r="J1727" s="35"/>
      <c r="K1727" s="35"/>
      <c r="L1727" s="35"/>
      <c r="AD1727" s="73"/>
      <c r="AF1727" s="112" t="str">
        <f t="shared" si="52"/>
        <v/>
      </c>
      <c r="AG1727" s="113" t="str">
        <f>IF(AF1727="","",COUNTIF(AF1727:AF$3000,AF1727))</f>
        <v/>
      </c>
      <c r="AH1727" s="114" t="str">
        <f t="shared" si="53"/>
        <v/>
      </c>
    </row>
    <row r="1728" spans="6:34" x14ac:dyDescent="0.3">
      <c r="F1728" s="35"/>
      <c r="J1728" s="35"/>
      <c r="K1728" s="35"/>
      <c r="L1728" s="35"/>
      <c r="AD1728" s="73"/>
      <c r="AF1728" s="112" t="str">
        <f t="shared" si="52"/>
        <v/>
      </c>
      <c r="AG1728" s="113" t="str">
        <f>IF(AF1728="","",COUNTIF(AF1728:AF$3000,AF1728))</f>
        <v/>
      </c>
      <c r="AH1728" s="114" t="str">
        <f t="shared" si="53"/>
        <v/>
      </c>
    </row>
    <row r="1729" spans="6:34" x14ac:dyDescent="0.3">
      <c r="F1729" s="35"/>
      <c r="J1729" s="35"/>
      <c r="K1729" s="35"/>
      <c r="L1729" s="35"/>
      <c r="AD1729" s="73"/>
      <c r="AF1729" s="112" t="str">
        <f t="shared" si="52"/>
        <v/>
      </c>
      <c r="AG1729" s="113" t="str">
        <f>IF(AF1729="","",COUNTIF(AF1729:AF$3000,AF1729))</f>
        <v/>
      </c>
      <c r="AH1729" s="114" t="str">
        <f t="shared" si="53"/>
        <v/>
      </c>
    </row>
    <row r="1730" spans="6:34" x14ac:dyDescent="0.3">
      <c r="F1730" s="35"/>
      <c r="J1730" s="35"/>
      <c r="K1730" s="35"/>
      <c r="L1730" s="35"/>
      <c r="AD1730" s="73"/>
      <c r="AF1730" s="112" t="str">
        <f t="shared" si="52"/>
        <v/>
      </c>
      <c r="AG1730" s="113" t="str">
        <f>IF(AF1730="","",COUNTIF(AF1730:AF$3000,AF1730))</f>
        <v/>
      </c>
      <c r="AH1730" s="114" t="str">
        <f t="shared" si="53"/>
        <v/>
      </c>
    </row>
    <row r="1731" spans="6:34" x14ac:dyDescent="0.3">
      <c r="F1731" s="35"/>
      <c r="J1731" s="35"/>
      <c r="K1731" s="35"/>
      <c r="L1731" s="35"/>
      <c r="AD1731" s="73"/>
      <c r="AF1731" s="112" t="str">
        <f t="shared" si="52"/>
        <v/>
      </c>
      <c r="AG1731" s="113" t="str">
        <f>IF(AF1731="","",COUNTIF(AF1731:AF$3000,AF1731))</f>
        <v/>
      </c>
      <c r="AH1731" s="114" t="str">
        <f t="shared" si="53"/>
        <v/>
      </c>
    </row>
    <row r="1732" spans="6:34" x14ac:dyDescent="0.3">
      <c r="F1732" s="35"/>
      <c r="J1732" s="35"/>
      <c r="K1732" s="35"/>
      <c r="L1732" s="35"/>
      <c r="AD1732" s="73"/>
      <c r="AF1732" s="112" t="str">
        <f t="shared" ref="AF1732:AF1795" si="54">IF(B1732="","",TEXT(J1732,"DD/MM/AA")&amp;"_"&amp;S1732&amp;"_"&amp;V1732)</f>
        <v/>
      </c>
      <c r="AG1732" s="113" t="str">
        <f>IF(AF1732="","",COUNTIF(AF1732:AF$3000,AF1732))</f>
        <v/>
      </c>
      <c r="AH1732" s="114" t="str">
        <f t="shared" ref="AH1732:AH1795" si="55">IF(AA1732="","",
IF(AG1732&gt;1,"",
IF(SUMIF(AF$3:AF$31,AF1732,H$3:H$31)/10&lt;1,1,SUMIF(AF$3:AF$31,AF1732,H$3:H$31)/10)))</f>
        <v/>
      </c>
    </row>
    <row r="1733" spans="6:34" x14ac:dyDescent="0.3">
      <c r="F1733" s="35"/>
      <c r="J1733" s="35"/>
      <c r="K1733" s="35"/>
      <c r="L1733" s="35"/>
      <c r="AD1733" s="73"/>
      <c r="AF1733" s="112" t="str">
        <f t="shared" si="54"/>
        <v/>
      </c>
      <c r="AG1733" s="113" t="str">
        <f>IF(AF1733="","",COUNTIF(AF1733:AF$3000,AF1733))</f>
        <v/>
      </c>
      <c r="AH1733" s="114" t="str">
        <f t="shared" si="55"/>
        <v/>
      </c>
    </row>
    <row r="1734" spans="6:34" x14ac:dyDescent="0.3">
      <c r="F1734" s="35"/>
      <c r="J1734" s="35"/>
      <c r="K1734" s="35"/>
      <c r="L1734" s="35"/>
      <c r="AD1734" s="73"/>
      <c r="AF1734" s="112" t="str">
        <f t="shared" si="54"/>
        <v/>
      </c>
      <c r="AG1734" s="113" t="str">
        <f>IF(AF1734="","",COUNTIF(AF1734:AF$3000,AF1734))</f>
        <v/>
      </c>
      <c r="AH1734" s="114" t="str">
        <f t="shared" si="55"/>
        <v/>
      </c>
    </row>
    <row r="1735" spans="6:34" x14ac:dyDescent="0.3">
      <c r="F1735" s="35"/>
      <c r="J1735" s="35"/>
      <c r="K1735" s="35"/>
      <c r="L1735" s="35"/>
      <c r="AD1735" s="73"/>
      <c r="AF1735" s="112" t="str">
        <f t="shared" si="54"/>
        <v/>
      </c>
      <c r="AG1735" s="113" t="str">
        <f>IF(AF1735="","",COUNTIF(AF1735:AF$3000,AF1735))</f>
        <v/>
      </c>
      <c r="AH1735" s="114" t="str">
        <f t="shared" si="55"/>
        <v/>
      </c>
    </row>
    <row r="1736" spans="6:34" x14ac:dyDescent="0.3">
      <c r="F1736" s="35"/>
      <c r="J1736" s="35"/>
      <c r="K1736" s="35"/>
      <c r="L1736" s="35"/>
      <c r="AD1736" s="73"/>
      <c r="AF1736" s="112" t="str">
        <f t="shared" si="54"/>
        <v/>
      </c>
      <c r="AG1736" s="113" t="str">
        <f>IF(AF1736="","",COUNTIF(AF1736:AF$3000,AF1736))</f>
        <v/>
      </c>
      <c r="AH1736" s="114" t="str">
        <f t="shared" si="55"/>
        <v/>
      </c>
    </row>
    <row r="1737" spans="6:34" x14ac:dyDescent="0.3">
      <c r="F1737" s="35"/>
      <c r="J1737" s="35"/>
      <c r="K1737" s="35"/>
      <c r="L1737" s="35"/>
      <c r="AD1737" s="73"/>
      <c r="AF1737" s="112" t="str">
        <f t="shared" si="54"/>
        <v/>
      </c>
      <c r="AG1737" s="113" t="str">
        <f>IF(AF1737="","",COUNTIF(AF1737:AF$3000,AF1737))</f>
        <v/>
      </c>
      <c r="AH1737" s="114" t="str">
        <f t="shared" si="55"/>
        <v/>
      </c>
    </row>
    <row r="1738" spans="6:34" x14ac:dyDescent="0.3">
      <c r="F1738" s="35"/>
      <c r="J1738" s="35"/>
      <c r="K1738" s="35"/>
      <c r="L1738" s="35"/>
      <c r="AD1738" s="73"/>
      <c r="AF1738" s="112" t="str">
        <f t="shared" si="54"/>
        <v/>
      </c>
      <c r="AG1738" s="113" t="str">
        <f>IF(AF1738="","",COUNTIF(AF1738:AF$3000,AF1738))</f>
        <v/>
      </c>
      <c r="AH1738" s="114" t="str">
        <f t="shared" si="55"/>
        <v/>
      </c>
    </row>
    <row r="1739" spans="6:34" x14ac:dyDescent="0.3">
      <c r="F1739" s="35"/>
      <c r="J1739" s="35"/>
      <c r="K1739" s="35"/>
      <c r="L1739" s="35"/>
      <c r="AD1739" s="73"/>
      <c r="AF1739" s="112" t="str">
        <f t="shared" si="54"/>
        <v/>
      </c>
      <c r="AG1739" s="113" t="str">
        <f>IF(AF1739="","",COUNTIF(AF1739:AF$3000,AF1739))</f>
        <v/>
      </c>
      <c r="AH1739" s="114" t="str">
        <f t="shared" si="55"/>
        <v/>
      </c>
    </row>
    <row r="1740" spans="6:34" x14ac:dyDescent="0.3">
      <c r="F1740" s="35"/>
      <c r="J1740" s="35"/>
      <c r="K1740" s="35"/>
      <c r="L1740" s="35"/>
      <c r="AD1740" s="73"/>
      <c r="AF1740" s="112" t="str">
        <f t="shared" si="54"/>
        <v/>
      </c>
      <c r="AG1740" s="113" t="str">
        <f>IF(AF1740="","",COUNTIF(AF1740:AF$3000,AF1740))</f>
        <v/>
      </c>
      <c r="AH1740" s="114" t="str">
        <f t="shared" si="55"/>
        <v/>
      </c>
    </row>
    <row r="1741" spans="6:34" x14ac:dyDescent="0.3">
      <c r="F1741" s="35"/>
      <c r="J1741" s="35"/>
      <c r="K1741" s="35"/>
      <c r="L1741" s="35"/>
      <c r="AD1741" s="73"/>
      <c r="AF1741" s="112" t="str">
        <f t="shared" si="54"/>
        <v/>
      </c>
      <c r="AG1741" s="113" t="str">
        <f>IF(AF1741="","",COUNTIF(AF1741:AF$3000,AF1741))</f>
        <v/>
      </c>
      <c r="AH1741" s="114" t="str">
        <f t="shared" si="55"/>
        <v/>
      </c>
    </row>
    <row r="1742" spans="6:34" x14ac:dyDescent="0.3">
      <c r="F1742" s="35"/>
      <c r="J1742" s="35"/>
      <c r="K1742" s="35"/>
      <c r="L1742" s="35"/>
      <c r="AD1742" s="73"/>
      <c r="AF1742" s="112" t="str">
        <f t="shared" si="54"/>
        <v/>
      </c>
      <c r="AG1742" s="113" t="str">
        <f>IF(AF1742="","",COUNTIF(AF1742:AF$3000,AF1742))</f>
        <v/>
      </c>
      <c r="AH1742" s="114" t="str">
        <f t="shared" si="55"/>
        <v/>
      </c>
    </row>
    <row r="1743" spans="6:34" x14ac:dyDescent="0.3">
      <c r="F1743" s="35"/>
      <c r="J1743" s="35"/>
      <c r="K1743" s="35"/>
      <c r="L1743" s="35"/>
      <c r="AD1743" s="73"/>
      <c r="AF1743" s="112" t="str">
        <f t="shared" si="54"/>
        <v/>
      </c>
      <c r="AG1743" s="113" t="str">
        <f>IF(AF1743="","",COUNTIF(AF1743:AF$3000,AF1743))</f>
        <v/>
      </c>
      <c r="AH1743" s="114" t="str">
        <f t="shared" si="55"/>
        <v/>
      </c>
    </row>
    <row r="1744" spans="6:34" x14ac:dyDescent="0.3">
      <c r="F1744" s="35"/>
      <c r="J1744" s="35"/>
      <c r="K1744" s="35"/>
      <c r="L1744" s="35"/>
      <c r="AD1744" s="73"/>
      <c r="AF1744" s="112" t="str">
        <f t="shared" si="54"/>
        <v/>
      </c>
      <c r="AG1744" s="113" t="str">
        <f>IF(AF1744="","",COUNTIF(AF1744:AF$3000,AF1744))</f>
        <v/>
      </c>
      <c r="AH1744" s="114" t="str">
        <f t="shared" si="55"/>
        <v/>
      </c>
    </row>
    <row r="1745" spans="6:34" x14ac:dyDescent="0.3">
      <c r="F1745" s="35"/>
      <c r="J1745" s="35"/>
      <c r="K1745" s="35"/>
      <c r="L1745" s="35"/>
      <c r="AD1745" s="73"/>
      <c r="AF1745" s="112" t="str">
        <f t="shared" si="54"/>
        <v/>
      </c>
      <c r="AG1745" s="113" t="str">
        <f>IF(AF1745="","",COUNTIF(AF1745:AF$3000,AF1745))</f>
        <v/>
      </c>
      <c r="AH1745" s="114" t="str">
        <f t="shared" si="55"/>
        <v/>
      </c>
    </row>
    <row r="1746" spans="6:34" x14ac:dyDescent="0.3">
      <c r="F1746" s="35"/>
      <c r="J1746" s="35"/>
      <c r="K1746" s="35"/>
      <c r="L1746" s="35"/>
      <c r="AD1746" s="73"/>
      <c r="AF1746" s="112" t="str">
        <f t="shared" si="54"/>
        <v/>
      </c>
      <c r="AG1746" s="113" t="str">
        <f>IF(AF1746="","",COUNTIF(AF1746:AF$3000,AF1746))</f>
        <v/>
      </c>
      <c r="AH1746" s="114" t="str">
        <f t="shared" si="55"/>
        <v/>
      </c>
    </row>
    <row r="1747" spans="6:34" x14ac:dyDescent="0.3">
      <c r="F1747" s="35"/>
      <c r="J1747" s="35"/>
      <c r="K1747" s="35"/>
      <c r="L1747" s="35"/>
      <c r="AD1747" s="73"/>
      <c r="AF1747" s="112" t="str">
        <f t="shared" si="54"/>
        <v/>
      </c>
      <c r="AG1747" s="113" t="str">
        <f>IF(AF1747="","",COUNTIF(AF1747:AF$3000,AF1747))</f>
        <v/>
      </c>
      <c r="AH1747" s="114" t="str">
        <f t="shared" si="55"/>
        <v/>
      </c>
    </row>
    <row r="1748" spans="6:34" x14ac:dyDescent="0.3">
      <c r="F1748" s="35"/>
      <c r="J1748" s="35"/>
      <c r="K1748" s="35"/>
      <c r="L1748" s="35"/>
      <c r="AD1748" s="73"/>
      <c r="AF1748" s="112" t="str">
        <f t="shared" si="54"/>
        <v/>
      </c>
      <c r="AG1748" s="113" t="str">
        <f>IF(AF1748="","",COUNTIF(AF1748:AF$3000,AF1748))</f>
        <v/>
      </c>
      <c r="AH1748" s="114" t="str">
        <f t="shared" si="55"/>
        <v/>
      </c>
    </row>
    <row r="1749" spans="6:34" x14ac:dyDescent="0.3">
      <c r="F1749" s="35"/>
      <c r="J1749" s="35"/>
      <c r="K1749" s="35"/>
      <c r="L1749" s="35"/>
      <c r="AD1749" s="73"/>
      <c r="AF1749" s="112" t="str">
        <f t="shared" si="54"/>
        <v/>
      </c>
      <c r="AG1749" s="113" t="str">
        <f>IF(AF1749="","",COUNTIF(AF1749:AF$3000,AF1749))</f>
        <v/>
      </c>
      <c r="AH1749" s="114" t="str">
        <f t="shared" si="55"/>
        <v/>
      </c>
    </row>
    <row r="1750" spans="6:34" x14ac:dyDescent="0.3">
      <c r="F1750" s="35"/>
      <c r="J1750" s="35"/>
      <c r="K1750" s="35"/>
      <c r="L1750" s="35"/>
      <c r="AD1750" s="73"/>
      <c r="AF1750" s="112" t="str">
        <f t="shared" si="54"/>
        <v/>
      </c>
      <c r="AG1750" s="113" t="str">
        <f>IF(AF1750="","",COUNTIF(AF1750:AF$3000,AF1750))</f>
        <v/>
      </c>
      <c r="AH1750" s="114" t="str">
        <f t="shared" si="55"/>
        <v/>
      </c>
    </row>
    <row r="1751" spans="6:34" x14ac:dyDescent="0.3">
      <c r="F1751" s="35"/>
      <c r="J1751" s="35"/>
      <c r="K1751" s="35"/>
      <c r="L1751" s="35"/>
      <c r="AD1751" s="73"/>
      <c r="AF1751" s="112" t="str">
        <f t="shared" si="54"/>
        <v/>
      </c>
      <c r="AG1751" s="113" t="str">
        <f>IF(AF1751="","",COUNTIF(AF1751:AF$3000,AF1751))</f>
        <v/>
      </c>
      <c r="AH1751" s="114" t="str">
        <f t="shared" si="55"/>
        <v/>
      </c>
    </row>
    <row r="1752" spans="6:34" x14ac:dyDescent="0.3">
      <c r="F1752" s="35"/>
      <c r="J1752" s="35"/>
      <c r="K1752" s="35"/>
      <c r="L1752" s="35"/>
      <c r="AD1752" s="73"/>
      <c r="AF1752" s="112" t="str">
        <f t="shared" si="54"/>
        <v/>
      </c>
      <c r="AG1752" s="113" t="str">
        <f>IF(AF1752="","",COUNTIF(AF1752:AF$3000,AF1752))</f>
        <v/>
      </c>
      <c r="AH1752" s="114" t="str">
        <f t="shared" si="55"/>
        <v/>
      </c>
    </row>
    <row r="1753" spans="6:34" x14ac:dyDescent="0.3">
      <c r="F1753" s="35"/>
      <c r="J1753" s="35"/>
      <c r="K1753" s="35"/>
      <c r="L1753" s="35"/>
      <c r="AD1753" s="73"/>
      <c r="AF1753" s="112" t="str">
        <f t="shared" si="54"/>
        <v/>
      </c>
      <c r="AG1753" s="113" t="str">
        <f>IF(AF1753="","",COUNTIF(AF1753:AF$3000,AF1753))</f>
        <v/>
      </c>
      <c r="AH1753" s="114" t="str">
        <f t="shared" si="55"/>
        <v/>
      </c>
    </row>
    <row r="1754" spans="6:34" x14ac:dyDescent="0.3">
      <c r="F1754" s="35"/>
      <c r="J1754" s="35"/>
      <c r="K1754" s="35"/>
      <c r="L1754" s="35"/>
      <c r="AD1754" s="73"/>
      <c r="AF1754" s="112" t="str">
        <f t="shared" si="54"/>
        <v/>
      </c>
      <c r="AG1754" s="113" t="str">
        <f>IF(AF1754="","",COUNTIF(AF1754:AF$3000,AF1754))</f>
        <v/>
      </c>
      <c r="AH1754" s="114" t="str">
        <f t="shared" si="55"/>
        <v/>
      </c>
    </row>
    <row r="1755" spans="6:34" x14ac:dyDescent="0.3">
      <c r="F1755" s="35"/>
      <c r="J1755" s="35"/>
      <c r="K1755" s="35"/>
      <c r="L1755" s="35"/>
      <c r="AD1755" s="73"/>
      <c r="AF1755" s="112" t="str">
        <f t="shared" si="54"/>
        <v/>
      </c>
      <c r="AG1755" s="113" t="str">
        <f>IF(AF1755="","",COUNTIF(AF1755:AF$3000,AF1755))</f>
        <v/>
      </c>
      <c r="AH1755" s="114" t="str">
        <f t="shared" si="55"/>
        <v/>
      </c>
    </row>
    <row r="1756" spans="6:34" x14ac:dyDescent="0.3">
      <c r="F1756" s="35"/>
      <c r="J1756" s="35"/>
      <c r="K1756" s="35"/>
      <c r="L1756" s="35"/>
      <c r="AD1756" s="73"/>
      <c r="AF1756" s="112" t="str">
        <f t="shared" si="54"/>
        <v/>
      </c>
      <c r="AG1756" s="113" t="str">
        <f>IF(AF1756="","",COUNTIF(AF1756:AF$3000,AF1756))</f>
        <v/>
      </c>
      <c r="AH1756" s="114" t="str">
        <f t="shared" si="55"/>
        <v/>
      </c>
    </row>
    <row r="1757" spans="6:34" x14ac:dyDescent="0.3">
      <c r="F1757" s="35"/>
      <c r="J1757" s="35"/>
      <c r="K1757" s="35"/>
      <c r="L1757" s="35"/>
      <c r="AD1757" s="73"/>
      <c r="AF1757" s="112" t="str">
        <f t="shared" si="54"/>
        <v/>
      </c>
      <c r="AG1757" s="113" t="str">
        <f>IF(AF1757="","",COUNTIF(AF1757:AF$3000,AF1757))</f>
        <v/>
      </c>
      <c r="AH1757" s="114" t="str">
        <f t="shared" si="55"/>
        <v/>
      </c>
    </row>
    <row r="1758" spans="6:34" x14ac:dyDescent="0.3">
      <c r="F1758" s="35"/>
      <c r="J1758" s="35"/>
      <c r="K1758" s="35"/>
      <c r="L1758" s="35"/>
      <c r="AD1758" s="73"/>
      <c r="AF1758" s="112" t="str">
        <f t="shared" si="54"/>
        <v/>
      </c>
      <c r="AG1758" s="113" t="str">
        <f>IF(AF1758="","",COUNTIF(AF1758:AF$3000,AF1758))</f>
        <v/>
      </c>
      <c r="AH1758" s="114" t="str">
        <f t="shared" si="55"/>
        <v/>
      </c>
    </row>
    <row r="1759" spans="6:34" x14ac:dyDescent="0.3">
      <c r="F1759" s="35"/>
      <c r="J1759" s="35"/>
      <c r="K1759" s="35"/>
      <c r="L1759" s="35"/>
      <c r="AD1759" s="73"/>
      <c r="AF1759" s="112" t="str">
        <f t="shared" si="54"/>
        <v/>
      </c>
      <c r="AG1759" s="113" t="str">
        <f>IF(AF1759="","",COUNTIF(AF1759:AF$3000,AF1759))</f>
        <v/>
      </c>
      <c r="AH1759" s="114" t="str">
        <f t="shared" si="55"/>
        <v/>
      </c>
    </row>
    <row r="1760" spans="6:34" x14ac:dyDescent="0.3">
      <c r="F1760" s="35"/>
      <c r="J1760" s="35"/>
      <c r="K1760" s="35"/>
      <c r="L1760" s="35"/>
      <c r="AD1760" s="73"/>
      <c r="AF1760" s="112" t="str">
        <f t="shared" si="54"/>
        <v/>
      </c>
      <c r="AG1760" s="113" t="str">
        <f>IF(AF1760="","",COUNTIF(AF1760:AF$3000,AF1760))</f>
        <v/>
      </c>
      <c r="AH1760" s="114" t="str">
        <f t="shared" si="55"/>
        <v/>
      </c>
    </row>
    <row r="1761" spans="6:34" x14ac:dyDescent="0.3">
      <c r="F1761" s="35"/>
      <c r="J1761" s="35"/>
      <c r="K1761" s="35"/>
      <c r="L1761" s="35"/>
      <c r="AD1761" s="73"/>
      <c r="AF1761" s="112" t="str">
        <f t="shared" si="54"/>
        <v/>
      </c>
      <c r="AG1761" s="113" t="str">
        <f>IF(AF1761="","",COUNTIF(AF1761:AF$3000,AF1761))</f>
        <v/>
      </c>
      <c r="AH1761" s="114" t="str">
        <f t="shared" si="55"/>
        <v/>
      </c>
    </row>
    <row r="1762" spans="6:34" x14ac:dyDescent="0.3">
      <c r="F1762" s="35"/>
      <c r="J1762" s="35"/>
      <c r="K1762" s="35"/>
      <c r="L1762" s="35"/>
      <c r="AD1762" s="73"/>
      <c r="AF1762" s="112" t="str">
        <f t="shared" si="54"/>
        <v/>
      </c>
      <c r="AG1762" s="113" t="str">
        <f>IF(AF1762="","",COUNTIF(AF1762:AF$3000,AF1762))</f>
        <v/>
      </c>
      <c r="AH1762" s="114" t="str">
        <f t="shared" si="55"/>
        <v/>
      </c>
    </row>
    <row r="1763" spans="6:34" x14ac:dyDescent="0.3">
      <c r="F1763" s="35"/>
      <c r="J1763" s="35"/>
      <c r="K1763" s="35"/>
      <c r="L1763" s="35"/>
      <c r="AD1763" s="73"/>
      <c r="AF1763" s="112" t="str">
        <f t="shared" si="54"/>
        <v/>
      </c>
      <c r="AG1763" s="113" t="str">
        <f>IF(AF1763="","",COUNTIF(AF1763:AF$3000,AF1763))</f>
        <v/>
      </c>
      <c r="AH1763" s="114" t="str">
        <f t="shared" si="55"/>
        <v/>
      </c>
    </row>
    <row r="1764" spans="6:34" x14ac:dyDescent="0.3">
      <c r="F1764" s="35"/>
      <c r="J1764" s="35"/>
      <c r="K1764" s="35"/>
      <c r="L1764" s="35"/>
      <c r="AD1764" s="73"/>
      <c r="AF1764" s="112" t="str">
        <f t="shared" si="54"/>
        <v/>
      </c>
      <c r="AG1764" s="113" t="str">
        <f>IF(AF1764="","",COUNTIF(AF1764:AF$3000,AF1764))</f>
        <v/>
      </c>
      <c r="AH1764" s="114" t="str">
        <f t="shared" si="55"/>
        <v/>
      </c>
    </row>
    <row r="1765" spans="6:34" x14ac:dyDescent="0.3">
      <c r="F1765" s="35"/>
      <c r="J1765" s="35"/>
      <c r="K1765" s="35"/>
      <c r="L1765" s="35"/>
      <c r="AD1765" s="73"/>
      <c r="AF1765" s="112" t="str">
        <f t="shared" si="54"/>
        <v/>
      </c>
      <c r="AG1765" s="113" t="str">
        <f>IF(AF1765="","",COUNTIF(AF1765:AF$3000,AF1765))</f>
        <v/>
      </c>
      <c r="AH1765" s="114" t="str">
        <f t="shared" si="55"/>
        <v/>
      </c>
    </row>
    <row r="1766" spans="6:34" x14ac:dyDescent="0.3">
      <c r="F1766" s="35"/>
      <c r="J1766" s="35"/>
      <c r="K1766" s="35"/>
      <c r="L1766" s="35"/>
      <c r="AD1766" s="73"/>
      <c r="AF1766" s="112" t="str">
        <f t="shared" si="54"/>
        <v/>
      </c>
      <c r="AG1766" s="113" t="str">
        <f>IF(AF1766="","",COUNTIF(AF1766:AF$3000,AF1766))</f>
        <v/>
      </c>
      <c r="AH1766" s="114" t="str">
        <f t="shared" si="55"/>
        <v/>
      </c>
    </row>
    <row r="1767" spans="6:34" x14ac:dyDescent="0.3">
      <c r="F1767" s="35"/>
      <c r="J1767" s="35"/>
      <c r="K1767" s="35"/>
      <c r="L1767" s="35"/>
      <c r="AD1767" s="73"/>
      <c r="AF1767" s="112" t="str">
        <f t="shared" si="54"/>
        <v/>
      </c>
      <c r="AG1767" s="113" t="str">
        <f>IF(AF1767="","",COUNTIF(AF1767:AF$3000,AF1767))</f>
        <v/>
      </c>
      <c r="AH1767" s="114" t="str">
        <f t="shared" si="55"/>
        <v/>
      </c>
    </row>
    <row r="1768" spans="6:34" x14ac:dyDescent="0.3">
      <c r="F1768" s="35"/>
      <c r="J1768" s="35"/>
      <c r="K1768" s="35"/>
      <c r="L1768" s="35"/>
      <c r="AD1768" s="73"/>
      <c r="AF1768" s="112" t="str">
        <f t="shared" si="54"/>
        <v/>
      </c>
      <c r="AG1768" s="113" t="str">
        <f>IF(AF1768="","",COUNTIF(AF1768:AF$3000,AF1768))</f>
        <v/>
      </c>
      <c r="AH1768" s="114" t="str">
        <f t="shared" si="55"/>
        <v/>
      </c>
    </row>
    <row r="1769" spans="6:34" x14ac:dyDescent="0.3">
      <c r="F1769" s="35"/>
      <c r="J1769" s="35"/>
      <c r="K1769" s="35"/>
      <c r="L1769" s="35"/>
      <c r="AD1769" s="73"/>
      <c r="AF1769" s="112" t="str">
        <f t="shared" si="54"/>
        <v/>
      </c>
      <c r="AG1769" s="113" t="str">
        <f>IF(AF1769="","",COUNTIF(AF1769:AF$3000,AF1769))</f>
        <v/>
      </c>
      <c r="AH1769" s="114" t="str">
        <f t="shared" si="55"/>
        <v/>
      </c>
    </row>
    <row r="1770" spans="6:34" x14ac:dyDescent="0.3">
      <c r="F1770" s="35"/>
      <c r="J1770" s="35"/>
      <c r="K1770" s="35"/>
      <c r="L1770" s="35"/>
      <c r="AD1770" s="73"/>
      <c r="AF1770" s="112" t="str">
        <f t="shared" si="54"/>
        <v/>
      </c>
      <c r="AG1770" s="113" t="str">
        <f>IF(AF1770="","",COUNTIF(AF1770:AF$3000,AF1770))</f>
        <v/>
      </c>
      <c r="AH1770" s="114" t="str">
        <f t="shared" si="55"/>
        <v/>
      </c>
    </row>
    <row r="1771" spans="6:34" x14ac:dyDescent="0.3">
      <c r="F1771" s="35"/>
      <c r="J1771" s="35"/>
      <c r="K1771" s="35"/>
      <c r="L1771" s="35"/>
      <c r="AD1771" s="73"/>
      <c r="AF1771" s="112" t="str">
        <f t="shared" si="54"/>
        <v/>
      </c>
      <c r="AG1771" s="113" t="str">
        <f>IF(AF1771="","",COUNTIF(AF1771:AF$3000,AF1771))</f>
        <v/>
      </c>
      <c r="AH1771" s="114" t="str">
        <f t="shared" si="55"/>
        <v/>
      </c>
    </row>
    <row r="1772" spans="6:34" x14ac:dyDescent="0.3">
      <c r="F1772" s="35"/>
      <c r="J1772" s="35"/>
      <c r="K1772" s="35"/>
      <c r="L1772" s="35"/>
      <c r="AD1772" s="73"/>
      <c r="AF1772" s="112" t="str">
        <f t="shared" si="54"/>
        <v/>
      </c>
      <c r="AG1772" s="113" t="str">
        <f>IF(AF1772="","",COUNTIF(AF1772:AF$3000,AF1772))</f>
        <v/>
      </c>
      <c r="AH1772" s="114" t="str">
        <f t="shared" si="55"/>
        <v/>
      </c>
    </row>
    <row r="1773" spans="6:34" x14ac:dyDescent="0.3">
      <c r="F1773" s="35"/>
      <c r="J1773" s="35"/>
      <c r="K1773" s="35"/>
      <c r="L1773" s="35"/>
      <c r="AD1773" s="73"/>
      <c r="AF1773" s="112" t="str">
        <f t="shared" si="54"/>
        <v/>
      </c>
      <c r="AG1773" s="113" t="str">
        <f>IF(AF1773="","",COUNTIF(AF1773:AF$3000,AF1773))</f>
        <v/>
      </c>
      <c r="AH1773" s="114" t="str">
        <f t="shared" si="55"/>
        <v/>
      </c>
    </row>
    <row r="1774" spans="6:34" x14ac:dyDescent="0.3">
      <c r="F1774" s="35"/>
      <c r="J1774" s="35"/>
      <c r="K1774" s="35"/>
      <c r="L1774" s="35"/>
      <c r="AD1774" s="73"/>
      <c r="AF1774" s="112" t="str">
        <f t="shared" si="54"/>
        <v/>
      </c>
      <c r="AG1774" s="113" t="str">
        <f>IF(AF1774="","",COUNTIF(AF1774:AF$3000,AF1774))</f>
        <v/>
      </c>
      <c r="AH1774" s="114" t="str">
        <f t="shared" si="55"/>
        <v/>
      </c>
    </row>
    <row r="1775" spans="6:34" x14ac:dyDescent="0.3">
      <c r="F1775" s="35"/>
      <c r="J1775" s="35"/>
      <c r="K1775" s="35"/>
      <c r="L1775" s="35"/>
      <c r="AD1775" s="73"/>
      <c r="AF1775" s="112" t="str">
        <f t="shared" si="54"/>
        <v/>
      </c>
      <c r="AG1775" s="113" t="str">
        <f>IF(AF1775="","",COUNTIF(AF1775:AF$3000,AF1775))</f>
        <v/>
      </c>
      <c r="AH1775" s="114" t="str">
        <f t="shared" si="55"/>
        <v/>
      </c>
    </row>
    <row r="1776" spans="6:34" x14ac:dyDescent="0.3">
      <c r="F1776" s="35"/>
      <c r="J1776" s="35"/>
      <c r="K1776" s="35"/>
      <c r="L1776" s="35"/>
      <c r="AD1776" s="73"/>
      <c r="AF1776" s="112" t="str">
        <f t="shared" si="54"/>
        <v/>
      </c>
      <c r="AG1776" s="113" t="str">
        <f>IF(AF1776="","",COUNTIF(AF1776:AF$3000,AF1776))</f>
        <v/>
      </c>
      <c r="AH1776" s="114" t="str">
        <f t="shared" si="55"/>
        <v/>
      </c>
    </row>
    <row r="1777" spans="6:34" x14ac:dyDescent="0.3">
      <c r="F1777" s="35"/>
      <c r="J1777" s="35"/>
      <c r="K1777" s="35"/>
      <c r="L1777" s="35"/>
      <c r="AD1777" s="73"/>
      <c r="AF1777" s="112" t="str">
        <f t="shared" si="54"/>
        <v/>
      </c>
      <c r="AG1777" s="113" t="str">
        <f>IF(AF1777="","",COUNTIF(AF1777:AF$3000,AF1777))</f>
        <v/>
      </c>
      <c r="AH1777" s="114" t="str">
        <f t="shared" si="55"/>
        <v/>
      </c>
    </row>
    <row r="1778" spans="6:34" x14ac:dyDescent="0.3">
      <c r="F1778" s="35"/>
      <c r="J1778" s="35"/>
      <c r="K1778" s="35"/>
      <c r="L1778" s="35"/>
      <c r="AD1778" s="73"/>
      <c r="AF1778" s="112" t="str">
        <f t="shared" si="54"/>
        <v/>
      </c>
      <c r="AG1778" s="113" t="str">
        <f>IF(AF1778="","",COUNTIF(AF1778:AF$3000,AF1778))</f>
        <v/>
      </c>
      <c r="AH1778" s="114" t="str">
        <f t="shared" si="55"/>
        <v/>
      </c>
    </row>
    <row r="1779" spans="6:34" x14ac:dyDescent="0.3">
      <c r="F1779" s="35"/>
      <c r="J1779" s="35"/>
      <c r="K1779" s="35"/>
      <c r="L1779" s="35"/>
      <c r="AD1779" s="73"/>
      <c r="AF1779" s="112" t="str">
        <f t="shared" si="54"/>
        <v/>
      </c>
      <c r="AG1779" s="113" t="str">
        <f>IF(AF1779="","",COUNTIF(AF1779:AF$3000,AF1779))</f>
        <v/>
      </c>
      <c r="AH1779" s="114" t="str">
        <f t="shared" si="55"/>
        <v/>
      </c>
    </row>
    <row r="1780" spans="6:34" x14ac:dyDescent="0.3">
      <c r="F1780" s="35"/>
      <c r="J1780" s="35"/>
      <c r="K1780" s="35"/>
      <c r="L1780" s="35"/>
      <c r="AD1780" s="73"/>
      <c r="AF1780" s="112" t="str">
        <f t="shared" si="54"/>
        <v/>
      </c>
      <c r="AG1780" s="113" t="str">
        <f>IF(AF1780="","",COUNTIF(AF1780:AF$3000,AF1780))</f>
        <v/>
      </c>
      <c r="AH1780" s="114" t="str">
        <f t="shared" si="55"/>
        <v/>
      </c>
    </row>
    <row r="1781" spans="6:34" x14ac:dyDescent="0.3">
      <c r="F1781" s="35"/>
      <c r="J1781" s="35"/>
      <c r="K1781" s="35"/>
      <c r="L1781" s="35"/>
      <c r="AD1781" s="73"/>
      <c r="AF1781" s="112" t="str">
        <f t="shared" si="54"/>
        <v/>
      </c>
      <c r="AG1781" s="113" t="str">
        <f>IF(AF1781="","",COUNTIF(AF1781:AF$3000,AF1781))</f>
        <v/>
      </c>
      <c r="AH1781" s="114" t="str">
        <f t="shared" si="55"/>
        <v/>
      </c>
    </row>
    <row r="1782" spans="6:34" x14ac:dyDescent="0.3">
      <c r="F1782" s="35"/>
      <c r="J1782" s="35"/>
      <c r="K1782" s="35"/>
      <c r="L1782" s="35"/>
      <c r="AD1782" s="73"/>
      <c r="AF1782" s="112" t="str">
        <f t="shared" si="54"/>
        <v/>
      </c>
      <c r="AG1782" s="113" t="str">
        <f>IF(AF1782="","",COUNTIF(AF1782:AF$3000,AF1782))</f>
        <v/>
      </c>
      <c r="AH1782" s="114" t="str">
        <f t="shared" si="55"/>
        <v/>
      </c>
    </row>
    <row r="1783" spans="6:34" x14ac:dyDescent="0.3">
      <c r="F1783" s="35"/>
      <c r="J1783" s="35"/>
      <c r="K1783" s="35"/>
      <c r="L1783" s="35"/>
      <c r="AD1783" s="73"/>
      <c r="AF1783" s="112" t="str">
        <f t="shared" si="54"/>
        <v/>
      </c>
      <c r="AG1783" s="113" t="str">
        <f>IF(AF1783="","",COUNTIF(AF1783:AF$3000,AF1783))</f>
        <v/>
      </c>
      <c r="AH1783" s="114" t="str">
        <f t="shared" si="55"/>
        <v/>
      </c>
    </row>
    <row r="1784" spans="6:34" x14ac:dyDescent="0.3">
      <c r="F1784" s="35"/>
      <c r="J1784" s="35"/>
      <c r="K1784" s="35"/>
      <c r="L1784" s="35"/>
      <c r="AD1784" s="73"/>
      <c r="AF1784" s="112" t="str">
        <f t="shared" si="54"/>
        <v/>
      </c>
      <c r="AG1784" s="113" t="str">
        <f>IF(AF1784="","",COUNTIF(AF1784:AF$3000,AF1784))</f>
        <v/>
      </c>
      <c r="AH1784" s="114" t="str">
        <f t="shared" si="55"/>
        <v/>
      </c>
    </row>
    <row r="1785" spans="6:34" x14ac:dyDescent="0.3">
      <c r="F1785" s="35"/>
      <c r="J1785" s="35"/>
      <c r="K1785" s="35"/>
      <c r="L1785" s="35"/>
      <c r="AD1785" s="73"/>
      <c r="AF1785" s="112" t="str">
        <f t="shared" si="54"/>
        <v/>
      </c>
      <c r="AG1785" s="113" t="str">
        <f>IF(AF1785="","",COUNTIF(AF1785:AF$3000,AF1785))</f>
        <v/>
      </c>
      <c r="AH1785" s="114" t="str">
        <f t="shared" si="55"/>
        <v/>
      </c>
    </row>
    <row r="1786" spans="6:34" x14ac:dyDescent="0.3">
      <c r="F1786" s="35"/>
      <c r="J1786" s="35"/>
      <c r="K1786" s="35"/>
      <c r="L1786" s="35"/>
      <c r="AD1786" s="73"/>
      <c r="AF1786" s="112" t="str">
        <f t="shared" si="54"/>
        <v/>
      </c>
      <c r="AG1786" s="113" t="str">
        <f>IF(AF1786="","",COUNTIF(AF1786:AF$3000,AF1786))</f>
        <v/>
      </c>
      <c r="AH1786" s="114" t="str">
        <f t="shared" si="55"/>
        <v/>
      </c>
    </row>
    <row r="1787" spans="6:34" x14ac:dyDescent="0.3">
      <c r="F1787" s="35"/>
      <c r="J1787" s="35"/>
      <c r="K1787" s="35"/>
      <c r="L1787" s="35"/>
      <c r="AD1787" s="73"/>
      <c r="AF1787" s="112" t="str">
        <f t="shared" si="54"/>
        <v/>
      </c>
      <c r="AG1787" s="113" t="str">
        <f>IF(AF1787="","",COUNTIF(AF1787:AF$3000,AF1787))</f>
        <v/>
      </c>
      <c r="AH1787" s="114" t="str">
        <f t="shared" si="55"/>
        <v/>
      </c>
    </row>
    <row r="1788" spans="6:34" x14ac:dyDescent="0.3">
      <c r="F1788" s="35"/>
      <c r="J1788" s="35"/>
      <c r="K1788" s="35"/>
      <c r="L1788" s="35"/>
      <c r="AD1788" s="73"/>
      <c r="AF1788" s="112" t="str">
        <f t="shared" si="54"/>
        <v/>
      </c>
      <c r="AG1788" s="113" t="str">
        <f>IF(AF1788="","",COUNTIF(AF1788:AF$3000,AF1788))</f>
        <v/>
      </c>
      <c r="AH1788" s="114" t="str">
        <f t="shared" si="55"/>
        <v/>
      </c>
    </row>
    <row r="1789" spans="6:34" x14ac:dyDescent="0.3">
      <c r="F1789" s="35"/>
      <c r="J1789" s="35"/>
      <c r="K1789" s="35"/>
      <c r="L1789" s="35"/>
      <c r="AD1789" s="73"/>
      <c r="AF1789" s="112" t="str">
        <f t="shared" si="54"/>
        <v/>
      </c>
      <c r="AG1789" s="113" t="str">
        <f>IF(AF1789="","",COUNTIF(AF1789:AF$3000,AF1789))</f>
        <v/>
      </c>
      <c r="AH1789" s="114" t="str">
        <f t="shared" si="55"/>
        <v/>
      </c>
    </row>
    <row r="1790" spans="6:34" x14ac:dyDescent="0.3">
      <c r="F1790" s="35"/>
      <c r="J1790" s="35"/>
      <c r="K1790" s="35"/>
      <c r="L1790" s="35"/>
      <c r="AD1790" s="73"/>
      <c r="AF1790" s="112" t="str">
        <f t="shared" si="54"/>
        <v/>
      </c>
      <c r="AG1790" s="113" t="str">
        <f>IF(AF1790="","",COUNTIF(AF1790:AF$3000,AF1790))</f>
        <v/>
      </c>
      <c r="AH1790" s="114" t="str">
        <f t="shared" si="55"/>
        <v/>
      </c>
    </row>
    <row r="1791" spans="6:34" x14ac:dyDescent="0.3">
      <c r="F1791" s="35"/>
      <c r="J1791" s="35"/>
      <c r="K1791" s="35"/>
      <c r="L1791" s="35"/>
      <c r="AD1791" s="73"/>
      <c r="AF1791" s="112" t="str">
        <f t="shared" si="54"/>
        <v/>
      </c>
      <c r="AG1791" s="113" t="str">
        <f>IF(AF1791="","",COUNTIF(AF1791:AF$3000,AF1791))</f>
        <v/>
      </c>
      <c r="AH1791" s="114" t="str">
        <f t="shared" si="55"/>
        <v/>
      </c>
    </row>
    <row r="1792" spans="6:34" x14ac:dyDescent="0.3">
      <c r="F1792" s="35"/>
      <c r="J1792" s="35"/>
      <c r="K1792" s="35"/>
      <c r="L1792" s="35"/>
      <c r="AD1792" s="73"/>
      <c r="AF1792" s="112" t="str">
        <f t="shared" si="54"/>
        <v/>
      </c>
      <c r="AG1792" s="113" t="str">
        <f>IF(AF1792="","",COUNTIF(AF1792:AF$3000,AF1792))</f>
        <v/>
      </c>
      <c r="AH1792" s="114" t="str">
        <f t="shared" si="55"/>
        <v/>
      </c>
    </row>
    <row r="1793" spans="6:34" x14ac:dyDescent="0.3">
      <c r="F1793" s="35"/>
      <c r="J1793" s="35"/>
      <c r="K1793" s="35"/>
      <c r="L1793" s="35"/>
      <c r="AD1793" s="73"/>
      <c r="AF1793" s="112" t="str">
        <f t="shared" si="54"/>
        <v/>
      </c>
      <c r="AG1793" s="113" t="str">
        <f>IF(AF1793="","",COUNTIF(AF1793:AF$3000,AF1793))</f>
        <v/>
      </c>
      <c r="AH1793" s="114" t="str">
        <f t="shared" si="55"/>
        <v/>
      </c>
    </row>
    <row r="1794" spans="6:34" x14ac:dyDescent="0.3">
      <c r="F1794" s="35"/>
      <c r="J1794" s="35"/>
      <c r="K1794" s="35"/>
      <c r="L1794" s="35"/>
      <c r="AD1794" s="73"/>
      <c r="AF1794" s="112" t="str">
        <f t="shared" si="54"/>
        <v/>
      </c>
      <c r="AG1794" s="113" t="str">
        <f>IF(AF1794="","",COUNTIF(AF1794:AF$3000,AF1794))</f>
        <v/>
      </c>
      <c r="AH1794" s="114" t="str">
        <f t="shared" si="55"/>
        <v/>
      </c>
    </row>
    <row r="1795" spans="6:34" x14ac:dyDescent="0.3">
      <c r="F1795" s="35"/>
      <c r="J1795" s="35"/>
      <c r="K1795" s="35"/>
      <c r="L1795" s="35"/>
      <c r="AD1795" s="73"/>
      <c r="AF1795" s="112" t="str">
        <f t="shared" si="54"/>
        <v/>
      </c>
      <c r="AG1795" s="113" t="str">
        <f>IF(AF1795="","",COUNTIF(AF1795:AF$3000,AF1795))</f>
        <v/>
      </c>
      <c r="AH1795" s="114" t="str">
        <f t="shared" si="55"/>
        <v/>
      </c>
    </row>
    <row r="1796" spans="6:34" x14ac:dyDescent="0.3">
      <c r="F1796" s="35"/>
      <c r="J1796" s="35"/>
      <c r="K1796" s="35"/>
      <c r="L1796" s="35"/>
      <c r="AD1796" s="73"/>
      <c r="AF1796" s="112" t="str">
        <f t="shared" ref="AF1796:AF1859" si="56">IF(B1796="","",TEXT(J1796,"DD/MM/AA")&amp;"_"&amp;S1796&amp;"_"&amp;V1796)</f>
        <v/>
      </c>
      <c r="AG1796" s="113" t="str">
        <f>IF(AF1796="","",COUNTIF(AF1796:AF$3000,AF1796))</f>
        <v/>
      </c>
      <c r="AH1796" s="114" t="str">
        <f t="shared" ref="AH1796:AH1859" si="57">IF(AA1796="","",
IF(AG1796&gt;1,"",
IF(SUMIF(AF$3:AF$31,AF1796,H$3:H$31)/10&lt;1,1,SUMIF(AF$3:AF$31,AF1796,H$3:H$31)/10)))</f>
        <v/>
      </c>
    </row>
    <row r="1797" spans="6:34" x14ac:dyDescent="0.3">
      <c r="F1797" s="35"/>
      <c r="J1797" s="35"/>
      <c r="K1797" s="35"/>
      <c r="L1797" s="35"/>
      <c r="AD1797" s="73"/>
      <c r="AF1797" s="112" t="str">
        <f t="shared" si="56"/>
        <v/>
      </c>
      <c r="AG1797" s="113" t="str">
        <f>IF(AF1797="","",COUNTIF(AF1797:AF$3000,AF1797))</f>
        <v/>
      </c>
      <c r="AH1797" s="114" t="str">
        <f t="shared" si="57"/>
        <v/>
      </c>
    </row>
    <row r="1798" spans="6:34" x14ac:dyDescent="0.3">
      <c r="F1798" s="35"/>
      <c r="J1798" s="35"/>
      <c r="K1798" s="35"/>
      <c r="L1798" s="35"/>
      <c r="AD1798" s="73"/>
      <c r="AF1798" s="112" t="str">
        <f t="shared" si="56"/>
        <v/>
      </c>
      <c r="AG1798" s="113" t="str">
        <f>IF(AF1798="","",COUNTIF(AF1798:AF$3000,AF1798))</f>
        <v/>
      </c>
      <c r="AH1798" s="114" t="str">
        <f t="shared" si="57"/>
        <v/>
      </c>
    </row>
    <row r="1799" spans="6:34" x14ac:dyDescent="0.3">
      <c r="F1799" s="35"/>
      <c r="J1799" s="35"/>
      <c r="K1799" s="35"/>
      <c r="L1799" s="35"/>
      <c r="AD1799" s="73"/>
      <c r="AF1799" s="112" t="str">
        <f t="shared" si="56"/>
        <v/>
      </c>
      <c r="AG1799" s="113" t="str">
        <f>IF(AF1799="","",COUNTIF(AF1799:AF$3000,AF1799))</f>
        <v/>
      </c>
      <c r="AH1799" s="114" t="str">
        <f t="shared" si="57"/>
        <v/>
      </c>
    </row>
    <row r="1800" spans="6:34" x14ac:dyDescent="0.3">
      <c r="F1800" s="35"/>
      <c r="J1800" s="35"/>
      <c r="K1800" s="35"/>
      <c r="L1800" s="35"/>
      <c r="AD1800" s="73"/>
      <c r="AF1800" s="112" t="str">
        <f t="shared" si="56"/>
        <v/>
      </c>
      <c r="AG1800" s="113" t="str">
        <f>IF(AF1800="","",COUNTIF(AF1800:AF$3000,AF1800))</f>
        <v/>
      </c>
      <c r="AH1800" s="114" t="str">
        <f t="shared" si="57"/>
        <v/>
      </c>
    </row>
    <row r="1801" spans="6:34" x14ac:dyDescent="0.3">
      <c r="F1801" s="35"/>
      <c r="J1801" s="35"/>
      <c r="K1801" s="35"/>
      <c r="L1801" s="35"/>
      <c r="AD1801" s="73"/>
      <c r="AF1801" s="112" t="str">
        <f t="shared" si="56"/>
        <v/>
      </c>
      <c r="AG1801" s="113" t="str">
        <f>IF(AF1801="","",COUNTIF(AF1801:AF$3000,AF1801))</f>
        <v/>
      </c>
      <c r="AH1801" s="114" t="str">
        <f t="shared" si="57"/>
        <v/>
      </c>
    </row>
    <row r="1802" spans="6:34" x14ac:dyDescent="0.3">
      <c r="F1802" s="35"/>
      <c r="J1802" s="35"/>
      <c r="K1802" s="35"/>
      <c r="L1802" s="35"/>
      <c r="AD1802" s="73"/>
      <c r="AF1802" s="112" t="str">
        <f t="shared" si="56"/>
        <v/>
      </c>
      <c r="AG1802" s="113" t="str">
        <f>IF(AF1802="","",COUNTIF(AF1802:AF$3000,AF1802))</f>
        <v/>
      </c>
      <c r="AH1802" s="114" t="str">
        <f t="shared" si="57"/>
        <v/>
      </c>
    </row>
    <row r="1803" spans="6:34" x14ac:dyDescent="0.3">
      <c r="F1803" s="35"/>
      <c r="J1803" s="35"/>
      <c r="K1803" s="35"/>
      <c r="L1803" s="35"/>
      <c r="AD1803" s="73"/>
      <c r="AF1803" s="112" t="str">
        <f t="shared" si="56"/>
        <v/>
      </c>
      <c r="AG1803" s="113" t="str">
        <f>IF(AF1803="","",COUNTIF(AF1803:AF$3000,AF1803))</f>
        <v/>
      </c>
      <c r="AH1803" s="114" t="str">
        <f t="shared" si="57"/>
        <v/>
      </c>
    </row>
    <row r="1804" spans="6:34" x14ac:dyDescent="0.3">
      <c r="F1804" s="35"/>
      <c r="J1804" s="35"/>
      <c r="K1804" s="35"/>
      <c r="L1804" s="35"/>
      <c r="AD1804" s="73"/>
      <c r="AF1804" s="112" t="str">
        <f t="shared" si="56"/>
        <v/>
      </c>
      <c r="AG1804" s="113" t="str">
        <f>IF(AF1804="","",COUNTIF(AF1804:AF$3000,AF1804))</f>
        <v/>
      </c>
      <c r="AH1804" s="114" t="str">
        <f t="shared" si="57"/>
        <v/>
      </c>
    </row>
    <row r="1805" spans="6:34" x14ac:dyDescent="0.3">
      <c r="F1805" s="35"/>
      <c r="J1805" s="35"/>
      <c r="K1805" s="35"/>
      <c r="L1805" s="35"/>
      <c r="AD1805" s="73"/>
      <c r="AF1805" s="112" t="str">
        <f t="shared" si="56"/>
        <v/>
      </c>
      <c r="AG1805" s="113" t="str">
        <f>IF(AF1805="","",COUNTIF(AF1805:AF$3000,AF1805))</f>
        <v/>
      </c>
      <c r="AH1805" s="114" t="str">
        <f t="shared" si="57"/>
        <v/>
      </c>
    </row>
    <row r="1806" spans="6:34" x14ac:dyDescent="0.3">
      <c r="F1806" s="35"/>
      <c r="J1806" s="35"/>
      <c r="K1806" s="35"/>
      <c r="L1806" s="35"/>
      <c r="AD1806" s="73"/>
      <c r="AF1806" s="112" t="str">
        <f t="shared" si="56"/>
        <v/>
      </c>
      <c r="AG1806" s="113" t="str">
        <f>IF(AF1806="","",COUNTIF(AF1806:AF$3000,AF1806))</f>
        <v/>
      </c>
      <c r="AH1806" s="114" t="str">
        <f t="shared" si="57"/>
        <v/>
      </c>
    </row>
    <row r="1807" spans="6:34" x14ac:dyDescent="0.3">
      <c r="F1807" s="35"/>
      <c r="J1807" s="35"/>
      <c r="K1807" s="35"/>
      <c r="L1807" s="35"/>
      <c r="AD1807" s="73"/>
      <c r="AF1807" s="112" t="str">
        <f t="shared" si="56"/>
        <v/>
      </c>
      <c r="AG1807" s="113" t="str">
        <f>IF(AF1807="","",COUNTIF(AF1807:AF$3000,AF1807))</f>
        <v/>
      </c>
      <c r="AH1807" s="114" t="str">
        <f t="shared" si="57"/>
        <v/>
      </c>
    </row>
    <row r="1808" spans="6:34" x14ac:dyDescent="0.3">
      <c r="F1808" s="35"/>
      <c r="J1808" s="35"/>
      <c r="K1808" s="35"/>
      <c r="L1808" s="35"/>
      <c r="AD1808" s="73"/>
      <c r="AF1808" s="112" t="str">
        <f t="shared" si="56"/>
        <v/>
      </c>
      <c r="AG1808" s="113" t="str">
        <f>IF(AF1808="","",COUNTIF(AF1808:AF$3000,AF1808))</f>
        <v/>
      </c>
      <c r="AH1808" s="114" t="str">
        <f t="shared" si="57"/>
        <v/>
      </c>
    </row>
    <row r="1809" spans="6:34" x14ac:dyDescent="0.3">
      <c r="F1809" s="35"/>
      <c r="J1809" s="35"/>
      <c r="K1809" s="35"/>
      <c r="L1809" s="35"/>
      <c r="AD1809" s="73"/>
      <c r="AF1809" s="112" t="str">
        <f t="shared" si="56"/>
        <v/>
      </c>
      <c r="AG1809" s="113" t="str">
        <f>IF(AF1809="","",COUNTIF(AF1809:AF$3000,AF1809))</f>
        <v/>
      </c>
      <c r="AH1809" s="114" t="str">
        <f t="shared" si="57"/>
        <v/>
      </c>
    </row>
    <row r="1810" spans="6:34" x14ac:dyDescent="0.3">
      <c r="F1810" s="35"/>
      <c r="J1810" s="35"/>
      <c r="K1810" s="35"/>
      <c r="L1810" s="35"/>
      <c r="AD1810" s="73"/>
      <c r="AF1810" s="112" t="str">
        <f t="shared" si="56"/>
        <v/>
      </c>
      <c r="AG1810" s="113" t="str">
        <f>IF(AF1810="","",COUNTIF(AF1810:AF$3000,AF1810))</f>
        <v/>
      </c>
      <c r="AH1810" s="114" t="str">
        <f t="shared" si="57"/>
        <v/>
      </c>
    </row>
    <row r="1811" spans="6:34" x14ac:dyDescent="0.3">
      <c r="F1811" s="35"/>
      <c r="J1811" s="35"/>
      <c r="K1811" s="35"/>
      <c r="L1811" s="35"/>
      <c r="AD1811" s="73"/>
      <c r="AF1811" s="112" t="str">
        <f t="shared" si="56"/>
        <v/>
      </c>
      <c r="AG1811" s="113" t="str">
        <f>IF(AF1811="","",COUNTIF(AF1811:AF$3000,AF1811))</f>
        <v/>
      </c>
      <c r="AH1811" s="114" t="str">
        <f t="shared" si="57"/>
        <v/>
      </c>
    </row>
    <row r="1812" spans="6:34" x14ac:dyDescent="0.3">
      <c r="F1812" s="35"/>
      <c r="J1812" s="35"/>
      <c r="K1812" s="35"/>
      <c r="L1812" s="35"/>
      <c r="AD1812" s="73"/>
      <c r="AF1812" s="112" t="str">
        <f t="shared" si="56"/>
        <v/>
      </c>
      <c r="AG1812" s="113" t="str">
        <f>IF(AF1812="","",COUNTIF(AF1812:AF$3000,AF1812))</f>
        <v/>
      </c>
      <c r="AH1812" s="114" t="str">
        <f t="shared" si="57"/>
        <v/>
      </c>
    </row>
    <row r="1813" spans="6:34" x14ac:dyDescent="0.3">
      <c r="F1813" s="35"/>
      <c r="J1813" s="35"/>
      <c r="K1813" s="35"/>
      <c r="L1813" s="35"/>
      <c r="AD1813" s="73"/>
      <c r="AF1813" s="112" t="str">
        <f t="shared" si="56"/>
        <v/>
      </c>
      <c r="AG1813" s="113" t="str">
        <f>IF(AF1813="","",COUNTIF(AF1813:AF$3000,AF1813))</f>
        <v/>
      </c>
      <c r="AH1813" s="114" t="str">
        <f t="shared" si="57"/>
        <v/>
      </c>
    </row>
    <row r="1814" spans="6:34" x14ac:dyDescent="0.3">
      <c r="F1814" s="35"/>
      <c r="J1814" s="35"/>
      <c r="K1814" s="35"/>
      <c r="L1814" s="35"/>
      <c r="AD1814" s="73"/>
      <c r="AF1814" s="112" t="str">
        <f t="shared" si="56"/>
        <v/>
      </c>
      <c r="AG1814" s="113" t="str">
        <f>IF(AF1814="","",COUNTIF(AF1814:AF$3000,AF1814))</f>
        <v/>
      </c>
      <c r="AH1814" s="114" t="str">
        <f t="shared" si="57"/>
        <v/>
      </c>
    </row>
    <row r="1815" spans="6:34" x14ac:dyDescent="0.3">
      <c r="F1815" s="35"/>
      <c r="J1815" s="35"/>
      <c r="K1815" s="35"/>
      <c r="L1815" s="35"/>
      <c r="AD1815" s="73"/>
      <c r="AF1815" s="112" t="str">
        <f t="shared" si="56"/>
        <v/>
      </c>
      <c r="AG1815" s="113" t="str">
        <f>IF(AF1815="","",COUNTIF(AF1815:AF$3000,AF1815))</f>
        <v/>
      </c>
      <c r="AH1815" s="114" t="str">
        <f t="shared" si="57"/>
        <v/>
      </c>
    </row>
    <row r="1816" spans="6:34" x14ac:dyDescent="0.3">
      <c r="F1816" s="35"/>
      <c r="J1816" s="35"/>
      <c r="K1816" s="35"/>
      <c r="L1816" s="35"/>
      <c r="AD1816" s="73"/>
      <c r="AF1816" s="112" t="str">
        <f t="shared" si="56"/>
        <v/>
      </c>
      <c r="AG1816" s="113" t="str">
        <f>IF(AF1816="","",COUNTIF(AF1816:AF$3000,AF1816))</f>
        <v/>
      </c>
      <c r="AH1816" s="114" t="str">
        <f t="shared" si="57"/>
        <v/>
      </c>
    </row>
    <row r="1817" spans="6:34" x14ac:dyDescent="0.3">
      <c r="F1817" s="35"/>
      <c r="J1817" s="35"/>
      <c r="K1817" s="35"/>
      <c r="L1817" s="35"/>
      <c r="AD1817" s="73"/>
      <c r="AF1817" s="112" t="str">
        <f t="shared" si="56"/>
        <v/>
      </c>
      <c r="AG1817" s="113" t="str">
        <f>IF(AF1817="","",COUNTIF(AF1817:AF$3000,AF1817))</f>
        <v/>
      </c>
      <c r="AH1817" s="114" t="str">
        <f t="shared" si="57"/>
        <v/>
      </c>
    </row>
    <row r="1818" spans="6:34" x14ac:dyDescent="0.3">
      <c r="F1818" s="35"/>
      <c r="J1818" s="35"/>
      <c r="K1818" s="35"/>
      <c r="L1818" s="35"/>
      <c r="AD1818" s="73"/>
      <c r="AF1818" s="112" t="str">
        <f t="shared" si="56"/>
        <v/>
      </c>
      <c r="AG1818" s="113" t="str">
        <f>IF(AF1818="","",COUNTIF(AF1818:AF$3000,AF1818))</f>
        <v/>
      </c>
      <c r="AH1818" s="114" t="str">
        <f t="shared" si="57"/>
        <v/>
      </c>
    </row>
    <row r="1819" spans="6:34" x14ac:dyDescent="0.3">
      <c r="F1819" s="35"/>
      <c r="J1819" s="35"/>
      <c r="K1819" s="35"/>
      <c r="L1819" s="35"/>
      <c r="AD1819" s="73"/>
      <c r="AF1819" s="112" t="str">
        <f t="shared" si="56"/>
        <v/>
      </c>
      <c r="AG1819" s="113" t="str">
        <f>IF(AF1819="","",COUNTIF(AF1819:AF$3000,AF1819))</f>
        <v/>
      </c>
      <c r="AH1819" s="114" t="str">
        <f t="shared" si="57"/>
        <v/>
      </c>
    </row>
    <row r="1820" spans="6:34" x14ac:dyDescent="0.3">
      <c r="F1820" s="35"/>
      <c r="J1820" s="35"/>
      <c r="K1820" s="35"/>
      <c r="L1820" s="35"/>
      <c r="AD1820" s="73"/>
      <c r="AF1820" s="112" t="str">
        <f t="shared" si="56"/>
        <v/>
      </c>
      <c r="AG1820" s="113" t="str">
        <f>IF(AF1820="","",COUNTIF(AF1820:AF$3000,AF1820))</f>
        <v/>
      </c>
      <c r="AH1820" s="114" t="str">
        <f t="shared" si="57"/>
        <v/>
      </c>
    </row>
    <row r="1821" spans="6:34" x14ac:dyDescent="0.3">
      <c r="F1821" s="35"/>
      <c r="J1821" s="35"/>
      <c r="K1821" s="35"/>
      <c r="L1821" s="35"/>
      <c r="AD1821" s="73"/>
      <c r="AF1821" s="112" t="str">
        <f t="shared" si="56"/>
        <v/>
      </c>
      <c r="AG1821" s="113" t="str">
        <f>IF(AF1821="","",COUNTIF(AF1821:AF$3000,AF1821))</f>
        <v/>
      </c>
      <c r="AH1821" s="114" t="str">
        <f t="shared" si="57"/>
        <v/>
      </c>
    </row>
    <row r="1822" spans="6:34" x14ac:dyDescent="0.3">
      <c r="F1822" s="35"/>
      <c r="J1822" s="35"/>
      <c r="K1822" s="35"/>
      <c r="L1822" s="35"/>
      <c r="AD1822" s="73"/>
      <c r="AF1822" s="112" t="str">
        <f t="shared" si="56"/>
        <v/>
      </c>
      <c r="AG1822" s="113" t="str">
        <f>IF(AF1822="","",COUNTIF(AF1822:AF$3000,AF1822))</f>
        <v/>
      </c>
      <c r="AH1822" s="114" t="str">
        <f t="shared" si="57"/>
        <v/>
      </c>
    </row>
    <row r="1823" spans="6:34" x14ac:dyDescent="0.3">
      <c r="F1823" s="35"/>
      <c r="J1823" s="35"/>
      <c r="K1823" s="35"/>
      <c r="L1823" s="35"/>
      <c r="AD1823" s="73"/>
      <c r="AF1823" s="112" t="str">
        <f t="shared" si="56"/>
        <v/>
      </c>
      <c r="AG1823" s="113" t="str">
        <f>IF(AF1823="","",COUNTIF(AF1823:AF$3000,AF1823))</f>
        <v/>
      </c>
      <c r="AH1823" s="114" t="str">
        <f t="shared" si="57"/>
        <v/>
      </c>
    </row>
    <row r="1824" spans="6:34" x14ac:dyDescent="0.3">
      <c r="F1824" s="35"/>
      <c r="J1824" s="35"/>
      <c r="K1824" s="35"/>
      <c r="L1824" s="35"/>
      <c r="AD1824" s="73"/>
      <c r="AF1824" s="112" t="str">
        <f t="shared" si="56"/>
        <v/>
      </c>
      <c r="AG1824" s="113" t="str">
        <f>IF(AF1824="","",COUNTIF(AF1824:AF$3000,AF1824))</f>
        <v/>
      </c>
      <c r="AH1824" s="114" t="str">
        <f t="shared" si="57"/>
        <v/>
      </c>
    </row>
    <row r="1825" spans="6:34" x14ac:dyDescent="0.3">
      <c r="F1825" s="35"/>
      <c r="J1825" s="35"/>
      <c r="K1825" s="35"/>
      <c r="L1825" s="35"/>
      <c r="AD1825" s="73"/>
      <c r="AF1825" s="112" t="str">
        <f t="shared" si="56"/>
        <v/>
      </c>
      <c r="AG1825" s="113" t="str">
        <f>IF(AF1825="","",COUNTIF(AF1825:AF$3000,AF1825))</f>
        <v/>
      </c>
      <c r="AH1825" s="114" t="str">
        <f t="shared" si="57"/>
        <v/>
      </c>
    </row>
    <row r="1826" spans="6:34" x14ac:dyDescent="0.3">
      <c r="F1826" s="35"/>
      <c r="J1826" s="35"/>
      <c r="K1826" s="35"/>
      <c r="L1826" s="35"/>
      <c r="AD1826" s="73"/>
      <c r="AF1826" s="112" t="str">
        <f t="shared" si="56"/>
        <v/>
      </c>
      <c r="AG1826" s="113" t="str">
        <f>IF(AF1826="","",COUNTIF(AF1826:AF$3000,AF1826))</f>
        <v/>
      </c>
      <c r="AH1826" s="114" t="str">
        <f t="shared" si="57"/>
        <v/>
      </c>
    </row>
    <row r="1827" spans="6:34" x14ac:dyDescent="0.3">
      <c r="F1827" s="35"/>
      <c r="J1827" s="35"/>
      <c r="K1827" s="35"/>
      <c r="L1827" s="35"/>
      <c r="AD1827" s="73"/>
      <c r="AF1827" s="112" t="str">
        <f t="shared" si="56"/>
        <v/>
      </c>
      <c r="AG1827" s="113" t="str">
        <f>IF(AF1827="","",COUNTIF(AF1827:AF$3000,AF1827))</f>
        <v/>
      </c>
      <c r="AH1827" s="114" t="str">
        <f t="shared" si="57"/>
        <v/>
      </c>
    </row>
    <row r="1828" spans="6:34" x14ac:dyDescent="0.3">
      <c r="F1828" s="35"/>
      <c r="J1828" s="35"/>
      <c r="K1828" s="35"/>
      <c r="L1828" s="35"/>
      <c r="AD1828" s="73"/>
      <c r="AF1828" s="112" t="str">
        <f t="shared" si="56"/>
        <v/>
      </c>
      <c r="AG1828" s="113" t="str">
        <f>IF(AF1828="","",COUNTIF(AF1828:AF$3000,AF1828))</f>
        <v/>
      </c>
      <c r="AH1828" s="114" t="str">
        <f t="shared" si="57"/>
        <v/>
      </c>
    </row>
    <row r="1829" spans="6:34" x14ac:dyDescent="0.3">
      <c r="F1829" s="35"/>
      <c r="J1829" s="35"/>
      <c r="K1829" s="35"/>
      <c r="L1829" s="35"/>
      <c r="AD1829" s="73"/>
      <c r="AF1829" s="112" t="str">
        <f t="shared" si="56"/>
        <v/>
      </c>
      <c r="AG1829" s="113" t="str">
        <f>IF(AF1829="","",COUNTIF(AF1829:AF$3000,AF1829))</f>
        <v/>
      </c>
      <c r="AH1829" s="114" t="str">
        <f t="shared" si="57"/>
        <v/>
      </c>
    </row>
    <row r="1830" spans="6:34" x14ac:dyDescent="0.3">
      <c r="F1830" s="35"/>
      <c r="J1830" s="35"/>
      <c r="K1830" s="35"/>
      <c r="L1830" s="35"/>
      <c r="AD1830" s="73"/>
      <c r="AF1830" s="112" t="str">
        <f t="shared" si="56"/>
        <v/>
      </c>
      <c r="AG1830" s="113" t="str">
        <f>IF(AF1830="","",COUNTIF(AF1830:AF$3000,AF1830))</f>
        <v/>
      </c>
      <c r="AH1830" s="114" t="str">
        <f t="shared" si="57"/>
        <v/>
      </c>
    </row>
    <row r="1831" spans="6:34" x14ac:dyDescent="0.3">
      <c r="F1831" s="35"/>
      <c r="J1831" s="35"/>
      <c r="K1831" s="35"/>
      <c r="L1831" s="35"/>
      <c r="AD1831" s="73"/>
      <c r="AF1831" s="112" t="str">
        <f t="shared" si="56"/>
        <v/>
      </c>
      <c r="AG1831" s="113" t="str">
        <f>IF(AF1831="","",COUNTIF(AF1831:AF$3000,AF1831))</f>
        <v/>
      </c>
      <c r="AH1831" s="114" t="str">
        <f t="shared" si="57"/>
        <v/>
      </c>
    </row>
    <row r="1832" spans="6:34" x14ac:dyDescent="0.3">
      <c r="F1832" s="35"/>
      <c r="J1832" s="35"/>
      <c r="K1832" s="35"/>
      <c r="L1832" s="35"/>
      <c r="AD1832" s="73"/>
      <c r="AF1832" s="112" t="str">
        <f t="shared" si="56"/>
        <v/>
      </c>
      <c r="AG1832" s="113" t="str">
        <f>IF(AF1832="","",COUNTIF(AF1832:AF$3000,AF1832))</f>
        <v/>
      </c>
      <c r="AH1832" s="114" t="str">
        <f t="shared" si="57"/>
        <v/>
      </c>
    </row>
    <row r="1833" spans="6:34" x14ac:dyDescent="0.3">
      <c r="F1833" s="35"/>
      <c r="J1833" s="35"/>
      <c r="K1833" s="35"/>
      <c r="L1833" s="35"/>
      <c r="AD1833" s="73"/>
      <c r="AF1833" s="112" t="str">
        <f t="shared" si="56"/>
        <v/>
      </c>
      <c r="AG1833" s="113" t="str">
        <f>IF(AF1833="","",COUNTIF(AF1833:AF$3000,AF1833))</f>
        <v/>
      </c>
      <c r="AH1833" s="114" t="str">
        <f t="shared" si="57"/>
        <v/>
      </c>
    </row>
    <row r="1834" spans="6:34" x14ac:dyDescent="0.3">
      <c r="F1834" s="35"/>
      <c r="J1834" s="35"/>
      <c r="K1834" s="35"/>
      <c r="L1834" s="35"/>
      <c r="AD1834" s="73"/>
      <c r="AF1834" s="112" t="str">
        <f t="shared" si="56"/>
        <v/>
      </c>
      <c r="AG1834" s="113" t="str">
        <f>IF(AF1834="","",COUNTIF(AF1834:AF$3000,AF1834))</f>
        <v/>
      </c>
      <c r="AH1834" s="114" t="str">
        <f t="shared" si="57"/>
        <v/>
      </c>
    </row>
    <row r="1835" spans="6:34" x14ac:dyDescent="0.3">
      <c r="F1835" s="35"/>
      <c r="J1835" s="35"/>
      <c r="K1835" s="35"/>
      <c r="L1835" s="35"/>
      <c r="AD1835" s="73"/>
      <c r="AF1835" s="112" t="str">
        <f t="shared" si="56"/>
        <v/>
      </c>
      <c r="AG1835" s="113" t="str">
        <f>IF(AF1835="","",COUNTIF(AF1835:AF$3000,AF1835))</f>
        <v/>
      </c>
      <c r="AH1835" s="114" t="str">
        <f t="shared" si="57"/>
        <v/>
      </c>
    </row>
    <row r="1836" spans="6:34" x14ac:dyDescent="0.3">
      <c r="F1836" s="35"/>
      <c r="J1836" s="35"/>
      <c r="K1836" s="35"/>
      <c r="L1836" s="35"/>
      <c r="AD1836" s="73"/>
      <c r="AF1836" s="112" t="str">
        <f t="shared" si="56"/>
        <v/>
      </c>
      <c r="AG1836" s="113" t="str">
        <f>IF(AF1836="","",COUNTIF(AF1836:AF$3000,AF1836))</f>
        <v/>
      </c>
      <c r="AH1836" s="114" t="str">
        <f t="shared" si="57"/>
        <v/>
      </c>
    </row>
    <row r="1837" spans="6:34" x14ac:dyDescent="0.3">
      <c r="F1837" s="35"/>
      <c r="J1837" s="35"/>
      <c r="K1837" s="35"/>
      <c r="L1837" s="35"/>
      <c r="AD1837" s="73"/>
      <c r="AF1837" s="112" t="str">
        <f t="shared" si="56"/>
        <v/>
      </c>
      <c r="AG1837" s="113" t="str">
        <f>IF(AF1837="","",COUNTIF(AF1837:AF$3000,AF1837))</f>
        <v/>
      </c>
      <c r="AH1837" s="114" t="str">
        <f t="shared" si="57"/>
        <v/>
      </c>
    </row>
    <row r="1838" spans="6:34" x14ac:dyDescent="0.3">
      <c r="F1838" s="35"/>
      <c r="J1838" s="35"/>
      <c r="K1838" s="35"/>
      <c r="L1838" s="35"/>
      <c r="AD1838" s="73"/>
      <c r="AF1838" s="112" t="str">
        <f t="shared" si="56"/>
        <v/>
      </c>
      <c r="AG1838" s="113" t="str">
        <f>IF(AF1838="","",COUNTIF(AF1838:AF$3000,AF1838))</f>
        <v/>
      </c>
      <c r="AH1838" s="114" t="str">
        <f t="shared" si="57"/>
        <v/>
      </c>
    </row>
    <row r="1839" spans="6:34" x14ac:dyDescent="0.3">
      <c r="F1839" s="35"/>
      <c r="J1839" s="35"/>
      <c r="K1839" s="35"/>
      <c r="L1839" s="35"/>
      <c r="AD1839" s="73"/>
      <c r="AF1839" s="112" t="str">
        <f t="shared" si="56"/>
        <v/>
      </c>
      <c r="AG1839" s="113" t="str">
        <f>IF(AF1839="","",COUNTIF(AF1839:AF$3000,AF1839))</f>
        <v/>
      </c>
      <c r="AH1839" s="114" t="str">
        <f t="shared" si="57"/>
        <v/>
      </c>
    </row>
    <row r="1840" spans="6:34" x14ac:dyDescent="0.3">
      <c r="F1840" s="35"/>
      <c r="J1840" s="35"/>
      <c r="K1840" s="35"/>
      <c r="L1840" s="35"/>
      <c r="AD1840" s="73"/>
      <c r="AF1840" s="112" t="str">
        <f t="shared" si="56"/>
        <v/>
      </c>
      <c r="AG1840" s="113" t="str">
        <f>IF(AF1840="","",COUNTIF(AF1840:AF$3000,AF1840))</f>
        <v/>
      </c>
      <c r="AH1840" s="114" t="str">
        <f t="shared" si="57"/>
        <v/>
      </c>
    </row>
    <row r="1841" spans="6:34" x14ac:dyDescent="0.3">
      <c r="F1841" s="35"/>
      <c r="J1841" s="35"/>
      <c r="K1841" s="35"/>
      <c r="L1841" s="35"/>
      <c r="AD1841" s="73"/>
      <c r="AF1841" s="112" t="str">
        <f t="shared" si="56"/>
        <v/>
      </c>
      <c r="AG1841" s="113" t="str">
        <f>IF(AF1841="","",COUNTIF(AF1841:AF$3000,AF1841))</f>
        <v/>
      </c>
      <c r="AH1841" s="114" t="str">
        <f t="shared" si="57"/>
        <v/>
      </c>
    </row>
    <row r="1842" spans="6:34" x14ac:dyDescent="0.3">
      <c r="F1842" s="35"/>
      <c r="J1842" s="35"/>
      <c r="K1842" s="35"/>
      <c r="L1842" s="35"/>
      <c r="AD1842" s="73"/>
      <c r="AF1842" s="112" t="str">
        <f t="shared" si="56"/>
        <v/>
      </c>
      <c r="AG1842" s="113" t="str">
        <f>IF(AF1842="","",COUNTIF(AF1842:AF$3000,AF1842))</f>
        <v/>
      </c>
      <c r="AH1842" s="114" t="str">
        <f t="shared" si="57"/>
        <v/>
      </c>
    </row>
    <row r="1843" spans="6:34" x14ac:dyDescent="0.3">
      <c r="F1843" s="35"/>
      <c r="J1843" s="35"/>
      <c r="K1843" s="35"/>
      <c r="L1843" s="35"/>
      <c r="AD1843" s="73"/>
      <c r="AF1843" s="112" t="str">
        <f t="shared" si="56"/>
        <v/>
      </c>
      <c r="AG1843" s="113" t="str">
        <f>IF(AF1843="","",COUNTIF(AF1843:AF$3000,AF1843))</f>
        <v/>
      </c>
      <c r="AH1843" s="114" t="str">
        <f t="shared" si="57"/>
        <v/>
      </c>
    </row>
    <row r="1844" spans="6:34" x14ac:dyDescent="0.3">
      <c r="F1844" s="35"/>
      <c r="J1844" s="35"/>
      <c r="K1844" s="35"/>
      <c r="L1844" s="35"/>
      <c r="AD1844" s="73"/>
      <c r="AF1844" s="112" t="str">
        <f t="shared" si="56"/>
        <v/>
      </c>
      <c r="AG1844" s="113" t="str">
        <f>IF(AF1844="","",COUNTIF(AF1844:AF$3000,AF1844))</f>
        <v/>
      </c>
      <c r="AH1844" s="114" t="str">
        <f t="shared" si="57"/>
        <v/>
      </c>
    </row>
    <row r="1845" spans="6:34" x14ac:dyDescent="0.3">
      <c r="F1845" s="35"/>
      <c r="J1845" s="35"/>
      <c r="K1845" s="35"/>
      <c r="L1845" s="35"/>
      <c r="AD1845" s="73"/>
      <c r="AF1845" s="112" t="str">
        <f t="shared" si="56"/>
        <v/>
      </c>
      <c r="AG1845" s="113" t="str">
        <f>IF(AF1845="","",COUNTIF(AF1845:AF$3000,AF1845))</f>
        <v/>
      </c>
      <c r="AH1845" s="114" t="str">
        <f t="shared" si="57"/>
        <v/>
      </c>
    </row>
    <row r="1846" spans="6:34" x14ac:dyDescent="0.3">
      <c r="F1846" s="35"/>
      <c r="J1846" s="35"/>
      <c r="K1846" s="35"/>
      <c r="L1846" s="35"/>
      <c r="AD1846" s="73"/>
      <c r="AF1846" s="112" t="str">
        <f t="shared" si="56"/>
        <v/>
      </c>
      <c r="AG1846" s="113" t="str">
        <f>IF(AF1846="","",COUNTIF(AF1846:AF$3000,AF1846))</f>
        <v/>
      </c>
      <c r="AH1846" s="114" t="str">
        <f t="shared" si="57"/>
        <v/>
      </c>
    </row>
    <row r="1847" spans="6:34" x14ac:dyDescent="0.3">
      <c r="F1847" s="35"/>
      <c r="J1847" s="35"/>
      <c r="K1847" s="35"/>
      <c r="L1847" s="35"/>
      <c r="AD1847" s="73"/>
      <c r="AF1847" s="112" t="str">
        <f t="shared" si="56"/>
        <v/>
      </c>
      <c r="AG1847" s="113" t="str">
        <f>IF(AF1847="","",COUNTIF(AF1847:AF$3000,AF1847))</f>
        <v/>
      </c>
      <c r="AH1847" s="114" t="str">
        <f t="shared" si="57"/>
        <v/>
      </c>
    </row>
    <row r="1848" spans="6:34" x14ac:dyDescent="0.3">
      <c r="F1848" s="35"/>
      <c r="J1848" s="35"/>
      <c r="K1848" s="35"/>
      <c r="L1848" s="35"/>
      <c r="AD1848" s="73"/>
      <c r="AF1848" s="112" t="str">
        <f t="shared" si="56"/>
        <v/>
      </c>
      <c r="AG1848" s="113" t="str">
        <f>IF(AF1848="","",COUNTIF(AF1848:AF$3000,AF1848))</f>
        <v/>
      </c>
      <c r="AH1848" s="114" t="str">
        <f t="shared" si="57"/>
        <v/>
      </c>
    </row>
    <row r="1849" spans="6:34" x14ac:dyDescent="0.3">
      <c r="F1849" s="35"/>
      <c r="J1849" s="35"/>
      <c r="K1849" s="35"/>
      <c r="L1849" s="35"/>
      <c r="AD1849" s="73"/>
      <c r="AF1849" s="112" t="str">
        <f t="shared" si="56"/>
        <v/>
      </c>
      <c r="AG1849" s="113" t="str">
        <f>IF(AF1849="","",COUNTIF(AF1849:AF$3000,AF1849))</f>
        <v/>
      </c>
      <c r="AH1849" s="114" t="str">
        <f t="shared" si="57"/>
        <v/>
      </c>
    </row>
    <row r="1850" spans="6:34" x14ac:dyDescent="0.3">
      <c r="F1850" s="35"/>
      <c r="J1850" s="35"/>
      <c r="K1850" s="35"/>
      <c r="L1850" s="35"/>
      <c r="AD1850" s="73"/>
      <c r="AF1850" s="112" t="str">
        <f t="shared" si="56"/>
        <v/>
      </c>
      <c r="AG1850" s="113" t="str">
        <f>IF(AF1850="","",COUNTIF(AF1850:AF$3000,AF1850))</f>
        <v/>
      </c>
      <c r="AH1850" s="114" t="str">
        <f t="shared" si="57"/>
        <v/>
      </c>
    </row>
    <row r="1851" spans="6:34" x14ac:dyDescent="0.3">
      <c r="F1851" s="35"/>
      <c r="J1851" s="35"/>
      <c r="K1851" s="35"/>
      <c r="L1851" s="35"/>
      <c r="AD1851" s="73"/>
      <c r="AF1851" s="112" t="str">
        <f t="shared" si="56"/>
        <v/>
      </c>
      <c r="AG1851" s="113" t="str">
        <f>IF(AF1851="","",COUNTIF(AF1851:AF$3000,AF1851))</f>
        <v/>
      </c>
      <c r="AH1851" s="114" t="str">
        <f t="shared" si="57"/>
        <v/>
      </c>
    </row>
    <row r="1852" spans="6:34" x14ac:dyDescent="0.3">
      <c r="F1852" s="35"/>
      <c r="J1852" s="35"/>
      <c r="K1852" s="35"/>
      <c r="L1852" s="35"/>
      <c r="AD1852" s="73"/>
      <c r="AF1852" s="112" t="str">
        <f t="shared" si="56"/>
        <v/>
      </c>
      <c r="AG1852" s="113" t="str">
        <f>IF(AF1852="","",COUNTIF(AF1852:AF$3000,AF1852))</f>
        <v/>
      </c>
      <c r="AH1852" s="114" t="str">
        <f t="shared" si="57"/>
        <v/>
      </c>
    </row>
    <row r="1853" spans="6:34" x14ac:dyDescent="0.3">
      <c r="F1853" s="35"/>
      <c r="J1853" s="35"/>
      <c r="K1853" s="35"/>
      <c r="L1853" s="35"/>
      <c r="AD1853" s="73"/>
      <c r="AF1853" s="112" t="str">
        <f t="shared" si="56"/>
        <v/>
      </c>
      <c r="AG1853" s="113" t="str">
        <f>IF(AF1853="","",COUNTIF(AF1853:AF$3000,AF1853))</f>
        <v/>
      </c>
      <c r="AH1853" s="114" t="str">
        <f t="shared" si="57"/>
        <v/>
      </c>
    </row>
    <row r="1854" spans="6:34" x14ac:dyDescent="0.3">
      <c r="F1854" s="35"/>
      <c r="J1854" s="35"/>
      <c r="K1854" s="35"/>
      <c r="L1854" s="35"/>
      <c r="AD1854" s="73"/>
      <c r="AF1854" s="112" t="str">
        <f t="shared" si="56"/>
        <v/>
      </c>
      <c r="AG1854" s="113" t="str">
        <f>IF(AF1854="","",COUNTIF(AF1854:AF$3000,AF1854))</f>
        <v/>
      </c>
      <c r="AH1854" s="114" t="str">
        <f t="shared" si="57"/>
        <v/>
      </c>
    </row>
    <row r="1855" spans="6:34" x14ac:dyDescent="0.3">
      <c r="F1855" s="35"/>
      <c r="J1855" s="35"/>
      <c r="K1855" s="35"/>
      <c r="L1855" s="35"/>
      <c r="AD1855" s="73"/>
      <c r="AF1855" s="112" t="str">
        <f t="shared" si="56"/>
        <v/>
      </c>
      <c r="AG1855" s="113" t="str">
        <f>IF(AF1855="","",COUNTIF(AF1855:AF$3000,AF1855))</f>
        <v/>
      </c>
      <c r="AH1855" s="114" t="str">
        <f t="shared" si="57"/>
        <v/>
      </c>
    </row>
    <row r="1856" spans="6:34" x14ac:dyDescent="0.3">
      <c r="F1856" s="35"/>
      <c r="J1856" s="35"/>
      <c r="K1856" s="35"/>
      <c r="L1856" s="35"/>
      <c r="AD1856" s="73"/>
      <c r="AF1856" s="112" t="str">
        <f t="shared" si="56"/>
        <v/>
      </c>
      <c r="AG1856" s="113" t="str">
        <f>IF(AF1856="","",COUNTIF(AF1856:AF$3000,AF1856))</f>
        <v/>
      </c>
      <c r="AH1856" s="114" t="str">
        <f t="shared" si="57"/>
        <v/>
      </c>
    </row>
    <row r="1857" spans="6:34" x14ac:dyDescent="0.3">
      <c r="F1857" s="35"/>
      <c r="J1857" s="35"/>
      <c r="K1857" s="35"/>
      <c r="L1857" s="35"/>
      <c r="AD1857" s="73"/>
      <c r="AF1857" s="112" t="str">
        <f t="shared" si="56"/>
        <v/>
      </c>
      <c r="AG1857" s="113" t="str">
        <f>IF(AF1857="","",COUNTIF(AF1857:AF$3000,AF1857))</f>
        <v/>
      </c>
      <c r="AH1857" s="114" t="str">
        <f t="shared" si="57"/>
        <v/>
      </c>
    </row>
    <row r="1858" spans="6:34" x14ac:dyDescent="0.3">
      <c r="F1858" s="35"/>
      <c r="J1858" s="35"/>
      <c r="K1858" s="35"/>
      <c r="L1858" s="35"/>
      <c r="AD1858" s="73"/>
      <c r="AF1858" s="112" t="str">
        <f t="shared" si="56"/>
        <v/>
      </c>
      <c r="AG1858" s="113" t="str">
        <f>IF(AF1858="","",COUNTIF(AF1858:AF$3000,AF1858))</f>
        <v/>
      </c>
      <c r="AH1858" s="114" t="str">
        <f t="shared" si="57"/>
        <v/>
      </c>
    </row>
    <row r="1859" spans="6:34" x14ac:dyDescent="0.3">
      <c r="F1859" s="35"/>
      <c r="J1859" s="35"/>
      <c r="K1859" s="35"/>
      <c r="L1859" s="35"/>
      <c r="AD1859" s="73"/>
      <c r="AF1859" s="112" t="str">
        <f t="shared" si="56"/>
        <v/>
      </c>
      <c r="AG1859" s="113" t="str">
        <f>IF(AF1859="","",COUNTIF(AF1859:AF$3000,AF1859))</f>
        <v/>
      </c>
      <c r="AH1859" s="114" t="str">
        <f t="shared" si="57"/>
        <v/>
      </c>
    </row>
    <row r="1860" spans="6:34" x14ac:dyDescent="0.3">
      <c r="F1860" s="35"/>
      <c r="J1860" s="35"/>
      <c r="K1860" s="35"/>
      <c r="L1860" s="35"/>
      <c r="AD1860" s="73"/>
      <c r="AF1860" s="112" t="str">
        <f t="shared" ref="AF1860:AF1923" si="58">IF(B1860="","",TEXT(J1860,"DD/MM/AA")&amp;"_"&amp;S1860&amp;"_"&amp;V1860)</f>
        <v/>
      </c>
      <c r="AG1860" s="113" t="str">
        <f>IF(AF1860="","",COUNTIF(AF1860:AF$3000,AF1860))</f>
        <v/>
      </c>
      <c r="AH1860" s="114" t="str">
        <f t="shared" ref="AH1860:AH1923" si="59">IF(AA1860="","",
IF(AG1860&gt;1,"",
IF(SUMIF(AF$3:AF$31,AF1860,H$3:H$31)/10&lt;1,1,SUMIF(AF$3:AF$31,AF1860,H$3:H$31)/10)))</f>
        <v/>
      </c>
    </row>
    <row r="1861" spans="6:34" x14ac:dyDescent="0.3">
      <c r="F1861" s="35"/>
      <c r="J1861" s="35"/>
      <c r="K1861" s="35"/>
      <c r="L1861" s="35"/>
      <c r="AD1861" s="73"/>
      <c r="AF1861" s="112" t="str">
        <f t="shared" si="58"/>
        <v/>
      </c>
      <c r="AG1861" s="113" t="str">
        <f>IF(AF1861="","",COUNTIF(AF1861:AF$3000,AF1861))</f>
        <v/>
      </c>
      <c r="AH1861" s="114" t="str">
        <f t="shared" si="59"/>
        <v/>
      </c>
    </row>
    <row r="1862" spans="6:34" x14ac:dyDescent="0.3">
      <c r="F1862" s="35"/>
      <c r="J1862" s="35"/>
      <c r="K1862" s="35"/>
      <c r="L1862" s="35"/>
      <c r="AD1862" s="73"/>
      <c r="AF1862" s="112" t="str">
        <f t="shared" si="58"/>
        <v/>
      </c>
      <c r="AG1862" s="113" t="str">
        <f>IF(AF1862="","",COUNTIF(AF1862:AF$3000,AF1862))</f>
        <v/>
      </c>
      <c r="AH1862" s="114" t="str">
        <f t="shared" si="59"/>
        <v/>
      </c>
    </row>
    <row r="1863" spans="6:34" x14ac:dyDescent="0.3">
      <c r="F1863" s="35"/>
      <c r="J1863" s="35"/>
      <c r="K1863" s="35"/>
      <c r="L1863" s="35"/>
      <c r="AD1863" s="73"/>
      <c r="AF1863" s="112" t="str">
        <f t="shared" si="58"/>
        <v/>
      </c>
      <c r="AG1863" s="113" t="str">
        <f>IF(AF1863="","",COUNTIF(AF1863:AF$3000,AF1863))</f>
        <v/>
      </c>
      <c r="AH1863" s="114" t="str">
        <f t="shared" si="59"/>
        <v/>
      </c>
    </row>
    <row r="1864" spans="6:34" x14ac:dyDescent="0.3">
      <c r="F1864" s="35"/>
      <c r="J1864" s="35"/>
      <c r="K1864" s="35"/>
      <c r="L1864" s="35"/>
      <c r="AD1864" s="73"/>
      <c r="AF1864" s="112" t="str">
        <f t="shared" si="58"/>
        <v/>
      </c>
      <c r="AG1864" s="113" t="str">
        <f>IF(AF1864="","",COUNTIF(AF1864:AF$3000,AF1864))</f>
        <v/>
      </c>
      <c r="AH1864" s="114" t="str">
        <f t="shared" si="59"/>
        <v/>
      </c>
    </row>
    <row r="1865" spans="6:34" x14ac:dyDescent="0.3">
      <c r="F1865" s="35"/>
      <c r="J1865" s="35"/>
      <c r="K1865" s="35"/>
      <c r="L1865" s="35"/>
      <c r="AD1865" s="73"/>
      <c r="AF1865" s="112" t="str">
        <f t="shared" si="58"/>
        <v/>
      </c>
      <c r="AG1865" s="113" t="str">
        <f>IF(AF1865="","",COUNTIF(AF1865:AF$3000,AF1865))</f>
        <v/>
      </c>
      <c r="AH1865" s="114" t="str">
        <f t="shared" si="59"/>
        <v/>
      </c>
    </row>
    <row r="1866" spans="6:34" x14ac:dyDescent="0.3">
      <c r="F1866" s="35"/>
      <c r="J1866" s="35"/>
      <c r="K1866" s="35"/>
      <c r="L1866" s="35"/>
      <c r="AD1866" s="73"/>
      <c r="AF1866" s="112" t="str">
        <f t="shared" si="58"/>
        <v/>
      </c>
      <c r="AG1866" s="113" t="str">
        <f>IF(AF1866="","",COUNTIF(AF1866:AF$3000,AF1866))</f>
        <v/>
      </c>
      <c r="AH1866" s="114" t="str">
        <f t="shared" si="59"/>
        <v/>
      </c>
    </row>
    <row r="1867" spans="6:34" x14ac:dyDescent="0.3">
      <c r="F1867" s="35"/>
      <c r="J1867" s="35"/>
      <c r="K1867" s="35"/>
      <c r="L1867" s="35"/>
      <c r="AD1867" s="73"/>
      <c r="AF1867" s="112" t="str">
        <f t="shared" si="58"/>
        <v/>
      </c>
      <c r="AG1867" s="113" t="str">
        <f>IF(AF1867="","",COUNTIF(AF1867:AF$3000,AF1867))</f>
        <v/>
      </c>
      <c r="AH1867" s="114" t="str">
        <f t="shared" si="59"/>
        <v/>
      </c>
    </row>
    <row r="1868" spans="6:34" x14ac:dyDescent="0.3">
      <c r="F1868" s="35"/>
      <c r="J1868" s="35"/>
      <c r="K1868" s="35"/>
      <c r="L1868" s="35"/>
      <c r="AD1868" s="73"/>
      <c r="AF1868" s="112" t="str">
        <f t="shared" si="58"/>
        <v/>
      </c>
      <c r="AG1868" s="113" t="str">
        <f>IF(AF1868="","",COUNTIF(AF1868:AF$3000,AF1868))</f>
        <v/>
      </c>
      <c r="AH1868" s="114" t="str">
        <f t="shared" si="59"/>
        <v/>
      </c>
    </row>
    <row r="1869" spans="6:34" x14ac:dyDescent="0.3">
      <c r="F1869" s="35"/>
      <c r="J1869" s="35"/>
      <c r="K1869" s="35"/>
      <c r="L1869" s="35"/>
      <c r="AD1869" s="73"/>
      <c r="AF1869" s="112" t="str">
        <f t="shared" si="58"/>
        <v/>
      </c>
      <c r="AG1869" s="113" t="str">
        <f>IF(AF1869="","",COUNTIF(AF1869:AF$3000,AF1869))</f>
        <v/>
      </c>
      <c r="AH1869" s="114" t="str">
        <f t="shared" si="59"/>
        <v/>
      </c>
    </row>
    <row r="1870" spans="6:34" x14ac:dyDescent="0.3">
      <c r="F1870" s="35"/>
      <c r="J1870" s="35"/>
      <c r="K1870" s="35"/>
      <c r="L1870" s="35"/>
      <c r="AD1870" s="73"/>
      <c r="AF1870" s="112" t="str">
        <f t="shared" si="58"/>
        <v/>
      </c>
      <c r="AG1870" s="113" t="str">
        <f>IF(AF1870="","",COUNTIF(AF1870:AF$3000,AF1870))</f>
        <v/>
      </c>
      <c r="AH1870" s="114" t="str">
        <f t="shared" si="59"/>
        <v/>
      </c>
    </row>
    <row r="1871" spans="6:34" x14ac:dyDescent="0.3">
      <c r="F1871" s="35"/>
      <c r="J1871" s="35"/>
      <c r="K1871" s="35"/>
      <c r="L1871" s="35"/>
      <c r="AD1871" s="73"/>
      <c r="AF1871" s="112" t="str">
        <f t="shared" si="58"/>
        <v/>
      </c>
      <c r="AG1871" s="113" t="str">
        <f>IF(AF1871="","",COUNTIF(AF1871:AF$3000,AF1871))</f>
        <v/>
      </c>
      <c r="AH1871" s="114" t="str">
        <f t="shared" si="59"/>
        <v/>
      </c>
    </row>
    <row r="1872" spans="6:34" x14ac:dyDescent="0.3">
      <c r="F1872" s="35"/>
      <c r="J1872" s="35"/>
      <c r="K1872" s="35"/>
      <c r="L1872" s="35"/>
      <c r="AD1872" s="73"/>
      <c r="AF1872" s="112" t="str">
        <f t="shared" si="58"/>
        <v/>
      </c>
      <c r="AG1872" s="113" t="str">
        <f>IF(AF1872="","",COUNTIF(AF1872:AF$3000,AF1872))</f>
        <v/>
      </c>
      <c r="AH1872" s="114" t="str">
        <f t="shared" si="59"/>
        <v/>
      </c>
    </row>
    <row r="1873" spans="6:34" x14ac:dyDescent="0.3">
      <c r="F1873" s="35"/>
      <c r="J1873" s="35"/>
      <c r="K1873" s="35"/>
      <c r="L1873" s="35"/>
      <c r="AD1873" s="73"/>
      <c r="AF1873" s="112" t="str">
        <f t="shared" si="58"/>
        <v/>
      </c>
      <c r="AG1873" s="113" t="str">
        <f>IF(AF1873="","",COUNTIF(AF1873:AF$3000,AF1873))</f>
        <v/>
      </c>
      <c r="AH1873" s="114" t="str">
        <f t="shared" si="59"/>
        <v/>
      </c>
    </row>
    <row r="1874" spans="6:34" x14ac:dyDescent="0.3">
      <c r="F1874" s="35"/>
      <c r="J1874" s="35"/>
      <c r="K1874" s="35"/>
      <c r="L1874" s="35"/>
      <c r="AD1874" s="73"/>
      <c r="AF1874" s="112" t="str">
        <f t="shared" si="58"/>
        <v/>
      </c>
      <c r="AG1874" s="113" t="str">
        <f>IF(AF1874="","",COUNTIF(AF1874:AF$3000,AF1874))</f>
        <v/>
      </c>
      <c r="AH1874" s="114" t="str">
        <f t="shared" si="59"/>
        <v/>
      </c>
    </row>
    <row r="1875" spans="6:34" x14ac:dyDescent="0.3">
      <c r="F1875" s="35"/>
      <c r="J1875" s="35"/>
      <c r="K1875" s="35"/>
      <c r="L1875" s="35"/>
      <c r="AD1875" s="73"/>
      <c r="AF1875" s="112" t="str">
        <f t="shared" si="58"/>
        <v/>
      </c>
      <c r="AG1875" s="113" t="str">
        <f>IF(AF1875="","",COUNTIF(AF1875:AF$3000,AF1875))</f>
        <v/>
      </c>
      <c r="AH1875" s="114" t="str">
        <f t="shared" si="59"/>
        <v/>
      </c>
    </row>
    <row r="1876" spans="6:34" x14ac:dyDescent="0.3">
      <c r="F1876" s="35"/>
      <c r="J1876" s="35"/>
      <c r="K1876" s="35"/>
      <c r="L1876" s="35"/>
      <c r="AD1876" s="73"/>
      <c r="AF1876" s="112" t="str">
        <f t="shared" si="58"/>
        <v/>
      </c>
      <c r="AG1876" s="113" t="str">
        <f>IF(AF1876="","",COUNTIF(AF1876:AF$3000,AF1876))</f>
        <v/>
      </c>
      <c r="AH1876" s="114" t="str">
        <f t="shared" si="59"/>
        <v/>
      </c>
    </row>
    <row r="1877" spans="6:34" x14ac:dyDescent="0.3">
      <c r="F1877" s="35"/>
      <c r="J1877" s="35"/>
      <c r="K1877" s="35"/>
      <c r="L1877" s="35"/>
      <c r="AD1877" s="73"/>
      <c r="AF1877" s="112" t="str">
        <f t="shared" si="58"/>
        <v/>
      </c>
      <c r="AG1877" s="113" t="str">
        <f>IF(AF1877="","",COUNTIF(AF1877:AF$3000,AF1877))</f>
        <v/>
      </c>
      <c r="AH1877" s="114" t="str">
        <f t="shared" si="59"/>
        <v/>
      </c>
    </row>
    <row r="1878" spans="6:34" x14ac:dyDescent="0.3">
      <c r="F1878" s="35"/>
      <c r="J1878" s="35"/>
      <c r="K1878" s="35"/>
      <c r="L1878" s="35"/>
      <c r="AD1878" s="73"/>
      <c r="AF1878" s="112" t="str">
        <f t="shared" si="58"/>
        <v/>
      </c>
      <c r="AG1878" s="113" t="str">
        <f>IF(AF1878="","",COUNTIF(AF1878:AF$3000,AF1878))</f>
        <v/>
      </c>
      <c r="AH1878" s="114" t="str">
        <f t="shared" si="59"/>
        <v/>
      </c>
    </row>
    <row r="1879" spans="6:34" x14ac:dyDescent="0.3">
      <c r="F1879" s="35"/>
      <c r="J1879" s="35"/>
      <c r="K1879" s="35"/>
      <c r="L1879" s="35"/>
      <c r="AD1879" s="73"/>
      <c r="AF1879" s="112" t="str">
        <f t="shared" si="58"/>
        <v/>
      </c>
      <c r="AG1879" s="113" t="str">
        <f>IF(AF1879="","",COUNTIF(AF1879:AF$3000,AF1879))</f>
        <v/>
      </c>
      <c r="AH1879" s="114" t="str">
        <f t="shared" si="59"/>
        <v/>
      </c>
    </row>
    <row r="1880" spans="6:34" x14ac:dyDescent="0.3">
      <c r="F1880" s="35"/>
      <c r="J1880" s="35"/>
      <c r="K1880" s="35"/>
      <c r="L1880" s="35"/>
      <c r="AD1880" s="73"/>
      <c r="AF1880" s="112" t="str">
        <f t="shared" si="58"/>
        <v/>
      </c>
      <c r="AG1880" s="113" t="str">
        <f>IF(AF1880="","",COUNTIF(AF1880:AF$3000,AF1880))</f>
        <v/>
      </c>
      <c r="AH1880" s="114" t="str">
        <f t="shared" si="59"/>
        <v/>
      </c>
    </row>
    <row r="1881" spans="6:34" x14ac:dyDescent="0.3">
      <c r="F1881" s="35"/>
      <c r="J1881" s="35"/>
      <c r="K1881" s="35"/>
      <c r="L1881" s="35"/>
      <c r="AD1881" s="73"/>
      <c r="AF1881" s="112" t="str">
        <f t="shared" si="58"/>
        <v/>
      </c>
      <c r="AG1881" s="113" t="str">
        <f>IF(AF1881="","",COUNTIF(AF1881:AF$3000,AF1881))</f>
        <v/>
      </c>
      <c r="AH1881" s="114" t="str">
        <f t="shared" si="59"/>
        <v/>
      </c>
    </row>
    <row r="1882" spans="6:34" x14ac:dyDescent="0.3">
      <c r="F1882" s="35"/>
      <c r="J1882" s="35"/>
      <c r="K1882" s="35"/>
      <c r="L1882" s="35"/>
      <c r="AD1882" s="73"/>
      <c r="AF1882" s="112" t="str">
        <f t="shared" si="58"/>
        <v/>
      </c>
      <c r="AG1882" s="113" t="str">
        <f>IF(AF1882="","",COUNTIF(AF1882:AF$3000,AF1882))</f>
        <v/>
      </c>
      <c r="AH1882" s="114" t="str">
        <f t="shared" si="59"/>
        <v/>
      </c>
    </row>
    <row r="1883" spans="6:34" x14ac:dyDescent="0.3">
      <c r="F1883" s="35"/>
      <c r="J1883" s="35"/>
      <c r="K1883" s="35"/>
      <c r="L1883" s="35"/>
      <c r="AD1883" s="73"/>
      <c r="AF1883" s="112" t="str">
        <f t="shared" si="58"/>
        <v/>
      </c>
      <c r="AG1883" s="113" t="str">
        <f>IF(AF1883="","",COUNTIF(AF1883:AF$3000,AF1883))</f>
        <v/>
      </c>
      <c r="AH1883" s="114" t="str">
        <f t="shared" si="59"/>
        <v/>
      </c>
    </row>
    <row r="1884" spans="6:34" x14ac:dyDescent="0.3">
      <c r="F1884" s="35"/>
      <c r="J1884" s="35"/>
      <c r="K1884" s="35"/>
      <c r="L1884" s="35"/>
      <c r="AD1884" s="73"/>
      <c r="AF1884" s="112" t="str">
        <f t="shared" si="58"/>
        <v/>
      </c>
      <c r="AG1884" s="113" t="str">
        <f>IF(AF1884="","",COUNTIF(AF1884:AF$3000,AF1884))</f>
        <v/>
      </c>
      <c r="AH1884" s="114" t="str">
        <f t="shared" si="59"/>
        <v/>
      </c>
    </row>
    <row r="1885" spans="6:34" x14ac:dyDescent="0.3">
      <c r="F1885" s="35"/>
      <c r="J1885" s="35"/>
      <c r="K1885" s="35"/>
      <c r="L1885" s="35"/>
      <c r="AD1885" s="73"/>
      <c r="AF1885" s="112" t="str">
        <f t="shared" si="58"/>
        <v/>
      </c>
      <c r="AG1885" s="113" t="str">
        <f>IF(AF1885="","",COUNTIF(AF1885:AF$3000,AF1885))</f>
        <v/>
      </c>
      <c r="AH1885" s="114" t="str">
        <f t="shared" si="59"/>
        <v/>
      </c>
    </row>
    <row r="1886" spans="6:34" x14ac:dyDescent="0.3">
      <c r="F1886" s="35"/>
      <c r="J1886" s="35"/>
      <c r="K1886" s="35"/>
      <c r="L1886" s="35"/>
      <c r="AD1886" s="73"/>
      <c r="AF1886" s="112" t="str">
        <f t="shared" si="58"/>
        <v/>
      </c>
      <c r="AG1886" s="113" t="str">
        <f>IF(AF1886="","",COUNTIF(AF1886:AF$3000,AF1886))</f>
        <v/>
      </c>
      <c r="AH1886" s="114" t="str">
        <f t="shared" si="59"/>
        <v/>
      </c>
    </row>
    <row r="1887" spans="6:34" x14ac:dyDescent="0.3">
      <c r="F1887" s="35"/>
      <c r="J1887" s="35"/>
      <c r="K1887" s="35"/>
      <c r="L1887" s="35"/>
      <c r="AD1887" s="73"/>
      <c r="AF1887" s="112" t="str">
        <f t="shared" si="58"/>
        <v/>
      </c>
      <c r="AG1887" s="113" t="str">
        <f>IF(AF1887="","",COUNTIF(AF1887:AF$3000,AF1887))</f>
        <v/>
      </c>
      <c r="AH1887" s="114" t="str">
        <f t="shared" si="59"/>
        <v/>
      </c>
    </row>
    <row r="1888" spans="6:34" x14ac:dyDescent="0.3">
      <c r="F1888" s="35"/>
      <c r="J1888" s="35"/>
      <c r="K1888" s="35"/>
      <c r="L1888" s="35"/>
      <c r="AD1888" s="73"/>
      <c r="AF1888" s="112" t="str">
        <f t="shared" si="58"/>
        <v/>
      </c>
      <c r="AG1888" s="113" t="str">
        <f>IF(AF1888="","",COUNTIF(AF1888:AF$3000,AF1888))</f>
        <v/>
      </c>
      <c r="AH1888" s="114" t="str">
        <f t="shared" si="59"/>
        <v/>
      </c>
    </row>
    <row r="1889" spans="6:34" x14ac:dyDescent="0.3">
      <c r="F1889" s="35"/>
      <c r="J1889" s="35"/>
      <c r="K1889" s="35"/>
      <c r="L1889" s="35"/>
      <c r="AD1889" s="73"/>
      <c r="AF1889" s="112" t="str">
        <f t="shared" si="58"/>
        <v/>
      </c>
      <c r="AG1889" s="113" t="str">
        <f>IF(AF1889="","",COUNTIF(AF1889:AF$3000,AF1889))</f>
        <v/>
      </c>
      <c r="AH1889" s="114" t="str">
        <f t="shared" si="59"/>
        <v/>
      </c>
    </row>
    <row r="1890" spans="6:34" x14ac:dyDescent="0.3">
      <c r="F1890" s="35"/>
      <c r="J1890" s="35"/>
      <c r="K1890" s="35"/>
      <c r="L1890" s="35"/>
      <c r="AD1890" s="73"/>
      <c r="AF1890" s="112" t="str">
        <f t="shared" si="58"/>
        <v/>
      </c>
      <c r="AG1890" s="113" t="str">
        <f>IF(AF1890="","",COUNTIF(AF1890:AF$3000,AF1890))</f>
        <v/>
      </c>
      <c r="AH1890" s="114" t="str">
        <f t="shared" si="59"/>
        <v/>
      </c>
    </row>
    <row r="1891" spans="6:34" x14ac:dyDescent="0.3">
      <c r="F1891" s="35"/>
      <c r="J1891" s="35"/>
      <c r="K1891" s="35"/>
      <c r="L1891" s="35"/>
      <c r="AD1891" s="73"/>
      <c r="AF1891" s="112" t="str">
        <f t="shared" si="58"/>
        <v/>
      </c>
      <c r="AG1891" s="113" t="str">
        <f>IF(AF1891="","",COUNTIF(AF1891:AF$3000,AF1891))</f>
        <v/>
      </c>
      <c r="AH1891" s="114" t="str">
        <f t="shared" si="59"/>
        <v/>
      </c>
    </row>
    <row r="1892" spans="6:34" x14ac:dyDescent="0.3">
      <c r="F1892" s="35"/>
      <c r="J1892" s="35"/>
      <c r="K1892" s="35"/>
      <c r="L1892" s="35"/>
      <c r="AD1892" s="73"/>
      <c r="AF1892" s="112" t="str">
        <f t="shared" si="58"/>
        <v/>
      </c>
      <c r="AG1892" s="113" t="str">
        <f>IF(AF1892="","",COUNTIF(AF1892:AF$3000,AF1892))</f>
        <v/>
      </c>
      <c r="AH1892" s="114" t="str">
        <f t="shared" si="59"/>
        <v/>
      </c>
    </row>
    <row r="1893" spans="6:34" x14ac:dyDescent="0.3">
      <c r="F1893" s="35"/>
      <c r="J1893" s="35"/>
      <c r="K1893" s="35"/>
      <c r="L1893" s="35"/>
      <c r="AD1893" s="73"/>
      <c r="AF1893" s="112" t="str">
        <f t="shared" si="58"/>
        <v/>
      </c>
      <c r="AG1893" s="113" t="str">
        <f>IF(AF1893="","",COUNTIF(AF1893:AF$3000,AF1893))</f>
        <v/>
      </c>
      <c r="AH1893" s="114" t="str">
        <f t="shared" si="59"/>
        <v/>
      </c>
    </row>
    <row r="1894" spans="6:34" x14ac:dyDescent="0.3">
      <c r="F1894" s="35"/>
      <c r="J1894" s="35"/>
      <c r="K1894" s="35"/>
      <c r="L1894" s="35"/>
      <c r="AD1894" s="73"/>
      <c r="AF1894" s="112" t="str">
        <f t="shared" si="58"/>
        <v/>
      </c>
      <c r="AG1894" s="113" t="str">
        <f>IF(AF1894="","",COUNTIF(AF1894:AF$3000,AF1894))</f>
        <v/>
      </c>
      <c r="AH1894" s="114" t="str">
        <f t="shared" si="59"/>
        <v/>
      </c>
    </row>
    <row r="1895" spans="6:34" x14ac:dyDescent="0.3">
      <c r="F1895" s="35"/>
      <c r="J1895" s="35"/>
      <c r="K1895" s="35"/>
      <c r="L1895" s="35"/>
      <c r="AD1895" s="73"/>
      <c r="AF1895" s="112" t="str">
        <f t="shared" si="58"/>
        <v/>
      </c>
      <c r="AG1895" s="113" t="str">
        <f>IF(AF1895="","",COUNTIF(AF1895:AF$3000,AF1895))</f>
        <v/>
      </c>
      <c r="AH1895" s="114" t="str">
        <f t="shared" si="59"/>
        <v/>
      </c>
    </row>
    <row r="1896" spans="6:34" x14ac:dyDescent="0.3">
      <c r="F1896" s="35"/>
      <c r="J1896" s="35"/>
      <c r="K1896" s="35"/>
      <c r="L1896" s="35"/>
      <c r="AD1896" s="73"/>
      <c r="AF1896" s="112" t="str">
        <f t="shared" si="58"/>
        <v/>
      </c>
      <c r="AG1896" s="113" t="str">
        <f>IF(AF1896="","",COUNTIF(AF1896:AF$3000,AF1896))</f>
        <v/>
      </c>
      <c r="AH1896" s="114" t="str">
        <f t="shared" si="59"/>
        <v/>
      </c>
    </row>
    <row r="1897" spans="6:34" x14ac:dyDescent="0.3">
      <c r="F1897" s="35"/>
      <c r="J1897" s="35"/>
      <c r="K1897" s="35"/>
      <c r="L1897" s="35"/>
      <c r="AD1897" s="73"/>
      <c r="AF1897" s="112" t="str">
        <f t="shared" si="58"/>
        <v/>
      </c>
      <c r="AG1897" s="113" t="str">
        <f>IF(AF1897="","",COUNTIF(AF1897:AF$3000,AF1897))</f>
        <v/>
      </c>
      <c r="AH1897" s="114" t="str">
        <f t="shared" si="59"/>
        <v/>
      </c>
    </row>
    <row r="1898" spans="6:34" x14ac:dyDescent="0.3">
      <c r="F1898" s="35"/>
      <c r="J1898" s="35"/>
      <c r="K1898" s="35"/>
      <c r="L1898" s="35"/>
      <c r="AD1898" s="73"/>
      <c r="AF1898" s="112" t="str">
        <f t="shared" si="58"/>
        <v/>
      </c>
      <c r="AG1898" s="113" t="str">
        <f>IF(AF1898="","",COUNTIF(AF1898:AF$3000,AF1898))</f>
        <v/>
      </c>
      <c r="AH1898" s="114" t="str">
        <f t="shared" si="59"/>
        <v/>
      </c>
    </row>
    <row r="1899" spans="6:34" x14ac:dyDescent="0.3">
      <c r="F1899" s="35"/>
      <c r="J1899" s="35"/>
      <c r="K1899" s="35"/>
      <c r="L1899" s="35"/>
      <c r="AD1899" s="73"/>
      <c r="AF1899" s="112" t="str">
        <f t="shared" si="58"/>
        <v/>
      </c>
      <c r="AG1899" s="113" t="str">
        <f>IF(AF1899="","",COUNTIF(AF1899:AF$3000,AF1899))</f>
        <v/>
      </c>
      <c r="AH1899" s="114" t="str">
        <f t="shared" si="59"/>
        <v/>
      </c>
    </row>
    <row r="1900" spans="6:34" x14ac:dyDescent="0.3">
      <c r="F1900" s="35"/>
      <c r="J1900" s="35"/>
      <c r="K1900" s="35"/>
      <c r="L1900" s="35"/>
      <c r="AD1900" s="73"/>
      <c r="AF1900" s="112" t="str">
        <f t="shared" si="58"/>
        <v/>
      </c>
      <c r="AG1900" s="113" t="str">
        <f>IF(AF1900="","",COUNTIF(AF1900:AF$3000,AF1900))</f>
        <v/>
      </c>
      <c r="AH1900" s="114" t="str">
        <f t="shared" si="59"/>
        <v/>
      </c>
    </row>
    <row r="1901" spans="6:34" x14ac:dyDescent="0.3">
      <c r="F1901" s="35"/>
      <c r="J1901" s="35"/>
      <c r="K1901" s="35"/>
      <c r="L1901" s="35"/>
      <c r="AD1901" s="73"/>
      <c r="AF1901" s="112" t="str">
        <f t="shared" si="58"/>
        <v/>
      </c>
      <c r="AG1901" s="113" t="str">
        <f>IF(AF1901="","",COUNTIF(AF1901:AF$3000,AF1901))</f>
        <v/>
      </c>
      <c r="AH1901" s="114" t="str">
        <f t="shared" si="59"/>
        <v/>
      </c>
    </row>
    <row r="1902" spans="6:34" x14ac:dyDescent="0.3">
      <c r="F1902" s="35"/>
      <c r="J1902" s="35"/>
      <c r="K1902" s="35"/>
      <c r="L1902" s="35"/>
      <c r="AD1902" s="73"/>
      <c r="AF1902" s="112" t="str">
        <f t="shared" si="58"/>
        <v/>
      </c>
      <c r="AG1902" s="113" t="str">
        <f>IF(AF1902="","",COUNTIF(AF1902:AF$3000,AF1902))</f>
        <v/>
      </c>
      <c r="AH1902" s="114" t="str">
        <f t="shared" si="59"/>
        <v/>
      </c>
    </row>
    <row r="1903" spans="6:34" x14ac:dyDescent="0.3">
      <c r="F1903" s="35"/>
      <c r="J1903" s="35"/>
      <c r="K1903" s="35"/>
      <c r="L1903" s="35"/>
      <c r="AD1903" s="73"/>
      <c r="AF1903" s="112" t="str">
        <f t="shared" si="58"/>
        <v/>
      </c>
      <c r="AG1903" s="113" t="str">
        <f>IF(AF1903="","",COUNTIF(AF1903:AF$3000,AF1903))</f>
        <v/>
      </c>
      <c r="AH1903" s="114" t="str">
        <f t="shared" si="59"/>
        <v/>
      </c>
    </row>
    <row r="1904" spans="6:34" x14ac:dyDescent="0.3">
      <c r="F1904" s="35"/>
      <c r="J1904" s="35"/>
      <c r="K1904" s="35"/>
      <c r="L1904" s="35"/>
      <c r="AD1904" s="73"/>
      <c r="AF1904" s="112" t="str">
        <f t="shared" si="58"/>
        <v/>
      </c>
      <c r="AG1904" s="113" t="str">
        <f>IF(AF1904="","",COUNTIF(AF1904:AF$3000,AF1904))</f>
        <v/>
      </c>
      <c r="AH1904" s="114" t="str">
        <f t="shared" si="59"/>
        <v/>
      </c>
    </row>
    <row r="1905" spans="6:34" x14ac:dyDescent="0.3">
      <c r="F1905" s="35"/>
      <c r="J1905" s="35"/>
      <c r="K1905" s="35"/>
      <c r="L1905" s="35"/>
      <c r="AD1905" s="73"/>
      <c r="AF1905" s="112" t="str">
        <f t="shared" si="58"/>
        <v/>
      </c>
      <c r="AG1905" s="113" t="str">
        <f>IF(AF1905="","",COUNTIF(AF1905:AF$3000,AF1905))</f>
        <v/>
      </c>
      <c r="AH1905" s="114" t="str">
        <f t="shared" si="59"/>
        <v/>
      </c>
    </row>
    <row r="1906" spans="6:34" x14ac:dyDescent="0.3">
      <c r="F1906" s="35"/>
      <c r="J1906" s="35"/>
      <c r="K1906" s="35"/>
      <c r="L1906" s="35"/>
      <c r="AD1906" s="73"/>
      <c r="AF1906" s="112" t="str">
        <f t="shared" si="58"/>
        <v/>
      </c>
      <c r="AG1906" s="113" t="str">
        <f>IF(AF1906="","",COUNTIF(AF1906:AF$3000,AF1906))</f>
        <v/>
      </c>
      <c r="AH1906" s="114" t="str">
        <f t="shared" si="59"/>
        <v/>
      </c>
    </row>
    <row r="1907" spans="6:34" x14ac:dyDescent="0.3">
      <c r="F1907" s="35"/>
      <c r="J1907" s="35"/>
      <c r="K1907" s="35"/>
      <c r="L1907" s="35"/>
      <c r="AD1907" s="73"/>
      <c r="AF1907" s="112" t="str">
        <f t="shared" si="58"/>
        <v/>
      </c>
      <c r="AG1907" s="113" t="str">
        <f>IF(AF1907="","",COUNTIF(AF1907:AF$3000,AF1907))</f>
        <v/>
      </c>
      <c r="AH1907" s="114" t="str">
        <f t="shared" si="59"/>
        <v/>
      </c>
    </row>
    <row r="1908" spans="6:34" x14ac:dyDescent="0.3">
      <c r="F1908" s="35"/>
      <c r="J1908" s="35"/>
      <c r="K1908" s="35"/>
      <c r="L1908" s="35"/>
      <c r="AD1908" s="73"/>
      <c r="AF1908" s="112" t="str">
        <f t="shared" si="58"/>
        <v/>
      </c>
      <c r="AG1908" s="113" t="str">
        <f>IF(AF1908="","",COUNTIF(AF1908:AF$3000,AF1908))</f>
        <v/>
      </c>
      <c r="AH1908" s="114" t="str">
        <f t="shared" si="59"/>
        <v/>
      </c>
    </row>
    <row r="1909" spans="6:34" x14ac:dyDescent="0.3">
      <c r="F1909" s="35"/>
      <c r="J1909" s="35"/>
      <c r="K1909" s="35"/>
      <c r="L1909" s="35"/>
      <c r="AD1909" s="73"/>
      <c r="AF1909" s="112" t="str">
        <f t="shared" si="58"/>
        <v/>
      </c>
      <c r="AG1909" s="113" t="str">
        <f>IF(AF1909="","",COUNTIF(AF1909:AF$3000,AF1909))</f>
        <v/>
      </c>
      <c r="AH1909" s="114" t="str">
        <f t="shared" si="59"/>
        <v/>
      </c>
    </row>
    <row r="1910" spans="6:34" x14ac:dyDescent="0.3">
      <c r="F1910" s="35"/>
      <c r="J1910" s="35"/>
      <c r="K1910" s="35"/>
      <c r="L1910" s="35"/>
      <c r="AD1910" s="73"/>
      <c r="AF1910" s="112" t="str">
        <f t="shared" si="58"/>
        <v/>
      </c>
      <c r="AG1910" s="113" t="str">
        <f>IF(AF1910="","",COUNTIF(AF1910:AF$3000,AF1910))</f>
        <v/>
      </c>
      <c r="AH1910" s="114" t="str">
        <f t="shared" si="59"/>
        <v/>
      </c>
    </row>
    <row r="1911" spans="6:34" x14ac:dyDescent="0.3">
      <c r="F1911" s="35"/>
      <c r="J1911" s="35"/>
      <c r="K1911" s="35"/>
      <c r="L1911" s="35"/>
      <c r="AD1911" s="73"/>
      <c r="AF1911" s="112" t="str">
        <f t="shared" si="58"/>
        <v/>
      </c>
      <c r="AG1911" s="113" t="str">
        <f>IF(AF1911="","",COUNTIF(AF1911:AF$3000,AF1911))</f>
        <v/>
      </c>
      <c r="AH1911" s="114" t="str">
        <f t="shared" si="59"/>
        <v/>
      </c>
    </row>
    <row r="1912" spans="6:34" x14ac:dyDescent="0.3">
      <c r="F1912" s="35"/>
      <c r="J1912" s="35"/>
      <c r="K1912" s="35"/>
      <c r="L1912" s="35"/>
      <c r="AD1912" s="73"/>
      <c r="AF1912" s="112" t="str">
        <f t="shared" si="58"/>
        <v/>
      </c>
      <c r="AG1912" s="113" t="str">
        <f>IF(AF1912="","",COUNTIF(AF1912:AF$3000,AF1912))</f>
        <v/>
      </c>
      <c r="AH1912" s="114" t="str">
        <f t="shared" si="59"/>
        <v/>
      </c>
    </row>
    <row r="1913" spans="6:34" x14ac:dyDescent="0.3">
      <c r="F1913" s="35"/>
      <c r="J1913" s="35"/>
      <c r="K1913" s="35"/>
      <c r="L1913" s="35"/>
      <c r="AD1913" s="73"/>
      <c r="AF1913" s="112" t="str">
        <f t="shared" si="58"/>
        <v/>
      </c>
      <c r="AG1913" s="113" t="str">
        <f>IF(AF1913="","",COUNTIF(AF1913:AF$3000,AF1913))</f>
        <v/>
      </c>
      <c r="AH1913" s="114" t="str">
        <f t="shared" si="59"/>
        <v/>
      </c>
    </row>
    <row r="1914" spans="6:34" x14ac:dyDescent="0.3">
      <c r="F1914" s="35"/>
      <c r="J1914" s="35"/>
      <c r="K1914" s="35"/>
      <c r="L1914" s="35"/>
      <c r="AD1914" s="73"/>
      <c r="AF1914" s="112" t="str">
        <f t="shared" si="58"/>
        <v/>
      </c>
      <c r="AG1914" s="113" t="str">
        <f>IF(AF1914="","",COUNTIF(AF1914:AF$3000,AF1914))</f>
        <v/>
      </c>
      <c r="AH1914" s="114" t="str">
        <f t="shared" si="59"/>
        <v/>
      </c>
    </row>
    <row r="1915" spans="6:34" x14ac:dyDescent="0.3">
      <c r="F1915" s="35"/>
      <c r="J1915" s="35"/>
      <c r="K1915" s="35"/>
      <c r="L1915" s="35"/>
      <c r="AD1915" s="73"/>
      <c r="AF1915" s="112" t="str">
        <f t="shared" si="58"/>
        <v/>
      </c>
      <c r="AG1915" s="113" t="str">
        <f>IF(AF1915="","",COUNTIF(AF1915:AF$3000,AF1915))</f>
        <v/>
      </c>
      <c r="AH1915" s="114" t="str">
        <f t="shared" si="59"/>
        <v/>
      </c>
    </row>
    <row r="1916" spans="6:34" x14ac:dyDescent="0.3">
      <c r="F1916" s="35"/>
      <c r="J1916" s="35"/>
      <c r="K1916" s="35"/>
      <c r="L1916" s="35"/>
      <c r="AD1916" s="73"/>
      <c r="AF1916" s="112" t="str">
        <f t="shared" si="58"/>
        <v/>
      </c>
      <c r="AG1916" s="113" t="str">
        <f>IF(AF1916="","",COUNTIF(AF1916:AF$3000,AF1916))</f>
        <v/>
      </c>
      <c r="AH1916" s="114" t="str">
        <f t="shared" si="59"/>
        <v/>
      </c>
    </row>
    <row r="1917" spans="6:34" x14ac:dyDescent="0.3">
      <c r="F1917" s="35"/>
      <c r="J1917" s="35"/>
      <c r="K1917" s="35"/>
      <c r="L1917" s="35"/>
      <c r="AD1917" s="73"/>
      <c r="AF1917" s="112" t="str">
        <f t="shared" si="58"/>
        <v/>
      </c>
      <c r="AG1917" s="113" t="str">
        <f>IF(AF1917="","",COUNTIF(AF1917:AF$3000,AF1917))</f>
        <v/>
      </c>
      <c r="AH1917" s="114" t="str">
        <f t="shared" si="59"/>
        <v/>
      </c>
    </row>
    <row r="1918" spans="6:34" x14ac:dyDescent="0.3">
      <c r="F1918" s="35"/>
      <c r="J1918" s="35"/>
      <c r="K1918" s="35"/>
      <c r="L1918" s="35"/>
      <c r="AD1918" s="73"/>
      <c r="AF1918" s="112" t="str">
        <f t="shared" si="58"/>
        <v/>
      </c>
      <c r="AG1918" s="113" t="str">
        <f>IF(AF1918="","",COUNTIF(AF1918:AF$3000,AF1918))</f>
        <v/>
      </c>
      <c r="AH1918" s="114" t="str">
        <f t="shared" si="59"/>
        <v/>
      </c>
    </row>
    <row r="1919" spans="6:34" x14ac:dyDescent="0.3">
      <c r="F1919" s="35"/>
      <c r="J1919" s="35"/>
      <c r="K1919" s="35"/>
      <c r="L1919" s="35"/>
      <c r="AD1919" s="73"/>
      <c r="AF1919" s="112" t="str">
        <f t="shared" si="58"/>
        <v/>
      </c>
      <c r="AG1919" s="113" t="str">
        <f>IF(AF1919="","",COUNTIF(AF1919:AF$3000,AF1919))</f>
        <v/>
      </c>
      <c r="AH1919" s="114" t="str">
        <f t="shared" si="59"/>
        <v/>
      </c>
    </row>
    <row r="1920" spans="6:34" x14ac:dyDescent="0.3">
      <c r="F1920" s="35"/>
      <c r="J1920" s="35"/>
      <c r="K1920" s="35"/>
      <c r="L1920" s="35"/>
      <c r="AD1920" s="73"/>
      <c r="AF1920" s="112" t="str">
        <f t="shared" si="58"/>
        <v/>
      </c>
      <c r="AG1920" s="113" t="str">
        <f>IF(AF1920="","",COUNTIF(AF1920:AF$3000,AF1920))</f>
        <v/>
      </c>
      <c r="AH1920" s="114" t="str">
        <f t="shared" si="59"/>
        <v/>
      </c>
    </row>
    <row r="1921" spans="6:34" x14ac:dyDescent="0.3">
      <c r="F1921" s="35"/>
      <c r="J1921" s="35"/>
      <c r="K1921" s="35"/>
      <c r="L1921" s="35"/>
      <c r="AD1921" s="73"/>
      <c r="AF1921" s="112" t="str">
        <f t="shared" si="58"/>
        <v/>
      </c>
      <c r="AG1921" s="113" t="str">
        <f>IF(AF1921="","",COUNTIF(AF1921:AF$3000,AF1921))</f>
        <v/>
      </c>
      <c r="AH1921" s="114" t="str">
        <f t="shared" si="59"/>
        <v/>
      </c>
    </row>
    <row r="1922" spans="6:34" x14ac:dyDescent="0.3">
      <c r="F1922" s="35"/>
      <c r="J1922" s="35"/>
      <c r="K1922" s="35"/>
      <c r="L1922" s="35"/>
      <c r="AD1922" s="73"/>
      <c r="AF1922" s="112" t="str">
        <f t="shared" si="58"/>
        <v/>
      </c>
      <c r="AG1922" s="113" t="str">
        <f>IF(AF1922="","",COUNTIF(AF1922:AF$3000,AF1922))</f>
        <v/>
      </c>
      <c r="AH1922" s="114" t="str">
        <f t="shared" si="59"/>
        <v/>
      </c>
    </row>
    <row r="1923" spans="6:34" x14ac:dyDescent="0.3">
      <c r="F1923" s="35"/>
      <c r="J1923" s="35"/>
      <c r="K1923" s="35"/>
      <c r="L1923" s="35"/>
      <c r="AD1923" s="73"/>
      <c r="AF1923" s="112" t="str">
        <f t="shared" si="58"/>
        <v/>
      </c>
      <c r="AG1923" s="113" t="str">
        <f>IF(AF1923="","",COUNTIF(AF1923:AF$3000,AF1923))</f>
        <v/>
      </c>
      <c r="AH1923" s="114" t="str">
        <f t="shared" si="59"/>
        <v/>
      </c>
    </row>
    <row r="1924" spans="6:34" x14ac:dyDescent="0.3">
      <c r="F1924" s="35"/>
      <c r="J1924" s="35"/>
      <c r="K1924" s="35"/>
      <c r="L1924" s="35"/>
      <c r="AD1924" s="73"/>
      <c r="AF1924" s="112" t="str">
        <f t="shared" ref="AF1924:AF1987" si="60">IF(B1924="","",TEXT(J1924,"DD/MM/AA")&amp;"_"&amp;S1924&amp;"_"&amp;V1924)</f>
        <v/>
      </c>
      <c r="AG1924" s="113" t="str">
        <f>IF(AF1924="","",COUNTIF(AF1924:AF$3000,AF1924))</f>
        <v/>
      </c>
      <c r="AH1924" s="114" t="str">
        <f t="shared" ref="AH1924:AH1987" si="61">IF(AA1924="","",
IF(AG1924&gt;1,"",
IF(SUMIF(AF$3:AF$31,AF1924,H$3:H$31)/10&lt;1,1,SUMIF(AF$3:AF$31,AF1924,H$3:H$31)/10)))</f>
        <v/>
      </c>
    </row>
    <row r="1925" spans="6:34" x14ac:dyDescent="0.3">
      <c r="F1925" s="35"/>
      <c r="J1925" s="35"/>
      <c r="K1925" s="35"/>
      <c r="L1925" s="35"/>
      <c r="AD1925" s="73"/>
      <c r="AF1925" s="112" t="str">
        <f t="shared" si="60"/>
        <v/>
      </c>
      <c r="AG1925" s="113" t="str">
        <f>IF(AF1925="","",COUNTIF(AF1925:AF$3000,AF1925))</f>
        <v/>
      </c>
      <c r="AH1925" s="114" t="str">
        <f t="shared" si="61"/>
        <v/>
      </c>
    </row>
    <row r="1926" spans="6:34" x14ac:dyDescent="0.3">
      <c r="F1926" s="35"/>
      <c r="J1926" s="35"/>
      <c r="K1926" s="35"/>
      <c r="L1926" s="35"/>
      <c r="AD1926" s="73"/>
      <c r="AF1926" s="112" t="str">
        <f t="shared" si="60"/>
        <v/>
      </c>
      <c r="AG1926" s="113" t="str">
        <f>IF(AF1926="","",COUNTIF(AF1926:AF$3000,AF1926))</f>
        <v/>
      </c>
      <c r="AH1926" s="114" t="str">
        <f t="shared" si="61"/>
        <v/>
      </c>
    </row>
    <row r="1927" spans="6:34" x14ac:dyDescent="0.3">
      <c r="F1927" s="35"/>
      <c r="J1927" s="35"/>
      <c r="K1927" s="35"/>
      <c r="L1927" s="35"/>
      <c r="AD1927" s="73"/>
      <c r="AF1927" s="112" t="str">
        <f t="shared" si="60"/>
        <v/>
      </c>
      <c r="AG1927" s="113" t="str">
        <f>IF(AF1927="","",COUNTIF(AF1927:AF$3000,AF1927))</f>
        <v/>
      </c>
      <c r="AH1927" s="114" t="str">
        <f t="shared" si="61"/>
        <v/>
      </c>
    </row>
    <row r="1928" spans="6:34" x14ac:dyDescent="0.3">
      <c r="F1928" s="35"/>
      <c r="J1928" s="35"/>
      <c r="K1928" s="35"/>
      <c r="L1928" s="35"/>
      <c r="AD1928" s="73"/>
      <c r="AF1928" s="112" t="str">
        <f t="shared" si="60"/>
        <v/>
      </c>
      <c r="AG1928" s="113" t="str">
        <f>IF(AF1928="","",COUNTIF(AF1928:AF$3000,AF1928))</f>
        <v/>
      </c>
      <c r="AH1928" s="114" t="str">
        <f t="shared" si="61"/>
        <v/>
      </c>
    </row>
    <row r="1929" spans="6:34" x14ac:dyDescent="0.3">
      <c r="F1929" s="35"/>
      <c r="J1929" s="35"/>
      <c r="K1929" s="35"/>
      <c r="L1929" s="35"/>
      <c r="AD1929" s="73"/>
      <c r="AF1929" s="112" t="str">
        <f t="shared" si="60"/>
        <v/>
      </c>
      <c r="AG1929" s="113" t="str">
        <f>IF(AF1929="","",COUNTIF(AF1929:AF$3000,AF1929))</f>
        <v/>
      </c>
      <c r="AH1929" s="114" t="str">
        <f t="shared" si="61"/>
        <v/>
      </c>
    </row>
    <row r="1930" spans="6:34" x14ac:dyDescent="0.3">
      <c r="F1930" s="35"/>
      <c r="J1930" s="35"/>
      <c r="K1930" s="35"/>
      <c r="L1930" s="35"/>
      <c r="AD1930" s="73"/>
      <c r="AF1930" s="112" t="str">
        <f t="shared" si="60"/>
        <v/>
      </c>
      <c r="AG1930" s="113" t="str">
        <f>IF(AF1930="","",COUNTIF(AF1930:AF$3000,AF1930))</f>
        <v/>
      </c>
      <c r="AH1930" s="114" t="str">
        <f t="shared" si="61"/>
        <v/>
      </c>
    </row>
    <row r="1931" spans="6:34" x14ac:dyDescent="0.3">
      <c r="F1931" s="35"/>
      <c r="J1931" s="35"/>
      <c r="K1931" s="35"/>
      <c r="L1931" s="35"/>
      <c r="AD1931" s="73"/>
      <c r="AF1931" s="112" t="str">
        <f t="shared" si="60"/>
        <v/>
      </c>
      <c r="AG1931" s="113" t="str">
        <f>IF(AF1931="","",COUNTIF(AF1931:AF$3000,AF1931))</f>
        <v/>
      </c>
      <c r="AH1931" s="114" t="str">
        <f t="shared" si="61"/>
        <v/>
      </c>
    </row>
    <row r="1932" spans="6:34" x14ac:dyDescent="0.3">
      <c r="F1932" s="35"/>
      <c r="J1932" s="35"/>
      <c r="K1932" s="35"/>
      <c r="L1932" s="35"/>
      <c r="AD1932" s="73"/>
      <c r="AF1932" s="112" t="str">
        <f t="shared" si="60"/>
        <v/>
      </c>
      <c r="AG1932" s="113" t="str">
        <f>IF(AF1932="","",COUNTIF(AF1932:AF$3000,AF1932))</f>
        <v/>
      </c>
      <c r="AH1932" s="114" t="str">
        <f t="shared" si="61"/>
        <v/>
      </c>
    </row>
    <row r="1933" spans="6:34" x14ac:dyDescent="0.3">
      <c r="F1933" s="35"/>
      <c r="J1933" s="35"/>
      <c r="K1933" s="35"/>
      <c r="L1933" s="35"/>
      <c r="AD1933" s="73"/>
      <c r="AF1933" s="112" t="str">
        <f t="shared" si="60"/>
        <v/>
      </c>
      <c r="AG1933" s="113" t="str">
        <f>IF(AF1933="","",COUNTIF(AF1933:AF$3000,AF1933))</f>
        <v/>
      </c>
      <c r="AH1933" s="114" t="str">
        <f t="shared" si="61"/>
        <v/>
      </c>
    </row>
    <row r="1934" spans="6:34" x14ac:dyDescent="0.3">
      <c r="F1934" s="35"/>
      <c r="J1934" s="35"/>
      <c r="K1934" s="35"/>
      <c r="L1934" s="35"/>
      <c r="AD1934" s="73"/>
      <c r="AF1934" s="112" t="str">
        <f t="shared" si="60"/>
        <v/>
      </c>
      <c r="AG1934" s="113" t="str">
        <f>IF(AF1934="","",COUNTIF(AF1934:AF$3000,AF1934))</f>
        <v/>
      </c>
      <c r="AH1934" s="114" t="str">
        <f t="shared" si="61"/>
        <v/>
      </c>
    </row>
    <row r="1935" spans="6:34" x14ac:dyDescent="0.3">
      <c r="F1935" s="35"/>
      <c r="J1935" s="35"/>
      <c r="K1935" s="35"/>
      <c r="L1935" s="35"/>
      <c r="AD1935" s="73"/>
      <c r="AF1935" s="112" t="str">
        <f t="shared" si="60"/>
        <v/>
      </c>
      <c r="AG1935" s="113" t="str">
        <f>IF(AF1935="","",COUNTIF(AF1935:AF$3000,AF1935))</f>
        <v/>
      </c>
      <c r="AH1935" s="114" t="str">
        <f t="shared" si="61"/>
        <v/>
      </c>
    </row>
    <row r="1936" spans="6:34" x14ac:dyDescent="0.3">
      <c r="F1936" s="35"/>
      <c r="J1936" s="35"/>
      <c r="K1936" s="35"/>
      <c r="L1936" s="35"/>
      <c r="AD1936" s="73"/>
      <c r="AF1936" s="112" t="str">
        <f t="shared" si="60"/>
        <v/>
      </c>
      <c r="AG1936" s="113" t="str">
        <f>IF(AF1936="","",COUNTIF(AF1936:AF$3000,AF1936))</f>
        <v/>
      </c>
      <c r="AH1936" s="114" t="str">
        <f t="shared" si="61"/>
        <v/>
      </c>
    </row>
    <row r="1937" spans="6:34" x14ac:dyDescent="0.3">
      <c r="F1937" s="35"/>
      <c r="J1937" s="35"/>
      <c r="K1937" s="35"/>
      <c r="L1937" s="35"/>
      <c r="AD1937" s="73"/>
      <c r="AF1937" s="112" t="str">
        <f t="shared" si="60"/>
        <v/>
      </c>
      <c r="AG1937" s="113" t="str">
        <f>IF(AF1937="","",COUNTIF(AF1937:AF$3000,AF1937))</f>
        <v/>
      </c>
      <c r="AH1937" s="114" t="str">
        <f t="shared" si="61"/>
        <v/>
      </c>
    </row>
    <row r="1938" spans="6:34" x14ac:dyDescent="0.3">
      <c r="F1938" s="35"/>
      <c r="J1938" s="35"/>
      <c r="K1938" s="35"/>
      <c r="L1938" s="35"/>
      <c r="AD1938" s="73"/>
      <c r="AF1938" s="112" t="str">
        <f t="shared" si="60"/>
        <v/>
      </c>
      <c r="AG1938" s="113" t="str">
        <f>IF(AF1938="","",COUNTIF(AF1938:AF$3000,AF1938))</f>
        <v/>
      </c>
      <c r="AH1938" s="114" t="str">
        <f t="shared" si="61"/>
        <v/>
      </c>
    </row>
    <row r="1939" spans="6:34" x14ac:dyDescent="0.3">
      <c r="F1939" s="35"/>
      <c r="J1939" s="35"/>
      <c r="K1939" s="35"/>
      <c r="L1939" s="35"/>
      <c r="AD1939" s="73"/>
      <c r="AF1939" s="112" t="str">
        <f t="shared" si="60"/>
        <v/>
      </c>
      <c r="AG1939" s="113" t="str">
        <f>IF(AF1939="","",COUNTIF(AF1939:AF$3000,AF1939))</f>
        <v/>
      </c>
      <c r="AH1939" s="114" t="str">
        <f t="shared" si="61"/>
        <v/>
      </c>
    </row>
    <row r="1940" spans="6:34" x14ac:dyDescent="0.3">
      <c r="F1940" s="35"/>
      <c r="J1940" s="35"/>
      <c r="K1940" s="35"/>
      <c r="L1940" s="35"/>
      <c r="AD1940" s="73"/>
      <c r="AF1940" s="112" t="str">
        <f t="shared" si="60"/>
        <v/>
      </c>
      <c r="AG1940" s="113" t="str">
        <f>IF(AF1940="","",COUNTIF(AF1940:AF$3000,AF1940))</f>
        <v/>
      </c>
      <c r="AH1940" s="114" t="str">
        <f t="shared" si="61"/>
        <v/>
      </c>
    </row>
    <row r="1941" spans="6:34" x14ac:dyDescent="0.3">
      <c r="F1941" s="35"/>
      <c r="J1941" s="35"/>
      <c r="K1941" s="35"/>
      <c r="L1941" s="35"/>
      <c r="AD1941" s="73"/>
      <c r="AF1941" s="112" t="str">
        <f t="shared" si="60"/>
        <v/>
      </c>
      <c r="AG1941" s="113" t="str">
        <f>IF(AF1941="","",COUNTIF(AF1941:AF$3000,AF1941))</f>
        <v/>
      </c>
      <c r="AH1941" s="114" t="str">
        <f t="shared" si="61"/>
        <v/>
      </c>
    </row>
    <row r="1942" spans="6:34" x14ac:dyDescent="0.3">
      <c r="F1942" s="35"/>
      <c r="J1942" s="35"/>
      <c r="K1942" s="35"/>
      <c r="L1942" s="35"/>
      <c r="AD1942" s="73"/>
      <c r="AF1942" s="112" t="str">
        <f t="shared" si="60"/>
        <v/>
      </c>
      <c r="AG1942" s="113" t="str">
        <f>IF(AF1942="","",COUNTIF(AF1942:AF$3000,AF1942))</f>
        <v/>
      </c>
      <c r="AH1942" s="114" t="str">
        <f t="shared" si="61"/>
        <v/>
      </c>
    </row>
    <row r="1943" spans="6:34" x14ac:dyDescent="0.3">
      <c r="F1943" s="35"/>
      <c r="J1943" s="35"/>
      <c r="K1943" s="35"/>
      <c r="L1943" s="35"/>
      <c r="AD1943" s="73"/>
      <c r="AF1943" s="112" t="str">
        <f t="shared" si="60"/>
        <v/>
      </c>
      <c r="AG1943" s="113" t="str">
        <f>IF(AF1943="","",COUNTIF(AF1943:AF$3000,AF1943))</f>
        <v/>
      </c>
      <c r="AH1943" s="114" t="str">
        <f t="shared" si="61"/>
        <v/>
      </c>
    </row>
    <row r="1944" spans="6:34" x14ac:dyDescent="0.3">
      <c r="F1944" s="35"/>
      <c r="J1944" s="35"/>
      <c r="K1944" s="35"/>
      <c r="L1944" s="35"/>
      <c r="AD1944" s="73"/>
      <c r="AF1944" s="112" t="str">
        <f t="shared" si="60"/>
        <v/>
      </c>
      <c r="AG1944" s="113" t="str">
        <f>IF(AF1944="","",COUNTIF(AF1944:AF$3000,AF1944))</f>
        <v/>
      </c>
      <c r="AH1944" s="114" t="str">
        <f t="shared" si="61"/>
        <v/>
      </c>
    </row>
    <row r="1945" spans="6:34" x14ac:dyDescent="0.3">
      <c r="F1945" s="35"/>
      <c r="J1945" s="35"/>
      <c r="K1945" s="35"/>
      <c r="L1945" s="35"/>
      <c r="AD1945" s="73"/>
      <c r="AF1945" s="112" t="str">
        <f t="shared" si="60"/>
        <v/>
      </c>
      <c r="AG1945" s="113" t="str">
        <f>IF(AF1945="","",COUNTIF(AF1945:AF$3000,AF1945))</f>
        <v/>
      </c>
      <c r="AH1945" s="114" t="str">
        <f t="shared" si="61"/>
        <v/>
      </c>
    </row>
    <row r="1946" spans="6:34" x14ac:dyDescent="0.3">
      <c r="F1946" s="35"/>
      <c r="J1946" s="35"/>
      <c r="K1946" s="35"/>
      <c r="L1946" s="35"/>
      <c r="AD1946" s="73"/>
      <c r="AF1946" s="112" t="str">
        <f t="shared" si="60"/>
        <v/>
      </c>
      <c r="AG1946" s="113" t="str">
        <f>IF(AF1946="","",COUNTIF(AF1946:AF$3000,AF1946))</f>
        <v/>
      </c>
      <c r="AH1946" s="114" t="str">
        <f t="shared" si="61"/>
        <v/>
      </c>
    </row>
    <row r="1947" spans="6:34" x14ac:dyDescent="0.3">
      <c r="F1947" s="35"/>
      <c r="J1947" s="35"/>
      <c r="K1947" s="35"/>
      <c r="L1947" s="35"/>
      <c r="AD1947" s="73"/>
      <c r="AF1947" s="112" t="str">
        <f t="shared" si="60"/>
        <v/>
      </c>
      <c r="AG1947" s="113" t="str">
        <f>IF(AF1947="","",COUNTIF(AF1947:AF$3000,AF1947))</f>
        <v/>
      </c>
      <c r="AH1947" s="114" t="str">
        <f t="shared" si="61"/>
        <v/>
      </c>
    </row>
    <row r="1948" spans="6:34" x14ac:dyDescent="0.3">
      <c r="F1948" s="35"/>
      <c r="J1948" s="35"/>
      <c r="K1948" s="35"/>
      <c r="L1948" s="35"/>
      <c r="AD1948" s="73"/>
      <c r="AF1948" s="112" t="str">
        <f t="shared" si="60"/>
        <v/>
      </c>
      <c r="AG1948" s="113" t="str">
        <f>IF(AF1948="","",COUNTIF(AF1948:AF$3000,AF1948))</f>
        <v/>
      </c>
      <c r="AH1948" s="114" t="str">
        <f t="shared" si="61"/>
        <v/>
      </c>
    </row>
    <row r="1949" spans="6:34" x14ac:dyDescent="0.3">
      <c r="F1949" s="35"/>
      <c r="J1949" s="35"/>
      <c r="K1949" s="35"/>
      <c r="L1949" s="35"/>
      <c r="AD1949" s="73"/>
      <c r="AF1949" s="112" t="str">
        <f t="shared" si="60"/>
        <v/>
      </c>
      <c r="AG1949" s="113" t="str">
        <f>IF(AF1949="","",COUNTIF(AF1949:AF$3000,AF1949))</f>
        <v/>
      </c>
      <c r="AH1949" s="114" t="str">
        <f t="shared" si="61"/>
        <v/>
      </c>
    </row>
    <row r="1950" spans="6:34" x14ac:dyDescent="0.3">
      <c r="F1950" s="35"/>
      <c r="J1950" s="35"/>
      <c r="K1950" s="35"/>
      <c r="L1950" s="35"/>
      <c r="AD1950" s="73"/>
      <c r="AF1950" s="112" t="str">
        <f t="shared" si="60"/>
        <v/>
      </c>
      <c r="AG1950" s="113" t="str">
        <f>IF(AF1950="","",COUNTIF(AF1950:AF$3000,AF1950))</f>
        <v/>
      </c>
      <c r="AH1950" s="114" t="str">
        <f t="shared" si="61"/>
        <v/>
      </c>
    </row>
    <row r="1951" spans="6:34" x14ac:dyDescent="0.3">
      <c r="F1951" s="35"/>
      <c r="J1951" s="35"/>
      <c r="K1951" s="35"/>
      <c r="L1951" s="35"/>
      <c r="AD1951" s="73"/>
      <c r="AF1951" s="112" t="str">
        <f t="shared" si="60"/>
        <v/>
      </c>
      <c r="AG1951" s="113" t="str">
        <f>IF(AF1951="","",COUNTIF(AF1951:AF$3000,AF1951))</f>
        <v/>
      </c>
      <c r="AH1951" s="114" t="str">
        <f t="shared" si="61"/>
        <v/>
      </c>
    </row>
    <row r="1952" spans="6:34" x14ac:dyDescent="0.3">
      <c r="F1952" s="35"/>
      <c r="J1952" s="35"/>
      <c r="K1952" s="35"/>
      <c r="L1952" s="35"/>
      <c r="AD1952" s="73"/>
      <c r="AF1952" s="112" t="str">
        <f t="shared" si="60"/>
        <v/>
      </c>
      <c r="AG1952" s="113" t="str">
        <f>IF(AF1952="","",COUNTIF(AF1952:AF$3000,AF1952))</f>
        <v/>
      </c>
      <c r="AH1952" s="114" t="str">
        <f t="shared" si="61"/>
        <v/>
      </c>
    </row>
    <row r="1953" spans="6:34" x14ac:dyDescent="0.3">
      <c r="F1953" s="35"/>
      <c r="J1953" s="35"/>
      <c r="K1953" s="35"/>
      <c r="L1953" s="35"/>
      <c r="AD1953" s="73"/>
      <c r="AF1953" s="112" t="str">
        <f t="shared" si="60"/>
        <v/>
      </c>
      <c r="AG1953" s="113" t="str">
        <f>IF(AF1953="","",COUNTIF(AF1953:AF$3000,AF1953))</f>
        <v/>
      </c>
      <c r="AH1953" s="114" t="str">
        <f t="shared" si="61"/>
        <v/>
      </c>
    </row>
    <row r="1954" spans="6:34" x14ac:dyDescent="0.3">
      <c r="F1954" s="35"/>
      <c r="J1954" s="35"/>
      <c r="K1954" s="35"/>
      <c r="L1954" s="35"/>
      <c r="AD1954" s="73"/>
      <c r="AF1954" s="112" t="str">
        <f t="shared" si="60"/>
        <v/>
      </c>
      <c r="AG1954" s="113" t="str">
        <f>IF(AF1954="","",COUNTIF(AF1954:AF$3000,AF1954))</f>
        <v/>
      </c>
      <c r="AH1954" s="114" t="str">
        <f t="shared" si="61"/>
        <v/>
      </c>
    </row>
    <row r="1955" spans="6:34" x14ac:dyDescent="0.3">
      <c r="F1955" s="35"/>
      <c r="J1955" s="35"/>
      <c r="K1955" s="35"/>
      <c r="L1955" s="35"/>
      <c r="AD1955" s="73"/>
      <c r="AF1955" s="112" t="str">
        <f t="shared" si="60"/>
        <v/>
      </c>
      <c r="AG1955" s="113" t="str">
        <f>IF(AF1955="","",COUNTIF(AF1955:AF$3000,AF1955))</f>
        <v/>
      </c>
      <c r="AH1955" s="114" t="str">
        <f t="shared" si="61"/>
        <v/>
      </c>
    </row>
    <row r="1956" spans="6:34" x14ac:dyDescent="0.3">
      <c r="F1956" s="35"/>
      <c r="J1956" s="35"/>
      <c r="K1956" s="35"/>
      <c r="L1956" s="35"/>
      <c r="AD1956" s="73"/>
      <c r="AF1956" s="112" t="str">
        <f t="shared" si="60"/>
        <v/>
      </c>
      <c r="AG1956" s="113" t="str">
        <f>IF(AF1956="","",COUNTIF(AF1956:AF$3000,AF1956))</f>
        <v/>
      </c>
      <c r="AH1956" s="114" t="str">
        <f t="shared" si="61"/>
        <v/>
      </c>
    </row>
    <row r="1957" spans="6:34" x14ac:dyDescent="0.3">
      <c r="F1957" s="35"/>
      <c r="J1957" s="35"/>
      <c r="K1957" s="35"/>
      <c r="L1957" s="35"/>
      <c r="AD1957" s="73"/>
      <c r="AF1957" s="112" t="str">
        <f t="shared" si="60"/>
        <v/>
      </c>
      <c r="AG1957" s="113" t="str">
        <f>IF(AF1957="","",COUNTIF(AF1957:AF$3000,AF1957))</f>
        <v/>
      </c>
      <c r="AH1957" s="114" t="str">
        <f t="shared" si="61"/>
        <v/>
      </c>
    </row>
    <row r="1958" spans="6:34" x14ac:dyDescent="0.3">
      <c r="F1958" s="35"/>
      <c r="J1958" s="35"/>
      <c r="K1958" s="35"/>
      <c r="L1958" s="35"/>
      <c r="AD1958" s="73"/>
      <c r="AF1958" s="112" t="str">
        <f t="shared" si="60"/>
        <v/>
      </c>
      <c r="AG1958" s="113" t="str">
        <f>IF(AF1958="","",COUNTIF(AF1958:AF$3000,AF1958))</f>
        <v/>
      </c>
      <c r="AH1958" s="114" t="str">
        <f t="shared" si="61"/>
        <v/>
      </c>
    </row>
    <row r="1959" spans="6:34" x14ac:dyDescent="0.3">
      <c r="F1959" s="35"/>
      <c r="J1959" s="35"/>
      <c r="K1959" s="35"/>
      <c r="L1959" s="35"/>
      <c r="AD1959" s="73"/>
      <c r="AF1959" s="112" t="str">
        <f t="shared" si="60"/>
        <v/>
      </c>
      <c r="AG1959" s="113" t="str">
        <f>IF(AF1959="","",COUNTIF(AF1959:AF$3000,AF1959))</f>
        <v/>
      </c>
      <c r="AH1959" s="114" t="str">
        <f t="shared" si="61"/>
        <v/>
      </c>
    </row>
    <row r="1960" spans="6:34" x14ac:dyDescent="0.3">
      <c r="F1960" s="35"/>
      <c r="J1960" s="35"/>
      <c r="K1960" s="35"/>
      <c r="L1960" s="35"/>
      <c r="AD1960" s="73"/>
      <c r="AF1960" s="112" t="str">
        <f t="shared" si="60"/>
        <v/>
      </c>
      <c r="AG1960" s="113" t="str">
        <f>IF(AF1960="","",COUNTIF(AF1960:AF$3000,AF1960))</f>
        <v/>
      </c>
      <c r="AH1960" s="114" t="str">
        <f t="shared" si="61"/>
        <v/>
      </c>
    </row>
    <row r="1961" spans="6:34" x14ac:dyDescent="0.3">
      <c r="F1961" s="35"/>
      <c r="J1961" s="35"/>
      <c r="K1961" s="35"/>
      <c r="L1961" s="35"/>
      <c r="AD1961" s="73"/>
      <c r="AF1961" s="112" t="str">
        <f t="shared" si="60"/>
        <v/>
      </c>
      <c r="AG1961" s="113" t="str">
        <f>IF(AF1961="","",COUNTIF(AF1961:AF$3000,AF1961))</f>
        <v/>
      </c>
      <c r="AH1961" s="114" t="str">
        <f t="shared" si="61"/>
        <v/>
      </c>
    </row>
    <row r="1962" spans="6:34" x14ac:dyDescent="0.3">
      <c r="F1962" s="35"/>
      <c r="J1962" s="35"/>
      <c r="K1962" s="35"/>
      <c r="L1962" s="35"/>
      <c r="AD1962" s="73"/>
      <c r="AF1962" s="112" t="str">
        <f t="shared" si="60"/>
        <v/>
      </c>
      <c r="AG1962" s="113" t="str">
        <f>IF(AF1962="","",COUNTIF(AF1962:AF$3000,AF1962))</f>
        <v/>
      </c>
      <c r="AH1962" s="114" t="str">
        <f t="shared" si="61"/>
        <v/>
      </c>
    </row>
    <row r="1963" spans="6:34" x14ac:dyDescent="0.3">
      <c r="F1963" s="35"/>
      <c r="J1963" s="35"/>
      <c r="K1963" s="35"/>
      <c r="L1963" s="35"/>
      <c r="AD1963" s="73"/>
      <c r="AF1963" s="112" t="str">
        <f t="shared" si="60"/>
        <v/>
      </c>
      <c r="AG1963" s="113" t="str">
        <f>IF(AF1963="","",COUNTIF(AF1963:AF$3000,AF1963))</f>
        <v/>
      </c>
      <c r="AH1963" s="114" t="str">
        <f t="shared" si="61"/>
        <v/>
      </c>
    </row>
    <row r="1964" spans="6:34" x14ac:dyDescent="0.3">
      <c r="F1964" s="35"/>
      <c r="J1964" s="35"/>
      <c r="K1964" s="35"/>
      <c r="L1964" s="35"/>
      <c r="AD1964" s="73"/>
      <c r="AF1964" s="112" t="str">
        <f t="shared" si="60"/>
        <v/>
      </c>
      <c r="AG1964" s="113" t="str">
        <f>IF(AF1964="","",COUNTIF(AF1964:AF$3000,AF1964))</f>
        <v/>
      </c>
      <c r="AH1964" s="114" t="str">
        <f t="shared" si="61"/>
        <v/>
      </c>
    </row>
    <row r="1965" spans="6:34" x14ac:dyDescent="0.3">
      <c r="F1965" s="35"/>
      <c r="J1965" s="35"/>
      <c r="K1965" s="35"/>
      <c r="L1965" s="35"/>
      <c r="AD1965" s="73"/>
      <c r="AF1965" s="112" t="str">
        <f t="shared" si="60"/>
        <v/>
      </c>
      <c r="AG1965" s="113" t="str">
        <f>IF(AF1965="","",COUNTIF(AF1965:AF$3000,AF1965))</f>
        <v/>
      </c>
      <c r="AH1965" s="114" t="str">
        <f t="shared" si="61"/>
        <v/>
      </c>
    </row>
    <row r="1966" spans="6:34" x14ac:dyDescent="0.3">
      <c r="F1966" s="35"/>
      <c r="J1966" s="35"/>
      <c r="K1966" s="35"/>
      <c r="L1966" s="35"/>
      <c r="AD1966" s="73"/>
      <c r="AF1966" s="112" t="str">
        <f t="shared" si="60"/>
        <v/>
      </c>
      <c r="AG1966" s="113" t="str">
        <f>IF(AF1966="","",COUNTIF(AF1966:AF$3000,AF1966))</f>
        <v/>
      </c>
      <c r="AH1966" s="114" t="str">
        <f t="shared" si="61"/>
        <v/>
      </c>
    </row>
    <row r="1967" spans="6:34" x14ac:dyDescent="0.3">
      <c r="F1967" s="35"/>
      <c r="J1967" s="35"/>
      <c r="K1967" s="35"/>
      <c r="L1967" s="35"/>
      <c r="AD1967" s="73"/>
      <c r="AF1967" s="112" t="str">
        <f t="shared" si="60"/>
        <v/>
      </c>
      <c r="AG1967" s="113" t="str">
        <f>IF(AF1967="","",COUNTIF(AF1967:AF$3000,AF1967))</f>
        <v/>
      </c>
      <c r="AH1967" s="114" t="str">
        <f t="shared" si="61"/>
        <v/>
      </c>
    </row>
    <row r="1968" spans="6:34" x14ac:dyDescent="0.3">
      <c r="F1968" s="35"/>
      <c r="J1968" s="35"/>
      <c r="K1968" s="35"/>
      <c r="L1968" s="35"/>
      <c r="AD1968" s="73"/>
      <c r="AF1968" s="112" t="str">
        <f t="shared" si="60"/>
        <v/>
      </c>
      <c r="AG1968" s="113" t="str">
        <f>IF(AF1968="","",COUNTIF(AF1968:AF$3000,AF1968))</f>
        <v/>
      </c>
      <c r="AH1968" s="114" t="str">
        <f t="shared" si="61"/>
        <v/>
      </c>
    </row>
    <row r="1969" spans="6:34" x14ac:dyDescent="0.3">
      <c r="F1969" s="35"/>
      <c r="J1969" s="35"/>
      <c r="K1969" s="35"/>
      <c r="L1969" s="35"/>
      <c r="AD1969" s="73"/>
      <c r="AF1969" s="112" t="str">
        <f t="shared" si="60"/>
        <v/>
      </c>
      <c r="AG1969" s="113" t="str">
        <f>IF(AF1969="","",COUNTIF(AF1969:AF$3000,AF1969))</f>
        <v/>
      </c>
      <c r="AH1969" s="114" t="str">
        <f t="shared" si="61"/>
        <v/>
      </c>
    </row>
    <row r="1970" spans="6:34" x14ac:dyDescent="0.3">
      <c r="F1970" s="35"/>
      <c r="J1970" s="35"/>
      <c r="K1970" s="35"/>
      <c r="L1970" s="35"/>
      <c r="AD1970" s="73"/>
      <c r="AF1970" s="112" t="str">
        <f t="shared" si="60"/>
        <v/>
      </c>
      <c r="AG1970" s="113" t="str">
        <f>IF(AF1970="","",COUNTIF(AF1970:AF$3000,AF1970))</f>
        <v/>
      </c>
      <c r="AH1970" s="114" t="str">
        <f t="shared" si="61"/>
        <v/>
      </c>
    </row>
    <row r="1971" spans="6:34" x14ac:dyDescent="0.3">
      <c r="F1971" s="35"/>
      <c r="J1971" s="35"/>
      <c r="K1971" s="35"/>
      <c r="L1971" s="35"/>
      <c r="AD1971" s="73"/>
      <c r="AF1971" s="112" t="str">
        <f t="shared" si="60"/>
        <v/>
      </c>
      <c r="AG1971" s="113" t="str">
        <f>IF(AF1971="","",COUNTIF(AF1971:AF$3000,AF1971))</f>
        <v/>
      </c>
      <c r="AH1971" s="114" t="str">
        <f t="shared" si="61"/>
        <v/>
      </c>
    </row>
    <row r="1972" spans="6:34" x14ac:dyDescent="0.3">
      <c r="F1972" s="35"/>
      <c r="J1972" s="35"/>
      <c r="K1972" s="35"/>
      <c r="L1972" s="35"/>
      <c r="AD1972" s="73"/>
      <c r="AF1972" s="112" t="str">
        <f t="shared" si="60"/>
        <v/>
      </c>
      <c r="AG1972" s="113" t="str">
        <f>IF(AF1972="","",COUNTIF(AF1972:AF$3000,AF1972))</f>
        <v/>
      </c>
      <c r="AH1972" s="114" t="str">
        <f t="shared" si="61"/>
        <v/>
      </c>
    </row>
    <row r="1973" spans="6:34" x14ac:dyDescent="0.3">
      <c r="F1973" s="35"/>
      <c r="J1973" s="35"/>
      <c r="K1973" s="35"/>
      <c r="L1973" s="35"/>
      <c r="AD1973" s="73"/>
      <c r="AF1973" s="112" t="str">
        <f t="shared" si="60"/>
        <v/>
      </c>
      <c r="AG1973" s="113" t="str">
        <f>IF(AF1973="","",COUNTIF(AF1973:AF$3000,AF1973))</f>
        <v/>
      </c>
      <c r="AH1973" s="114" t="str">
        <f t="shared" si="61"/>
        <v/>
      </c>
    </row>
    <row r="1974" spans="6:34" x14ac:dyDescent="0.3">
      <c r="F1974" s="35"/>
      <c r="J1974" s="35"/>
      <c r="K1974" s="35"/>
      <c r="L1974" s="35"/>
      <c r="AD1974" s="73"/>
      <c r="AF1974" s="112" t="str">
        <f t="shared" si="60"/>
        <v/>
      </c>
      <c r="AG1974" s="113" t="str">
        <f>IF(AF1974="","",COUNTIF(AF1974:AF$3000,AF1974))</f>
        <v/>
      </c>
      <c r="AH1974" s="114" t="str">
        <f t="shared" si="61"/>
        <v/>
      </c>
    </row>
    <row r="1975" spans="6:34" x14ac:dyDescent="0.3">
      <c r="F1975" s="35"/>
      <c r="J1975" s="35"/>
      <c r="K1975" s="35"/>
      <c r="L1975" s="35"/>
      <c r="AD1975" s="73"/>
      <c r="AF1975" s="112" t="str">
        <f t="shared" si="60"/>
        <v/>
      </c>
      <c r="AG1975" s="113" t="str">
        <f>IF(AF1975="","",COUNTIF(AF1975:AF$3000,AF1975))</f>
        <v/>
      </c>
      <c r="AH1975" s="114" t="str">
        <f t="shared" si="61"/>
        <v/>
      </c>
    </row>
    <row r="1976" spans="6:34" x14ac:dyDescent="0.3">
      <c r="F1976" s="35"/>
      <c r="J1976" s="35"/>
      <c r="K1976" s="35"/>
      <c r="L1976" s="35"/>
      <c r="AD1976" s="73"/>
      <c r="AF1976" s="112" t="str">
        <f t="shared" si="60"/>
        <v/>
      </c>
      <c r="AG1976" s="113" t="str">
        <f>IF(AF1976="","",COUNTIF(AF1976:AF$3000,AF1976))</f>
        <v/>
      </c>
      <c r="AH1976" s="114" t="str">
        <f t="shared" si="61"/>
        <v/>
      </c>
    </row>
    <row r="1977" spans="6:34" x14ac:dyDescent="0.3">
      <c r="F1977" s="35"/>
      <c r="J1977" s="35"/>
      <c r="K1977" s="35"/>
      <c r="L1977" s="35"/>
      <c r="AD1977" s="73"/>
      <c r="AF1977" s="112" t="str">
        <f t="shared" si="60"/>
        <v/>
      </c>
      <c r="AG1977" s="113" t="str">
        <f>IF(AF1977="","",COUNTIF(AF1977:AF$3000,AF1977))</f>
        <v/>
      </c>
      <c r="AH1977" s="114" t="str">
        <f t="shared" si="61"/>
        <v/>
      </c>
    </row>
    <row r="1978" spans="6:34" x14ac:dyDescent="0.3">
      <c r="F1978" s="35"/>
      <c r="J1978" s="35"/>
      <c r="K1978" s="35"/>
      <c r="L1978" s="35"/>
      <c r="AD1978" s="73"/>
      <c r="AF1978" s="112" t="str">
        <f t="shared" si="60"/>
        <v/>
      </c>
      <c r="AG1978" s="113" t="str">
        <f>IF(AF1978="","",COUNTIF(AF1978:AF$3000,AF1978))</f>
        <v/>
      </c>
      <c r="AH1978" s="114" t="str">
        <f t="shared" si="61"/>
        <v/>
      </c>
    </row>
    <row r="1979" spans="6:34" x14ac:dyDescent="0.3">
      <c r="F1979" s="35"/>
      <c r="J1979" s="35"/>
      <c r="K1979" s="35"/>
      <c r="L1979" s="35"/>
      <c r="AD1979" s="73"/>
      <c r="AF1979" s="112" t="str">
        <f t="shared" si="60"/>
        <v/>
      </c>
      <c r="AG1979" s="113" t="str">
        <f>IF(AF1979="","",COUNTIF(AF1979:AF$3000,AF1979))</f>
        <v/>
      </c>
      <c r="AH1979" s="114" t="str">
        <f t="shared" si="61"/>
        <v/>
      </c>
    </row>
    <row r="1980" spans="6:34" x14ac:dyDescent="0.3">
      <c r="F1980" s="35"/>
      <c r="J1980" s="35"/>
      <c r="K1980" s="35"/>
      <c r="L1980" s="35"/>
      <c r="AD1980" s="73"/>
      <c r="AF1980" s="112" t="str">
        <f t="shared" si="60"/>
        <v/>
      </c>
      <c r="AG1980" s="113" t="str">
        <f>IF(AF1980="","",COUNTIF(AF1980:AF$3000,AF1980))</f>
        <v/>
      </c>
      <c r="AH1980" s="114" t="str">
        <f t="shared" si="61"/>
        <v/>
      </c>
    </row>
    <row r="1981" spans="6:34" x14ac:dyDescent="0.3">
      <c r="F1981" s="35"/>
      <c r="J1981" s="35"/>
      <c r="K1981" s="35"/>
      <c r="L1981" s="35"/>
      <c r="AD1981" s="73"/>
      <c r="AF1981" s="112" t="str">
        <f t="shared" si="60"/>
        <v/>
      </c>
      <c r="AG1981" s="113" t="str">
        <f>IF(AF1981="","",COUNTIF(AF1981:AF$3000,AF1981))</f>
        <v/>
      </c>
      <c r="AH1981" s="114" t="str">
        <f t="shared" si="61"/>
        <v/>
      </c>
    </row>
    <row r="1982" spans="6:34" x14ac:dyDescent="0.3">
      <c r="F1982" s="35"/>
      <c r="J1982" s="35"/>
      <c r="K1982" s="35"/>
      <c r="L1982" s="35"/>
      <c r="AD1982" s="73"/>
      <c r="AF1982" s="112" t="str">
        <f t="shared" si="60"/>
        <v/>
      </c>
      <c r="AG1982" s="113" t="str">
        <f>IF(AF1982="","",COUNTIF(AF1982:AF$3000,AF1982))</f>
        <v/>
      </c>
      <c r="AH1982" s="114" t="str">
        <f t="shared" si="61"/>
        <v/>
      </c>
    </row>
    <row r="1983" spans="6:34" x14ac:dyDescent="0.3">
      <c r="F1983" s="35"/>
      <c r="J1983" s="35"/>
      <c r="K1983" s="35"/>
      <c r="L1983" s="35"/>
      <c r="AD1983" s="73"/>
      <c r="AF1983" s="112" t="str">
        <f t="shared" si="60"/>
        <v/>
      </c>
      <c r="AG1983" s="113" t="str">
        <f>IF(AF1983="","",COUNTIF(AF1983:AF$3000,AF1983))</f>
        <v/>
      </c>
      <c r="AH1983" s="114" t="str">
        <f t="shared" si="61"/>
        <v/>
      </c>
    </row>
    <row r="1984" spans="6:34" x14ac:dyDescent="0.3">
      <c r="F1984" s="35"/>
      <c r="J1984" s="35"/>
      <c r="K1984" s="35"/>
      <c r="L1984" s="35"/>
      <c r="AD1984" s="73"/>
      <c r="AF1984" s="112" t="str">
        <f t="shared" si="60"/>
        <v/>
      </c>
      <c r="AG1984" s="113" t="str">
        <f>IF(AF1984="","",COUNTIF(AF1984:AF$3000,AF1984))</f>
        <v/>
      </c>
      <c r="AH1984" s="114" t="str">
        <f t="shared" si="61"/>
        <v/>
      </c>
    </row>
    <row r="1985" spans="6:34" x14ac:dyDescent="0.3">
      <c r="F1985" s="35"/>
      <c r="J1985" s="35"/>
      <c r="K1985" s="35"/>
      <c r="L1985" s="35"/>
      <c r="AD1985" s="73"/>
      <c r="AF1985" s="112" t="str">
        <f t="shared" si="60"/>
        <v/>
      </c>
      <c r="AG1985" s="113" t="str">
        <f>IF(AF1985="","",COUNTIF(AF1985:AF$3000,AF1985))</f>
        <v/>
      </c>
      <c r="AH1985" s="114" t="str">
        <f t="shared" si="61"/>
        <v/>
      </c>
    </row>
    <row r="1986" spans="6:34" x14ac:dyDescent="0.3">
      <c r="F1986" s="35"/>
      <c r="J1986" s="35"/>
      <c r="K1986" s="35"/>
      <c r="L1986" s="35"/>
      <c r="AD1986" s="73"/>
      <c r="AF1986" s="112" t="str">
        <f t="shared" si="60"/>
        <v/>
      </c>
      <c r="AG1986" s="113" t="str">
        <f>IF(AF1986="","",COUNTIF(AF1986:AF$3000,AF1986))</f>
        <v/>
      </c>
      <c r="AH1986" s="114" t="str">
        <f t="shared" si="61"/>
        <v/>
      </c>
    </row>
    <row r="1987" spans="6:34" x14ac:dyDescent="0.3">
      <c r="F1987" s="35"/>
      <c r="J1987" s="35"/>
      <c r="K1987" s="35"/>
      <c r="L1987" s="35"/>
      <c r="AD1987" s="73"/>
      <c r="AF1987" s="112" t="str">
        <f t="shared" si="60"/>
        <v/>
      </c>
      <c r="AG1987" s="113" t="str">
        <f>IF(AF1987="","",COUNTIF(AF1987:AF$3000,AF1987))</f>
        <v/>
      </c>
      <c r="AH1987" s="114" t="str">
        <f t="shared" si="61"/>
        <v/>
      </c>
    </row>
    <row r="1988" spans="6:34" x14ac:dyDescent="0.3">
      <c r="F1988" s="35"/>
      <c r="J1988" s="35"/>
      <c r="K1988" s="35"/>
      <c r="L1988" s="35"/>
      <c r="AD1988" s="73"/>
      <c r="AF1988" s="112" t="str">
        <f t="shared" ref="AF1988:AF2000" si="62">IF(B1988="","",TEXT(J1988,"DD/MM/AA")&amp;"_"&amp;S1988&amp;"_"&amp;V1988)</f>
        <v/>
      </c>
      <c r="AG1988" s="113" t="str">
        <f>IF(AF1988="","",COUNTIF(AF1988:AF$3000,AF1988))</f>
        <v/>
      </c>
      <c r="AH1988" s="114" t="str">
        <f t="shared" ref="AH1988:AH2000" si="63">IF(AA1988="","",
IF(AG1988&gt;1,"",
IF(SUMIF(AF$3:AF$31,AF1988,H$3:H$31)/10&lt;1,1,SUMIF(AF$3:AF$31,AF1988,H$3:H$31)/10)))</f>
        <v/>
      </c>
    </row>
    <row r="1989" spans="6:34" x14ac:dyDescent="0.3">
      <c r="F1989" s="35"/>
      <c r="J1989" s="35"/>
      <c r="K1989" s="35"/>
      <c r="L1989" s="35"/>
      <c r="AD1989" s="73"/>
      <c r="AF1989" s="112" t="str">
        <f t="shared" si="62"/>
        <v/>
      </c>
      <c r="AG1989" s="113" t="str">
        <f>IF(AF1989="","",COUNTIF(AF1989:AF$3000,AF1989))</f>
        <v/>
      </c>
      <c r="AH1989" s="114" t="str">
        <f t="shared" si="63"/>
        <v/>
      </c>
    </row>
    <row r="1990" spans="6:34" x14ac:dyDescent="0.3">
      <c r="F1990" s="35"/>
      <c r="J1990" s="35"/>
      <c r="K1990" s="35"/>
      <c r="L1990" s="35"/>
      <c r="AD1990" s="73"/>
      <c r="AF1990" s="112" t="str">
        <f t="shared" si="62"/>
        <v/>
      </c>
      <c r="AG1990" s="113" t="str">
        <f>IF(AF1990="","",COUNTIF(AF1990:AF$3000,AF1990))</f>
        <v/>
      </c>
      <c r="AH1990" s="114" t="str">
        <f t="shared" si="63"/>
        <v/>
      </c>
    </row>
    <row r="1991" spans="6:34" x14ac:dyDescent="0.3">
      <c r="F1991" s="35"/>
      <c r="J1991" s="35"/>
      <c r="K1991" s="35"/>
      <c r="L1991" s="35"/>
      <c r="AD1991" s="73"/>
      <c r="AF1991" s="112" t="str">
        <f t="shared" si="62"/>
        <v/>
      </c>
      <c r="AG1991" s="113" t="str">
        <f>IF(AF1991="","",COUNTIF(AF1991:AF$3000,AF1991))</f>
        <v/>
      </c>
      <c r="AH1991" s="114" t="str">
        <f t="shared" si="63"/>
        <v/>
      </c>
    </row>
    <row r="1992" spans="6:34" x14ac:dyDescent="0.3">
      <c r="F1992" s="35"/>
      <c r="J1992" s="35"/>
      <c r="K1992" s="35"/>
      <c r="L1992" s="35"/>
      <c r="AD1992" s="73"/>
      <c r="AF1992" s="112" t="str">
        <f t="shared" si="62"/>
        <v/>
      </c>
      <c r="AG1992" s="113" t="str">
        <f>IF(AF1992="","",COUNTIF(AF1992:AF$3000,AF1992))</f>
        <v/>
      </c>
      <c r="AH1992" s="114" t="str">
        <f t="shared" si="63"/>
        <v/>
      </c>
    </row>
    <row r="1993" spans="6:34" x14ac:dyDescent="0.3">
      <c r="F1993" s="35"/>
      <c r="J1993" s="35"/>
      <c r="K1993" s="35"/>
      <c r="L1993" s="35"/>
      <c r="AD1993" s="73"/>
      <c r="AF1993" s="112" t="str">
        <f t="shared" si="62"/>
        <v/>
      </c>
      <c r="AG1993" s="113" t="str">
        <f>IF(AF1993="","",COUNTIF(AF1993:AF$3000,AF1993))</f>
        <v/>
      </c>
      <c r="AH1993" s="114" t="str">
        <f t="shared" si="63"/>
        <v/>
      </c>
    </row>
    <row r="1994" spans="6:34" x14ac:dyDescent="0.3">
      <c r="F1994" s="35"/>
      <c r="J1994" s="35"/>
      <c r="K1994" s="35"/>
      <c r="L1994" s="35"/>
      <c r="AD1994" s="73"/>
      <c r="AF1994" s="112" t="str">
        <f t="shared" si="62"/>
        <v/>
      </c>
      <c r="AG1994" s="113" t="str">
        <f>IF(AF1994="","",COUNTIF(AF1994:AF$3000,AF1994))</f>
        <v/>
      </c>
      <c r="AH1994" s="114" t="str">
        <f t="shared" si="63"/>
        <v/>
      </c>
    </row>
    <row r="1995" spans="6:34" x14ac:dyDescent="0.3">
      <c r="F1995" s="35"/>
      <c r="J1995" s="35"/>
      <c r="K1995" s="35"/>
      <c r="L1995" s="35"/>
      <c r="AD1995" s="73"/>
      <c r="AF1995" s="112" t="str">
        <f t="shared" si="62"/>
        <v/>
      </c>
      <c r="AG1995" s="113" t="str">
        <f>IF(AF1995="","",COUNTIF(AF1995:AF$3000,AF1995))</f>
        <v/>
      </c>
      <c r="AH1995" s="114" t="str">
        <f t="shared" si="63"/>
        <v/>
      </c>
    </row>
    <row r="1996" spans="6:34" x14ac:dyDescent="0.3">
      <c r="F1996" s="35"/>
      <c r="J1996" s="35"/>
      <c r="K1996" s="35"/>
      <c r="L1996" s="35"/>
      <c r="AD1996" s="73"/>
      <c r="AF1996" s="112" t="str">
        <f t="shared" si="62"/>
        <v/>
      </c>
      <c r="AG1996" s="113" t="str">
        <f>IF(AF1996="","",COUNTIF(AF1996:AF$3000,AF1996))</f>
        <v/>
      </c>
      <c r="AH1996" s="114" t="str">
        <f t="shared" si="63"/>
        <v/>
      </c>
    </row>
    <row r="1997" spans="6:34" x14ac:dyDescent="0.3">
      <c r="F1997" s="35"/>
      <c r="J1997" s="35"/>
      <c r="K1997" s="35"/>
      <c r="L1997" s="35"/>
      <c r="AD1997" s="73"/>
      <c r="AF1997" s="112" t="str">
        <f t="shared" si="62"/>
        <v/>
      </c>
      <c r="AG1997" s="113" t="str">
        <f>IF(AF1997="","",COUNTIF(AF1997:AF$3000,AF1997))</f>
        <v/>
      </c>
      <c r="AH1997" s="114" t="str">
        <f t="shared" si="63"/>
        <v/>
      </c>
    </row>
    <row r="1998" spans="6:34" x14ac:dyDescent="0.3">
      <c r="F1998" s="35"/>
      <c r="J1998" s="35"/>
      <c r="K1998" s="35"/>
      <c r="L1998" s="35"/>
      <c r="AD1998" s="73"/>
      <c r="AF1998" s="112" t="str">
        <f t="shared" si="62"/>
        <v/>
      </c>
      <c r="AG1998" s="113" t="str">
        <f>IF(AF1998="","",COUNTIF(AF1998:AF$3000,AF1998))</f>
        <v/>
      </c>
      <c r="AH1998" s="114" t="str">
        <f t="shared" si="63"/>
        <v/>
      </c>
    </row>
    <row r="1999" spans="6:34" x14ac:dyDescent="0.3">
      <c r="F1999" s="35"/>
      <c r="J1999" s="35"/>
      <c r="K1999" s="35"/>
      <c r="L1999" s="35"/>
      <c r="AD1999" s="73"/>
      <c r="AF1999" s="112" t="str">
        <f t="shared" si="62"/>
        <v/>
      </c>
      <c r="AG1999" s="113" t="str">
        <f>IF(AF1999="","",COUNTIF(AF1999:AF$3000,AF1999))</f>
        <v/>
      </c>
      <c r="AH1999" s="114" t="str">
        <f t="shared" si="63"/>
        <v/>
      </c>
    </row>
    <row r="2000" spans="6:34" x14ac:dyDescent="0.3">
      <c r="F2000" s="35"/>
      <c r="J2000" s="35"/>
      <c r="K2000" s="35"/>
      <c r="L2000" s="35"/>
      <c r="AD2000" s="73"/>
      <c r="AF2000" s="112" t="str">
        <f t="shared" si="62"/>
        <v/>
      </c>
      <c r="AG2000" s="113" t="str">
        <f>IF(AF2000="","",COUNTIF(AF2000:AF$3000,AF2000))</f>
        <v/>
      </c>
      <c r="AH2000" s="114" t="str">
        <f t="shared" si="63"/>
        <v/>
      </c>
    </row>
    <row r="2001" spans="6:30" x14ac:dyDescent="0.3">
      <c r="F2001" s="35"/>
      <c r="J2001" s="35"/>
      <c r="K2001" s="35"/>
      <c r="L2001" s="35"/>
      <c r="AD2001" s="73"/>
    </row>
    <row r="2002" spans="6:30" x14ac:dyDescent="0.3">
      <c r="F2002" s="35"/>
      <c r="J2002" s="35"/>
      <c r="K2002" s="35"/>
      <c r="L2002" s="35"/>
      <c r="AD2002" s="73"/>
    </row>
    <row r="2003" spans="6:30" x14ac:dyDescent="0.3">
      <c r="F2003" s="35"/>
      <c r="J2003" s="35"/>
      <c r="K2003" s="35"/>
    </row>
    <row r="2004" spans="6:30" x14ac:dyDescent="0.3">
      <c r="F2004" s="35"/>
      <c r="J2004" s="35"/>
      <c r="K2004" s="35"/>
      <c r="L2004" s="35"/>
    </row>
    <row r="2005" spans="6:30" x14ac:dyDescent="0.3">
      <c r="F2005" s="35"/>
      <c r="J2005" s="35"/>
      <c r="K2005" s="35"/>
      <c r="L2005" s="35"/>
    </row>
    <row r="2006" spans="6:30" x14ac:dyDescent="0.3">
      <c r="F2006" s="35"/>
      <c r="J2006" s="35"/>
      <c r="K2006" s="35"/>
    </row>
    <row r="2007" spans="6:30" x14ac:dyDescent="0.3">
      <c r="F2007" s="35"/>
      <c r="J2007" s="35"/>
      <c r="K2007" s="35"/>
      <c r="L2007" s="35"/>
    </row>
    <row r="2008" spans="6:30" x14ac:dyDescent="0.3">
      <c r="F2008" s="35"/>
      <c r="J2008" s="35"/>
      <c r="K2008" s="35"/>
      <c r="L2008" s="35"/>
    </row>
    <row r="2009" spans="6:30" x14ac:dyDescent="0.3">
      <c r="F2009" s="35"/>
      <c r="J2009" s="35"/>
      <c r="K2009" s="35"/>
    </row>
    <row r="2010" spans="6:30" x14ac:dyDescent="0.3">
      <c r="F2010" s="35"/>
      <c r="J2010" s="35"/>
      <c r="K2010" s="35"/>
      <c r="L2010" s="35"/>
    </row>
    <row r="2011" spans="6:30" x14ac:dyDescent="0.3">
      <c r="F2011" s="35"/>
      <c r="J2011" s="35"/>
      <c r="K2011" s="35"/>
      <c r="L2011" s="35"/>
    </row>
    <row r="2012" spans="6:30" x14ac:dyDescent="0.3">
      <c r="F2012" s="35"/>
      <c r="J2012" s="35"/>
      <c r="K2012" s="35"/>
    </row>
    <row r="2013" spans="6:30" x14ac:dyDescent="0.3">
      <c r="F2013" s="35"/>
      <c r="J2013" s="35"/>
      <c r="K2013" s="35"/>
      <c r="L2013" s="35"/>
    </row>
    <row r="2014" spans="6:30" x14ac:dyDescent="0.3">
      <c r="F2014" s="35"/>
      <c r="J2014" s="35"/>
      <c r="K2014" s="35"/>
      <c r="L2014" s="35"/>
    </row>
    <row r="2015" spans="6:30" x14ac:dyDescent="0.3">
      <c r="F2015" s="35"/>
      <c r="J2015" s="35"/>
      <c r="K2015" s="35"/>
    </row>
    <row r="2016" spans="6:30" x14ac:dyDescent="0.3">
      <c r="F2016" s="35"/>
      <c r="J2016" s="35"/>
      <c r="K2016" s="35"/>
      <c r="L2016" s="35"/>
    </row>
    <row r="2017" spans="6:12" x14ac:dyDescent="0.3">
      <c r="F2017" s="35"/>
      <c r="J2017" s="35"/>
      <c r="K2017" s="35"/>
      <c r="L2017" s="35"/>
    </row>
    <row r="2018" spans="6:12" x14ac:dyDescent="0.3">
      <c r="F2018" s="35"/>
      <c r="J2018" s="35"/>
      <c r="K2018" s="35"/>
    </row>
    <row r="2019" spans="6:12" x14ac:dyDescent="0.3">
      <c r="F2019" s="35"/>
      <c r="J2019" s="35"/>
      <c r="K2019" s="35"/>
      <c r="L2019" s="35"/>
    </row>
    <row r="2020" spans="6:12" x14ac:dyDescent="0.3">
      <c r="F2020" s="35"/>
      <c r="J2020" s="35"/>
      <c r="K2020" s="35"/>
      <c r="L2020" s="35"/>
    </row>
    <row r="2021" spans="6:12" x14ac:dyDescent="0.3">
      <c r="F2021" s="35"/>
      <c r="J2021" s="35"/>
      <c r="K2021" s="35"/>
    </row>
    <row r="2022" spans="6:12" x14ac:dyDescent="0.3">
      <c r="F2022" s="35"/>
      <c r="J2022" s="35"/>
      <c r="K2022" s="35"/>
      <c r="L2022" s="35"/>
    </row>
    <row r="2023" spans="6:12" x14ac:dyDescent="0.3">
      <c r="F2023" s="35"/>
      <c r="J2023" s="35"/>
      <c r="K2023" s="35"/>
      <c r="L2023" s="35"/>
    </row>
    <row r="2024" spans="6:12" x14ac:dyDescent="0.3">
      <c r="F2024" s="35"/>
      <c r="J2024" s="35"/>
      <c r="K2024" s="35"/>
    </row>
    <row r="2025" spans="6:12" x14ac:dyDescent="0.3">
      <c r="F2025" s="35"/>
      <c r="J2025" s="35"/>
      <c r="K2025" s="35"/>
    </row>
    <row r="2026" spans="6:12" x14ac:dyDescent="0.3">
      <c r="F2026" s="35"/>
      <c r="J2026" s="35"/>
      <c r="K2026" s="35"/>
    </row>
    <row r="2027" spans="6:12" x14ac:dyDescent="0.3">
      <c r="F2027" s="35"/>
      <c r="J2027" s="35"/>
      <c r="K2027" s="35"/>
    </row>
    <row r="2028" spans="6:12" x14ac:dyDescent="0.3">
      <c r="F2028" s="35"/>
      <c r="J2028" s="35"/>
      <c r="K2028" s="35"/>
    </row>
    <row r="2029" spans="6:12" x14ac:dyDescent="0.3">
      <c r="F2029" s="35"/>
      <c r="J2029" s="35"/>
      <c r="K2029" s="35"/>
    </row>
    <row r="2030" spans="6:12" x14ac:dyDescent="0.3">
      <c r="F2030" s="35"/>
      <c r="J2030" s="35"/>
      <c r="K2030" s="35"/>
    </row>
    <row r="2031" spans="6:12" x14ac:dyDescent="0.3">
      <c r="F2031" s="35"/>
      <c r="J2031" s="35"/>
      <c r="K2031" s="35"/>
    </row>
    <row r="2032" spans="6:12" x14ac:dyDescent="0.3">
      <c r="F2032" s="35"/>
      <c r="J2032" s="35"/>
      <c r="K2032" s="35"/>
    </row>
    <row r="2033" spans="6:12" x14ac:dyDescent="0.3">
      <c r="F2033" s="35"/>
      <c r="J2033" s="35"/>
      <c r="K2033" s="35"/>
    </row>
    <row r="2034" spans="6:12" x14ac:dyDescent="0.3">
      <c r="F2034" s="35"/>
      <c r="J2034" s="35"/>
      <c r="K2034" s="35"/>
    </row>
    <row r="2035" spans="6:12" x14ac:dyDescent="0.3">
      <c r="F2035" s="35"/>
      <c r="J2035" s="35"/>
      <c r="K2035" s="35"/>
    </row>
    <row r="2036" spans="6:12" x14ac:dyDescent="0.3">
      <c r="F2036" s="35"/>
      <c r="J2036" s="35"/>
      <c r="K2036" s="35"/>
    </row>
    <row r="2037" spans="6:12" x14ac:dyDescent="0.3">
      <c r="F2037" s="35"/>
      <c r="J2037" s="35"/>
      <c r="K2037" s="35"/>
      <c r="L2037" s="35"/>
    </row>
    <row r="2038" spans="6:12" x14ac:dyDescent="0.3">
      <c r="F2038" s="35"/>
      <c r="J2038" s="35"/>
      <c r="K2038" s="35"/>
      <c r="L2038" s="35"/>
    </row>
    <row r="2039" spans="6:12" x14ac:dyDescent="0.3">
      <c r="F2039" s="35"/>
      <c r="J2039" s="35"/>
      <c r="K2039" s="35"/>
    </row>
    <row r="2040" spans="6:12" x14ac:dyDescent="0.3">
      <c r="F2040" s="35"/>
      <c r="J2040" s="35"/>
      <c r="K2040" s="35"/>
    </row>
    <row r="2041" spans="6:12" x14ac:dyDescent="0.3">
      <c r="F2041" s="35"/>
      <c r="J2041" s="35"/>
      <c r="K2041" s="35"/>
    </row>
    <row r="2042" spans="6:12" x14ac:dyDescent="0.3">
      <c r="F2042" s="35"/>
      <c r="J2042" s="35"/>
      <c r="K2042" s="35"/>
    </row>
    <row r="2043" spans="6:12" x14ac:dyDescent="0.3">
      <c r="F2043" s="35"/>
      <c r="J2043" s="35"/>
      <c r="K2043" s="35"/>
    </row>
    <row r="2044" spans="6:12" x14ac:dyDescent="0.3">
      <c r="F2044" s="35"/>
      <c r="J2044" s="35"/>
      <c r="K2044" s="35"/>
    </row>
    <row r="2045" spans="6:12" x14ac:dyDescent="0.3">
      <c r="F2045" s="35"/>
      <c r="J2045" s="35"/>
      <c r="K2045" s="35"/>
    </row>
    <row r="2046" spans="6:12" x14ac:dyDescent="0.3">
      <c r="F2046" s="35"/>
      <c r="J2046" s="35"/>
      <c r="K2046" s="35"/>
    </row>
    <row r="2047" spans="6:12" x14ac:dyDescent="0.3">
      <c r="F2047" s="35"/>
      <c r="J2047" s="35"/>
      <c r="K2047" s="35"/>
    </row>
    <row r="2048" spans="6:12" x14ac:dyDescent="0.3">
      <c r="F2048" s="35"/>
      <c r="J2048" s="35"/>
      <c r="K2048" s="35"/>
    </row>
    <row r="2049" spans="6:12" x14ac:dyDescent="0.3">
      <c r="F2049" s="35"/>
      <c r="J2049" s="35"/>
      <c r="K2049" s="35"/>
      <c r="L2049" s="35"/>
    </row>
    <row r="2050" spans="6:12" x14ac:dyDescent="0.3">
      <c r="F2050" s="35"/>
      <c r="J2050" s="35"/>
      <c r="K2050" s="35"/>
      <c r="L2050" s="35"/>
    </row>
    <row r="2051" spans="6:12" x14ac:dyDescent="0.3">
      <c r="F2051" s="35"/>
      <c r="J2051" s="35"/>
      <c r="K2051" s="35"/>
    </row>
    <row r="2052" spans="6:12" x14ac:dyDescent="0.3">
      <c r="F2052" s="35"/>
      <c r="J2052" s="35"/>
      <c r="K2052" s="35"/>
      <c r="L2052" s="35"/>
    </row>
    <row r="2053" spans="6:12" x14ac:dyDescent="0.3">
      <c r="F2053" s="35"/>
      <c r="J2053" s="35"/>
      <c r="K2053" s="35"/>
      <c r="L2053" s="35"/>
    </row>
    <row r="2054" spans="6:12" x14ac:dyDescent="0.3">
      <c r="F2054" s="35"/>
      <c r="J2054" s="35"/>
      <c r="K2054" s="35"/>
    </row>
    <row r="2055" spans="6:12" x14ac:dyDescent="0.3">
      <c r="F2055" s="35"/>
      <c r="J2055" s="35"/>
      <c r="K2055" s="35"/>
      <c r="L2055" s="35"/>
    </row>
    <row r="2056" spans="6:12" x14ac:dyDescent="0.3">
      <c r="F2056" s="35"/>
      <c r="J2056" s="35"/>
      <c r="K2056" s="35"/>
      <c r="L2056" s="35"/>
    </row>
    <row r="2057" spans="6:12" x14ac:dyDescent="0.3">
      <c r="F2057" s="35"/>
      <c r="J2057" s="35"/>
      <c r="K2057" s="35"/>
    </row>
    <row r="2058" spans="6:12" x14ac:dyDescent="0.3">
      <c r="F2058" s="35"/>
      <c r="J2058" s="35"/>
      <c r="K2058" s="35"/>
      <c r="L2058" s="35"/>
    </row>
    <row r="2059" spans="6:12" x14ac:dyDescent="0.3">
      <c r="F2059" s="35"/>
      <c r="J2059" s="35"/>
      <c r="K2059" s="35"/>
      <c r="L2059" s="35"/>
    </row>
    <row r="2060" spans="6:12" x14ac:dyDescent="0.3">
      <c r="F2060" s="35"/>
      <c r="J2060" s="35"/>
      <c r="K2060" s="35"/>
    </row>
    <row r="2061" spans="6:12" x14ac:dyDescent="0.3">
      <c r="F2061" s="35"/>
      <c r="J2061" s="35"/>
      <c r="K2061" s="35"/>
      <c r="L2061" s="35"/>
    </row>
    <row r="2062" spans="6:12" x14ac:dyDescent="0.3">
      <c r="F2062" s="35"/>
      <c r="J2062" s="35"/>
      <c r="K2062" s="35"/>
      <c r="L2062" s="35"/>
    </row>
    <row r="2063" spans="6:12" x14ac:dyDescent="0.3">
      <c r="F2063" s="35"/>
      <c r="J2063" s="35"/>
      <c r="K2063" s="35"/>
    </row>
    <row r="2064" spans="6:12" x14ac:dyDescent="0.3">
      <c r="F2064" s="35"/>
      <c r="J2064" s="35"/>
      <c r="K2064" s="35"/>
      <c r="L2064" s="35"/>
    </row>
    <row r="2065" spans="6:12" x14ac:dyDescent="0.3">
      <c r="F2065" s="35"/>
      <c r="J2065" s="35"/>
      <c r="K2065" s="35"/>
      <c r="L2065" s="35"/>
    </row>
    <row r="2066" spans="6:12" x14ac:dyDescent="0.3">
      <c r="F2066" s="35"/>
      <c r="J2066" s="35"/>
      <c r="K2066" s="35"/>
    </row>
    <row r="2067" spans="6:12" x14ac:dyDescent="0.3">
      <c r="F2067" s="35"/>
      <c r="J2067" s="35"/>
      <c r="K2067" s="35"/>
      <c r="L2067" s="35"/>
    </row>
    <row r="2068" spans="6:12" x14ac:dyDescent="0.3">
      <c r="F2068" s="35"/>
      <c r="J2068" s="35"/>
      <c r="K2068" s="35"/>
      <c r="L2068" s="35"/>
    </row>
    <row r="2069" spans="6:12" x14ac:dyDescent="0.3">
      <c r="F2069" s="35"/>
      <c r="J2069" s="35"/>
      <c r="K2069" s="35"/>
    </row>
    <row r="2070" spans="6:12" x14ac:dyDescent="0.3">
      <c r="F2070" s="35"/>
      <c r="J2070" s="35"/>
      <c r="K2070" s="35"/>
      <c r="L2070" s="35"/>
    </row>
    <row r="2071" spans="6:12" x14ac:dyDescent="0.3">
      <c r="F2071" s="35"/>
      <c r="J2071" s="35"/>
      <c r="K2071" s="35"/>
      <c r="L2071" s="35"/>
    </row>
    <row r="2072" spans="6:12" x14ac:dyDescent="0.3">
      <c r="F2072" s="35"/>
      <c r="J2072" s="35"/>
      <c r="K2072" s="35"/>
    </row>
    <row r="2073" spans="6:12" x14ac:dyDescent="0.3">
      <c r="F2073" s="35"/>
      <c r="J2073" s="35"/>
      <c r="K2073" s="35"/>
      <c r="L2073" s="35"/>
    </row>
    <row r="2074" spans="6:12" x14ac:dyDescent="0.3">
      <c r="F2074" s="35"/>
      <c r="J2074" s="35"/>
      <c r="K2074" s="35"/>
      <c r="L2074" s="35"/>
    </row>
    <row r="2075" spans="6:12" x14ac:dyDescent="0.3">
      <c r="F2075" s="35"/>
      <c r="J2075" s="35"/>
      <c r="K2075" s="35"/>
    </row>
    <row r="2076" spans="6:12" x14ac:dyDescent="0.3">
      <c r="F2076" s="35"/>
      <c r="J2076" s="35"/>
      <c r="K2076" s="35"/>
      <c r="L2076" s="35"/>
    </row>
    <row r="2077" spans="6:12" x14ac:dyDescent="0.3">
      <c r="F2077" s="35"/>
      <c r="J2077" s="35"/>
      <c r="K2077" s="35"/>
      <c r="L2077" s="35"/>
    </row>
    <row r="2078" spans="6:12" x14ac:dyDescent="0.3">
      <c r="F2078" s="35"/>
      <c r="J2078" s="35"/>
      <c r="K2078" s="35"/>
    </row>
    <row r="2079" spans="6:12" x14ac:dyDescent="0.3">
      <c r="F2079" s="35"/>
      <c r="J2079" s="35"/>
      <c r="K2079" s="35"/>
      <c r="L2079" s="35"/>
    </row>
    <row r="2080" spans="6:12" x14ac:dyDescent="0.3">
      <c r="F2080" s="35"/>
      <c r="J2080" s="35"/>
      <c r="K2080" s="35"/>
      <c r="L2080" s="35"/>
    </row>
    <row r="2081" spans="6:12" x14ac:dyDescent="0.3">
      <c r="F2081" s="35"/>
      <c r="J2081" s="35"/>
      <c r="K2081" s="35"/>
    </row>
    <row r="2082" spans="6:12" x14ac:dyDescent="0.3">
      <c r="F2082" s="35"/>
      <c r="J2082" s="35"/>
      <c r="K2082" s="35"/>
      <c r="L2082" s="35"/>
    </row>
    <row r="2083" spans="6:12" x14ac:dyDescent="0.3">
      <c r="F2083" s="35"/>
      <c r="J2083" s="35"/>
      <c r="K2083" s="35"/>
      <c r="L2083" s="35"/>
    </row>
    <row r="2084" spans="6:12" x14ac:dyDescent="0.3">
      <c r="F2084" s="35"/>
      <c r="J2084" s="35"/>
      <c r="K2084" s="35"/>
    </row>
    <row r="2085" spans="6:12" x14ac:dyDescent="0.3">
      <c r="F2085" s="35"/>
      <c r="J2085" s="35"/>
      <c r="K2085" s="35"/>
      <c r="L2085" s="35"/>
    </row>
    <row r="2086" spans="6:12" x14ac:dyDescent="0.3">
      <c r="F2086" s="35"/>
      <c r="J2086" s="35"/>
      <c r="K2086" s="35"/>
      <c r="L2086" s="35"/>
    </row>
    <row r="2087" spans="6:12" x14ac:dyDescent="0.3">
      <c r="F2087" s="35"/>
      <c r="J2087" s="35"/>
      <c r="K2087" s="35"/>
    </row>
    <row r="2088" spans="6:12" x14ac:dyDescent="0.3">
      <c r="F2088" s="35"/>
      <c r="J2088" s="35"/>
      <c r="K2088" s="35"/>
    </row>
    <row r="2089" spans="6:12" x14ac:dyDescent="0.3">
      <c r="F2089" s="35"/>
      <c r="J2089" s="35"/>
      <c r="K2089" s="35"/>
    </row>
    <row r="2090" spans="6:12" x14ac:dyDescent="0.3">
      <c r="F2090" s="35"/>
      <c r="J2090" s="35"/>
      <c r="K2090" s="35"/>
      <c r="L2090" s="35"/>
    </row>
    <row r="2091" spans="6:12" x14ac:dyDescent="0.3">
      <c r="F2091" s="35"/>
      <c r="J2091" s="35"/>
      <c r="K2091" s="35"/>
      <c r="L2091" s="35"/>
    </row>
    <row r="2092" spans="6:12" x14ac:dyDescent="0.3">
      <c r="F2092" s="35"/>
      <c r="J2092" s="35"/>
      <c r="K2092" s="35"/>
    </row>
    <row r="2093" spans="6:12" x14ac:dyDescent="0.3">
      <c r="F2093" s="35"/>
      <c r="J2093" s="35"/>
      <c r="K2093" s="35"/>
      <c r="L2093" s="35"/>
    </row>
    <row r="2094" spans="6:12" x14ac:dyDescent="0.3">
      <c r="F2094" s="35"/>
      <c r="J2094" s="35"/>
      <c r="K2094" s="35"/>
      <c r="L2094" s="35"/>
    </row>
    <row r="2095" spans="6:12" x14ac:dyDescent="0.3">
      <c r="F2095" s="35"/>
      <c r="J2095" s="35"/>
      <c r="K2095" s="35"/>
    </row>
    <row r="2096" spans="6:12" x14ac:dyDescent="0.3">
      <c r="F2096" s="35"/>
      <c r="J2096" s="35"/>
      <c r="K2096" s="35"/>
      <c r="L2096" s="35"/>
    </row>
    <row r="2097" spans="6:12" x14ac:dyDescent="0.3">
      <c r="F2097" s="35"/>
      <c r="J2097" s="35"/>
      <c r="K2097" s="35"/>
      <c r="L2097" s="35"/>
    </row>
    <row r="2098" spans="6:12" x14ac:dyDescent="0.3">
      <c r="F2098" s="35"/>
      <c r="J2098" s="35"/>
      <c r="K2098" s="35"/>
    </row>
    <row r="2099" spans="6:12" x14ac:dyDescent="0.3">
      <c r="F2099" s="35"/>
      <c r="J2099" s="35"/>
      <c r="K2099" s="35"/>
    </row>
    <row r="2100" spans="6:12" x14ac:dyDescent="0.3">
      <c r="F2100" s="35"/>
      <c r="J2100" s="35"/>
      <c r="K2100" s="35"/>
      <c r="L2100" s="35"/>
    </row>
    <row r="2101" spans="6:12" x14ac:dyDescent="0.3">
      <c r="F2101" s="35"/>
      <c r="J2101" s="35"/>
      <c r="K2101" s="35"/>
      <c r="L2101" s="35"/>
    </row>
    <row r="2102" spans="6:12" x14ac:dyDescent="0.3">
      <c r="F2102" s="35"/>
      <c r="J2102" s="35"/>
      <c r="K2102" s="35"/>
    </row>
    <row r="2103" spans="6:12" x14ac:dyDescent="0.3">
      <c r="F2103" s="35"/>
      <c r="J2103" s="35"/>
      <c r="K2103" s="35"/>
    </row>
    <row r="2104" spans="6:12" x14ac:dyDescent="0.3">
      <c r="F2104" s="35"/>
      <c r="J2104" s="35"/>
      <c r="K2104" s="35"/>
    </row>
    <row r="2105" spans="6:12" x14ac:dyDescent="0.3">
      <c r="F2105" s="35"/>
      <c r="J2105" s="35"/>
      <c r="K2105" s="35"/>
    </row>
    <row r="2106" spans="6:12" x14ac:dyDescent="0.3">
      <c r="F2106" s="35"/>
      <c r="J2106" s="35"/>
      <c r="K2106" s="35"/>
    </row>
    <row r="2107" spans="6:12" x14ac:dyDescent="0.3">
      <c r="F2107" s="35"/>
      <c r="J2107" s="35"/>
      <c r="K2107" s="35"/>
    </row>
    <row r="2108" spans="6:12" x14ac:dyDescent="0.3">
      <c r="F2108" s="35"/>
      <c r="J2108" s="35"/>
      <c r="K2108" s="35"/>
    </row>
    <row r="2109" spans="6:12" x14ac:dyDescent="0.3">
      <c r="F2109" s="35"/>
      <c r="J2109" s="35"/>
      <c r="K2109" s="35"/>
    </row>
    <row r="2110" spans="6:12" x14ac:dyDescent="0.3">
      <c r="F2110" s="35"/>
      <c r="J2110" s="35"/>
      <c r="K2110" s="35"/>
    </row>
    <row r="2111" spans="6:12" x14ac:dyDescent="0.3">
      <c r="F2111" s="35"/>
      <c r="J2111" s="35"/>
      <c r="K2111" s="35"/>
    </row>
    <row r="2112" spans="6:12" x14ac:dyDescent="0.3">
      <c r="F2112" s="35"/>
      <c r="J2112" s="35"/>
      <c r="K2112" s="35"/>
    </row>
    <row r="2113" spans="6:12" x14ac:dyDescent="0.3">
      <c r="F2113" s="35"/>
      <c r="J2113" s="35"/>
      <c r="K2113" s="35"/>
    </row>
    <row r="2114" spans="6:12" x14ac:dyDescent="0.3">
      <c r="F2114" s="35"/>
      <c r="J2114" s="35"/>
      <c r="K2114" s="35"/>
    </row>
    <row r="2115" spans="6:12" x14ac:dyDescent="0.3">
      <c r="F2115" s="35"/>
      <c r="J2115" s="35"/>
      <c r="K2115" s="35"/>
      <c r="L2115" s="35"/>
    </row>
    <row r="2116" spans="6:12" x14ac:dyDescent="0.3">
      <c r="F2116" s="35"/>
      <c r="J2116" s="35"/>
      <c r="K2116" s="35"/>
      <c r="L2116" s="35"/>
    </row>
    <row r="2117" spans="6:12" x14ac:dyDescent="0.3">
      <c r="F2117" s="35"/>
      <c r="J2117" s="35"/>
      <c r="K2117" s="35"/>
    </row>
    <row r="2118" spans="6:12" x14ac:dyDescent="0.3">
      <c r="F2118" s="35"/>
      <c r="J2118" s="35"/>
      <c r="K2118" s="35"/>
    </row>
    <row r="2119" spans="6:12" x14ac:dyDescent="0.3">
      <c r="F2119" s="35"/>
      <c r="J2119" s="35"/>
      <c r="K2119" s="35"/>
    </row>
    <row r="2120" spans="6:12" x14ac:dyDescent="0.3">
      <c r="F2120" s="35"/>
      <c r="J2120" s="35"/>
      <c r="K2120" s="35"/>
      <c r="L2120" s="35"/>
    </row>
    <row r="2121" spans="6:12" x14ac:dyDescent="0.3">
      <c r="F2121" s="35"/>
      <c r="J2121" s="35"/>
      <c r="K2121" s="35"/>
      <c r="L2121" s="35"/>
    </row>
    <row r="2122" spans="6:12" x14ac:dyDescent="0.3">
      <c r="F2122" s="35"/>
      <c r="J2122" s="35"/>
      <c r="K2122" s="35"/>
    </row>
    <row r="2123" spans="6:12" x14ac:dyDescent="0.3">
      <c r="F2123" s="35"/>
      <c r="J2123" s="35"/>
      <c r="K2123" s="35"/>
      <c r="L2123" s="35"/>
    </row>
    <row r="2124" spans="6:12" x14ac:dyDescent="0.3">
      <c r="F2124" s="35"/>
      <c r="J2124" s="35"/>
      <c r="K2124" s="35"/>
      <c r="L2124" s="35"/>
    </row>
    <row r="2125" spans="6:12" x14ac:dyDescent="0.3">
      <c r="F2125" s="35"/>
      <c r="J2125" s="35"/>
      <c r="K2125" s="35"/>
    </row>
    <row r="2126" spans="6:12" x14ac:dyDescent="0.3">
      <c r="F2126" s="35"/>
      <c r="J2126" s="35"/>
      <c r="K2126" s="35"/>
    </row>
    <row r="2127" spans="6:12" x14ac:dyDescent="0.3">
      <c r="F2127" s="35"/>
      <c r="J2127" s="35"/>
      <c r="K2127" s="35"/>
    </row>
    <row r="2128" spans="6:12" x14ac:dyDescent="0.3">
      <c r="F2128" s="35"/>
      <c r="J2128" s="35"/>
      <c r="K2128" s="35"/>
    </row>
    <row r="2129" spans="6:12" x14ac:dyDescent="0.3">
      <c r="F2129" s="35"/>
      <c r="J2129" s="35"/>
      <c r="K2129" s="35"/>
    </row>
    <row r="2130" spans="6:12" x14ac:dyDescent="0.3">
      <c r="F2130" s="35"/>
      <c r="J2130" s="35"/>
      <c r="K2130" s="35"/>
      <c r="L2130" s="35"/>
    </row>
    <row r="2131" spans="6:12" x14ac:dyDescent="0.3">
      <c r="F2131" s="35"/>
      <c r="J2131" s="35"/>
      <c r="K2131" s="35"/>
      <c r="L2131" s="35"/>
    </row>
    <row r="2132" spans="6:12" x14ac:dyDescent="0.3">
      <c r="F2132" s="35"/>
      <c r="J2132" s="35"/>
      <c r="K2132" s="35"/>
    </row>
    <row r="2133" spans="6:12" x14ac:dyDescent="0.3">
      <c r="F2133" s="35"/>
      <c r="J2133" s="35"/>
      <c r="K2133" s="35"/>
    </row>
    <row r="2134" spans="6:12" x14ac:dyDescent="0.3">
      <c r="F2134" s="35"/>
      <c r="J2134" s="35"/>
      <c r="K2134" s="35"/>
    </row>
    <row r="2135" spans="6:12" x14ac:dyDescent="0.3">
      <c r="F2135" s="35"/>
      <c r="J2135" s="35"/>
      <c r="K2135" s="35"/>
    </row>
    <row r="2136" spans="6:12" x14ac:dyDescent="0.3">
      <c r="F2136" s="35"/>
      <c r="J2136" s="35"/>
      <c r="K2136" s="35"/>
    </row>
    <row r="2137" spans="6:12" x14ac:dyDescent="0.3">
      <c r="F2137" s="35"/>
      <c r="J2137" s="35"/>
      <c r="K2137" s="35"/>
    </row>
    <row r="2138" spans="6:12" x14ac:dyDescent="0.3">
      <c r="F2138" s="35"/>
      <c r="J2138" s="35"/>
      <c r="K2138" s="35"/>
    </row>
    <row r="2139" spans="6:12" x14ac:dyDescent="0.3">
      <c r="F2139" s="35"/>
      <c r="J2139" s="35"/>
      <c r="K2139" s="35"/>
    </row>
    <row r="2140" spans="6:12" x14ac:dyDescent="0.3">
      <c r="F2140" s="35"/>
      <c r="J2140" s="35"/>
      <c r="K2140" s="35"/>
    </row>
    <row r="2141" spans="6:12" x14ac:dyDescent="0.3">
      <c r="F2141" s="35"/>
      <c r="J2141" s="35"/>
      <c r="K2141" s="35"/>
    </row>
    <row r="2142" spans="6:12" x14ac:dyDescent="0.3">
      <c r="F2142" s="35"/>
      <c r="J2142" s="35"/>
      <c r="K2142" s="35"/>
    </row>
    <row r="2143" spans="6:12" x14ac:dyDescent="0.3">
      <c r="F2143" s="35"/>
      <c r="J2143" s="35"/>
      <c r="K2143" s="35"/>
    </row>
    <row r="2144" spans="6:12" x14ac:dyDescent="0.3">
      <c r="F2144" s="35"/>
      <c r="J2144" s="35"/>
      <c r="K2144" s="35"/>
      <c r="L2144" s="35"/>
    </row>
    <row r="2145" spans="6:12" x14ac:dyDescent="0.3">
      <c r="F2145" s="35"/>
      <c r="J2145" s="35"/>
      <c r="K2145" s="35"/>
      <c r="L2145" s="35"/>
    </row>
    <row r="2146" spans="6:12" x14ac:dyDescent="0.3">
      <c r="F2146" s="35"/>
      <c r="J2146" s="35"/>
      <c r="K2146" s="35"/>
    </row>
    <row r="2147" spans="6:12" x14ac:dyDescent="0.3">
      <c r="F2147" s="35"/>
      <c r="J2147" s="35"/>
      <c r="K2147" s="35"/>
      <c r="L2147" s="35"/>
    </row>
    <row r="2148" spans="6:12" x14ac:dyDescent="0.3">
      <c r="F2148" s="35"/>
      <c r="J2148" s="35"/>
      <c r="K2148" s="35"/>
      <c r="L2148" s="35"/>
    </row>
    <row r="2149" spans="6:12" x14ac:dyDescent="0.3">
      <c r="F2149" s="35"/>
      <c r="J2149" s="35"/>
      <c r="K2149" s="35"/>
    </row>
    <row r="2150" spans="6:12" x14ac:dyDescent="0.3">
      <c r="F2150" s="35"/>
      <c r="J2150" s="35"/>
      <c r="K2150" s="35"/>
    </row>
    <row r="2151" spans="6:12" x14ac:dyDescent="0.3">
      <c r="F2151" s="35"/>
      <c r="J2151" s="35"/>
      <c r="K2151" s="35"/>
    </row>
    <row r="2152" spans="6:12" x14ac:dyDescent="0.3">
      <c r="F2152" s="35"/>
      <c r="J2152" s="35"/>
      <c r="K2152" s="35"/>
    </row>
    <row r="2153" spans="6:12" x14ac:dyDescent="0.3">
      <c r="F2153" s="35"/>
      <c r="J2153" s="35"/>
      <c r="K2153" s="35"/>
    </row>
    <row r="2154" spans="6:12" x14ac:dyDescent="0.3">
      <c r="F2154" s="35"/>
      <c r="J2154" s="35"/>
      <c r="K2154" s="35"/>
    </row>
    <row r="2155" spans="6:12" x14ac:dyDescent="0.3">
      <c r="F2155" s="35"/>
      <c r="J2155" s="35"/>
      <c r="K2155" s="35"/>
    </row>
    <row r="2156" spans="6:12" x14ac:dyDescent="0.3">
      <c r="F2156" s="35"/>
      <c r="J2156" s="35"/>
      <c r="K2156" s="35"/>
    </row>
    <row r="2157" spans="6:12" x14ac:dyDescent="0.3">
      <c r="F2157" s="35"/>
      <c r="J2157" s="35"/>
      <c r="K2157" s="35"/>
    </row>
    <row r="2158" spans="6:12" x14ac:dyDescent="0.3">
      <c r="F2158" s="35"/>
      <c r="J2158" s="35"/>
      <c r="K2158" s="35"/>
    </row>
  </sheetData>
  <autoFilter ref="B2:AE2" xr:uid="{00000000-0009-0000-0000-000002000000}"/>
  <mergeCells count="8">
    <mergeCell ref="AF1:AH1"/>
    <mergeCell ref="Y1:AE1"/>
    <mergeCell ref="B1:C1"/>
    <mergeCell ref="D1:H1"/>
    <mergeCell ref="I1:M1"/>
    <mergeCell ref="N1:R1"/>
    <mergeCell ref="S1:U1"/>
    <mergeCell ref="V1:X1"/>
  </mergeCells>
  <pageMargins left="0.511811024" right="0.511811024" top="0.78740157499999996" bottom="0.78740157499999996" header="0.31496062000000002" footer="0.31496062000000002"/>
  <pageSetup paperSize="9" orientation="portrait" r:id="rId1"/>
  <headerFooter>
    <oddFooter>&amp;L_x000D_&amp;1#&amp;"Trebuchet MS"&amp;9&amp;K737373 PÚBLICA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4"/>
  <dimension ref="B1:M405"/>
  <sheetViews>
    <sheetView workbookViewId="0">
      <pane ySplit="3" topLeftCell="A4" activePane="bottomLeft" state="frozen"/>
      <selection pane="bottomLeft" activeCell="K3" sqref="K3"/>
    </sheetView>
  </sheetViews>
  <sheetFormatPr defaultRowHeight="14.4" x14ac:dyDescent="0.3"/>
  <cols>
    <col min="1" max="1" width="3.33203125" customWidth="1"/>
    <col min="2" max="2" width="8.6640625" style="1" customWidth="1"/>
    <col min="3" max="3" width="22.33203125" style="1" bestFit="1" customWidth="1"/>
    <col min="4" max="4" width="51.6640625" style="1" customWidth="1"/>
    <col min="5" max="5" width="11.109375" style="1" bestFit="1" customWidth="1"/>
    <col min="6" max="6" width="20.88671875" style="1" bestFit="1" customWidth="1"/>
    <col min="7" max="7" width="10.5546875" style="1" bestFit="1" customWidth="1"/>
    <col min="8" max="8" width="9.33203125" style="1" bestFit="1" customWidth="1"/>
    <col min="9" max="9" width="10.44140625" style="1" bestFit="1" customWidth="1"/>
    <col min="10" max="10" width="16.88671875" style="1" bestFit="1" customWidth="1"/>
    <col min="11" max="11" width="15.6640625" style="1" customWidth="1"/>
    <col min="12" max="13" width="8.88671875" style="1"/>
  </cols>
  <sheetData>
    <row r="1" spans="2:11" x14ac:dyDescent="0.3">
      <c r="B1" s="77"/>
      <c r="C1" s="76"/>
      <c r="D1" s="76"/>
      <c r="E1" s="76"/>
      <c r="F1" s="76"/>
      <c r="G1" s="76"/>
      <c r="H1" s="76"/>
      <c r="I1" s="76"/>
      <c r="J1" s="76"/>
      <c r="K1" s="76"/>
    </row>
    <row r="2" spans="2:11" x14ac:dyDescent="0.3">
      <c r="B2" s="77"/>
      <c r="C2" s="76"/>
      <c r="D2" s="76"/>
      <c r="E2" s="76"/>
      <c r="F2" s="76"/>
      <c r="G2" s="76"/>
      <c r="H2" s="76"/>
      <c r="I2" s="76"/>
      <c r="J2" s="106" t="s">
        <v>108</v>
      </c>
      <c r="K2" s="107">
        <f>SUBTOTAL(9,K4:K10000)</f>
        <v>0</v>
      </c>
    </row>
    <row r="3" spans="2:11" x14ac:dyDescent="0.3">
      <c r="B3" s="108" t="s">
        <v>93</v>
      </c>
      <c r="C3" s="109" t="s">
        <v>132</v>
      </c>
      <c r="D3" s="109" t="s">
        <v>107</v>
      </c>
      <c r="E3" s="79" t="s">
        <v>106</v>
      </c>
      <c r="F3" s="79" t="s">
        <v>97</v>
      </c>
      <c r="G3" s="78" t="s">
        <v>134</v>
      </c>
      <c r="H3" s="78" t="s">
        <v>88</v>
      </c>
      <c r="I3" s="78" t="s">
        <v>135</v>
      </c>
      <c r="J3" s="78" t="s">
        <v>82</v>
      </c>
      <c r="K3" s="78" t="s">
        <v>133</v>
      </c>
    </row>
    <row r="4" spans="2:11" x14ac:dyDescent="0.3">
      <c r="E4" s="73"/>
      <c r="G4" s="47"/>
      <c r="H4" s="47"/>
      <c r="I4" s="47"/>
      <c r="J4" s="74"/>
      <c r="K4" s="75"/>
    </row>
    <row r="5" spans="2:11" x14ac:dyDescent="0.3">
      <c r="E5" s="73"/>
      <c r="G5" s="47"/>
      <c r="H5" s="47"/>
      <c r="I5" s="47"/>
      <c r="J5" s="74"/>
      <c r="K5" s="75"/>
    </row>
    <row r="6" spans="2:11" x14ac:dyDescent="0.3">
      <c r="E6" s="73"/>
      <c r="G6" s="47"/>
      <c r="H6" s="47"/>
      <c r="I6" s="47"/>
      <c r="J6" s="74"/>
      <c r="K6" s="75"/>
    </row>
    <row r="7" spans="2:11" x14ac:dyDescent="0.3">
      <c r="E7" s="73"/>
      <c r="G7" s="47"/>
      <c r="H7" s="47"/>
      <c r="I7" s="47"/>
      <c r="J7" s="74"/>
      <c r="K7" s="75"/>
    </row>
    <row r="8" spans="2:11" x14ac:dyDescent="0.3">
      <c r="E8" s="73"/>
      <c r="G8" s="47"/>
      <c r="H8" s="47"/>
      <c r="I8" s="47"/>
      <c r="J8" s="74"/>
      <c r="K8" s="75"/>
    </row>
    <row r="9" spans="2:11" x14ac:dyDescent="0.3">
      <c r="E9" s="73"/>
      <c r="G9" s="47"/>
      <c r="H9" s="47"/>
      <c r="I9" s="47"/>
      <c r="J9" s="74"/>
      <c r="K9" s="75"/>
    </row>
    <row r="10" spans="2:11" x14ac:dyDescent="0.3">
      <c r="E10" s="73"/>
      <c r="G10" s="47"/>
      <c r="H10" s="47"/>
      <c r="I10" s="47"/>
      <c r="J10" s="74"/>
      <c r="K10" s="75"/>
    </row>
    <row r="11" spans="2:11" x14ac:dyDescent="0.3">
      <c r="E11" s="73"/>
      <c r="G11" s="47"/>
      <c r="H11" s="47"/>
      <c r="I11" s="47"/>
      <c r="J11" s="74"/>
      <c r="K11" s="75"/>
    </row>
    <row r="12" spans="2:11" x14ac:dyDescent="0.3">
      <c r="E12" s="73"/>
      <c r="G12" s="47"/>
      <c r="H12" s="47"/>
      <c r="I12" s="47"/>
      <c r="J12" s="74"/>
      <c r="K12" s="75"/>
    </row>
    <row r="13" spans="2:11" x14ac:dyDescent="0.3">
      <c r="E13" s="73"/>
      <c r="G13" s="47"/>
      <c r="H13" s="47"/>
      <c r="I13" s="47"/>
      <c r="J13" s="74"/>
      <c r="K13" s="75"/>
    </row>
    <row r="14" spans="2:11" x14ac:dyDescent="0.3">
      <c r="E14" s="73"/>
      <c r="G14" s="47"/>
      <c r="H14" s="47"/>
      <c r="I14" s="47"/>
      <c r="J14" s="74"/>
      <c r="K14" s="75"/>
    </row>
    <row r="15" spans="2:11" x14ac:dyDescent="0.3">
      <c r="E15" s="73"/>
      <c r="G15" s="47"/>
      <c r="H15" s="47"/>
      <c r="I15" s="47"/>
      <c r="J15" s="74"/>
      <c r="K15" s="75"/>
    </row>
    <row r="16" spans="2:11" x14ac:dyDescent="0.3">
      <c r="E16" s="73"/>
      <c r="G16" s="47"/>
      <c r="H16" s="47"/>
      <c r="I16" s="47"/>
      <c r="J16" s="74"/>
      <c r="K16" s="75"/>
    </row>
    <row r="17" spans="5:11" x14ac:dyDescent="0.3">
      <c r="E17" s="73"/>
      <c r="G17" s="47"/>
      <c r="H17" s="47"/>
      <c r="I17" s="47"/>
      <c r="J17" s="74"/>
      <c r="K17" s="75"/>
    </row>
    <row r="18" spans="5:11" x14ac:dyDescent="0.3">
      <c r="E18" s="73"/>
      <c r="G18" s="47"/>
      <c r="H18" s="47"/>
      <c r="I18" s="47"/>
      <c r="J18" s="74"/>
      <c r="K18" s="75"/>
    </row>
    <row r="19" spans="5:11" x14ac:dyDescent="0.3">
      <c r="E19" s="73"/>
      <c r="G19" s="47"/>
      <c r="H19" s="47"/>
      <c r="I19" s="47"/>
      <c r="J19" s="74"/>
      <c r="K19" s="75"/>
    </row>
    <row r="20" spans="5:11" x14ac:dyDescent="0.3">
      <c r="E20" s="73"/>
      <c r="G20" s="47"/>
      <c r="H20" s="47"/>
      <c r="I20" s="47"/>
      <c r="J20" s="74"/>
      <c r="K20" s="75"/>
    </row>
    <row r="21" spans="5:11" x14ac:dyDescent="0.3">
      <c r="E21" s="73"/>
      <c r="G21" s="47"/>
      <c r="H21" s="47"/>
      <c r="I21" s="47"/>
      <c r="J21" s="74"/>
      <c r="K21" s="75"/>
    </row>
    <row r="22" spans="5:11" x14ac:dyDescent="0.3">
      <c r="E22" s="73"/>
      <c r="G22" s="47"/>
      <c r="H22" s="47"/>
      <c r="I22" s="47"/>
      <c r="J22" s="74"/>
      <c r="K22" s="75"/>
    </row>
    <row r="23" spans="5:11" x14ac:dyDescent="0.3">
      <c r="E23" s="73"/>
      <c r="G23" s="47"/>
      <c r="H23" s="47"/>
      <c r="I23" s="47"/>
      <c r="J23" s="74"/>
      <c r="K23" s="75"/>
    </row>
    <row r="24" spans="5:11" x14ac:dyDescent="0.3">
      <c r="E24" s="73"/>
      <c r="G24" s="47"/>
      <c r="H24" s="47"/>
      <c r="I24" s="47"/>
      <c r="J24" s="74"/>
      <c r="K24" s="75"/>
    </row>
    <row r="25" spans="5:11" x14ac:dyDescent="0.3">
      <c r="E25" s="73"/>
      <c r="G25" s="47"/>
      <c r="H25" s="47"/>
      <c r="I25" s="47"/>
      <c r="J25" s="74"/>
      <c r="K25" s="75"/>
    </row>
    <row r="26" spans="5:11" x14ac:dyDescent="0.3">
      <c r="E26" s="73"/>
      <c r="G26" s="47"/>
      <c r="H26" s="47"/>
      <c r="I26" s="47"/>
      <c r="J26" s="74"/>
      <c r="K26" s="75"/>
    </row>
    <row r="27" spans="5:11" x14ac:dyDescent="0.3">
      <c r="E27" s="73"/>
      <c r="G27" s="47"/>
      <c r="H27" s="47"/>
      <c r="I27" s="47"/>
      <c r="J27" s="74"/>
      <c r="K27" s="75"/>
    </row>
    <row r="28" spans="5:11" x14ac:dyDescent="0.3">
      <c r="E28" s="73"/>
      <c r="G28" s="47"/>
      <c r="H28" s="47"/>
      <c r="I28" s="47"/>
      <c r="J28" s="74"/>
      <c r="K28" s="75"/>
    </row>
    <row r="29" spans="5:11" x14ac:dyDescent="0.3">
      <c r="E29" s="73"/>
      <c r="G29" s="47"/>
      <c r="H29" s="47"/>
      <c r="I29" s="47"/>
      <c r="J29" s="74"/>
      <c r="K29" s="75"/>
    </row>
    <row r="30" spans="5:11" x14ac:dyDescent="0.3">
      <c r="E30" s="73"/>
      <c r="G30" s="47"/>
      <c r="H30" s="47"/>
      <c r="I30" s="47"/>
      <c r="J30" s="74"/>
      <c r="K30" s="75"/>
    </row>
    <row r="31" spans="5:11" x14ac:dyDescent="0.3">
      <c r="E31" s="73"/>
      <c r="G31" s="47"/>
      <c r="H31" s="47"/>
      <c r="I31" s="47"/>
      <c r="J31" s="74"/>
      <c r="K31" s="75"/>
    </row>
    <row r="32" spans="5:11" x14ac:dyDescent="0.3">
      <c r="E32" s="73"/>
      <c r="G32" s="47"/>
      <c r="H32" s="47"/>
      <c r="I32" s="47"/>
      <c r="J32" s="74"/>
      <c r="K32" s="75"/>
    </row>
    <row r="33" spans="5:11" x14ac:dyDescent="0.3">
      <c r="E33" s="73"/>
      <c r="G33" s="47"/>
      <c r="H33" s="47"/>
      <c r="I33" s="47"/>
      <c r="J33" s="74"/>
      <c r="K33" s="75"/>
    </row>
    <row r="34" spans="5:11" x14ac:dyDescent="0.3">
      <c r="E34" s="73"/>
      <c r="G34" s="47"/>
      <c r="H34" s="47"/>
      <c r="I34" s="47"/>
      <c r="J34" s="74"/>
      <c r="K34" s="75"/>
    </row>
    <row r="35" spans="5:11" x14ac:dyDescent="0.3">
      <c r="E35" s="73"/>
      <c r="G35" s="47"/>
      <c r="H35" s="47"/>
      <c r="I35" s="47"/>
      <c r="J35" s="74"/>
      <c r="K35" s="75"/>
    </row>
    <row r="36" spans="5:11" x14ac:dyDescent="0.3">
      <c r="E36" s="73"/>
      <c r="G36" s="47"/>
      <c r="H36" s="47"/>
      <c r="I36" s="47"/>
      <c r="J36" s="74"/>
      <c r="K36" s="75"/>
    </row>
    <row r="37" spans="5:11" x14ac:dyDescent="0.3">
      <c r="E37" s="73"/>
      <c r="G37" s="47"/>
      <c r="H37" s="47"/>
      <c r="I37" s="47"/>
      <c r="J37" s="74"/>
      <c r="K37" s="75"/>
    </row>
    <row r="38" spans="5:11" x14ac:dyDescent="0.3">
      <c r="E38" s="73"/>
      <c r="G38" s="47"/>
      <c r="H38" s="47"/>
      <c r="I38" s="47"/>
      <c r="J38" s="74"/>
      <c r="K38" s="75"/>
    </row>
    <row r="39" spans="5:11" x14ac:dyDescent="0.3">
      <c r="E39" s="73"/>
      <c r="G39" s="47"/>
      <c r="H39" s="47"/>
      <c r="I39" s="47"/>
      <c r="J39" s="74"/>
      <c r="K39" s="75"/>
    </row>
    <row r="40" spans="5:11" x14ac:dyDescent="0.3">
      <c r="E40" s="73"/>
      <c r="G40" s="47"/>
      <c r="H40" s="47"/>
      <c r="I40" s="47"/>
      <c r="J40" s="74"/>
      <c r="K40" s="75"/>
    </row>
    <row r="41" spans="5:11" x14ac:dyDescent="0.3">
      <c r="E41" s="73"/>
      <c r="G41" s="47"/>
      <c r="H41" s="47"/>
      <c r="I41" s="47"/>
      <c r="J41" s="74"/>
      <c r="K41" s="75"/>
    </row>
    <row r="42" spans="5:11" x14ac:dyDescent="0.3">
      <c r="E42" s="73"/>
      <c r="G42" s="47"/>
      <c r="H42" s="47"/>
      <c r="I42" s="47"/>
      <c r="J42" s="74"/>
      <c r="K42" s="75"/>
    </row>
    <row r="43" spans="5:11" x14ac:dyDescent="0.3">
      <c r="E43" s="73"/>
      <c r="G43" s="47"/>
      <c r="H43" s="47"/>
      <c r="I43" s="47"/>
      <c r="J43" s="74"/>
      <c r="K43" s="75"/>
    </row>
    <row r="44" spans="5:11" x14ac:dyDescent="0.3">
      <c r="E44" s="73"/>
      <c r="G44" s="47"/>
      <c r="H44" s="47"/>
      <c r="I44" s="47"/>
      <c r="J44" s="74"/>
      <c r="K44" s="75"/>
    </row>
    <row r="45" spans="5:11" x14ac:dyDescent="0.3">
      <c r="E45" s="73"/>
      <c r="G45" s="47"/>
      <c r="H45" s="47"/>
      <c r="I45" s="47"/>
      <c r="J45" s="74"/>
      <c r="K45" s="75"/>
    </row>
    <row r="46" spans="5:11" x14ac:dyDescent="0.3">
      <c r="E46" s="73"/>
      <c r="G46" s="47"/>
      <c r="H46" s="47"/>
      <c r="I46" s="47"/>
      <c r="J46" s="74"/>
      <c r="K46" s="75"/>
    </row>
    <row r="47" spans="5:11" x14ac:dyDescent="0.3">
      <c r="E47" s="73"/>
      <c r="G47" s="47"/>
      <c r="H47" s="47"/>
      <c r="I47" s="47"/>
      <c r="J47" s="74"/>
      <c r="K47" s="75"/>
    </row>
    <row r="48" spans="5:11" x14ac:dyDescent="0.3">
      <c r="E48" s="73"/>
      <c r="G48" s="47"/>
      <c r="H48" s="47"/>
      <c r="I48" s="47"/>
      <c r="J48" s="74"/>
      <c r="K48" s="75"/>
    </row>
    <row r="49" spans="5:11" x14ac:dyDescent="0.3">
      <c r="E49" s="73"/>
      <c r="G49" s="47"/>
      <c r="H49" s="47"/>
      <c r="I49" s="47"/>
      <c r="J49" s="74"/>
      <c r="K49" s="75"/>
    </row>
    <row r="50" spans="5:11" x14ac:dyDescent="0.3">
      <c r="E50" s="73"/>
      <c r="G50" s="47"/>
      <c r="H50" s="47"/>
      <c r="I50" s="47"/>
      <c r="J50" s="74"/>
      <c r="K50" s="75"/>
    </row>
    <row r="51" spans="5:11" x14ac:dyDescent="0.3">
      <c r="E51" s="73"/>
      <c r="G51" s="47"/>
      <c r="H51" s="47"/>
      <c r="I51" s="47"/>
      <c r="J51" s="74"/>
      <c r="K51" s="75"/>
    </row>
    <row r="52" spans="5:11" x14ac:dyDescent="0.3">
      <c r="E52" s="73"/>
      <c r="G52" s="47"/>
      <c r="H52" s="47"/>
      <c r="I52" s="47"/>
      <c r="J52" s="74"/>
      <c r="K52" s="75"/>
    </row>
    <row r="53" spans="5:11" x14ac:dyDescent="0.3">
      <c r="E53" s="73"/>
      <c r="G53" s="47"/>
      <c r="H53" s="47"/>
      <c r="I53" s="47"/>
      <c r="J53" s="74"/>
      <c r="K53" s="75"/>
    </row>
    <row r="54" spans="5:11" x14ac:dyDescent="0.3">
      <c r="E54" s="73"/>
      <c r="G54" s="47"/>
      <c r="H54" s="47"/>
      <c r="I54" s="47"/>
      <c r="J54" s="74"/>
      <c r="K54" s="75"/>
    </row>
    <row r="55" spans="5:11" x14ac:dyDescent="0.3">
      <c r="E55" s="73"/>
      <c r="G55" s="47"/>
      <c r="H55" s="47"/>
      <c r="I55" s="47"/>
      <c r="J55" s="74"/>
      <c r="K55" s="75"/>
    </row>
    <row r="56" spans="5:11" x14ac:dyDescent="0.3">
      <c r="E56" s="73"/>
      <c r="G56" s="47"/>
      <c r="H56" s="47"/>
      <c r="I56" s="47"/>
      <c r="J56" s="74"/>
      <c r="K56" s="75"/>
    </row>
    <row r="57" spans="5:11" x14ac:dyDescent="0.3">
      <c r="E57" s="73"/>
      <c r="G57" s="47"/>
      <c r="H57" s="47"/>
      <c r="I57" s="47"/>
      <c r="J57" s="74"/>
      <c r="K57" s="75"/>
    </row>
    <row r="58" spans="5:11" x14ac:dyDescent="0.3">
      <c r="E58" s="73"/>
      <c r="G58" s="47"/>
      <c r="H58" s="47"/>
      <c r="I58" s="47"/>
      <c r="J58" s="74"/>
      <c r="K58" s="75"/>
    </row>
    <row r="59" spans="5:11" x14ac:dyDescent="0.3">
      <c r="E59" s="73"/>
      <c r="G59" s="47"/>
      <c r="H59" s="47"/>
      <c r="I59" s="47"/>
      <c r="J59" s="74"/>
      <c r="K59" s="75"/>
    </row>
    <row r="60" spans="5:11" x14ac:dyDescent="0.3">
      <c r="E60" s="73"/>
      <c r="G60" s="47"/>
      <c r="H60" s="47"/>
      <c r="I60" s="47"/>
      <c r="J60" s="74"/>
      <c r="K60" s="75"/>
    </row>
    <row r="61" spans="5:11" x14ac:dyDescent="0.3">
      <c r="E61" s="73"/>
      <c r="G61" s="47"/>
      <c r="H61" s="47"/>
      <c r="I61" s="47"/>
      <c r="J61" s="74"/>
      <c r="K61" s="75"/>
    </row>
    <row r="62" spans="5:11" x14ac:dyDescent="0.3">
      <c r="E62" s="73"/>
      <c r="G62" s="47"/>
      <c r="H62" s="47"/>
      <c r="I62" s="47"/>
      <c r="J62" s="74"/>
      <c r="K62" s="75"/>
    </row>
    <row r="63" spans="5:11" x14ac:dyDescent="0.3">
      <c r="E63" s="73"/>
      <c r="G63" s="47"/>
      <c r="H63" s="47"/>
      <c r="I63" s="47"/>
      <c r="J63" s="74"/>
      <c r="K63" s="75"/>
    </row>
    <row r="64" spans="5:11" x14ac:dyDescent="0.3">
      <c r="E64" s="73"/>
      <c r="G64" s="47"/>
      <c r="H64" s="47"/>
      <c r="I64" s="47"/>
      <c r="J64" s="74"/>
      <c r="K64" s="75"/>
    </row>
    <row r="65" spans="5:11" x14ac:dyDescent="0.3">
      <c r="E65" s="73"/>
      <c r="G65" s="47"/>
      <c r="H65" s="47"/>
      <c r="I65" s="47"/>
      <c r="J65" s="74"/>
      <c r="K65" s="75"/>
    </row>
    <row r="66" spans="5:11" x14ac:dyDescent="0.3">
      <c r="E66" s="73"/>
      <c r="G66" s="47"/>
      <c r="H66" s="47"/>
      <c r="I66" s="47"/>
      <c r="J66" s="74"/>
      <c r="K66" s="75"/>
    </row>
    <row r="67" spans="5:11" x14ac:dyDescent="0.3">
      <c r="E67" s="73"/>
      <c r="G67" s="47"/>
      <c r="H67" s="47"/>
      <c r="I67" s="47"/>
      <c r="J67" s="74"/>
      <c r="K67" s="75"/>
    </row>
    <row r="68" spans="5:11" x14ac:dyDescent="0.3">
      <c r="E68" s="73"/>
      <c r="G68" s="47"/>
      <c r="H68" s="47"/>
      <c r="I68" s="47"/>
      <c r="J68" s="74"/>
      <c r="K68" s="75"/>
    </row>
    <row r="69" spans="5:11" x14ac:dyDescent="0.3">
      <c r="E69" s="73"/>
      <c r="G69" s="47"/>
      <c r="H69" s="47"/>
      <c r="I69" s="47"/>
      <c r="J69" s="74"/>
      <c r="K69" s="75"/>
    </row>
    <row r="70" spans="5:11" x14ac:dyDescent="0.3">
      <c r="E70" s="73"/>
      <c r="G70" s="47"/>
      <c r="H70" s="47"/>
      <c r="I70" s="47"/>
      <c r="J70" s="74"/>
      <c r="K70" s="75"/>
    </row>
    <row r="71" spans="5:11" x14ac:dyDescent="0.3">
      <c r="E71" s="73"/>
      <c r="G71" s="47"/>
      <c r="H71" s="47"/>
      <c r="I71" s="47"/>
      <c r="J71" s="74"/>
      <c r="K71" s="75"/>
    </row>
    <row r="72" spans="5:11" x14ac:dyDescent="0.3">
      <c r="E72" s="73"/>
      <c r="G72" s="47"/>
      <c r="H72" s="47"/>
      <c r="I72" s="47"/>
      <c r="J72" s="74"/>
      <c r="K72" s="75"/>
    </row>
    <row r="73" spans="5:11" x14ac:dyDescent="0.3">
      <c r="E73" s="73"/>
      <c r="G73" s="47"/>
      <c r="H73" s="47"/>
      <c r="I73" s="47"/>
      <c r="J73" s="74"/>
      <c r="K73" s="75"/>
    </row>
    <row r="74" spans="5:11" x14ac:dyDescent="0.3">
      <c r="E74" s="73"/>
      <c r="G74" s="47"/>
      <c r="H74" s="47"/>
      <c r="I74" s="47"/>
      <c r="J74" s="74"/>
      <c r="K74" s="75"/>
    </row>
    <row r="75" spans="5:11" x14ac:dyDescent="0.3">
      <c r="E75" s="73"/>
      <c r="G75" s="47"/>
      <c r="H75" s="47"/>
      <c r="I75" s="47"/>
      <c r="J75" s="74"/>
      <c r="K75" s="75"/>
    </row>
    <row r="76" spans="5:11" x14ac:dyDescent="0.3">
      <c r="E76" s="73"/>
      <c r="G76" s="47"/>
      <c r="H76" s="47"/>
      <c r="I76" s="47"/>
      <c r="J76" s="74"/>
      <c r="K76" s="75"/>
    </row>
    <row r="77" spans="5:11" x14ac:dyDescent="0.3">
      <c r="E77" s="73"/>
      <c r="G77" s="47"/>
      <c r="H77" s="47"/>
      <c r="I77" s="47"/>
      <c r="J77" s="74"/>
      <c r="K77" s="75"/>
    </row>
    <row r="78" spans="5:11" x14ac:dyDescent="0.3">
      <c r="E78" s="73"/>
      <c r="G78" s="47"/>
      <c r="H78" s="47"/>
      <c r="I78" s="47"/>
      <c r="J78" s="74"/>
      <c r="K78" s="75"/>
    </row>
    <row r="79" spans="5:11" x14ac:dyDescent="0.3">
      <c r="E79" s="73"/>
      <c r="G79" s="47"/>
      <c r="H79" s="47"/>
      <c r="I79" s="47"/>
      <c r="J79" s="74"/>
      <c r="K79" s="75"/>
    </row>
    <row r="80" spans="5:11" x14ac:dyDescent="0.3">
      <c r="E80" s="73"/>
      <c r="G80" s="47"/>
      <c r="H80" s="47"/>
      <c r="I80" s="47"/>
      <c r="J80" s="74"/>
      <c r="K80" s="75"/>
    </row>
    <row r="81" spans="5:11" x14ac:dyDescent="0.3">
      <c r="E81" s="73"/>
      <c r="G81" s="47"/>
      <c r="H81" s="47"/>
      <c r="I81" s="47"/>
      <c r="J81" s="74"/>
      <c r="K81" s="75"/>
    </row>
    <row r="82" spans="5:11" x14ac:dyDescent="0.3">
      <c r="E82" s="73"/>
      <c r="G82" s="47"/>
      <c r="H82" s="47"/>
      <c r="I82" s="47"/>
      <c r="J82" s="74"/>
      <c r="K82" s="75"/>
    </row>
    <row r="83" spans="5:11" x14ac:dyDescent="0.3">
      <c r="E83" s="73"/>
      <c r="G83" s="47"/>
      <c r="H83" s="47"/>
      <c r="I83" s="47"/>
      <c r="J83" s="74"/>
      <c r="K83" s="75"/>
    </row>
    <row r="84" spans="5:11" x14ac:dyDescent="0.3">
      <c r="E84" s="73"/>
      <c r="G84" s="47"/>
      <c r="H84" s="47"/>
      <c r="I84" s="47"/>
      <c r="J84" s="74"/>
      <c r="K84" s="75"/>
    </row>
    <row r="85" spans="5:11" x14ac:dyDescent="0.3">
      <c r="E85" s="73"/>
      <c r="G85" s="47"/>
      <c r="H85" s="47"/>
      <c r="I85" s="47"/>
      <c r="J85" s="74"/>
      <c r="K85" s="75"/>
    </row>
    <row r="86" spans="5:11" x14ac:dyDescent="0.3">
      <c r="E86" s="73"/>
      <c r="G86" s="47"/>
      <c r="H86" s="47"/>
      <c r="I86" s="47"/>
      <c r="J86" s="74"/>
      <c r="K86" s="75"/>
    </row>
    <row r="87" spans="5:11" x14ac:dyDescent="0.3">
      <c r="E87" s="73"/>
      <c r="G87" s="47"/>
      <c r="H87" s="47"/>
      <c r="I87" s="47"/>
      <c r="J87" s="74"/>
      <c r="K87" s="75"/>
    </row>
    <row r="88" spans="5:11" x14ac:dyDescent="0.3">
      <c r="E88" s="73"/>
      <c r="G88" s="47"/>
      <c r="H88" s="47"/>
      <c r="I88" s="47"/>
      <c r="J88" s="74"/>
      <c r="K88" s="75"/>
    </row>
    <row r="89" spans="5:11" x14ac:dyDescent="0.3">
      <c r="E89" s="73"/>
      <c r="G89" s="47"/>
      <c r="H89" s="47"/>
      <c r="I89" s="47"/>
      <c r="J89" s="74"/>
      <c r="K89" s="75"/>
    </row>
    <row r="90" spans="5:11" x14ac:dyDescent="0.3">
      <c r="E90" s="73"/>
      <c r="G90" s="47"/>
      <c r="H90" s="47"/>
      <c r="I90" s="47"/>
      <c r="J90" s="74"/>
      <c r="K90" s="75"/>
    </row>
    <row r="91" spans="5:11" x14ac:dyDescent="0.3">
      <c r="E91" s="73"/>
      <c r="G91" s="47"/>
      <c r="H91" s="47"/>
      <c r="I91" s="47"/>
      <c r="J91" s="74"/>
      <c r="K91" s="75"/>
    </row>
    <row r="92" spans="5:11" x14ac:dyDescent="0.3">
      <c r="E92" s="73"/>
      <c r="G92" s="47"/>
      <c r="H92" s="47"/>
      <c r="I92" s="47"/>
      <c r="J92" s="74"/>
      <c r="K92" s="75"/>
    </row>
    <row r="93" spans="5:11" x14ac:dyDescent="0.3">
      <c r="E93" s="73"/>
      <c r="G93" s="47"/>
      <c r="H93" s="47"/>
      <c r="I93" s="47"/>
      <c r="J93" s="74"/>
      <c r="K93" s="75"/>
    </row>
    <row r="94" spans="5:11" x14ac:dyDescent="0.3">
      <c r="E94" s="73"/>
      <c r="G94" s="47"/>
      <c r="H94" s="47"/>
      <c r="I94" s="47"/>
      <c r="J94" s="74"/>
      <c r="K94" s="75"/>
    </row>
    <row r="95" spans="5:11" x14ac:dyDescent="0.3">
      <c r="E95" s="73"/>
      <c r="G95" s="47"/>
      <c r="H95" s="47"/>
      <c r="I95" s="47"/>
      <c r="J95" s="74"/>
      <c r="K95" s="75"/>
    </row>
    <row r="96" spans="5:11" x14ac:dyDescent="0.3">
      <c r="E96" s="73"/>
      <c r="G96" s="47"/>
      <c r="H96" s="47"/>
      <c r="I96" s="47"/>
      <c r="J96" s="74"/>
      <c r="K96" s="75"/>
    </row>
    <row r="97" spans="5:11" x14ac:dyDescent="0.3">
      <c r="E97" s="73"/>
      <c r="G97" s="47"/>
      <c r="H97" s="47"/>
      <c r="I97" s="47"/>
      <c r="J97" s="74"/>
      <c r="K97" s="75"/>
    </row>
    <row r="98" spans="5:11" x14ac:dyDescent="0.3">
      <c r="E98" s="73"/>
      <c r="G98" s="47"/>
      <c r="H98" s="47"/>
      <c r="I98" s="47"/>
      <c r="J98" s="74"/>
      <c r="K98" s="75"/>
    </row>
    <row r="99" spans="5:11" x14ac:dyDescent="0.3">
      <c r="E99" s="73"/>
      <c r="G99" s="47"/>
      <c r="H99" s="47"/>
      <c r="I99" s="47"/>
      <c r="J99" s="74"/>
      <c r="K99" s="75"/>
    </row>
    <row r="100" spans="5:11" x14ac:dyDescent="0.3">
      <c r="E100" s="73"/>
      <c r="G100" s="47"/>
      <c r="H100" s="47"/>
      <c r="I100" s="47"/>
      <c r="J100" s="74"/>
      <c r="K100" s="75"/>
    </row>
    <row r="101" spans="5:11" x14ac:dyDescent="0.3">
      <c r="E101" s="73"/>
      <c r="G101" s="47"/>
      <c r="H101" s="47"/>
      <c r="I101" s="47"/>
      <c r="J101" s="74"/>
      <c r="K101" s="75"/>
    </row>
    <row r="102" spans="5:11" x14ac:dyDescent="0.3">
      <c r="E102" s="73"/>
      <c r="G102" s="47"/>
      <c r="H102" s="47"/>
      <c r="I102" s="47"/>
      <c r="J102" s="74"/>
      <c r="K102" s="75"/>
    </row>
    <row r="103" spans="5:11" x14ac:dyDescent="0.3">
      <c r="E103" s="73"/>
      <c r="G103" s="47"/>
      <c r="H103" s="47"/>
      <c r="I103" s="47"/>
      <c r="J103" s="74"/>
      <c r="K103" s="75"/>
    </row>
    <row r="104" spans="5:11" x14ac:dyDescent="0.3">
      <c r="E104" s="73"/>
      <c r="G104" s="47"/>
      <c r="H104" s="47"/>
      <c r="I104" s="47"/>
      <c r="J104" s="74"/>
      <c r="K104" s="75"/>
    </row>
    <row r="105" spans="5:11" x14ac:dyDescent="0.3">
      <c r="E105" s="73"/>
      <c r="G105" s="47"/>
      <c r="H105" s="47"/>
      <c r="I105" s="47"/>
      <c r="J105" s="74"/>
      <c r="K105" s="75"/>
    </row>
    <row r="106" spans="5:11" x14ac:dyDescent="0.3">
      <c r="E106" s="73"/>
      <c r="G106" s="47"/>
      <c r="H106" s="47"/>
      <c r="I106" s="47"/>
      <c r="J106" s="74"/>
      <c r="K106" s="75"/>
    </row>
    <row r="107" spans="5:11" x14ac:dyDescent="0.3">
      <c r="E107" s="73"/>
      <c r="G107" s="47"/>
      <c r="H107" s="47"/>
      <c r="I107" s="47"/>
      <c r="J107" s="74"/>
      <c r="K107" s="75"/>
    </row>
    <row r="108" spans="5:11" x14ac:dyDescent="0.3">
      <c r="E108" s="73"/>
      <c r="G108" s="47"/>
      <c r="H108" s="47"/>
      <c r="I108" s="47"/>
      <c r="J108" s="74"/>
      <c r="K108" s="75"/>
    </row>
    <row r="109" spans="5:11" x14ac:dyDescent="0.3">
      <c r="E109" s="73"/>
      <c r="G109" s="47"/>
      <c r="H109" s="47"/>
      <c r="I109" s="47"/>
      <c r="J109" s="74"/>
      <c r="K109" s="75"/>
    </row>
    <row r="110" spans="5:11" x14ac:dyDescent="0.3">
      <c r="E110" s="73"/>
      <c r="G110" s="47"/>
      <c r="H110" s="47"/>
      <c r="I110" s="47"/>
      <c r="J110" s="74"/>
      <c r="K110" s="75"/>
    </row>
    <row r="111" spans="5:11" x14ac:dyDescent="0.3">
      <c r="E111" s="73"/>
      <c r="G111" s="47"/>
      <c r="H111" s="47"/>
      <c r="I111" s="47"/>
      <c r="J111" s="74"/>
      <c r="K111" s="75"/>
    </row>
    <row r="112" spans="5:11" x14ac:dyDescent="0.3">
      <c r="E112" s="73"/>
      <c r="G112" s="47"/>
      <c r="H112" s="47"/>
      <c r="I112" s="47"/>
      <c r="J112" s="74"/>
      <c r="K112" s="75"/>
    </row>
    <row r="113" spans="5:11" x14ac:dyDescent="0.3">
      <c r="E113" s="73"/>
      <c r="G113" s="47"/>
      <c r="H113" s="47"/>
      <c r="I113" s="47"/>
      <c r="J113" s="74"/>
      <c r="K113" s="75"/>
    </row>
    <row r="114" spans="5:11" x14ac:dyDescent="0.3">
      <c r="E114" s="73"/>
      <c r="G114" s="47"/>
      <c r="H114" s="47"/>
      <c r="I114" s="47"/>
      <c r="J114" s="74"/>
      <c r="K114" s="75"/>
    </row>
    <row r="115" spans="5:11" x14ac:dyDescent="0.3">
      <c r="E115" s="73"/>
      <c r="G115" s="47"/>
      <c r="H115" s="47"/>
      <c r="I115" s="47"/>
      <c r="J115" s="74"/>
      <c r="K115" s="75"/>
    </row>
    <row r="116" spans="5:11" x14ac:dyDescent="0.3">
      <c r="E116" s="73"/>
      <c r="G116" s="47"/>
      <c r="H116" s="47"/>
      <c r="I116" s="47"/>
      <c r="J116" s="74"/>
      <c r="K116" s="75"/>
    </row>
    <row r="117" spans="5:11" x14ac:dyDescent="0.3">
      <c r="E117" s="73"/>
      <c r="G117" s="47"/>
      <c r="H117" s="47"/>
      <c r="I117" s="47"/>
      <c r="J117" s="74"/>
      <c r="K117" s="75"/>
    </row>
    <row r="118" spans="5:11" x14ac:dyDescent="0.3">
      <c r="E118" s="73"/>
      <c r="G118" s="47"/>
      <c r="H118" s="47"/>
      <c r="I118" s="47"/>
      <c r="J118" s="74"/>
      <c r="K118" s="75"/>
    </row>
    <row r="119" spans="5:11" x14ac:dyDescent="0.3">
      <c r="E119" s="73"/>
      <c r="G119" s="47"/>
      <c r="H119" s="47"/>
      <c r="I119" s="47"/>
      <c r="J119" s="74"/>
      <c r="K119" s="75"/>
    </row>
    <row r="120" spans="5:11" x14ac:dyDescent="0.3">
      <c r="E120" s="73"/>
      <c r="G120" s="47"/>
      <c r="H120" s="47"/>
      <c r="I120" s="47"/>
      <c r="J120" s="74"/>
      <c r="K120" s="75"/>
    </row>
    <row r="121" spans="5:11" x14ac:dyDescent="0.3">
      <c r="E121" s="73"/>
      <c r="G121" s="47"/>
      <c r="H121" s="47"/>
      <c r="I121" s="47"/>
      <c r="J121" s="74"/>
      <c r="K121" s="75"/>
    </row>
    <row r="122" spans="5:11" x14ac:dyDescent="0.3">
      <c r="E122" s="73"/>
      <c r="G122" s="47"/>
      <c r="H122" s="47"/>
      <c r="I122" s="47"/>
      <c r="J122" s="74"/>
      <c r="K122" s="75"/>
    </row>
    <row r="123" spans="5:11" x14ac:dyDescent="0.3">
      <c r="E123" s="73"/>
      <c r="G123" s="47"/>
      <c r="H123" s="47"/>
      <c r="I123" s="47"/>
      <c r="J123" s="74"/>
      <c r="K123" s="75"/>
    </row>
    <row r="124" spans="5:11" x14ac:dyDescent="0.3">
      <c r="E124" s="73"/>
      <c r="G124" s="47"/>
      <c r="H124" s="47"/>
      <c r="I124" s="47"/>
      <c r="J124" s="74"/>
      <c r="K124" s="75"/>
    </row>
    <row r="125" spans="5:11" x14ac:dyDescent="0.3">
      <c r="E125" s="73"/>
      <c r="G125" s="47"/>
      <c r="H125" s="47"/>
      <c r="I125" s="47"/>
      <c r="J125" s="74"/>
      <c r="K125" s="75"/>
    </row>
    <row r="126" spans="5:11" x14ac:dyDescent="0.3">
      <c r="E126" s="73"/>
      <c r="G126" s="47"/>
      <c r="H126" s="47"/>
      <c r="I126" s="47"/>
      <c r="J126" s="74"/>
      <c r="K126" s="75"/>
    </row>
    <row r="127" spans="5:11" x14ac:dyDescent="0.3">
      <c r="E127" s="73"/>
      <c r="G127" s="47"/>
      <c r="H127" s="47"/>
      <c r="I127" s="47"/>
      <c r="J127" s="74"/>
      <c r="K127" s="75"/>
    </row>
    <row r="128" spans="5:11" x14ac:dyDescent="0.3">
      <c r="E128" s="73"/>
      <c r="G128" s="47"/>
      <c r="H128" s="47"/>
      <c r="I128" s="47"/>
      <c r="J128" s="74"/>
      <c r="K128" s="75"/>
    </row>
    <row r="129" spans="5:11" x14ac:dyDescent="0.3">
      <c r="E129" s="73"/>
      <c r="G129" s="47"/>
      <c r="H129" s="47"/>
      <c r="I129" s="47"/>
      <c r="J129" s="74"/>
      <c r="K129" s="75"/>
    </row>
    <row r="130" spans="5:11" x14ac:dyDescent="0.3">
      <c r="E130" s="73"/>
      <c r="G130" s="47"/>
      <c r="H130" s="47"/>
      <c r="I130" s="47"/>
      <c r="J130" s="74"/>
      <c r="K130" s="75"/>
    </row>
    <row r="131" spans="5:11" x14ac:dyDescent="0.3">
      <c r="E131" s="73"/>
      <c r="G131" s="47"/>
      <c r="H131" s="47"/>
      <c r="I131" s="47"/>
      <c r="J131" s="74"/>
      <c r="K131" s="75"/>
    </row>
    <row r="132" spans="5:11" x14ac:dyDescent="0.3">
      <c r="E132" s="73"/>
      <c r="G132" s="47"/>
      <c r="H132" s="47"/>
      <c r="I132" s="47"/>
      <c r="J132" s="74"/>
      <c r="K132" s="75"/>
    </row>
    <row r="133" spans="5:11" x14ac:dyDescent="0.3">
      <c r="E133" s="73"/>
      <c r="G133" s="47"/>
      <c r="H133" s="47"/>
      <c r="I133" s="47"/>
      <c r="J133" s="74"/>
      <c r="K133" s="75"/>
    </row>
    <row r="134" spans="5:11" x14ac:dyDescent="0.3">
      <c r="E134" s="73"/>
      <c r="G134" s="47"/>
      <c r="H134" s="47"/>
      <c r="I134" s="47"/>
      <c r="J134" s="74"/>
      <c r="K134" s="75"/>
    </row>
    <row r="135" spans="5:11" x14ac:dyDescent="0.3">
      <c r="E135" s="73"/>
      <c r="G135" s="47"/>
      <c r="H135" s="47"/>
      <c r="I135" s="47"/>
      <c r="J135" s="74"/>
      <c r="K135" s="75"/>
    </row>
    <row r="136" spans="5:11" x14ac:dyDescent="0.3">
      <c r="E136" s="73"/>
      <c r="G136" s="47"/>
      <c r="H136" s="47"/>
      <c r="I136" s="47"/>
      <c r="J136" s="74"/>
      <c r="K136" s="75"/>
    </row>
    <row r="137" spans="5:11" x14ac:dyDescent="0.3">
      <c r="E137" s="73"/>
      <c r="G137" s="47"/>
      <c r="H137" s="47"/>
      <c r="I137" s="47"/>
      <c r="J137" s="74"/>
      <c r="K137" s="75"/>
    </row>
    <row r="138" spans="5:11" x14ac:dyDescent="0.3">
      <c r="E138" s="73"/>
      <c r="G138" s="47"/>
      <c r="H138" s="47"/>
      <c r="I138" s="47"/>
      <c r="J138" s="74"/>
      <c r="K138" s="75"/>
    </row>
    <row r="139" spans="5:11" x14ac:dyDescent="0.3">
      <c r="E139" s="73"/>
      <c r="G139" s="47"/>
      <c r="H139" s="47"/>
      <c r="I139" s="47"/>
      <c r="J139" s="74"/>
      <c r="K139" s="75"/>
    </row>
    <row r="140" spans="5:11" x14ac:dyDescent="0.3">
      <c r="E140" s="73"/>
      <c r="G140" s="47"/>
      <c r="H140" s="47"/>
      <c r="I140" s="47"/>
      <c r="J140" s="74"/>
      <c r="K140" s="75"/>
    </row>
    <row r="141" spans="5:11" x14ac:dyDescent="0.3">
      <c r="E141" s="73"/>
      <c r="G141" s="47"/>
      <c r="H141" s="47"/>
      <c r="I141" s="47"/>
      <c r="J141" s="74"/>
      <c r="K141" s="75"/>
    </row>
    <row r="142" spans="5:11" x14ac:dyDescent="0.3">
      <c r="E142" s="73"/>
      <c r="G142" s="47"/>
      <c r="H142" s="47"/>
      <c r="I142" s="47"/>
      <c r="J142" s="74"/>
      <c r="K142" s="75"/>
    </row>
    <row r="143" spans="5:11" x14ac:dyDescent="0.3">
      <c r="E143" s="73"/>
      <c r="G143" s="47"/>
      <c r="H143" s="47"/>
      <c r="I143" s="47"/>
      <c r="J143" s="74"/>
      <c r="K143" s="75"/>
    </row>
    <row r="144" spans="5:11" x14ac:dyDescent="0.3">
      <c r="E144" s="73"/>
      <c r="G144" s="47"/>
      <c r="H144" s="47"/>
      <c r="I144" s="47"/>
      <c r="J144" s="74"/>
      <c r="K144" s="75"/>
    </row>
    <row r="145" spans="5:11" x14ac:dyDescent="0.3">
      <c r="E145" s="73"/>
      <c r="G145" s="47"/>
      <c r="H145" s="47"/>
      <c r="I145" s="47"/>
      <c r="J145" s="74"/>
      <c r="K145" s="75"/>
    </row>
    <row r="146" spans="5:11" x14ac:dyDescent="0.3">
      <c r="E146" s="73"/>
      <c r="G146" s="47"/>
      <c r="H146" s="47"/>
      <c r="I146" s="47"/>
      <c r="J146" s="74"/>
      <c r="K146" s="75"/>
    </row>
    <row r="147" spans="5:11" x14ac:dyDescent="0.3">
      <c r="E147" s="73"/>
      <c r="G147" s="47"/>
      <c r="H147" s="47"/>
      <c r="I147" s="47"/>
      <c r="J147" s="74"/>
      <c r="K147" s="75"/>
    </row>
    <row r="148" spans="5:11" x14ac:dyDescent="0.3">
      <c r="E148" s="73"/>
      <c r="G148" s="47"/>
      <c r="H148" s="47"/>
      <c r="I148" s="47"/>
      <c r="J148" s="74"/>
      <c r="K148" s="75"/>
    </row>
    <row r="149" spans="5:11" x14ac:dyDescent="0.3">
      <c r="E149" s="73"/>
      <c r="G149" s="47"/>
      <c r="H149" s="47"/>
      <c r="I149" s="47"/>
      <c r="J149" s="74"/>
      <c r="K149" s="75"/>
    </row>
    <row r="150" spans="5:11" x14ac:dyDescent="0.3">
      <c r="E150" s="73"/>
      <c r="G150" s="47"/>
      <c r="H150" s="47"/>
      <c r="I150" s="47"/>
      <c r="J150" s="74"/>
      <c r="K150" s="75"/>
    </row>
    <row r="151" spans="5:11" x14ac:dyDescent="0.3">
      <c r="E151" s="73"/>
      <c r="G151" s="47"/>
      <c r="H151" s="47"/>
      <c r="I151" s="47"/>
      <c r="J151" s="74"/>
      <c r="K151" s="75"/>
    </row>
    <row r="152" spans="5:11" x14ac:dyDescent="0.3">
      <c r="E152" s="73"/>
      <c r="G152" s="47"/>
      <c r="H152" s="47"/>
      <c r="I152" s="47"/>
      <c r="J152" s="74"/>
      <c r="K152" s="75"/>
    </row>
    <row r="153" spans="5:11" x14ac:dyDescent="0.3">
      <c r="E153" s="73"/>
      <c r="G153" s="47"/>
      <c r="H153" s="47"/>
      <c r="I153" s="47"/>
      <c r="J153" s="74"/>
      <c r="K153" s="75"/>
    </row>
    <row r="154" spans="5:11" x14ac:dyDescent="0.3">
      <c r="E154" s="73"/>
      <c r="G154" s="47"/>
      <c r="H154" s="47"/>
      <c r="I154" s="47"/>
      <c r="J154" s="74"/>
      <c r="K154" s="75"/>
    </row>
    <row r="155" spans="5:11" x14ac:dyDescent="0.3">
      <c r="E155" s="73"/>
      <c r="G155" s="47"/>
      <c r="H155" s="47"/>
      <c r="I155" s="47"/>
      <c r="J155" s="74"/>
      <c r="K155" s="75"/>
    </row>
    <row r="156" spans="5:11" x14ac:dyDescent="0.3">
      <c r="E156" s="73"/>
      <c r="G156" s="47"/>
      <c r="H156" s="47"/>
      <c r="I156" s="47"/>
      <c r="J156" s="74"/>
      <c r="K156" s="75"/>
    </row>
    <row r="157" spans="5:11" x14ac:dyDescent="0.3">
      <c r="E157" s="73"/>
      <c r="G157" s="47"/>
      <c r="H157" s="47"/>
      <c r="I157" s="47"/>
      <c r="J157" s="74"/>
      <c r="K157" s="75"/>
    </row>
    <row r="158" spans="5:11" x14ac:dyDescent="0.3">
      <c r="E158" s="73"/>
      <c r="G158" s="47"/>
      <c r="H158" s="47"/>
      <c r="I158" s="47"/>
      <c r="J158" s="74"/>
      <c r="K158" s="75"/>
    </row>
    <row r="159" spans="5:11" x14ac:dyDescent="0.3">
      <c r="E159" s="73"/>
      <c r="G159" s="47"/>
      <c r="H159" s="47"/>
      <c r="I159" s="47"/>
      <c r="J159" s="74"/>
      <c r="K159" s="75"/>
    </row>
    <row r="160" spans="5:11" x14ac:dyDescent="0.3">
      <c r="E160" s="73"/>
      <c r="G160" s="47"/>
      <c r="H160" s="47"/>
      <c r="I160" s="47"/>
      <c r="J160" s="74"/>
      <c r="K160" s="75"/>
    </row>
    <row r="161" spans="5:11" x14ac:dyDescent="0.3">
      <c r="E161" s="73"/>
      <c r="G161" s="47"/>
      <c r="H161" s="47"/>
      <c r="I161" s="47"/>
      <c r="J161" s="74"/>
      <c r="K161" s="75"/>
    </row>
    <row r="162" spans="5:11" x14ac:dyDescent="0.3">
      <c r="E162" s="73"/>
      <c r="G162" s="47"/>
      <c r="H162" s="47"/>
      <c r="I162" s="47"/>
      <c r="J162" s="74"/>
      <c r="K162" s="75"/>
    </row>
    <row r="163" spans="5:11" x14ac:dyDescent="0.3">
      <c r="E163" s="73"/>
      <c r="G163" s="47"/>
      <c r="H163" s="47"/>
      <c r="I163" s="47"/>
      <c r="J163" s="74"/>
      <c r="K163" s="75"/>
    </row>
    <row r="164" spans="5:11" x14ac:dyDescent="0.3">
      <c r="E164" s="73"/>
      <c r="G164" s="47"/>
      <c r="H164" s="47"/>
      <c r="I164" s="47"/>
      <c r="J164" s="74"/>
      <c r="K164" s="75"/>
    </row>
    <row r="165" spans="5:11" x14ac:dyDescent="0.3">
      <c r="E165" s="73"/>
      <c r="G165" s="47"/>
      <c r="H165" s="47"/>
      <c r="I165" s="47"/>
      <c r="J165" s="74"/>
      <c r="K165" s="75"/>
    </row>
    <row r="166" spans="5:11" x14ac:dyDescent="0.3">
      <c r="E166" s="73"/>
      <c r="G166" s="47"/>
      <c r="H166" s="47"/>
      <c r="I166" s="47"/>
      <c r="J166" s="74"/>
      <c r="K166" s="75"/>
    </row>
    <row r="167" spans="5:11" x14ac:dyDescent="0.3">
      <c r="E167" s="73"/>
      <c r="G167" s="47"/>
      <c r="H167" s="47"/>
      <c r="I167" s="47"/>
      <c r="J167" s="74"/>
      <c r="K167" s="75"/>
    </row>
    <row r="168" spans="5:11" x14ac:dyDescent="0.3">
      <c r="E168" s="73"/>
      <c r="G168" s="47"/>
      <c r="H168" s="47"/>
      <c r="I168" s="47"/>
      <c r="J168" s="74"/>
      <c r="K168" s="75"/>
    </row>
    <row r="169" spans="5:11" x14ac:dyDescent="0.3">
      <c r="E169" s="73"/>
      <c r="G169" s="47"/>
      <c r="H169" s="47"/>
      <c r="I169" s="47"/>
      <c r="J169" s="74"/>
      <c r="K169" s="75"/>
    </row>
    <row r="170" spans="5:11" x14ac:dyDescent="0.3">
      <c r="E170" s="73"/>
      <c r="G170" s="47"/>
      <c r="H170" s="47"/>
      <c r="I170" s="47"/>
      <c r="J170" s="74"/>
      <c r="K170" s="75"/>
    </row>
    <row r="171" spans="5:11" x14ac:dyDescent="0.3">
      <c r="E171" s="73"/>
      <c r="G171" s="47"/>
      <c r="H171" s="47"/>
      <c r="I171" s="47"/>
      <c r="J171" s="74"/>
      <c r="K171" s="75"/>
    </row>
    <row r="172" spans="5:11" x14ac:dyDescent="0.3">
      <c r="E172" s="73"/>
      <c r="G172" s="47"/>
      <c r="H172" s="47"/>
      <c r="I172" s="47"/>
      <c r="J172" s="74"/>
      <c r="K172" s="75"/>
    </row>
    <row r="173" spans="5:11" x14ac:dyDescent="0.3">
      <c r="E173" s="73"/>
      <c r="G173" s="47"/>
      <c r="H173" s="47"/>
      <c r="I173" s="47"/>
      <c r="J173" s="74"/>
      <c r="K173" s="75"/>
    </row>
    <row r="174" spans="5:11" x14ac:dyDescent="0.3">
      <c r="E174" s="73"/>
      <c r="G174" s="47"/>
      <c r="H174" s="47"/>
      <c r="I174" s="47"/>
      <c r="J174" s="74"/>
      <c r="K174" s="75"/>
    </row>
    <row r="175" spans="5:11" x14ac:dyDescent="0.3">
      <c r="E175" s="73"/>
      <c r="G175" s="47"/>
      <c r="H175" s="47"/>
      <c r="I175" s="47"/>
      <c r="J175" s="74"/>
      <c r="K175" s="75"/>
    </row>
    <row r="176" spans="5:11" x14ac:dyDescent="0.3">
      <c r="E176" s="73"/>
      <c r="G176" s="47"/>
      <c r="H176" s="47"/>
      <c r="I176" s="47"/>
      <c r="J176" s="74"/>
      <c r="K176" s="75"/>
    </row>
    <row r="177" spans="5:11" x14ac:dyDescent="0.3">
      <c r="E177" s="73"/>
      <c r="G177" s="47"/>
      <c r="H177" s="47"/>
      <c r="I177" s="47"/>
      <c r="J177" s="74"/>
      <c r="K177" s="75"/>
    </row>
    <row r="178" spans="5:11" x14ac:dyDescent="0.3">
      <c r="E178" s="73"/>
      <c r="G178" s="47"/>
      <c r="H178" s="47"/>
      <c r="I178" s="47"/>
      <c r="J178" s="74"/>
      <c r="K178" s="75"/>
    </row>
    <row r="179" spans="5:11" x14ac:dyDescent="0.3">
      <c r="E179" s="73"/>
      <c r="G179" s="47"/>
      <c r="H179" s="47"/>
      <c r="I179" s="47"/>
      <c r="J179" s="74"/>
      <c r="K179" s="75"/>
    </row>
    <row r="180" spans="5:11" x14ac:dyDescent="0.3">
      <c r="E180" s="73"/>
      <c r="G180" s="47"/>
      <c r="H180" s="47"/>
      <c r="I180" s="47"/>
      <c r="J180" s="74"/>
      <c r="K180" s="75"/>
    </row>
    <row r="181" spans="5:11" x14ac:dyDescent="0.3">
      <c r="E181" s="73"/>
      <c r="G181" s="47"/>
      <c r="H181" s="47"/>
      <c r="I181" s="47"/>
      <c r="J181" s="74"/>
      <c r="K181" s="75"/>
    </row>
    <row r="182" spans="5:11" x14ac:dyDescent="0.3">
      <c r="E182" s="73"/>
      <c r="G182" s="47"/>
      <c r="H182" s="47"/>
      <c r="I182" s="47"/>
      <c r="J182" s="74"/>
      <c r="K182" s="75"/>
    </row>
    <row r="183" spans="5:11" x14ac:dyDescent="0.3">
      <c r="E183" s="73"/>
      <c r="G183" s="47"/>
      <c r="H183" s="47"/>
      <c r="I183" s="47"/>
      <c r="J183" s="74"/>
      <c r="K183" s="75"/>
    </row>
    <row r="184" spans="5:11" x14ac:dyDescent="0.3">
      <c r="E184" s="73"/>
      <c r="G184" s="47"/>
      <c r="H184" s="47"/>
      <c r="I184" s="47"/>
      <c r="J184" s="74"/>
      <c r="K184" s="75"/>
    </row>
    <row r="185" spans="5:11" x14ac:dyDescent="0.3">
      <c r="E185" s="73"/>
      <c r="G185" s="47"/>
      <c r="H185" s="47"/>
      <c r="I185" s="47"/>
      <c r="J185" s="74"/>
      <c r="K185" s="75"/>
    </row>
    <row r="186" spans="5:11" x14ac:dyDescent="0.3">
      <c r="E186" s="73"/>
      <c r="G186" s="47"/>
      <c r="H186" s="47"/>
      <c r="I186" s="47"/>
      <c r="J186" s="74"/>
      <c r="K186" s="75"/>
    </row>
    <row r="187" spans="5:11" x14ac:dyDescent="0.3">
      <c r="E187" s="73"/>
      <c r="G187" s="47"/>
      <c r="H187" s="47"/>
      <c r="I187" s="47"/>
      <c r="J187" s="74"/>
      <c r="K187" s="75"/>
    </row>
    <row r="188" spans="5:11" x14ac:dyDescent="0.3">
      <c r="E188" s="73"/>
      <c r="G188" s="47"/>
      <c r="H188" s="47"/>
      <c r="I188" s="47"/>
      <c r="J188" s="74"/>
      <c r="K188" s="75"/>
    </row>
    <row r="189" spans="5:11" x14ac:dyDescent="0.3">
      <c r="E189" s="73"/>
      <c r="G189" s="47"/>
      <c r="H189" s="47"/>
      <c r="I189" s="47"/>
      <c r="J189" s="74"/>
      <c r="K189" s="75"/>
    </row>
    <row r="190" spans="5:11" x14ac:dyDescent="0.3">
      <c r="E190" s="73"/>
      <c r="G190" s="47"/>
      <c r="H190" s="47"/>
      <c r="I190" s="47"/>
      <c r="J190" s="74"/>
      <c r="K190" s="75"/>
    </row>
    <row r="191" spans="5:11" x14ac:dyDescent="0.3">
      <c r="E191" s="73"/>
      <c r="G191" s="47"/>
      <c r="H191" s="47"/>
      <c r="I191" s="47"/>
      <c r="J191" s="74"/>
      <c r="K191" s="75"/>
    </row>
    <row r="192" spans="5:11" x14ac:dyDescent="0.3">
      <c r="E192" s="73"/>
      <c r="G192" s="47"/>
      <c r="H192" s="47"/>
      <c r="I192" s="47"/>
      <c r="J192" s="74"/>
      <c r="K192" s="75"/>
    </row>
    <row r="193" spans="5:11" x14ac:dyDescent="0.3">
      <c r="E193" s="73"/>
      <c r="G193" s="47"/>
      <c r="H193" s="47"/>
      <c r="I193" s="47"/>
      <c r="J193" s="74"/>
      <c r="K193" s="75"/>
    </row>
    <row r="194" spans="5:11" x14ac:dyDescent="0.3">
      <c r="E194" s="73"/>
      <c r="G194" s="47"/>
      <c r="H194" s="47"/>
      <c r="I194" s="47"/>
      <c r="J194" s="74"/>
      <c r="K194" s="75"/>
    </row>
    <row r="195" spans="5:11" x14ac:dyDescent="0.3">
      <c r="E195" s="73"/>
      <c r="G195" s="47"/>
      <c r="H195" s="47"/>
      <c r="I195" s="47"/>
      <c r="J195" s="74"/>
      <c r="K195" s="75"/>
    </row>
    <row r="196" spans="5:11" x14ac:dyDescent="0.3">
      <c r="E196" s="73"/>
      <c r="G196" s="47"/>
      <c r="H196" s="47"/>
      <c r="I196" s="47"/>
      <c r="J196" s="74"/>
      <c r="K196" s="75"/>
    </row>
    <row r="197" spans="5:11" x14ac:dyDescent="0.3">
      <c r="E197" s="73"/>
      <c r="G197" s="47"/>
      <c r="H197" s="47"/>
      <c r="I197" s="47"/>
      <c r="J197" s="74"/>
      <c r="K197" s="75"/>
    </row>
    <row r="198" spans="5:11" x14ac:dyDescent="0.3">
      <c r="E198" s="73"/>
      <c r="G198" s="47"/>
      <c r="H198" s="47"/>
      <c r="I198" s="47"/>
      <c r="J198" s="74"/>
      <c r="K198" s="75"/>
    </row>
    <row r="199" spans="5:11" x14ac:dyDescent="0.3">
      <c r="E199" s="73"/>
      <c r="G199" s="47"/>
      <c r="H199" s="47"/>
      <c r="I199" s="47"/>
      <c r="J199" s="74"/>
      <c r="K199" s="75"/>
    </row>
    <row r="200" spans="5:11" x14ac:dyDescent="0.3">
      <c r="E200" s="73"/>
      <c r="G200" s="47"/>
      <c r="H200" s="47"/>
      <c r="I200" s="47"/>
      <c r="J200" s="74"/>
      <c r="K200" s="75"/>
    </row>
    <row r="201" spans="5:11" x14ac:dyDescent="0.3">
      <c r="E201" s="73"/>
      <c r="G201" s="47"/>
      <c r="H201" s="47"/>
      <c r="I201" s="47"/>
      <c r="J201" s="74"/>
      <c r="K201" s="75"/>
    </row>
    <row r="202" spans="5:11" x14ac:dyDescent="0.3">
      <c r="E202" s="73"/>
      <c r="G202" s="47"/>
      <c r="H202" s="47"/>
      <c r="I202" s="47"/>
      <c r="J202" s="74"/>
      <c r="K202" s="75"/>
    </row>
    <row r="203" spans="5:11" x14ac:dyDescent="0.3">
      <c r="E203" s="73"/>
      <c r="G203" s="47"/>
      <c r="H203" s="47"/>
      <c r="I203" s="47"/>
      <c r="J203" s="74"/>
      <c r="K203" s="75"/>
    </row>
    <row r="204" spans="5:11" x14ac:dyDescent="0.3">
      <c r="E204" s="73"/>
      <c r="G204" s="47"/>
      <c r="H204" s="47"/>
      <c r="I204" s="47"/>
      <c r="J204" s="74"/>
      <c r="K204" s="75"/>
    </row>
    <row r="205" spans="5:11" x14ac:dyDescent="0.3">
      <c r="E205" s="73"/>
      <c r="G205" s="47"/>
      <c r="H205" s="47"/>
      <c r="I205" s="47"/>
      <c r="J205" s="74"/>
      <c r="K205" s="75"/>
    </row>
    <row r="206" spans="5:11" x14ac:dyDescent="0.3">
      <c r="E206" s="73"/>
      <c r="G206" s="47"/>
      <c r="H206" s="47"/>
      <c r="I206" s="47"/>
      <c r="J206" s="74"/>
      <c r="K206" s="75"/>
    </row>
    <row r="207" spans="5:11" x14ac:dyDescent="0.3">
      <c r="E207" s="73"/>
      <c r="G207" s="47"/>
      <c r="H207" s="47"/>
      <c r="I207" s="47"/>
      <c r="J207" s="74"/>
      <c r="K207" s="75"/>
    </row>
    <row r="208" spans="5:11" x14ac:dyDescent="0.3">
      <c r="E208" s="73"/>
      <c r="G208" s="47"/>
      <c r="H208" s="47"/>
      <c r="I208" s="47"/>
      <c r="J208" s="74"/>
      <c r="K208" s="75"/>
    </row>
    <row r="209" spans="5:11" x14ac:dyDescent="0.3">
      <c r="E209" s="73"/>
      <c r="G209" s="47"/>
      <c r="H209" s="47"/>
      <c r="I209" s="47"/>
      <c r="J209" s="74"/>
      <c r="K209" s="75"/>
    </row>
    <row r="210" spans="5:11" x14ac:dyDescent="0.3">
      <c r="E210" s="73"/>
      <c r="G210" s="47"/>
      <c r="H210" s="47"/>
      <c r="I210" s="47"/>
      <c r="J210" s="74"/>
      <c r="K210" s="75"/>
    </row>
    <row r="211" spans="5:11" x14ac:dyDescent="0.3">
      <c r="E211" s="73"/>
      <c r="G211" s="47"/>
      <c r="H211" s="47"/>
      <c r="I211" s="47"/>
      <c r="J211" s="74"/>
      <c r="K211" s="75"/>
    </row>
    <row r="212" spans="5:11" x14ac:dyDescent="0.3">
      <c r="E212" s="73"/>
      <c r="G212" s="47"/>
      <c r="H212" s="47"/>
      <c r="I212" s="47"/>
      <c r="J212" s="74"/>
      <c r="K212" s="75"/>
    </row>
    <row r="213" spans="5:11" x14ac:dyDescent="0.3">
      <c r="E213" s="73"/>
      <c r="G213" s="47"/>
      <c r="H213" s="47"/>
      <c r="I213" s="47"/>
      <c r="J213" s="74"/>
      <c r="K213" s="75"/>
    </row>
    <row r="214" spans="5:11" x14ac:dyDescent="0.3">
      <c r="E214" s="73"/>
      <c r="G214" s="47"/>
      <c r="H214" s="47"/>
      <c r="I214" s="47"/>
      <c r="J214" s="74"/>
      <c r="K214" s="75"/>
    </row>
    <row r="215" spans="5:11" x14ac:dyDescent="0.3">
      <c r="E215" s="73"/>
      <c r="G215" s="47"/>
      <c r="H215" s="47"/>
      <c r="I215" s="47"/>
      <c r="J215" s="74"/>
      <c r="K215" s="75"/>
    </row>
    <row r="216" spans="5:11" x14ac:dyDescent="0.3">
      <c r="E216" s="73"/>
      <c r="G216" s="47"/>
      <c r="H216" s="47"/>
      <c r="I216" s="47"/>
      <c r="J216" s="74"/>
      <c r="K216" s="75"/>
    </row>
    <row r="217" spans="5:11" x14ac:dyDescent="0.3">
      <c r="E217" s="73"/>
      <c r="G217" s="47"/>
      <c r="H217" s="47"/>
      <c r="I217" s="47"/>
      <c r="J217" s="74"/>
      <c r="K217" s="75"/>
    </row>
    <row r="218" spans="5:11" x14ac:dyDescent="0.3">
      <c r="E218" s="73"/>
      <c r="G218" s="47"/>
      <c r="H218" s="47"/>
      <c r="I218" s="47"/>
      <c r="J218" s="74"/>
      <c r="K218" s="75"/>
    </row>
    <row r="219" spans="5:11" x14ac:dyDescent="0.3">
      <c r="E219" s="73"/>
      <c r="G219" s="47"/>
      <c r="H219" s="47"/>
      <c r="I219" s="47"/>
      <c r="J219" s="74"/>
      <c r="K219" s="75"/>
    </row>
    <row r="220" spans="5:11" x14ac:dyDescent="0.3">
      <c r="E220" s="73"/>
      <c r="G220" s="47"/>
      <c r="H220" s="47"/>
      <c r="I220" s="47"/>
      <c r="J220" s="74"/>
      <c r="K220" s="75"/>
    </row>
    <row r="221" spans="5:11" x14ac:dyDescent="0.3">
      <c r="E221" s="73"/>
      <c r="G221" s="47"/>
      <c r="H221" s="47"/>
      <c r="I221" s="47"/>
      <c r="J221" s="74"/>
      <c r="K221" s="75"/>
    </row>
    <row r="222" spans="5:11" x14ac:dyDescent="0.3">
      <c r="E222" s="73"/>
      <c r="G222" s="47"/>
      <c r="H222" s="47"/>
      <c r="I222" s="47"/>
      <c r="J222" s="74"/>
      <c r="K222" s="75"/>
    </row>
    <row r="223" spans="5:11" x14ac:dyDescent="0.3">
      <c r="E223" s="73"/>
      <c r="G223" s="47"/>
      <c r="H223" s="47"/>
      <c r="I223" s="47"/>
      <c r="J223" s="74"/>
      <c r="K223" s="75"/>
    </row>
    <row r="224" spans="5:11" x14ac:dyDescent="0.3">
      <c r="E224" s="73"/>
      <c r="G224" s="47"/>
      <c r="H224" s="47"/>
      <c r="I224" s="47"/>
      <c r="J224" s="74"/>
      <c r="K224" s="75"/>
    </row>
    <row r="225" spans="5:11" x14ac:dyDescent="0.3">
      <c r="E225" s="73"/>
      <c r="G225" s="47"/>
      <c r="H225" s="47"/>
      <c r="I225" s="47"/>
      <c r="J225" s="74"/>
      <c r="K225" s="75"/>
    </row>
    <row r="226" spans="5:11" x14ac:dyDescent="0.3">
      <c r="E226" s="73"/>
      <c r="G226" s="47"/>
      <c r="H226" s="47"/>
      <c r="I226" s="47"/>
      <c r="J226" s="74"/>
      <c r="K226" s="75"/>
    </row>
    <row r="227" spans="5:11" x14ac:dyDescent="0.3">
      <c r="E227" s="73"/>
      <c r="G227" s="47"/>
      <c r="H227" s="47"/>
      <c r="I227" s="47"/>
      <c r="J227" s="74"/>
      <c r="K227" s="75"/>
    </row>
    <row r="228" spans="5:11" x14ac:dyDescent="0.3">
      <c r="E228" s="73"/>
      <c r="G228" s="47"/>
      <c r="H228" s="47"/>
      <c r="I228" s="47"/>
      <c r="J228" s="74"/>
      <c r="K228" s="75"/>
    </row>
    <row r="229" spans="5:11" x14ac:dyDescent="0.3">
      <c r="E229" s="73"/>
      <c r="G229" s="47"/>
      <c r="H229" s="47"/>
      <c r="I229" s="47"/>
      <c r="J229" s="74"/>
      <c r="K229" s="75"/>
    </row>
    <row r="230" spans="5:11" x14ac:dyDescent="0.3">
      <c r="E230" s="73"/>
      <c r="G230" s="47"/>
      <c r="H230" s="47"/>
      <c r="I230" s="47"/>
      <c r="J230" s="74"/>
      <c r="K230" s="75"/>
    </row>
    <row r="231" spans="5:11" x14ac:dyDescent="0.3">
      <c r="E231" s="73"/>
      <c r="G231" s="47"/>
      <c r="H231" s="47"/>
      <c r="I231" s="47"/>
      <c r="J231" s="74"/>
      <c r="K231" s="75"/>
    </row>
    <row r="232" spans="5:11" x14ac:dyDescent="0.3">
      <c r="E232" s="73"/>
      <c r="G232" s="47"/>
      <c r="H232" s="47"/>
      <c r="I232" s="47"/>
      <c r="J232" s="74"/>
      <c r="K232" s="75"/>
    </row>
    <row r="233" spans="5:11" x14ac:dyDescent="0.3">
      <c r="E233" s="73"/>
      <c r="G233" s="47"/>
      <c r="H233" s="47"/>
      <c r="I233" s="47"/>
      <c r="J233" s="74"/>
      <c r="K233" s="75"/>
    </row>
    <row r="234" spans="5:11" x14ac:dyDescent="0.3">
      <c r="E234" s="73"/>
      <c r="G234" s="47"/>
      <c r="H234" s="47"/>
      <c r="I234" s="47"/>
      <c r="J234" s="74"/>
      <c r="K234" s="75"/>
    </row>
    <row r="235" spans="5:11" x14ac:dyDescent="0.3">
      <c r="E235" s="73"/>
      <c r="G235" s="47"/>
      <c r="H235" s="47"/>
      <c r="I235" s="47"/>
      <c r="J235" s="74"/>
      <c r="K235" s="75"/>
    </row>
    <row r="236" spans="5:11" x14ac:dyDescent="0.3">
      <c r="E236" s="73"/>
      <c r="G236" s="47"/>
      <c r="H236" s="47"/>
      <c r="I236" s="47"/>
      <c r="J236" s="74"/>
      <c r="K236" s="75"/>
    </row>
    <row r="237" spans="5:11" x14ac:dyDescent="0.3">
      <c r="E237" s="73"/>
      <c r="G237" s="47"/>
      <c r="H237" s="47"/>
      <c r="I237" s="47"/>
      <c r="J237" s="74"/>
      <c r="K237" s="75"/>
    </row>
    <row r="238" spans="5:11" x14ac:dyDescent="0.3">
      <c r="E238" s="73"/>
      <c r="G238" s="47"/>
      <c r="H238" s="47"/>
      <c r="I238" s="47"/>
      <c r="J238" s="74"/>
      <c r="K238" s="75"/>
    </row>
    <row r="239" spans="5:11" x14ac:dyDescent="0.3">
      <c r="E239" s="73"/>
      <c r="G239" s="47"/>
      <c r="H239" s="47"/>
      <c r="I239" s="47"/>
      <c r="J239" s="74"/>
      <c r="K239" s="75"/>
    </row>
    <row r="240" spans="5:11" x14ac:dyDescent="0.3">
      <c r="E240" s="73"/>
      <c r="G240" s="47"/>
      <c r="H240" s="47"/>
      <c r="I240" s="47"/>
      <c r="J240" s="74"/>
      <c r="K240" s="75"/>
    </row>
    <row r="241" spans="5:11" x14ac:dyDescent="0.3">
      <c r="E241" s="73"/>
      <c r="G241" s="47"/>
      <c r="H241" s="47"/>
      <c r="I241" s="47"/>
      <c r="J241" s="74"/>
      <c r="K241" s="75"/>
    </row>
    <row r="242" spans="5:11" x14ac:dyDescent="0.3">
      <c r="E242" s="73"/>
      <c r="G242" s="47"/>
      <c r="H242" s="47"/>
      <c r="I242" s="47"/>
      <c r="J242" s="74"/>
      <c r="K242" s="75"/>
    </row>
    <row r="243" spans="5:11" x14ac:dyDescent="0.3">
      <c r="E243" s="73"/>
      <c r="G243" s="47"/>
      <c r="H243" s="47"/>
      <c r="I243" s="47"/>
      <c r="J243" s="74"/>
      <c r="K243" s="75"/>
    </row>
    <row r="244" spans="5:11" x14ac:dyDescent="0.3">
      <c r="E244" s="73"/>
      <c r="G244" s="47"/>
      <c r="H244" s="47"/>
      <c r="I244" s="47"/>
      <c r="J244" s="74"/>
      <c r="K244" s="75"/>
    </row>
    <row r="245" spans="5:11" x14ac:dyDescent="0.3">
      <c r="E245" s="73"/>
      <c r="G245" s="47"/>
      <c r="H245" s="47"/>
      <c r="I245" s="47"/>
      <c r="J245" s="74"/>
      <c r="K245" s="75"/>
    </row>
    <row r="246" spans="5:11" x14ac:dyDescent="0.3">
      <c r="E246" s="73"/>
      <c r="G246" s="47"/>
      <c r="H246" s="47"/>
      <c r="I246" s="47"/>
      <c r="J246" s="74"/>
      <c r="K246" s="75"/>
    </row>
    <row r="247" spans="5:11" x14ac:dyDescent="0.3">
      <c r="E247" s="73"/>
      <c r="G247" s="47"/>
      <c r="H247" s="47"/>
      <c r="I247" s="47"/>
      <c r="J247" s="74"/>
      <c r="K247" s="75"/>
    </row>
    <row r="248" spans="5:11" x14ac:dyDescent="0.3">
      <c r="E248" s="73"/>
      <c r="G248" s="47"/>
      <c r="H248" s="47"/>
      <c r="I248" s="47"/>
      <c r="J248" s="74"/>
      <c r="K248" s="75"/>
    </row>
    <row r="249" spans="5:11" x14ac:dyDescent="0.3">
      <c r="E249" s="73"/>
      <c r="G249" s="47"/>
      <c r="H249" s="47"/>
      <c r="I249" s="47"/>
      <c r="J249" s="74"/>
      <c r="K249" s="75"/>
    </row>
    <row r="250" spans="5:11" x14ac:dyDescent="0.3">
      <c r="E250" s="73"/>
      <c r="G250" s="47"/>
      <c r="H250" s="47"/>
      <c r="I250" s="47"/>
      <c r="J250" s="74"/>
      <c r="K250" s="75"/>
    </row>
    <row r="251" spans="5:11" x14ac:dyDescent="0.3">
      <c r="E251" s="73"/>
      <c r="G251" s="47"/>
      <c r="H251" s="47"/>
      <c r="I251" s="47"/>
      <c r="J251" s="74"/>
      <c r="K251" s="75"/>
    </row>
    <row r="252" spans="5:11" x14ac:dyDescent="0.3">
      <c r="E252" s="73"/>
      <c r="G252" s="47"/>
      <c r="H252" s="47"/>
      <c r="I252" s="47"/>
      <c r="J252" s="74"/>
      <c r="K252" s="75"/>
    </row>
    <row r="253" spans="5:11" x14ac:dyDescent="0.3">
      <c r="E253" s="73"/>
      <c r="G253" s="47"/>
      <c r="H253" s="47"/>
      <c r="I253" s="47"/>
      <c r="J253" s="74"/>
      <c r="K253" s="75"/>
    </row>
    <row r="254" spans="5:11" x14ac:dyDescent="0.3">
      <c r="E254" s="73"/>
      <c r="G254" s="47"/>
      <c r="H254" s="47"/>
      <c r="I254" s="47"/>
      <c r="J254" s="74"/>
      <c r="K254" s="75"/>
    </row>
    <row r="255" spans="5:11" x14ac:dyDescent="0.3">
      <c r="E255" s="73"/>
      <c r="G255" s="47"/>
      <c r="H255" s="47"/>
      <c r="I255" s="47"/>
      <c r="J255" s="74"/>
      <c r="K255" s="75"/>
    </row>
    <row r="256" spans="5:11" x14ac:dyDescent="0.3">
      <c r="E256" s="73"/>
      <c r="G256" s="47"/>
      <c r="H256" s="47"/>
      <c r="I256" s="47"/>
      <c r="J256" s="74"/>
      <c r="K256" s="75"/>
    </row>
    <row r="257" spans="5:11" x14ac:dyDescent="0.3">
      <c r="E257" s="73"/>
      <c r="G257" s="47"/>
      <c r="H257" s="47"/>
      <c r="I257" s="47"/>
      <c r="J257" s="74"/>
      <c r="K257" s="75"/>
    </row>
    <row r="258" spans="5:11" x14ac:dyDescent="0.3">
      <c r="E258" s="73"/>
      <c r="G258" s="47"/>
      <c r="H258" s="47"/>
      <c r="I258" s="47"/>
      <c r="J258" s="74"/>
      <c r="K258" s="75"/>
    </row>
    <row r="259" spans="5:11" x14ac:dyDescent="0.3">
      <c r="E259" s="73"/>
      <c r="G259" s="47"/>
      <c r="H259" s="47"/>
      <c r="I259" s="47"/>
      <c r="J259" s="74"/>
      <c r="K259" s="75"/>
    </row>
    <row r="260" spans="5:11" x14ac:dyDescent="0.3">
      <c r="E260" s="73"/>
      <c r="G260" s="47"/>
      <c r="H260" s="47"/>
      <c r="I260" s="47"/>
      <c r="J260" s="74"/>
      <c r="K260" s="75"/>
    </row>
    <row r="261" spans="5:11" x14ac:dyDescent="0.3">
      <c r="E261" s="73"/>
      <c r="G261" s="47"/>
      <c r="H261" s="47"/>
      <c r="I261" s="47"/>
      <c r="J261" s="74"/>
      <c r="K261" s="75"/>
    </row>
    <row r="262" spans="5:11" x14ac:dyDescent="0.3">
      <c r="E262" s="73"/>
      <c r="G262" s="47"/>
      <c r="H262" s="47"/>
      <c r="I262" s="47"/>
      <c r="J262" s="74"/>
      <c r="K262" s="75"/>
    </row>
    <row r="263" spans="5:11" x14ac:dyDescent="0.3">
      <c r="E263" s="73"/>
      <c r="G263" s="47"/>
      <c r="H263" s="47"/>
      <c r="I263" s="47"/>
      <c r="J263" s="74"/>
      <c r="K263" s="75"/>
    </row>
    <row r="264" spans="5:11" x14ac:dyDescent="0.3">
      <c r="E264" s="73"/>
      <c r="G264" s="47"/>
      <c r="H264" s="47"/>
      <c r="I264" s="47"/>
      <c r="J264" s="74"/>
      <c r="K264" s="75"/>
    </row>
    <row r="265" spans="5:11" x14ac:dyDescent="0.3">
      <c r="E265" s="73"/>
      <c r="G265" s="47"/>
      <c r="H265" s="47"/>
      <c r="I265" s="47"/>
      <c r="J265" s="74"/>
      <c r="K265" s="75"/>
    </row>
    <row r="266" spans="5:11" x14ac:dyDescent="0.3">
      <c r="E266" s="73"/>
      <c r="G266" s="47"/>
      <c r="H266" s="47"/>
      <c r="I266" s="47"/>
      <c r="J266" s="74"/>
      <c r="K266" s="75"/>
    </row>
    <row r="267" spans="5:11" x14ac:dyDescent="0.3">
      <c r="E267" s="73"/>
      <c r="G267" s="47"/>
      <c r="H267" s="47"/>
      <c r="I267" s="47"/>
      <c r="J267" s="74"/>
      <c r="K267" s="75"/>
    </row>
    <row r="268" spans="5:11" x14ac:dyDescent="0.3">
      <c r="E268" s="73"/>
      <c r="G268" s="47"/>
      <c r="H268" s="47"/>
      <c r="I268" s="47"/>
      <c r="J268" s="74"/>
      <c r="K268" s="75"/>
    </row>
    <row r="269" spans="5:11" x14ac:dyDescent="0.3">
      <c r="E269" s="73"/>
      <c r="G269" s="47"/>
      <c r="H269" s="47"/>
      <c r="I269" s="47"/>
      <c r="J269" s="74"/>
      <c r="K269" s="75"/>
    </row>
    <row r="270" spans="5:11" x14ac:dyDescent="0.3">
      <c r="E270" s="73"/>
      <c r="G270" s="47"/>
      <c r="H270" s="47"/>
      <c r="I270" s="47"/>
      <c r="J270" s="74"/>
      <c r="K270" s="75"/>
    </row>
    <row r="271" spans="5:11" x14ac:dyDescent="0.3">
      <c r="E271" s="73"/>
      <c r="G271" s="47"/>
      <c r="H271" s="47"/>
      <c r="I271" s="47"/>
      <c r="J271" s="74"/>
      <c r="K271" s="75"/>
    </row>
    <row r="272" spans="5:11" x14ac:dyDescent="0.3">
      <c r="E272" s="73"/>
      <c r="G272" s="47"/>
      <c r="H272" s="47"/>
      <c r="I272" s="47"/>
      <c r="J272" s="74"/>
      <c r="K272" s="75"/>
    </row>
    <row r="273" spans="5:11" x14ac:dyDescent="0.3">
      <c r="E273" s="73"/>
      <c r="G273" s="47"/>
      <c r="H273" s="47"/>
      <c r="I273" s="47"/>
      <c r="J273" s="74"/>
      <c r="K273" s="75"/>
    </row>
    <row r="274" spans="5:11" x14ac:dyDescent="0.3">
      <c r="E274" s="73"/>
      <c r="G274" s="47"/>
      <c r="H274" s="47"/>
      <c r="I274" s="47"/>
      <c r="J274" s="74"/>
      <c r="K274" s="75"/>
    </row>
    <row r="275" spans="5:11" x14ac:dyDescent="0.3">
      <c r="E275" s="73"/>
      <c r="G275" s="47"/>
      <c r="H275" s="47"/>
      <c r="I275" s="47"/>
      <c r="J275" s="74"/>
      <c r="K275" s="75"/>
    </row>
    <row r="276" spans="5:11" x14ac:dyDescent="0.3">
      <c r="E276" s="73"/>
      <c r="G276" s="47"/>
      <c r="H276" s="47"/>
      <c r="I276" s="47"/>
      <c r="J276" s="74"/>
      <c r="K276" s="75"/>
    </row>
    <row r="277" spans="5:11" x14ac:dyDescent="0.3">
      <c r="E277" s="73"/>
      <c r="G277" s="47"/>
      <c r="H277" s="47"/>
      <c r="I277" s="47"/>
      <c r="J277" s="74"/>
      <c r="K277" s="75"/>
    </row>
    <row r="278" spans="5:11" x14ac:dyDescent="0.3">
      <c r="E278" s="73"/>
      <c r="G278" s="47"/>
      <c r="H278" s="47"/>
      <c r="I278" s="47"/>
      <c r="J278" s="74"/>
      <c r="K278" s="75"/>
    </row>
    <row r="279" spans="5:11" x14ac:dyDescent="0.3">
      <c r="E279" s="73"/>
      <c r="G279" s="47"/>
      <c r="H279" s="47"/>
      <c r="I279" s="47"/>
      <c r="J279" s="74"/>
      <c r="K279" s="75"/>
    </row>
    <row r="280" spans="5:11" x14ac:dyDescent="0.3">
      <c r="E280" s="73"/>
      <c r="G280" s="47"/>
      <c r="H280" s="47"/>
      <c r="I280" s="47"/>
      <c r="J280" s="74"/>
      <c r="K280" s="75"/>
    </row>
    <row r="281" spans="5:11" x14ac:dyDescent="0.3">
      <c r="E281" s="73"/>
      <c r="G281" s="47"/>
      <c r="H281" s="47"/>
      <c r="I281" s="47"/>
      <c r="J281" s="74"/>
      <c r="K281" s="75"/>
    </row>
    <row r="282" spans="5:11" x14ac:dyDescent="0.3">
      <c r="E282" s="73"/>
      <c r="G282" s="47"/>
      <c r="H282" s="47"/>
      <c r="I282" s="47"/>
      <c r="J282" s="74"/>
      <c r="K282" s="75"/>
    </row>
    <row r="283" spans="5:11" x14ac:dyDescent="0.3">
      <c r="E283" s="73"/>
      <c r="G283" s="47"/>
      <c r="H283" s="47"/>
      <c r="I283" s="47"/>
      <c r="J283" s="74"/>
      <c r="K283" s="75"/>
    </row>
    <row r="284" spans="5:11" x14ac:dyDescent="0.3">
      <c r="E284" s="73"/>
      <c r="G284" s="47"/>
      <c r="H284" s="47"/>
      <c r="I284" s="47"/>
      <c r="J284" s="74"/>
      <c r="K284" s="75"/>
    </row>
    <row r="285" spans="5:11" x14ac:dyDescent="0.3">
      <c r="E285" s="73"/>
      <c r="G285" s="47"/>
      <c r="H285" s="47"/>
      <c r="I285" s="47"/>
      <c r="J285" s="74"/>
      <c r="K285" s="75"/>
    </row>
    <row r="286" spans="5:11" x14ac:dyDescent="0.3">
      <c r="E286" s="73"/>
      <c r="G286" s="47"/>
      <c r="H286" s="47"/>
      <c r="I286" s="47"/>
      <c r="J286" s="74"/>
      <c r="K286" s="75"/>
    </row>
    <row r="287" spans="5:11" x14ac:dyDescent="0.3">
      <c r="E287" s="73"/>
      <c r="G287" s="47"/>
      <c r="H287" s="47"/>
      <c r="I287" s="47"/>
      <c r="J287" s="74"/>
      <c r="K287" s="75"/>
    </row>
    <row r="288" spans="5:11" x14ac:dyDescent="0.3">
      <c r="E288" s="73"/>
      <c r="G288" s="47"/>
      <c r="H288" s="47"/>
      <c r="I288" s="47"/>
      <c r="J288" s="74"/>
      <c r="K288" s="75"/>
    </row>
    <row r="289" spans="5:11" x14ac:dyDescent="0.3">
      <c r="E289" s="73"/>
      <c r="G289" s="47"/>
      <c r="H289" s="47"/>
      <c r="I289" s="47"/>
      <c r="J289" s="74"/>
      <c r="K289" s="75"/>
    </row>
    <row r="290" spans="5:11" x14ac:dyDescent="0.3">
      <c r="E290" s="73"/>
      <c r="G290" s="47"/>
      <c r="H290" s="47"/>
      <c r="I290" s="47"/>
      <c r="J290" s="74"/>
      <c r="K290" s="75"/>
    </row>
    <row r="291" spans="5:11" x14ac:dyDescent="0.3">
      <c r="E291" s="73"/>
      <c r="G291" s="47"/>
      <c r="H291" s="47"/>
      <c r="I291" s="47"/>
      <c r="J291" s="74"/>
      <c r="K291" s="75"/>
    </row>
    <row r="292" spans="5:11" x14ac:dyDescent="0.3">
      <c r="E292" s="73"/>
      <c r="G292" s="47"/>
      <c r="H292" s="47"/>
      <c r="I292" s="47"/>
      <c r="J292" s="74"/>
      <c r="K292" s="75"/>
    </row>
    <row r="293" spans="5:11" x14ac:dyDescent="0.3">
      <c r="E293" s="73"/>
      <c r="G293" s="47"/>
      <c r="H293" s="47"/>
      <c r="I293" s="47"/>
      <c r="J293" s="74"/>
      <c r="K293" s="75"/>
    </row>
    <row r="294" spans="5:11" x14ac:dyDescent="0.3">
      <c r="E294" s="73"/>
      <c r="G294" s="47"/>
      <c r="H294" s="47"/>
      <c r="I294" s="47"/>
      <c r="J294" s="74"/>
      <c r="K294" s="75"/>
    </row>
    <row r="295" spans="5:11" x14ac:dyDescent="0.3">
      <c r="E295" s="73"/>
      <c r="G295" s="47"/>
      <c r="H295" s="47"/>
      <c r="I295" s="47"/>
      <c r="J295" s="74"/>
      <c r="K295" s="75"/>
    </row>
    <row r="296" spans="5:11" x14ac:dyDescent="0.3">
      <c r="E296" s="73"/>
      <c r="G296" s="47"/>
      <c r="H296" s="47"/>
      <c r="I296" s="47"/>
      <c r="J296" s="74"/>
      <c r="K296" s="75"/>
    </row>
    <row r="297" spans="5:11" x14ac:dyDescent="0.3">
      <c r="E297" s="73"/>
      <c r="G297" s="47"/>
      <c r="H297" s="47"/>
      <c r="I297" s="47"/>
      <c r="J297" s="74"/>
      <c r="K297" s="75"/>
    </row>
    <row r="298" spans="5:11" x14ac:dyDescent="0.3">
      <c r="E298" s="73"/>
      <c r="G298" s="47"/>
      <c r="H298" s="47"/>
      <c r="I298" s="47"/>
      <c r="J298" s="74"/>
      <c r="K298" s="75"/>
    </row>
    <row r="299" spans="5:11" x14ac:dyDescent="0.3">
      <c r="E299" s="73"/>
      <c r="G299" s="47"/>
      <c r="H299" s="47"/>
      <c r="I299" s="47"/>
      <c r="J299" s="74"/>
      <c r="K299" s="75"/>
    </row>
    <row r="300" spans="5:11" x14ac:dyDescent="0.3">
      <c r="E300" s="73"/>
      <c r="G300" s="47"/>
      <c r="H300" s="47"/>
      <c r="I300" s="47"/>
      <c r="J300" s="74"/>
      <c r="K300" s="75"/>
    </row>
    <row r="301" spans="5:11" x14ac:dyDescent="0.3">
      <c r="E301" s="73"/>
      <c r="G301" s="47"/>
      <c r="H301" s="47"/>
      <c r="I301" s="47"/>
      <c r="J301" s="74"/>
      <c r="K301" s="75"/>
    </row>
    <row r="302" spans="5:11" x14ac:dyDescent="0.3">
      <c r="E302" s="73"/>
      <c r="G302" s="47"/>
      <c r="H302" s="47"/>
      <c r="I302" s="47"/>
      <c r="J302" s="74"/>
      <c r="K302" s="75"/>
    </row>
    <row r="303" spans="5:11" x14ac:dyDescent="0.3">
      <c r="E303" s="73"/>
      <c r="G303" s="47"/>
      <c r="H303" s="47"/>
      <c r="I303" s="47"/>
      <c r="J303" s="74"/>
      <c r="K303" s="75"/>
    </row>
    <row r="304" spans="5:11" x14ac:dyDescent="0.3">
      <c r="E304" s="73"/>
      <c r="G304" s="47"/>
      <c r="H304" s="47"/>
      <c r="I304" s="47"/>
      <c r="J304" s="74"/>
      <c r="K304" s="75"/>
    </row>
    <row r="305" spans="5:11" x14ac:dyDescent="0.3">
      <c r="E305" s="73"/>
      <c r="G305" s="47"/>
      <c r="H305" s="47"/>
      <c r="I305" s="47"/>
      <c r="J305" s="74"/>
      <c r="K305" s="75"/>
    </row>
    <row r="306" spans="5:11" x14ac:dyDescent="0.3">
      <c r="E306" s="73"/>
      <c r="G306" s="47"/>
      <c r="H306" s="47"/>
      <c r="I306" s="47"/>
      <c r="J306" s="74"/>
      <c r="K306" s="75"/>
    </row>
    <row r="307" spans="5:11" x14ac:dyDescent="0.3">
      <c r="E307" s="73"/>
      <c r="G307" s="47"/>
      <c r="H307" s="47"/>
      <c r="I307" s="47"/>
      <c r="J307" s="74"/>
      <c r="K307" s="75"/>
    </row>
    <row r="308" spans="5:11" x14ac:dyDescent="0.3">
      <c r="E308" s="73"/>
      <c r="G308" s="47"/>
      <c r="H308" s="47"/>
      <c r="I308" s="47"/>
      <c r="J308" s="74"/>
      <c r="K308" s="75"/>
    </row>
    <row r="309" spans="5:11" x14ac:dyDescent="0.3">
      <c r="E309" s="73"/>
      <c r="G309" s="47"/>
      <c r="H309" s="47"/>
      <c r="I309" s="47"/>
      <c r="J309" s="74"/>
      <c r="K309" s="75"/>
    </row>
    <row r="310" spans="5:11" x14ac:dyDescent="0.3">
      <c r="E310" s="73"/>
      <c r="G310" s="47"/>
      <c r="H310" s="47"/>
      <c r="I310" s="47"/>
      <c r="J310" s="74"/>
      <c r="K310" s="75"/>
    </row>
    <row r="311" spans="5:11" x14ac:dyDescent="0.3">
      <c r="E311" s="73"/>
      <c r="G311" s="47"/>
      <c r="H311" s="47"/>
      <c r="I311" s="47"/>
      <c r="J311" s="74"/>
      <c r="K311" s="75"/>
    </row>
    <row r="312" spans="5:11" x14ac:dyDescent="0.3">
      <c r="E312" s="73"/>
      <c r="G312" s="47"/>
      <c r="H312" s="47"/>
      <c r="I312" s="47"/>
      <c r="J312" s="74"/>
      <c r="K312" s="75"/>
    </row>
    <row r="313" spans="5:11" x14ac:dyDescent="0.3">
      <c r="E313" s="73"/>
      <c r="G313" s="47"/>
      <c r="H313" s="47"/>
      <c r="I313" s="47"/>
      <c r="J313" s="74"/>
      <c r="K313" s="75"/>
    </row>
    <row r="314" spans="5:11" x14ac:dyDescent="0.3">
      <c r="E314" s="73"/>
      <c r="G314" s="47"/>
      <c r="H314" s="47"/>
      <c r="I314" s="47"/>
      <c r="J314" s="74"/>
      <c r="K314" s="75"/>
    </row>
    <row r="315" spans="5:11" x14ac:dyDescent="0.3">
      <c r="E315" s="73"/>
      <c r="G315" s="47"/>
      <c r="H315" s="47"/>
      <c r="I315" s="47"/>
      <c r="J315" s="74"/>
      <c r="K315" s="75"/>
    </row>
    <row r="316" spans="5:11" x14ac:dyDescent="0.3">
      <c r="E316" s="73"/>
      <c r="G316" s="47"/>
      <c r="H316" s="47"/>
      <c r="I316" s="47"/>
      <c r="J316" s="74"/>
      <c r="K316" s="75"/>
    </row>
    <row r="317" spans="5:11" x14ac:dyDescent="0.3">
      <c r="E317" s="73"/>
      <c r="G317" s="47"/>
      <c r="H317" s="47"/>
      <c r="I317" s="47"/>
      <c r="J317" s="74"/>
      <c r="K317" s="75"/>
    </row>
    <row r="318" spans="5:11" x14ac:dyDescent="0.3">
      <c r="E318" s="73"/>
      <c r="G318" s="47"/>
      <c r="H318" s="47"/>
      <c r="I318" s="47"/>
      <c r="J318" s="74"/>
      <c r="K318" s="75"/>
    </row>
    <row r="319" spans="5:11" x14ac:dyDescent="0.3">
      <c r="E319" s="73"/>
      <c r="G319" s="47"/>
      <c r="H319" s="47"/>
      <c r="I319" s="47"/>
      <c r="J319" s="74"/>
      <c r="K319" s="75"/>
    </row>
    <row r="320" spans="5:11" x14ac:dyDescent="0.3">
      <c r="E320" s="73"/>
      <c r="G320" s="47"/>
      <c r="H320" s="47"/>
      <c r="I320" s="47"/>
      <c r="J320" s="74"/>
      <c r="K320" s="75"/>
    </row>
    <row r="321" spans="5:11" x14ac:dyDescent="0.3">
      <c r="E321" s="73"/>
      <c r="G321" s="47"/>
      <c r="H321" s="47"/>
      <c r="I321" s="47"/>
      <c r="J321" s="74"/>
      <c r="K321" s="75"/>
    </row>
    <row r="322" spans="5:11" x14ac:dyDescent="0.3">
      <c r="E322" s="73"/>
      <c r="G322" s="47"/>
      <c r="H322" s="47"/>
      <c r="I322" s="47"/>
      <c r="J322" s="74"/>
      <c r="K322" s="75"/>
    </row>
    <row r="323" spans="5:11" x14ac:dyDescent="0.3">
      <c r="E323" s="73"/>
      <c r="G323" s="47"/>
      <c r="H323" s="47"/>
      <c r="I323" s="47"/>
      <c r="J323" s="74"/>
      <c r="K323" s="75"/>
    </row>
    <row r="324" spans="5:11" x14ac:dyDescent="0.3">
      <c r="E324" s="73"/>
      <c r="G324" s="47"/>
      <c r="H324" s="47"/>
      <c r="I324" s="47"/>
      <c r="J324" s="74"/>
      <c r="K324" s="75"/>
    </row>
    <row r="325" spans="5:11" x14ac:dyDescent="0.3">
      <c r="E325" s="73"/>
      <c r="G325" s="47"/>
      <c r="H325" s="47"/>
      <c r="I325" s="47"/>
      <c r="J325" s="74"/>
      <c r="K325" s="75"/>
    </row>
    <row r="326" spans="5:11" x14ac:dyDescent="0.3">
      <c r="E326" s="73"/>
      <c r="G326" s="47"/>
      <c r="H326" s="47"/>
      <c r="I326" s="47"/>
      <c r="J326" s="74"/>
      <c r="K326" s="75"/>
    </row>
    <row r="327" spans="5:11" x14ac:dyDescent="0.3">
      <c r="E327" s="73"/>
      <c r="G327" s="47"/>
      <c r="H327" s="47"/>
      <c r="I327" s="47"/>
      <c r="J327" s="74"/>
      <c r="K327" s="75"/>
    </row>
    <row r="328" spans="5:11" x14ac:dyDescent="0.3">
      <c r="E328" s="73"/>
      <c r="G328" s="47"/>
      <c r="H328" s="47"/>
      <c r="I328" s="47"/>
      <c r="J328" s="74"/>
      <c r="K328" s="75"/>
    </row>
    <row r="329" spans="5:11" x14ac:dyDescent="0.3">
      <c r="E329" s="73"/>
      <c r="G329" s="47"/>
      <c r="H329" s="47"/>
      <c r="I329" s="47"/>
      <c r="J329" s="74"/>
      <c r="K329" s="75"/>
    </row>
    <row r="330" spans="5:11" x14ac:dyDescent="0.3">
      <c r="E330" s="73"/>
      <c r="G330" s="47"/>
      <c r="H330" s="47"/>
      <c r="I330" s="47"/>
      <c r="J330" s="74"/>
      <c r="K330" s="75"/>
    </row>
    <row r="331" spans="5:11" x14ac:dyDescent="0.3">
      <c r="E331" s="73"/>
      <c r="G331" s="47"/>
      <c r="H331" s="47"/>
      <c r="I331" s="47"/>
      <c r="J331" s="74"/>
      <c r="K331" s="75"/>
    </row>
    <row r="332" spans="5:11" x14ac:dyDescent="0.3">
      <c r="E332" s="73"/>
      <c r="G332" s="47"/>
      <c r="H332" s="47"/>
      <c r="I332" s="47"/>
      <c r="J332" s="74"/>
      <c r="K332" s="75"/>
    </row>
    <row r="333" spans="5:11" x14ac:dyDescent="0.3">
      <c r="E333" s="73"/>
      <c r="G333" s="47"/>
      <c r="H333" s="47"/>
      <c r="I333" s="47"/>
      <c r="J333" s="74"/>
      <c r="K333" s="75"/>
    </row>
    <row r="334" spans="5:11" x14ac:dyDescent="0.3">
      <c r="E334" s="73"/>
      <c r="G334" s="47"/>
      <c r="H334" s="47"/>
      <c r="I334" s="47"/>
      <c r="J334" s="74"/>
      <c r="K334" s="75"/>
    </row>
    <row r="335" spans="5:11" x14ac:dyDescent="0.3">
      <c r="E335" s="73"/>
      <c r="G335" s="47"/>
      <c r="H335" s="47"/>
      <c r="I335" s="47"/>
      <c r="J335" s="74"/>
      <c r="K335" s="75"/>
    </row>
    <row r="336" spans="5:11" x14ac:dyDescent="0.3">
      <c r="E336" s="73"/>
      <c r="G336" s="47"/>
      <c r="H336" s="47"/>
      <c r="I336" s="47"/>
      <c r="J336" s="74"/>
      <c r="K336" s="75"/>
    </row>
    <row r="337" spans="5:11" x14ac:dyDescent="0.3">
      <c r="E337" s="73"/>
      <c r="G337" s="47"/>
      <c r="H337" s="47"/>
      <c r="I337" s="47"/>
      <c r="J337" s="74"/>
      <c r="K337" s="75"/>
    </row>
    <row r="338" spans="5:11" x14ac:dyDescent="0.3">
      <c r="E338" s="73"/>
      <c r="G338" s="47"/>
      <c r="H338" s="47"/>
      <c r="I338" s="47"/>
      <c r="J338" s="74"/>
      <c r="K338" s="75"/>
    </row>
    <row r="339" spans="5:11" x14ac:dyDescent="0.3">
      <c r="E339" s="73"/>
      <c r="G339" s="47"/>
      <c r="H339" s="47"/>
      <c r="I339" s="47"/>
      <c r="J339" s="74"/>
      <c r="K339" s="75"/>
    </row>
    <row r="340" spans="5:11" x14ac:dyDescent="0.3">
      <c r="E340" s="73"/>
      <c r="G340" s="47"/>
      <c r="H340" s="47"/>
      <c r="I340" s="47"/>
      <c r="J340" s="74"/>
      <c r="K340" s="75"/>
    </row>
    <row r="341" spans="5:11" x14ac:dyDescent="0.3">
      <c r="E341" s="73"/>
      <c r="G341" s="47"/>
      <c r="H341" s="47"/>
      <c r="I341" s="47"/>
      <c r="J341" s="74"/>
      <c r="K341" s="75"/>
    </row>
    <row r="342" spans="5:11" x14ac:dyDescent="0.3">
      <c r="E342" s="73"/>
      <c r="G342" s="47"/>
      <c r="H342" s="47"/>
      <c r="I342" s="47"/>
      <c r="J342" s="74"/>
      <c r="K342" s="75"/>
    </row>
    <row r="343" spans="5:11" x14ac:dyDescent="0.3">
      <c r="E343" s="73"/>
      <c r="G343" s="47"/>
      <c r="H343" s="47"/>
      <c r="I343" s="47"/>
      <c r="J343" s="74"/>
      <c r="K343" s="75"/>
    </row>
    <row r="344" spans="5:11" x14ac:dyDescent="0.3">
      <c r="E344" s="73"/>
      <c r="G344" s="47"/>
      <c r="H344" s="47"/>
      <c r="I344" s="47"/>
      <c r="J344" s="74"/>
      <c r="K344" s="75"/>
    </row>
    <row r="345" spans="5:11" x14ac:dyDescent="0.3">
      <c r="E345" s="73"/>
      <c r="G345" s="47"/>
      <c r="H345" s="47"/>
      <c r="I345" s="47"/>
      <c r="J345" s="74"/>
      <c r="K345" s="75"/>
    </row>
    <row r="346" spans="5:11" x14ac:dyDescent="0.3">
      <c r="E346" s="73"/>
      <c r="G346" s="47"/>
      <c r="H346" s="47"/>
      <c r="I346" s="47"/>
      <c r="J346" s="74"/>
      <c r="K346" s="75"/>
    </row>
    <row r="347" spans="5:11" x14ac:dyDescent="0.3">
      <c r="E347" s="73"/>
      <c r="G347" s="47"/>
      <c r="H347" s="47"/>
      <c r="I347" s="47"/>
      <c r="J347" s="74"/>
      <c r="K347" s="75"/>
    </row>
    <row r="348" spans="5:11" x14ac:dyDescent="0.3">
      <c r="E348" s="73"/>
      <c r="G348" s="47"/>
      <c r="H348" s="47"/>
      <c r="I348" s="47"/>
      <c r="J348" s="74"/>
      <c r="K348" s="75"/>
    </row>
    <row r="349" spans="5:11" x14ac:dyDescent="0.3">
      <c r="E349" s="73"/>
      <c r="G349" s="47"/>
      <c r="H349" s="47"/>
      <c r="I349" s="47"/>
      <c r="J349" s="74"/>
      <c r="K349" s="75"/>
    </row>
    <row r="350" spans="5:11" x14ac:dyDescent="0.3">
      <c r="E350" s="73"/>
      <c r="G350" s="47"/>
      <c r="H350" s="47"/>
      <c r="I350" s="47"/>
      <c r="J350" s="74"/>
      <c r="K350" s="75"/>
    </row>
    <row r="351" spans="5:11" x14ac:dyDescent="0.3">
      <c r="E351" s="73"/>
      <c r="G351" s="47"/>
      <c r="H351" s="47"/>
      <c r="I351" s="47"/>
      <c r="J351" s="74"/>
      <c r="K351" s="75"/>
    </row>
    <row r="352" spans="5:11" x14ac:dyDescent="0.3">
      <c r="E352" s="73"/>
      <c r="G352" s="47"/>
      <c r="H352" s="47"/>
      <c r="I352" s="47"/>
      <c r="J352" s="74"/>
      <c r="K352" s="75"/>
    </row>
    <row r="353" spans="5:11" x14ac:dyDescent="0.3">
      <c r="E353" s="73"/>
      <c r="G353" s="47"/>
      <c r="H353" s="47"/>
      <c r="I353" s="47"/>
      <c r="J353" s="74"/>
      <c r="K353" s="75"/>
    </row>
    <row r="354" spans="5:11" x14ac:dyDescent="0.3">
      <c r="E354" s="73"/>
      <c r="G354" s="47"/>
      <c r="H354" s="47"/>
      <c r="I354" s="47"/>
      <c r="J354" s="74"/>
      <c r="K354" s="75"/>
    </row>
    <row r="355" spans="5:11" x14ac:dyDescent="0.3">
      <c r="E355" s="73"/>
      <c r="G355" s="47"/>
      <c r="H355" s="47"/>
      <c r="I355" s="47"/>
      <c r="J355" s="74"/>
      <c r="K355" s="75"/>
    </row>
    <row r="356" spans="5:11" x14ac:dyDescent="0.3">
      <c r="E356" s="73"/>
      <c r="G356" s="47"/>
      <c r="H356" s="47"/>
      <c r="I356" s="47"/>
      <c r="J356" s="74"/>
      <c r="K356" s="75"/>
    </row>
    <row r="357" spans="5:11" x14ac:dyDescent="0.3">
      <c r="E357" s="73"/>
      <c r="G357" s="47"/>
      <c r="H357" s="47"/>
      <c r="I357" s="47"/>
      <c r="J357" s="74"/>
      <c r="K357" s="75"/>
    </row>
    <row r="358" spans="5:11" x14ac:dyDescent="0.3">
      <c r="E358" s="73"/>
      <c r="G358" s="47"/>
      <c r="H358" s="47"/>
      <c r="I358" s="47"/>
      <c r="J358" s="74"/>
      <c r="K358" s="75"/>
    </row>
    <row r="359" spans="5:11" x14ac:dyDescent="0.3">
      <c r="E359" s="73"/>
      <c r="G359" s="47"/>
      <c r="H359" s="47"/>
      <c r="I359" s="47"/>
      <c r="J359" s="74"/>
      <c r="K359" s="75"/>
    </row>
    <row r="360" spans="5:11" x14ac:dyDescent="0.3">
      <c r="E360" s="73"/>
      <c r="G360" s="47"/>
      <c r="H360" s="47"/>
      <c r="I360" s="47"/>
      <c r="J360" s="74"/>
      <c r="K360" s="75"/>
    </row>
    <row r="361" spans="5:11" x14ac:dyDescent="0.3">
      <c r="E361" s="73"/>
      <c r="G361" s="47"/>
      <c r="H361" s="47"/>
      <c r="I361" s="47"/>
      <c r="J361" s="74"/>
      <c r="K361" s="75"/>
    </row>
    <row r="362" spans="5:11" x14ac:dyDescent="0.3">
      <c r="E362" s="73"/>
      <c r="G362" s="47"/>
      <c r="H362" s="47"/>
      <c r="I362" s="47"/>
      <c r="J362" s="74"/>
      <c r="K362" s="75"/>
    </row>
    <row r="363" spans="5:11" x14ac:dyDescent="0.3">
      <c r="E363" s="73"/>
      <c r="G363" s="47"/>
      <c r="H363" s="47"/>
      <c r="I363" s="47"/>
      <c r="J363" s="74"/>
      <c r="K363" s="75"/>
    </row>
    <row r="364" spans="5:11" x14ac:dyDescent="0.3">
      <c r="E364" s="73"/>
      <c r="G364" s="47"/>
      <c r="H364" s="47"/>
      <c r="I364" s="47"/>
      <c r="J364" s="74"/>
      <c r="K364" s="75"/>
    </row>
    <row r="365" spans="5:11" x14ac:dyDescent="0.3">
      <c r="E365" s="73"/>
      <c r="G365" s="47"/>
      <c r="H365" s="47"/>
      <c r="I365" s="47"/>
      <c r="J365" s="74"/>
      <c r="K365" s="75"/>
    </row>
    <row r="366" spans="5:11" x14ac:dyDescent="0.3">
      <c r="E366" s="73"/>
      <c r="G366" s="47"/>
      <c r="H366" s="47"/>
      <c r="I366" s="47"/>
      <c r="J366" s="74"/>
      <c r="K366" s="75"/>
    </row>
    <row r="367" spans="5:11" x14ac:dyDescent="0.3">
      <c r="E367" s="73"/>
      <c r="G367" s="47"/>
      <c r="H367" s="47"/>
      <c r="I367" s="47"/>
      <c r="J367" s="74"/>
      <c r="K367" s="75"/>
    </row>
    <row r="368" spans="5:11" x14ac:dyDescent="0.3">
      <c r="E368" s="73"/>
      <c r="G368" s="47"/>
      <c r="H368" s="47"/>
      <c r="I368" s="47"/>
      <c r="J368" s="74"/>
      <c r="K368" s="75"/>
    </row>
    <row r="369" spans="5:11" x14ac:dyDescent="0.3">
      <c r="E369" s="73"/>
      <c r="G369" s="47"/>
      <c r="H369" s="47"/>
      <c r="I369" s="47"/>
      <c r="J369" s="74"/>
      <c r="K369" s="75"/>
    </row>
    <row r="370" spans="5:11" x14ac:dyDescent="0.3">
      <c r="E370" s="73"/>
      <c r="G370" s="47"/>
      <c r="H370" s="47"/>
      <c r="I370" s="47"/>
      <c r="J370" s="74"/>
      <c r="K370" s="75"/>
    </row>
    <row r="371" spans="5:11" x14ac:dyDescent="0.3">
      <c r="E371" s="73"/>
      <c r="G371" s="47"/>
      <c r="H371" s="47"/>
      <c r="I371" s="47"/>
      <c r="J371" s="74"/>
      <c r="K371" s="75"/>
    </row>
    <row r="372" spans="5:11" x14ac:dyDescent="0.3">
      <c r="E372" s="73"/>
      <c r="G372" s="47"/>
      <c r="H372" s="47"/>
      <c r="I372" s="47"/>
      <c r="J372" s="74"/>
      <c r="K372" s="75"/>
    </row>
    <row r="373" spans="5:11" x14ac:dyDescent="0.3">
      <c r="E373" s="73"/>
      <c r="G373" s="47"/>
      <c r="H373" s="47"/>
      <c r="I373" s="47"/>
      <c r="J373" s="74"/>
      <c r="K373" s="75"/>
    </row>
    <row r="374" spans="5:11" x14ac:dyDescent="0.3">
      <c r="E374" s="73"/>
      <c r="G374" s="47"/>
      <c r="H374" s="47"/>
      <c r="I374" s="47"/>
      <c r="J374" s="74"/>
      <c r="K374" s="75"/>
    </row>
    <row r="375" spans="5:11" x14ac:dyDescent="0.3">
      <c r="E375" s="73"/>
      <c r="G375" s="47"/>
      <c r="H375" s="47"/>
      <c r="I375" s="47"/>
      <c r="J375" s="74"/>
      <c r="K375" s="75"/>
    </row>
    <row r="376" spans="5:11" x14ac:dyDescent="0.3">
      <c r="E376" s="73"/>
      <c r="G376" s="47"/>
      <c r="H376" s="47"/>
      <c r="I376" s="47"/>
      <c r="J376" s="74"/>
      <c r="K376" s="75"/>
    </row>
    <row r="377" spans="5:11" x14ac:dyDescent="0.3">
      <c r="E377" s="73"/>
      <c r="G377" s="47"/>
      <c r="H377" s="47"/>
      <c r="I377" s="47"/>
      <c r="J377" s="74"/>
      <c r="K377" s="75"/>
    </row>
    <row r="378" spans="5:11" x14ac:dyDescent="0.3">
      <c r="E378" s="73"/>
      <c r="G378" s="47"/>
      <c r="H378" s="47"/>
      <c r="I378" s="47"/>
      <c r="J378" s="74"/>
      <c r="K378" s="75"/>
    </row>
    <row r="379" spans="5:11" x14ac:dyDescent="0.3">
      <c r="E379" s="73"/>
      <c r="G379" s="47"/>
      <c r="H379" s="47"/>
      <c r="I379" s="47"/>
      <c r="J379" s="74"/>
      <c r="K379" s="75"/>
    </row>
    <row r="380" spans="5:11" x14ac:dyDescent="0.3">
      <c r="E380" s="73"/>
      <c r="G380" s="47"/>
      <c r="H380" s="47"/>
      <c r="I380" s="47"/>
      <c r="J380" s="74"/>
      <c r="K380" s="75"/>
    </row>
    <row r="381" spans="5:11" x14ac:dyDescent="0.3">
      <c r="E381" s="73"/>
      <c r="G381" s="47"/>
      <c r="H381" s="47"/>
      <c r="I381" s="47"/>
      <c r="J381" s="74"/>
      <c r="K381" s="75"/>
    </row>
    <row r="382" spans="5:11" x14ac:dyDescent="0.3">
      <c r="E382" s="73"/>
      <c r="G382" s="47"/>
      <c r="H382" s="47"/>
      <c r="I382" s="47"/>
      <c r="J382" s="74"/>
      <c r="K382" s="75"/>
    </row>
    <row r="383" spans="5:11" x14ac:dyDescent="0.3">
      <c r="E383" s="73"/>
      <c r="G383" s="47"/>
      <c r="H383" s="47"/>
      <c r="I383" s="47"/>
      <c r="J383" s="74"/>
      <c r="K383" s="75"/>
    </row>
    <row r="384" spans="5:11" x14ac:dyDescent="0.3">
      <c r="E384" s="73"/>
      <c r="G384" s="47"/>
      <c r="H384" s="47"/>
      <c r="I384" s="47"/>
      <c r="J384" s="74"/>
      <c r="K384" s="75"/>
    </row>
    <row r="385" spans="5:11" x14ac:dyDescent="0.3">
      <c r="E385" s="73"/>
      <c r="G385" s="47"/>
      <c r="H385" s="47"/>
      <c r="I385" s="47"/>
      <c r="J385" s="74"/>
      <c r="K385" s="75"/>
    </row>
    <row r="386" spans="5:11" x14ac:dyDescent="0.3">
      <c r="E386" s="73"/>
      <c r="G386" s="47"/>
      <c r="H386" s="47"/>
      <c r="I386" s="47"/>
      <c r="J386" s="74"/>
      <c r="K386" s="75"/>
    </row>
    <row r="387" spans="5:11" x14ac:dyDescent="0.3">
      <c r="E387" s="73"/>
      <c r="G387" s="47"/>
      <c r="H387" s="47"/>
      <c r="I387" s="47"/>
      <c r="J387" s="74"/>
      <c r="K387" s="75"/>
    </row>
    <row r="388" spans="5:11" x14ac:dyDescent="0.3">
      <c r="E388" s="73"/>
      <c r="G388" s="47"/>
      <c r="H388" s="47"/>
      <c r="I388" s="47"/>
      <c r="J388" s="74"/>
      <c r="K388" s="75"/>
    </row>
    <row r="389" spans="5:11" x14ac:dyDescent="0.3">
      <c r="E389" s="73"/>
      <c r="G389" s="47"/>
      <c r="H389" s="47"/>
      <c r="I389" s="47"/>
      <c r="J389" s="74"/>
      <c r="K389" s="75"/>
    </row>
    <row r="390" spans="5:11" x14ac:dyDescent="0.3">
      <c r="E390" s="73"/>
      <c r="G390" s="47"/>
      <c r="H390" s="47"/>
      <c r="I390" s="47"/>
      <c r="J390" s="74"/>
      <c r="K390" s="75"/>
    </row>
    <row r="391" spans="5:11" x14ac:dyDescent="0.3">
      <c r="E391" s="73"/>
      <c r="G391" s="47"/>
      <c r="H391" s="47"/>
      <c r="I391" s="47"/>
      <c r="J391" s="74"/>
      <c r="K391" s="75"/>
    </row>
    <row r="392" spans="5:11" x14ac:dyDescent="0.3">
      <c r="E392" s="73"/>
      <c r="G392" s="47"/>
      <c r="H392" s="47"/>
      <c r="I392" s="47"/>
      <c r="J392" s="74"/>
      <c r="K392" s="75"/>
    </row>
    <row r="393" spans="5:11" x14ac:dyDescent="0.3">
      <c r="E393" s="73"/>
      <c r="G393" s="47"/>
      <c r="H393" s="47"/>
      <c r="I393" s="47"/>
      <c r="J393" s="74"/>
      <c r="K393" s="75"/>
    </row>
    <row r="394" spans="5:11" x14ac:dyDescent="0.3">
      <c r="E394" s="73"/>
      <c r="G394" s="47"/>
      <c r="H394" s="47"/>
      <c r="I394" s="47"/>
      <c r="J394" s="74"/>
      <c r="K394" s="75"/>
    </row>
    <row r="395" spans="5:11" x14ac:dyDescent="0.3">
      <c r="E395" s="73"/>
      <c r="G395" s="47"/>
      <c r="H395" s="47"/>
      <c r="I395" s="47"/>
      <c r="J395" s="74"/>
      <c r="K395" s="75"/>
    </row>
    <row r="396" spans="5:11" x14ac:dyDescent="0.3">
      <c r="E396" s="73"/>
      <c r="G396" s="47"/>
      <c r="H396" s="47"/>
      <c r="I396" s="47"/>
      <c r="J396" s="74"/>
      <c r="K396" s="75"/>
    </row>
    <row r="397" spans="5:11" x14ac:dyDescent="0.3">
      <c r="E397" s="73"/>
      <c r="G397" s="47"/>
      <c r="H397" s="47"/>
      <c r="I397" s="47"/>
      <c r="J397" s="74"/>
      <c r="K397" s="75"/>
    </row>
    <row r="398" spans="5:11" x14ac:dyDescent="0.3">
      <c r="E398" s="73"/>
      <c r="G398" s="47"/>
      <c r="H398" s="47"/>
      <c r="I398" s="47"/>
      <c r="J398" s="74"/>
      <c r="K398" s="75"/>
    </row>
    <row r="399" spans="5:11" x14ac:dyDescent="0.3">
      <c r="E399" s="73"/>
      <c r="G399" s="47"/>
      <c r="H399" s="47"/>
      <c r="I399" s="47"/>
      <c r="J399" s="74"/>
      <c r="K399" s="75"/>
    </row>
    <row r="400" spans="5:11" x14ac:dyDescent="0.3">
      <c r="E400" s="73"/>
      <c r="G400" s="47"/>
      <c r="H400" s="47"/>
      <c r="I400" s="47"/>
      <c r="J400" s="74"/>
      <c r="K400" s="75"/>
    </row>
    <row r="401" spans="5:11" x14ac:dyDescent="0.3">
      <c r="E401" s="73"/>
      <c r="G401" s="47"/>
      <c r="H401" s="47"/>
      <c r="I401" s="47"/>
      <c r="J401" s="74"/>
      <c r="K401" s="75"/>
    </row>
    <row r="402" spans="5:11" x14ac:dyDescent="0.3">
      <c r="E402" s="73"/>
      <c r="G402" s="47"/>
      <c r="H402" s="47"/>
      <c r="I402" s="47"/>
      <c r="J402" s="74"/>
      <c r="K402" s="75"/>
    </row>
    <row r="403" spans="5:11" x14ac:dyDescent="0.3">
      <c r="E403" s="73"/>
      <c r="G403" s="47"/>
      <c r="H403" s="47"/>
      <c r="I403" s="47"/>
      <c r="J403" s="74"/>
      <c r="K403" s="75"/>
    </row>
    <row r="404" spans="5:11" x14ac:dyDescent="0.3">
      <c r="E404" s="73"/>
      <c r="G404" s="47"/>
      <c r="H404" s="47"/>
      <c r="I404" s="47"/>
      <c r="J404" s="74"/>
      <c r="K404" s="75"/>
    </row>
    <row r="405" spans="5:11" x14ac:dyDescent="0.3">
      <c r="E405" s="73"/>
      <c r="G405" s="47"/>
      <c r="H405" s="47"/>
      <c r="I405" s="47"/>
      <c r="J405" s="74"/>
      <c r="K405" s="75"/>
    </row>
  </sheetData>
  <autoFilter ref="B3:K3" xr:uid="{00000000-0009-0000-0000-000003000000}"/>
  <pageMargins left="0.511811024" right="0.511811024" top="0.78740157499999996" bottom="0.78740157499999996" header="0.31496062000000002" footer="0.31496062000000002"/>
  <pageSetup paperSize="9" orientation="portrait" r:id="rId1"/>
  <headerFooter>
    <oddFooter>&amp;L_x000D_&amp;1#&amp;"Trebuchet MS"&amp;9&amp;K737373 PÚBLICA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5"/>
  <dimension ref="B2:C21"/>
  <sheetViews>
    <sheetView workbookViewId="0">
      <selection activeCell="B23" sqref="B23"/>
    </sheetView>
  </sheetViews>
  <sheetFormatPr defaultRowHeight="14.4" x14ac:dyDescent="0.3"/>
  <sheetData>
    <row r="2" spans="2:3" x14ac:dyDescent="0.3">
      <c r="B2" t="s">
        <v>70</v>
      </c>
    </row>
    <row r="3" spans="2:3" x14ac:dyDescent="0.3">
      <c r="B3" t="s">
        <v>71</v>
      </c>
    </row>
    <row r="4" spans="2:3" x14ac:dyDescent="0.3">
      <c r="B4" t="s">
        <v>72</v>
      </c>
    </row>
    <row r="6" spans="2:3" x14ac:dyDescent="0.3">
      <c r="B6" t="s">
        <v>67</v>
      </c>
    </row>
    <row r="7" spans="2:3" x14ac:dyDescent="0.3">
      <c r="B7" t="s">
        <v>73</v>
      </c>
    </row>
    <row r="9" spans="2:3" x14ac:dyDescent="0.3">
      <c r="B9" t="s">
        <v>111</v>
      </c>
    </row>
    <row r="11" spans="2:3" x14ac:dyDescent="0.3">
      <c r="B11" t="s">
        <v>113</v>
      </c>
    </row>
    <row r="12" spans="2:3" x14ac:dyDescent="0.3">
      <c r="C12" t="s">
        <v>114</v>
      </c>
    </row>
    <row r="15" spans="2:3" x14ac:dyDescent="0.3">
      <c r="B15" t="s">
        <v>115</v>
      </c>
    </row>
    <row r="18" spans="2:2" x14ac:dyDescent="0.3">
      <c r="B18" t="s">
        <v>116</v>
      </c>
    </row>
    <row r="21" spans="2:2" x14ac:dyDescent="0.3">
      <c r="B21" t="s">
        <v>117</v>
      </c>
    </row>
  </sheetData>
  <pageMargins left="0.511811024" right="0.511811024" top="0.78740157499999996" bottom="0.78740157499999996" header="0.31496062000000002" footer="0.31496062000000002"/>
  <pageSetup paperSize="9" orientation="portrait" r:id="rId1"/>
  <headerFooter>
    <oddFooter>&amp;L_x000D_&amp;1#&amp;"Trebuchet MS"&amp;9&amp;K737373 PÚBLICA</oddFooter>
  </headerFooter>
</worksheet>
</file>

<file path=docMetadata/LabelInfo.xml><?xml version="1.0" encoding="utf-8"?>
<clbl:labelList xmlns:clbl="http://schemas.microsoft.com/office/2020/mipLabelMetadata">
  <clbl:label id="{140b9f7d-8e3a-482f-9702-4b7ffc40985a}" enabled="1" method="Privileged" siteId="{5b6f6241-9a57-4be4-8e50-1dfa72e79a57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1</vt:i4>
      </vt:variant>
    </vt:vector>
  </HeadingPairs>
  <TitlesOfParts>
    <vt:vector size="6" baseType="lpstr">
      <vt:lpstr>MC</vt:lpstr>
      <vt:lpstr>ARM</vt:lpstr>
      <vt:lpstr>DADOS</vt:lpstr>
      <vt:lpstr>MEDICAO</vt:lpstr>
      <vt:lpstr>Obs</vt:lpstr>
      <vt:lpstr>MC!Titulos_de_impressao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LIMA DE PAIVA</dc:creator>
  <cp:lastModifiedBy>Thelmo Pinheiro Sym - PrestServ</cp:lastModifiedBy>
  <cp:lastPrinted>2018-07-17T15:25:13Z</cp:lastPrinted>
  <dcterms:created xsi:type="dcterms:W3CDTF">2015-06-05T18:19:34Z</dcterms:created>
  <dcterms:modified xsi:type="dcterms:W3CDTF">2026-08-21T00:47:42Z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40b9f7d-8e3a-482f-9702-4b7ffc40985a_Enabled">
    <vt:lpwstr>true</vt:lpwstr>
  </property>
  <property fmtid="{D5CDD505-2E9C-101B-9397-08002B2CF9AE}" pid="3" name="MSIP_Label_140b9f7d-8e3a-482f-9702-4b7ffc40985a_SetDate">
    <vt:lpwstr>2024-11-27T15:34:39Z</vt:lpwstr>
  </property>
  <property fmtid="{D5CDD505-2E9C-101B-9397-08002B2CF9AE}" pid="4" name="MSIP_Label_140b9f7d-8e3a-482f-9702-4b7ffc40985a_Method">
    <vt:lpwstr>Privileged</vt:lpwstr>
  </property>
  <property fmtid="{D5CDD505-2E9C-101B-9397-08002B2CF9AE}" pid="5" name="MSIP_Label_140b9f7d-8e3a-482f-9702-4b7ffc40985a_Name">
    <vt:lpwstr>Pública</vt:lpwstr>
  </property>
  <property fmtid="{D5CDD505-2E9C-101B-9397-08002B2CF9AE}" pid="6" name="MSIP_Label_140b9f7d-8e3a-482f-9702-4b7ffc40985a_SiteId">
    <vt:lpwstr>5b6f6241-9a57-4be4-8e50-1dfa72e79a57</vt:lpwstr>
  </property>
  <property fmtid="{D5CDD505-2E9C-101B-9397-08002B2CF9AE}" pid="7" name="MSIP_Label_140b9f7d-8e3a-482f-9702-4b7ffc40985a_ActionId">
    <vt:lpwstr>ce661d89-d440-42ec-b98f-61c22c487a03</vt:lpwstr>
  </property>
  <property fmtid="{D5CDD505-2E9C-101B-9397-08002B2CF9AE}" pid="8" name="MSIP_Label_140b9f7d-8e3a-482f-9702-4b7ffc40985a_ContentBits">
    <vt:lpwstr>2</vt:lpwstr>
  </property>
</Properties>
</file>